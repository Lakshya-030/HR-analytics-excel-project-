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F333D6C304A827DC/Documents/"/>
    </mc:Choice>
  </mc:AlternateContent>
  <xr:revisionPtr revIDLastSave="898" documentId="8_{E22CD547-F4A7-4853-B9DB-E988ECFB5E34}" xr6:coauthVersionLast="47" xr6:coauthVersionMax="47" xr10:uidLastSave="{14A1B90F-329C-4F17-B93C-64E5F3BD0422}"/>
  <bookViews>
    <workbookView xWindow="-98" yWindow="-98" windowWidth="21795" windowHeight="12975" activeTab="3" xr2:uid="{962A5319-39D6-48E6-B7A3-F770949AD067}"/>
  </bookViews>
  <sheets>
    <sheet name="Sheet2" sheetId="3" r:id="rId1"/>
    <sheet name="WA_Fn-UseC_-HR-Employee-Attriti" sheetId="1" r:id="rId2"/>
    <sheet name="Sheet1" sheetId="2" r:id="rId3"/>
    <sheet name="Sheet3" sheetId="4" r:id="rId4"/>
  </sheets>
  <definedNames>
    <definedName name="Slicer_BusinessTravel">#N/A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8" i="3" l="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H8" i="3"/>
  <c r="AM3" i="1" a="1"/>
  <c r="AM3" i="1" s="1"/>
  <c r="AM4" i="1" a="1"/>
  <c r="AM4" i="1" s="1"/>
  <c r="AM5" i="1" a="1"/>
  <c r="AM5" i="1" s="1"/>
  <c r="AM6" i="1" a="1"/>
  <c r="AM6" i="1" s="1"/>
  <c r="AM7" i="1" a="1"/>
  <c r="AM7" i="1" s="1"/>
  <c r="AM8" i="1" a="1"/>
  <c r="AM8" i="1" s="1"/>
  <c r="AM9" i="1" a="1"/>
  <c r="AM9" i="1" s="1"/>
  <c r="AM10" i="1" a="1"/>
  <c r="AM10" i="1" s="1"/>
  <c r="AM11" i="1" a="1"/>
  <c r="AM11" i="1" s="1"/>
  <c r="AM12" i="1" a="1"/>
  <c r="AM12" i="1" s="1"/>
  <c r="AM13" i="1" a="1"/>
  <c r="AM13" i="1" s="1"/>
  <c r="AM14" i="1" a="1"/>
  <c r="AM14" i="1" s="1"/>
  <c r="AM15" i="1" a="1"/>
  <c r="AM15" i="1" s="1"/>
  <c r="AM16" i="1" a="1"/>
  <c r="AM16" i="1" s="1"/>
  <c r="AM17" i="1" a="1"/>
  <c r="AM17" i="1" s="1"/>
  <c r="AM18" i="1" a="1"/>
  <c r="AM18" i="1" s="1"/>
  <c r="AM19" i="1" a="1"/>
  <c r="AM19" i="1" s="1"/>
  <c r="AM20" i="1" a="1"/>
  <c r="AM20" i="1" s="1"/>
  <c r="AM21" i="1" a="1"/>
  <c r="AM21" i="1" s="1"/>
  <c r="AM22" i="1" a="1"/>
  <c r="AM22" i="1" s="1"/>
  <c r="AM23" i="1" a="1"/>
  <c r="AM23" i="1" s="1"/>
  <c r="AM24" i="1" a="1"/>
  <c r="AM24" i="1" s="1"/>
  <c r="AM25" i="1" a="1"/>
  <c r="AM25" i="1" s="1"/>
  <c r="AM26" i="1" a="1"/>
  <c r="AM26" i="1" s="1"/>
  <c r="AM27" i="1" a="1"/>
  <c r="AM27" i="1" s="1"/>
  <c r="AM28" i="1" a="1"/>
  <c r="AM28" i="1" s="1"/>
  <c r="AM29" i="1" a="1"/>
  <c r="AM29" i="1" s="1"/>
  <c r="AM30" i="1" a="1"/>
  <c r="AM30" i="1" s="1"/>
  <c r="AM31" i="1" a="1"/>
  <c r="AM31" i="1" s="1"/>
  <c r="AM32" i="1" a="1"/>
  <c r="AM32" i="1" s="1"/>
  <c r="AM33" i="1" a="1"/>
  <c r="AM33" i="1" s="1"/>
  <c r="AM34" i="1" a="1"/>
  <c r="AM34" i="1" s="1"/>
  <c r="AM35" i="1" a="1"/>
  <c r="AM35" i="1" s="1"/>
  <c r="AM36" i="1" a="1"/>
  <c r="AM36" i="1" s="1"/>
  <c r="AM37" i="1" a="1"/>
  <c r="AM37" i="1" s="1"/>
  <c r="AM38" i="1" a="1"/>
  <c r="AM38" i="1" s="1"/>
  <c r="AM39" i="1" a="1"/>
  <c r="AM39" i="1" s="1"/>
  <c r="AM40" i="1" a="1"/>
  <c r="AM40" i="1"/>
  <c r="AM41" i="1" a="1"/>
  <c r="AM41" i="1" s="1"/>
  <c r="AM42" i="1" a="1"/>
  <c r="AM42" i="1" s="1"/>
  <c r="AM43" i="1" a="1"/>
  <c r="AM43" i="1" s="1"/>
  <c r="AM44" i="1" a="1"/>
  <c r="AM44" i="1" s="1"/>
  <c r="AM45" i="1" a="1"/>
  <c r="AM45" i="1" s="1"/>
  <c r="AM46" i="1" a="1"/>
  <c r="AM46" i="1" s="1"/>
  <c r="AM47" i="1" a="1"/>
  <c r="AM47" i="1" s="1"/>
  <c r="AM48" i="1" a="1"/>
  <c r="AM48" i="1" s="1"/>
  <c r="AM49" i="1" a="1"/>
  <c r="AM49" i="1" s="1"/>
  <c r="AM50" i="1" a="1"/>
  <c r="AM50" i="1" s="1"/>
  <c r="AM51" i="1" a="1"/>
  <c r="AM51" i="1" s="1"/>
  <c r="AM52" i="1" a="1"/>
  <c r="AM52" i="1" s="1"/>
  <c r="AM53" i="1" a="1"/>
  <c r="AM53" i="1" s="1"/>
  <c r="AM54" i="1" a="1"/>
  <c r="AM54" i="1" s="1"/>
  <c r="AM55" i="1" a="1"/>
  <c r="AM55" i="1" s="1"/>
  <c r="AM56" i="1" a="1"/>
  <c r="AM56" i="1" s="1"/>
  <c r="AM57" i="1" a="1"/>
  <c r="AM57" i="1" s="1"/>
  <c r="AM58" i="1" a="1"/>
  <c r="AM58" i="1" s="1"/>
  <c r="AM59" i="1" a="1"/>
  <c r="AM59" i="1" s="1"/>
  <c r="AM60" i="1" a="1"/>
  <c r="AM60" i="1" s="1"/>
  <c r="AM61" i="1" a="1"/>
  <c r="AM61" i="1" s="1"/>
  <c r="AM62" i="1" a="1"/>
  <c r="AM62" i="1" s="1"/>
  <c r="AM63" i="1" a="1"/>
  <c r="AM63" i="1" s="1"/>
  <c r="AM64" i="1" a="1"/>
  <c r="AM64" i="1" s="1"/>
  <c r="AM65" i="1" a="1"/>
  <c r="AM65" i="1" s="1"/>
  <c r="AM66" i="1" a="1"/>
  <c r="AM66" i="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M77" i="1" a="1"/>
  <c r="AM77" i="1" s="1"/>
  <c r="AM78" i="1" a="1"/>
  <c r="AM78" i="1" s="1"/>
  <c r="AM79" i="1" a="1"/>
  <c r="AM79" i="1" s="1"/>
  <c r="AM80" i="1" a="1"/>
  <c r="AM80" i="1" s="1"/>
  <c r="AM81" i="1" a="1"/>
  <c r="AM81" i="1" s="1"/>
  <c r="AM82" i="1" a="1"/>
  <c r="AM82" i="1" s="1"/>
  <c r="AM83" i="1" a="1"/>
  <c r="AM83" i="1" s="1"/>
  <c r="AM84" i="1" a="1"/>
  <c r="AM84" i="1" s="1"/>
  <c r="AM85" i="1" a="1"/>
  <c r="AM85" i="1" s="1"/>
  <c r="AM86" i="1" a="1"/>
  <c r="AM86" i="1" s="1"/>
  <c r="AM87" i="1" a="1"/>
  <c r="AM87" i="1" s="1"/>
  <c r="AM88" i="1" a="1"/>
  <c r="AM88" i="1" s="1"/>
  <c r="AM89" i="1" a="1"/>
  <c r="AM89" i="1" s="1"/>
  <c r="AM90" i="1" a="1"/>
  <c r="AM90" i="1" s="1"/>
  <c r="AM91" i="1" a="1"/>
  <c r="AM91" i="1" s="1"/>
  <c r="AM92" i="1" a="1"/>
  <c r="AM92" i="1" s="1"/>
  <c r="AM93" i="1" a="1"/>
  <c r="AM93" i="1" s="1"/>
  <c r="AM94" i="1" a="1"/>
  <c r="AM94" i="1" s="1"/>
  <c r="AM95" i="1" a="1"/>
  <c r="AM95" i="1" s="1"/>
  <c r="AM96" i="1" a="1"/>
  <c r="AM96" i="1" s="1"/>
  <c r="AM97" i="1" a="1"/>
  <c r="AM97" i="1" s="1"/>
  <c r="AM98" i="1" a="1"/>
  <c r="AM98" i="1" s="1"/>
  <c r="AM99" i="1" a="1"/>
  <c r="AM99" i="1" s="1"/>
  <c r="AM100" i="1" a="1"/>
  <c r="AM100" i="1" s="1"/>
  <c r="AM101" i="1" a="1"/>
  <c r="AM101" i="1" s="1"/>
  <c r="AM102" i="1" a="1"/>
  <c r="AM102" i="1" s="1"/>
  <c r="AM103" i="1" a="1"/>
  <c r="AM103" i="1" s="1"/>
  <c r="AM104" i="1" a="1"/>
  <c r="AM104" i="1" s="1"/>
  <c r="AM105" i="1" a="1"/>
  <c r="AM105" i="1"/>
  <c r="AM106" i="1" a="1"/>
  <c r="AM106" i="1" s="1"/>
  <c r="AM107" i="1" a="1"/>
  <c r="AM107" i="1" s="1"/>
  <c r="AM108" i="1" a="1"/>
  <c r="AM108" i="1" s="1"/>
  <c r="AM109" i="1" a="1"/>
  <c r="AM109" i="1" s="1"/>
  <c r="AM110" i="1" a="1"/>
  <c r="AM110" i="1" s="1"/>
  <c r="AM111" i="1" a="1"/>
  <c r="AM111" i="1" s="1"/>
  <c r="AM112" i="1" a="1"/>
  <c r="AM112" i="1" s="1"/>
  <c r="AM113" i="1" a="1"/>
  <c r="AM113" i="1" s="1"/>
  <c r="AM114" i="1" a="1"/>
  <c r="AM114" i="1" s="1"/>
  <c r="AM115" i="1" a="1"/>
  <c r="AM115" i="1" s="1"/>
  <c r="AM116" i="1" a="1"/>
  <c r="AM116" i="1" s="1"/>
  <c r="AM117" i="1" a="1"/>
  <c r="AM117" i="1" s="1"/>
  <c r="AM118" i="1" a="1"/>
  <c r="AM118" i="1" s="1"/>
  <c r="AM119" i="1" a="1"/>
  <c r="AM119" i="1" s="1"/>
  <c r="AM120" i="1" a="1"/>
  <c r="AM120" i="1"/>
  <c r="AM121" i="1" a="1"/>
  <c r="AM121" i="1" s="1"/>
  <c r="AM122" i="1" a="1"/>
  <c r="AM122" i="1" s="1"/>
  <c r="AM123" i="1" a="1"/>
  <c r="AM123" i="1" s="1"/>
  <c r="AM124" i="1" a="1"/>
  <c r="AM124" i="1" s="1"/>
  <c r="AM125" i="1" a="1"/>
  <c r="AM125" i="1" s="1"/>
  <c r="AM126" i="1" a="1"/>
  <c r="AM126" i="1" s="1"/>
  <c r="AM127" i="1" a="1"/>
  <c r="AM127" i="1" s="1"/>
  <c r="AM128" i="1" a="1"/>
  <c r="AM128" i="1" s="1"/>
  <c r="AM129" i="1" a="1"/>
  <c r="AM129" i="1" s="1"/>
  <c r="AM130" i="1" a="1"/>
  <c r="AM130" i="1" s="1"/>
  <c r="AM131" i="1" a="1"/>
  <c r="AM131" i="1" s="1"/>
  <c r="AM132" i="1" a="1"/>
  <c r="AM132" i="1" s="1"/>
  <c r="AM133" i="1" a="1"/>
  <c r="AM133" i="1" s="1"/>
  <c r="AM134" i="1" a="1"/>
  <c r="AM134" i="1" s="1"/>
  <c r="AM135" i="1" a="1"/>
  <c r="AM135" i="1" s="1"/>
  <c r="AM136" i="1" a="1"/>
  <c r="AM136" i="1" s="1"/>
  <c r="AM137" i="1" a="1"/>
  <c r="AM137" i="1" s="1"/>
  <c r="AM138" i="1" a="1"/>
  <c r="AM138" i="1" s="1"/>
  <c r="AM139" i="1" a="1"/>
  <c r="AM139" i="1" s="1"/>
  <c r="AM140" i="1" a="1"/>
  <c r="AM140" i="1" s="1"/>
  <c r="AM141" i="1" a="1"/>
  <c r="AM141" i="1" s="1"/>
  <c r="AM142" i="1" a="1"/>
  <c r="AM142" i="1" s="1"/>
  <c r="AM143" i="1" a="1"/>
  <c r="AM143" i="1" s="1"/>
  <c r="AM144" i="1" a="1"/>
  <c r="AM144" i="1" s="1"/>
  <c r="AM145" i="1" a="1"/>
  <c r="AM145" i="1" s="1"/>
  <c r="AM146" i="1" a="1"/>
  <c r="AM146" i="1" s="1"/>
  <c r="AM147" i="1" a="1"/>
  <c r="AM147" i="1" s="1"/>
  <c r="AM148" i="1" a="1"/>
  <c r="AM148" i="1" s="1"/>
  <c r="AM149" i="1" a="1"/>
  <c r="AM149" i="1" s="1"/>
  <c r="AM150" i="1" a="1"/>
  <c r="AM150" i="1" s="1"/>
  <c r="AM151" i="1" a="1"/>
  <c r="AM151" i="1"/>
  <c r="AM152" i="1" a="1"/>
  <c r="AM152" i="1" s="1"/>
  <c r="AM153" i="1" a="1"/>
  <c r="AM153" i="1" s="1"/>
  <c r="AM154" i="1" a="1"/>
  <c r="AM154" i="1" s="1"/>
  <c r="AM155" i="1" a="1"/>
  <c r="AM155" i="1" s="1"/>
  <c r="AM156" i="1" a="1"/>
  <c r="AM156" i="1" s="1"/>
  <c r="AM157" i="1" a="1"/>
  <c r="AM157" i="1" s="1"/>
  <c r="AM158" i="1" a="1"/>
  <c r="AM158" i="1" s="1"/>
  <c r="AM159" i="1" a="1"/>
  <c r="AM159" i="1" s="1"/>
  <c r="AM160" i="1" a="1"/>
  <c r="AM160" i="1"/>
  <c r="AM161" i="1" a="1"/>
  <c r="AM161" i="1" s="1"/>
  <c r="AM162" i="1" a="1"/>
  <c r="AM162" i="1" s="1"/>
  <c r="AM163" i="1" a="1"/>
  <c r="AM163" i="1" s="1"/>
  <c r="AM164" i="1" a="1"/>
  <c r="AM164" i="1" s="1"/>
  <c r="AM165" i="1" a="1"/>
  <c r="AM165" i="1" s="1"/>
  <c r="AM166" i="1" a="1"/>
  <c r="AM166" i="1" s="1"/>
  <c r="AM167" i="1" a="1"/>
  <c r="AM167" i="1" s="1"/>
  <c r="AM168" i="1" a="1"/>
  <c r="AM168" i="1" s="1"/>
  <c r="AM169" i="1" a="1"/>
  <c r="AM169" i="1" s="1"/>
  <c r="AM170" i="1" a="1"/>
  <c r="AM170" i="1" s="1"/>
  <c r="AM171" i="1" a="1"/>
  <c r="AM171" i="1" s="1"/>
  <c r="AM172" i="1" a="1"/>
  <c r="AM172" i="1" s="1"/>
  <c r="AM173" i="1" a="1"/>
  <c r="AM173" i="1" s="1"/>
  <c r="AM174" i="1" a="1"/>
  <c r="AM174" i="1" s="1"/>
  <c r="AM175" i="1" a="1"/>
  <c r="AM175" i="1" s="1"/>
  <c r="AM176" i="1" a="1"/>
  <c r="AM176" i="1" s="1"/>
  <c r="AM177" i="1" a="1"/>
  <c r="AM177" i="1" s="1"/>
  <c r="AM178" i="1" a="1"/>
  <c r="AM178" i="1" s="1"/>
  <c r="AM179" i="1" a="1"/>
  <c r="AM179" i="1" s="1"/>
  <c r="AM180" i="1" a="1"/>
  <c r="AM180" i="1" s="1"/>
  <c r="AM181" i="1" a="1"/>
  <c r="AM181" i="1" s="1"/>
  <c r="AM182" i="1" a="1"/>
  <c r="AM182" i="1" s="1"/>
  <c r="AM183" i="1" a="1"/>
  <c r="AM183" i="1" s="1"/>
  <c r="AM184" i="1" a="1"/>
  <c r="AM184" i="1" s="1"/>
  <c r="AM185" i="1" a="1"/>
  <c r="AM185" i="1" s="1"/>
  <c r="AM186" i="1" a="1"/>
  <c r="AM186" i="1" s="1"/>
  <c r="AM187" i="1" a="1"/>
  <c r="AM187" i="1" s="1"/>
  <c r="AM188" i="1" a="1"/>
  <c r="AM188" i="1" s="1"/>
  <c r="AM189" i="1" a="1"/>
  <c r="AM189" i="1" s="1"/>
  <c r="AM190" i="1" a="1"/>
  <c r="AM190" i="1" s="1"/>
  <c r="AM191" i="1" a="1"/>
  <c r="AM191" i="1" s="1"/>
  <c r="AM192" i="1" a="1"/>
  <c r="AM192" i="1" s="1"/>
  <c r="AM193" i="1" a="1"/>
  <c r="AM193" i="1" s="1"/>
  <c r="AM194" i="1" a="1"/>
  <c r="AM194" i="1" s="1"/>
  <c r="AM195" i="1" a="1"/>
  <c r="AM195" i="1" s="1"/>
  <c r="AM196" i="1" a="1"/>
  <c r="AM196" i="1" s="1"/>
  <c r="AM197" i="1" a="1"/>
  <c r="AM197" i="1" s="1"/>
  <c r="AM198" i="1" a="1"/>
  <c r="AM198" i="1" s="1"/>
  <c r="AM199" i="1" a="1"/>
  <c r="AM199" i="1" s="1"/>
  <c r="AM200" i="1" a="1"/>
  <c r="AM200" i="1" s="1"/>
  <c r="AM201" i="1" a="1"/>
  <c r="AM201" i="1" s="1"/>
  <c r="AM202" i="1" a="1"/>
  <c r="AM202" i="1" s="1"/>
  <c r="AM203" i="1" a="1"/>
  <c r="AM203" i="1" s="1"/>
  <c r="AM204" i="1" a="1"/>
  <c r="AM204" i="1" s="1"/>
  <c r="AM205" i="1" a="1"/>
  <c r="AM205" i="1" s="1"/>
  <c r="AM206" i="1" a="1"/>
  <c r="AM206" i="1" s="1"/>
  <c r="AM207" i="1" a="1"/>
  <c r="AM207" i="1" s="1"/>
  <c r="AM208" i="1" a="1"/>
  <c r="AM208" i="1" s="1"/>
  <c r="AM209" i="1" a="1"/>
  <c r="AM209" i="1" s="1"/>
  <c r="AM210" i="1" a="1"/>
  <c r="AM210" i="1" s="1"/>
  <c r="AM211" i="1" a="1"/>
  <c r="AM211" i="1" s="1"/>
  <c r="AM212" i="1" a="1"/>
  <c r="AM212" i="1" s="1"/>
  <c r="AM213" i="1" a="1"/>
  <c r="AM213" i="1" s="1"/>
  <c r="AM214" i="1" a="1"/>
  <c r="AM214" i="1" s="1"/>
  <c r="AM215" i="1" a="1"/>
  <c r="AM215" i="1" s="1"/>
  <c r="AM216" i="1" a="1"/>
  <c r="AM216" i="1" s="1"/>
  <c r="AM217" i="1" a="1"/>
  <c r="AM217" i="1" s="1"/>
  <c r="AM218" i="1" a="1"/>
  <c r="AM218" i="1" s="1"/>
  <c r="AM219" i="1" a="1"/>
  <c r="AM219" i="1" s="1"/>
  <c r="AM220" i="1" a="1"/>
  <c r="AM220" i="1" s="1"/>
  <c r="AM221" i="1" a="1"/>
  <c r="AM221" i="1" s="1"/>
  <c r="AM222" i="1" a="1"/>
  <c r="AM222" i="1" s="1"/>
  <c r="AM223" i="1" a="1"/>
  <c r="AM223" i="1"/>
  <c r="AM224" i="1" a="1"/>
  <c r="AM224" i="1" s="1"/>
  <c r="AM225" i="1" a="1"/>
  <c r="AM225" i="1" s="1"/>
  <c r="AM226" i="1" a="1"/>
  <c r="AM226" i="1" s="1"/>
  <c r="AM227" i="1" a="1"/>
  <c r="AM227" i="1" s="1"/>
  <c r="AM228" i="1" a="1"/>
  <c r="AM228" i="1" s="1"/>
  <c r="AM229" i="1" a="1"/>
  <c r="AM229" i="1" s="1"/>
  <c r="AM230" i="1" a="1"/>
  <c r="AM230" i="1" s="1"/>
  <c r="AM231" i="1" a="1"/>
  <c r="AM231" i="1" s="1"/>
  <c r="AM232" i="1" a="1"/>
  <c r="AM232" i="1" s="1"/>
  <c r="AM233" i="1" a="1"/>
  <c r="AM233" i="1" s="1"/>
  <c r="AM234" i="1" a="1"/>
  <c r="AM234" i="1" s="1"/>
  <c r="AM235" i="1" a="1"/>
  <c r="AM235" i="1" s="1"/>
  <c r="AM236" i="1" a="1"/>
  <c r="AM236" i="1" s="1"/>
  <c r="AM237" i="1" a="1"/>
  <c r="AM237" i="1" s="1"/>
  <c r="AM238" i="1" a="1"/>
  <c r="AM238" i="1" s="1"/>
  <c r="AM239" i="1" a="1"/>
  <c r="AM239" i="1" s="1"/>
  <c r="AM240" i="1" a="1"/>
  <c r="AM240" i="1" s="1"/>
  <c r="AM241" i="1" a="1"/>
  <c r="AM241" i="1" s="1"/>
  <c r="AM242" i="1" a="1"/>
  <c r="AM242" i="1" s="1"/>
  <c r="AM243" i="1" a="1"/>
  <c r="AM243" i="1" s="1"/>
  <c r="AM244" i="1" a="1"/>
  <c r="AM244" i="1" s="1"/>
  <c r="AM245" i="1" a="1"/>
  <c r="AM245" i="1" s="1"/>
  <c r="AM246" i="1" a="1"/>
  <c r="AM246" i="1" s="1"/>
  <c r="AM247" i="1" a="1"/>
  <c r="AM247" i="1" s="1"/>
  <c r="AM248" i="1" a="1"/>
  <c r="AM248" i="1" s="1"/>
  <c r="AM249" i="1" a="1"/>
  <c r="AM249" i="1" s="1"/>
  <c r="AM250" i="1" a="1"/>
  <c r="AM250" i="1" s="1"/>
  <c r="AM251" i="1" a="1"/>
  <c r="AM251" i="1" s="1"/>
  <c r="AM252" i="1" a="1"/>
  <c r="AM252" i="1" s="1"/>
  <c r="AM253" i="1" a="1"/>
  <c r="AM253" i="1" s="1"/>
  <c r="AM254" i="1" a="1"/>
  <c r="AM254" i="1" s="1"/>
  <c r="AM255" i="1" a="1"/>
  <c r="AM255" i="1" s="1"/>
  <c r="AM256" i="1" a="1"/>
  <c r="AM256" i="1" s="1"/>
  <c r="AM257" i="1" a="1"/>
  <c r="AM257" i="1" s="1"/>
  <c r="AM258" i="1" a="1"/>
  <c r="AM258" i="1" s="1"/>
  <c r="AM259" i="1" a="1"/>
  <c r="AM259" i="1" s="1"/>
  <c r="AM260" i="1" a="1"/>
  <c r="AM260" i="1" s="1"/>
  <c r="AM261" i="1" a="1"/>
  <c r="AM261" i="1" s="1"/>
  <c r="AM262" i="1" a="1"/>
  <c r="AM262" i="1" s="1"/>
  <c r="AM263" i="1" a="1"/>
  <c r="AM263" i="1" s="1"/>
  <c r="AM264" i="1" a="1"/>
  <c r="AM264" i="1" s="1"/>
  <c r="AM265" i="1" a="1"/>
  <c r="AM265" i="1" s="1"/>
  <c r="AM266" i="1" a="1"/>
  <c r="AM266" i="1" s="1"/>
  <c r="AM267" i="1" a="1"/>
  <c r="AM267" i="1" s="1"/>
  <c r="AM268" i="1" a="1"/>
  <c r="AM268" i="1" s="1"/>
  <c r="AM269" i="1" a="1"/>
  <c r="AM269" i="1" s="1"/>
  <c r="AM270" i="1" a="1"/>
  <c r="AM270" i="1" s="1"/>
  <c r="AM271" i="1" a="1"/>
  <c r="AM271" i="1" s="1"/>
  <c r="AM272" i="1" a="1"/>
  <c r="AM272" i="1" s="1"/>
  <c r="AM273" i="1" a="1"/>
  <c r="AM273" i="1" s="1"/>
  <c r="AM274" i="1" a="1"/>
  <c r="AM274" i="1" s="1"/>
  <c r="AM275" i="1" a="1"/>
  <c r="AM275" i="1" s="1"/>
  <c r="AM276" i="1" a="1"/>
  <c r="AM276" i="1" s="1"/>
  <c r="AM277" i="1" a="1"/>
  <c r="AM277" i="1" s="1"/>
  <c r="AM278" i="1" a="1"/>
  <c r="AM278" i="1" s="1"/>
  <c r="AM279" i="1" a="1"/>
  <c r="AM279" i="1" s="1"/>
  <c r="AM280" i="1" a="1"/>
  <c r="AM280" i="1" s="1"/>
  <c r="AM281" i="1" a="1"/>
  <c r="AM281" i="1" s="1"/>
  <c r="AM282" i="1" a="1"/>
  <c r="AM282" i="1" s="1"/>
  <c r="AM283" i="1" a="1"/>
  <c r="AM283" i="1" s="1"/>
  <c r="AM284" i="1" a="1"/>
  <c r="AM284" i="1" s="1"/>
  <c r="AM285" i="1" a="1"/>
  <c r="AM285" i="1" s="1"/>
  <c r="AM286" i="1" a="1"/>
  <c r="AM286" i="1" s="1"/>
  <c r="AM287" i="1" a="1"/>
  <c r="AM287" i="1" s="1"/>
  <c r="AM288" i="1" a="1"/>
  <c r="AM288" i="1" s="1"/>
  <c r="AM289" i="1" a="1"/>
  <c r="AM289" i="1" s="1"/>
  <c r="AM290" i="1" a="1"/>
  <c r="AM290" i="1" s="1"/>
  <c r="AM291" i="1" a="1"/>
  <c r="AM291" i="1" s="1"/>
  <c r="AM292" i="1" a="1"/>
  <c r="AM292" i="1" s="1"/>
  <c r="AM293" i="1" a="1"/>
  <c r="AM293" i="1" s="1"/>
  <c r="AM294" i="1" a="1"/>
  <c r="AM294" i="1" s="1"/>
  <c r="AM295" i="1" a="1"/>
  <c r="AM295" i="1" s="1"/>
  <c r="AM296" i="1" a="1"/>
  <c r="AM296" i="1" s="1"/>
  <c r="AM297" i="1" a="1"/>
  <c r="AM297" i="1" s="1"/>
  <c r="AM298" i="1" a="1"/>
  <c r="AM298" i="1"/>
  <c r="AM299" i="1" a="1"/>
  <c r="AM299" i="1" s="1"/>
  <c r="AM300" i="1" a="1"/>
  <c r="AM300" i="1" s="1"/>
  <c r="AM301" i="1" a="1"/>
  <c r="AM301" i="1" s="1"/>
  <c r="AM302" i="1" a="1"/>
  <c r="AM302" i="1" s="1"/>
  <c r="AM303" i="1" a="1"/>
  <c r="AM303" i="1" s="1"/>
  <c r="AM304" i="1" a="1"/>
  <c r="AM304" i="1" s="1"/>
  <c r="AM305" i="1" a="1"/>
  <c r="AM305" i="1" s="1"/>
  <c r="AM306" i="1" a="1"/>
  <c r="AM306" i="1" s="1"/>
  <c r="AM307" i="1" a="1"/>
  <c r="AM307" i="1" s="1"/>
  <c r="AM308" i="1" a="1"/>
  <c r="AM308" i="1" s="1"/>
  <c r="AM309" i="1" a="1"/>
  <c r="AM309" i="1" s="1"/>
  <c r="AM310" i="1" a="1"/>
  <c r="AM310" i="1" s="1"/>
  <c r="AM311" i="1" a="1"/>
  <c r="AM311" i="1" s="1"/>
  <c r="AM312" i="1" a="1"/>
  <c r="AM312" i="1" s="1"/>
  <c r="AM313" i="1" a="1"/>
  <c r="AM313" i="1" s="1"/>
  <c r="AM314" i="1" a="1"/>
  <c r="AM314" i="1" s="1"/>
  <c r="AM315" i="1" a="1"/>
  <c r="AM315" i="1" s="1"/>
  <c r="AM316" i="1" a="1"/>
  <c r="AM316" i="1" s="1"/>
  <c r="AM317" i="1" a="1"/>
  <c r="AM317" i="1" s="1"/>
  <c r="AM318" i="1" a="1"/>
  <c r="AM318" i="1" s="1"/>
  <c r="AM319" i="1" a="1"/>
  <c r="AM319" i="1" s="1"/>
  <c r="AM320" i="1" a="1"/>
  <c r="AM320" i="1" s="1"/>
  <c r="AM321" i="1" a="1"/>
  <c r="AM321" i="1" s="1"/>
  <c r="AM322" i="1" a="1"/>
  <c r="AM322" i="1" s="1"/>
  <c r="AM323" i="1" a="1"/>
  <c r="AM323" i="1" s="1"/>
  <c r="AM324" i="1" a="1"/>
  <c r="AM324" i="1" s="1"/>
  <c r="AM325" i="1" a="1"/>
  <c r="AM325" i="1" s="1"/>
  <c r="AM326" i="1" a="1"/>
  <c r="AM326" i="1" s="1"/>
  <c r="AM327" i="1" a="1"/>
  <c r="AM327" i="1" s="1"/>
  <c r="AM328" i="1" a="1"/>
  <c r="AM328" i="1" s="1"/>
  <c r="AM329" i="1" a="1"/>
  <c r="AM329" i="1" s="1"/>
  <c r="AM330" i="1" a="1"/>
  <c r="AM330" i="1" s="1"/>
  <c r="AM331" i="1" a="1"/>
  <c r="AM331" i="1" s="1"/>
  <c r="AM332" i="1" a="1"/>
  <c r="AM332" i="1" s="1"/>
  <c r="AM333" i="1" a="1"/>
  <c r="AM333" i="1" s="1"/>
  <c r="AM334" i="1" a="1"/>
  <c r="AM334" i="1" s="1"/>
  <c r="AM335" i="1" a="1"/>
  <c r="AM335" i="1" s="1"/>
  <c r="AM336" i="1" a="1"/>
  <c r="AM336" i="1" s="1"/>
  <c r="AM337" i="1" a="1"/>
  <c r="AM337" i="1" s="1"/>
  <c r="AM338" i="1" a="1"/>
  <c r="AM338" i="1" s="1"/>
  <c r="AM339" i="1" a="1"/>
  <c r="AM339" i="1" s="1"/>
  <c r="AM340" i="1" a="1"/>
  <c r="AM340" i="1" s="1"/>
  <c r="AM341" i="1" a="1"/>
  <c r="AM341" i="1" s="1"/>
  <c r="AM342" i="1" a="1"/>
  <c r="AM342" i="1" s="1"/>
  <c r="AM343" i="1" a="1"/>
  <c r="AM343" i="1" s="1"/>
  <c r="AM344" i="1" a="1"/>
  <c r="AM344" i="1" s="1"/>
  <c r="AM345" i="1" a="1"/>
  <c r="AM345" i="1" s="1"/>
  <c r="AM346" i="1" a="1"/>
  <c r="AM346" i="1" s="1"/>
  <c r="AM347" i="1" a="1"/>
  <c r="AM347" i="1" s="1"/>
  <c r="AM348" i="1" a="1"/>
  <c r="AM348" i="1" s="1"/>
  <c r="AM349" i="1" a="1"/>
  <c r="AM349" i="1" s="1"/>
  <c r="AM350" i="1" a="1"/>
  <c r="AM350" i="1" s="1"/>
  <c r="AM351" i="1" a="1"/>
  <c r="AM351" i="1" s="1"/>
  <c r="AM352" i="1" a="1"/>
  <c r="AM352" i="1" s="1"/>
  <c r="AM353" i="1" a="1"/>
  <c r="AM353" i="1" s="1"/>
  <c r="AM354" i="1" a="1"/>
  <c r="AM354" i="1" s="1"/>
  <c r="AM355" i="1" a="1"/>
  <c r="AM355" i="1" s="1"/>
  <c r="AM356" i="1" a="1"/>
  <c r="AM356" i="1" s="1"/>
  <c r="AM357" i="1" a="1"/>
  <c r="AM357" i="1" s="1"/>
  <c r="AM358" i="1" a="1"/>
  <c r="AM358" i="1" s="1"/>
  <c r="AM359" i="1" a="1"/>
  <c r="AM359" i="1" s="1"/>
  <c r="AM360" i="1" a="1"/>
  <c r="AM360" i="1"/>
  <c r="AM361" i="1" a="1"/>
  <c r="AM361" i="1" s="1"/>
  <c r="AM362" i="1" a="1"/>
  <c r="AM362" i="1" s="1"/>
  <c r="AM363" i="1" a="1"/>
  <c r="AM363" i="1" s="1"/>
  <c r="AM364" i="1" a="1"/>
  <c r="AM364" i="1" s="1"/>
  <c r="AM365" i="1" a="1"/>
  <c r="AM365" i="1" s="1"/>
  <c r="AM366" i="1" a="1"/>
  <c r="AM366" i="1" s="1"/>
  <c r="AM367" i="1" a="1"/>
  <c r="AM367" i="1" s="1"/>
  <c r="AM368" i="1" a="1"/>
  <c r="AM368" i="1" s="1"/>
  <c r="AM369" i="1" a="1"/>
  <c r="AM369" i="1" s="1"/>
  <c r="AM370" i="1" a="1"/>
  <c r="AM370" i="1" s="1"/>
  <c r="AM371" i="1" a="1"/>
  <c r="AM371" i="1" s="1"/>
  <c r="AM372" i="1" a="1"/>
  <c r="AM372" i="1" s="1"/>
  <c r="AM373" i="1" a="1"/>
  <c r="AM373" i="1" s="1"/>
  <c r="AM374" i="1" a="1"/>
  <c r="AM374" i="1" s="1"/>
  <c r="AM375" i="1" a="1"/>
  <c r="AM375" i="1" s="1"/>
  <c r="AM376" i="1" a="1"/>
  <c r="AM376" i="1" s="1"/>
  <c r="AM377" i="1" a="1"/>
  <c r="AM377" i="1" s="1"/>
  <c r="AM378" i="1" a="1"/>
  <c r="AM378" i="1" s="1"/>
  <c r="AM379" i="1" a="1"/>
  <c r="AM379" i="1" s="1"/>
  <c r="AM380" i="1" a="1"/>
  <c r="AM380" i="1" s="1"/>
  <c r="AM381" i="1" a="1"/>
  <c r="AM381" i="1" s="1"/>
  <c r="AM382" i="1" a="1"/>
  <c r="AM382" i="1" s="1"/>
  <c r="AM383" i="1" a="1"/>
  <c r="AM383" i="1" s="1"/>
  <c r="AM384" i="1" a="1"/>
  <c r="AM384" i="1" s="1"/>
  <c r="AM385" i="1" a="1"/>
  <c r="AM385" i="1" s="1"/>
  <c r="AM386" i="1" a="1"/>
  <c r="AM386" i="1" s="1"/>
  <c r="AM387" i="1" a="1"/>
  <c r="AM387" i="1" s="1"/>
  <c r="AM388" i="1" a="1"/>
  <c r="AM388" i="1" s="1"/>
  <c r="AM389" i="1" a="1"/>
  <c r="AM389" i="1" s="1"/>
  <c r="AM390" i="1" a="1"/>
  <c r="AM390" i="1" s="1"/>
  <c r="AM391" i="1" a="1"/>
  <c r="AM391" i="1" s="1"/>
  <c r="AM392" i="1" a="1"/>
  <c r="AM392" i="1" s="1"/>
  <c r="AM393" i="1" a="1"/>
  <c r="AM393" i="1" s="1"/>
  <c r="AM394" i="1" a="1"/>
  <c r="AM394" i="1" s="1"/>
  <c r="AM395" i="1" a="1"/>
  <c r="AM395" i="1" s="1"/>
  <c r="AM396" i="1" a="1"/>
  <c r="AM396" i="1" s="1"/>
  <c r="AM397" i="1" a="1"/>
  <c r="AM397" i="1" s="1"/>
  <c r="AM398" i="1" a="1"/>
  <c r="AM398" i="1" s="1"/>
  <c r="AM399" i="1" a="1"/>
  <c r="AM399" i="1"/>
  <c r="AM400" i="1" a="1"/>
  <c r="AM400" i="1" s="1"/>
  <c r="AM401" i="1" a="1"/>
  <c r="AM401" i="1" s="1"/>
  <c r="AM402" i="1" a="1"/>
  <c r="AM402" i="1" s="1"/>
  <c r="AM403" i="1" a="1"/>
  <c r="AM403" i="1" s="1"/>
  <c r="AM404" i="1" a="1"/>
  <c r="AM404" i="1" s="1"/>
  <c r="AM405" i="1" a="1"/>
  <c r="AM405" i="1" s="1"/>
  <c r="AM406" i="1" a="1"/>
  <c r="AM406" i="1" s="1"/>
  <c r="AM407" i="1" a="1"/>
  <c r="AM407" i="1" s="1"/>
  <c r="AM408" i="1" a="1"/>
  <c r="AM408" i="1" s="1"/>
  <c r="AM409" i="1" a="1"/>
  <c r="AM409" i="1" s="1"/>
  <c r="AM410" i="1" a="1"/>
  <c r="AM410" i="1" s="1"/>
  <c r="AM411" i="1" a="1"/>
  <c r="AM411" i="1" s="1"/>
  <c r="AM412" i="1" a="1"/>
  <c r="AM412" i="1" s="1"/>
  <c r="AM413" i="1" a="1"/>
  <c r="AM413" i="1" s="1"/>
  <c r="AM414" i="1" a="1"/>
  <c r="AM414" i="1" s="1"/>
  <c r="AM415" i="1" a="1"/>
  <c r="AM415" i="1" s="1"/>
  <c r="AM416" i="1" a="1"/>
  <c r="AM416" i="1" s="1"/>
  <c r="AM417" i="1" a="1"/>
  <c r="AM417" i="1" s="1"/>
  <c r="AM418" i="1" a="1"/>
  <c r="AM418" i="1" s="1"/>
  <c r="AM419" i="1" a="1"/>
  <c r="AM419" i="1" s="1"/>
  <c r="AM420" i="1" a="1"/>
  <c r="AM420" i="1" s="1"/>
  <c r="AM421" i="1" a="1"/>
  <c r="AM421" i="1" s="1"/>
  <c r="AM422" i="1" a="1"/>
  <c r="AM422" i="1" s="1"/>
  <c r="AM423" i="1" a="1"/>
  <c r="AM423" i="1" s="1"/>
  <c r="AM424" i="1" a="1"/>
  <c r="AM424" i="1" s="1"/>
  <c r="AM425" i="1" a="1"/>
  <c r="AM425" i="1" s="1"/>
  <c r="AM426" i="1" a="1"/>
  <c r="AM426" i="1" s="1"/>
  <c r="AM427" i="1" a="1"/>
  <c r="AM427" i="1" s="1"/>
  <c r="AM428" i="1" a="1"/>
  <c r="AM428" i="1" s="1"/>
  <c r="AM429" i="1" a="1"/>
  <c r="AM429" i="1" s="1"/>
  <c r="AM430" i="1" a="1"/>
  <c r="AM430" i="1" s="1"/>
  <c r="AM431" i="1" a="1"/>
  <c r="AM431" i="1" s="1"/>
  <c r="AM432" i="1" a="1"/>
  <c r="AM432" i="1" s="1"/>
  <c r="AM433" i="1" a="1"/>
  <c r="AM433" i="1"/>
  <c r="AM434" i="1" a="1"/>
  <c r="AM434" i="1" s="1"/>
  <c r="AM435" i="1" a="1"/>
  <c r="AM435" i="1" s="1"/>
  <c r="AM436" i="1" a="1"/>
  <c r="AM436" i="1" s="1"/>
  <c r="AM437" i="1" a="1"/>
  <c r="AM437" i="1" s="1"/>
  <c r="AM438" i="1" a="1"/>
  <c r="AM438" i="1" s="1"/>
  <c r="AM439" i="1" a="1"/>
  <c r="AM439" i="1" s="1"/>
  <c r="AM440" i="1" a="1"/>
  <c r="AM440" i="1" s="1"/>
  <c r="AM441" i="1" a="1"/>
  <c r="AM441" i="1" s="1"/>
  <c r="AM442" i="1" a="1"/>
  <c r="AM442" i="1" s="1"/>
  <c r="AM443" i="1" a="1"/>
  <c r="AM443" i="1" s="1"/>
  <c r="AM444" i="1" a="1"/>
  <c r="AM444" i="1" s="1"/>
  <c r="AM445" i="1" a="1"/>
  <c r="AM445" i="1" s="1"/>
  <c r="AM446" i="1" a="1"/>
  <c r="AM446" i="1" s="1"/>
  <c r="AM447" i="1" a="1"/>
  <c r="AM447" i="1" s="1"/>
  <c r="AM448" i="1" a="1"/>
  <c r="AM448" i="1" s="1"/>
  <c r="AM449" i="1" a="1"/>
  <c r="AM449" i="1" s="1"/>
  <c r="AM450" i="1" a="1"/>
  <c r="AM450" i="1" s="1"/>
  <c r="AM451" i="1" a="1"/>
  <c r="AM451" i="1" s="1"/>
  <c r="AM452" i="1" a="1"/>
  <c r="AM452" i="1" s="1"/>
  <c r="AM453" i="1" a="1"/>
  <c r="AM453" i="1" s="1"/>
  <c r="AM454" i="1" a="1"/>
  <c r="AM454" i="1" s="1"/>
  <c r="AM455" i="1" a="1"/>
  <c r="AM455" i="1" s="1"/>
  <c r="AM456" i="1" a="1"/>
  <c r="AM456" i="1" s="1"/>
  <c r="AM457" i="1" a="1"/>
  <c r="AM457" i="1" s="1"/>
  <c r="AM458" i="1" a="1"/>
  <c r="AM458" i="1" s="1"/>
  <c r="AM459" i="1" a="1"/>
  <c r="AM459" i="1" s="1"/>
  <c r="AM460" i="1" a="1"/>
  <c r="AM460" i="1" s="1"/>
  <c r="AM461" i="1" a="1"/>
  <c r="AM461" i="1" s="1"/>
  <c r="AM462" i="1" a="1"/>
  <c r="AM462" i="1" s="1"/>
  <c r="AM463" i="1" a="1"/>
  <c r="AM463" i="1" s="1"/>
  <c r="AM464" i="1" a="1"/>
  <c r="AM464" i="1" s="1"/>
  <c r="AM465" i="1" a="1"/>
  <c r="AM465" i="1" s="1"/>
  <c r="AM466" i="1" a="1"/>
  <c r="AM466" i="1" s="1"/>
  <c r="AM467" i="1" a="1"/>
  <c r="AM467" i="1" s="1"/>
  <c r="AM468" i="1" a="1"/>
  <c r="AM468" i="1" s="1"/>
  <c r="AM469" i="1" a="1"/>
  <c r="AM469" i="1" s="1"/>
  <c r="AM470" i="1" a="1"/>
  <c r="AM470" i="1" s="1"/>
  <c r="AM471" i="1" a="1"/>
  <c r="AM471" i="1" s="1"/>
  <c r="AM472" i="1" a="1"/>
  <c r="AM472" i="1" s="1"/>
  <c r="AM473" i="1" a="1"/>
  <c r="AM473" i="1" s="1"/>
  <c r="AM474" i="1" a="1"/>
  <c r="AM474" i="1" s="1"/>
  <c r="AM475" i="1" a="1"/>
  <c r="AM475" i="1" s="1"/>
  <c r="AM476" i="1" a="1"/>
  <c r="AM476" i="1" s="1"/>
  <c r="AM477" i="1" a="1"/>
  <c r="AM477" i="1" s="1"/>
  <c r="AM478" i="1" a="1"/>
  <c r="AM478" i="1" s="1"/>
  <c r="AM479" i="1" a="1"/>
  <c r="AM479" i="1" s="1"/>
  <c r="AM480" i="1" a="1"/>
  <c r="AM480" i="1"/>
  <c r="AM481" i="1" a="1"/>
  <c r="AM481" i="1" s="1"/>
  <c r="AM482" i="1" a="1"/>
  <c r="AM482" i="1" s="1"/>
  <c r="AM483" i="1" a="1"/>
  <c r="AM483" i="1" s="1"/>
  <c r="AM484" i="1" a="1"/>
  <c r="AM484" i="1" s="1"/>
  <c r="AM485" i="1" a="1"/>
  <c r="AM485" i="1" s="1"/>
  <c r="AM486" i="1" a="1"/>
  <c r="AM486" i="1" s="1"/>
  <c r="AM487" i="1" a="1"/>
  <c r="AM487" i="1" s="1"/>
  <c r="AM488" i="1" a="1"/>
  <c r="AM488" i="1" s="1"/>
  <c r="AM489" i="1" a="1"/>
  <c r="AM489" i="1" s="1"/>
  <c r="AM490" i="1" a="1"/>
  <c r="AM490" i="1" s="1"/>
  <c r="AM491" i="1" a="1"/>
  <c r="AM491" i="1" s="1"/>
  <c r="AM492" i="1" a="1"/>
  <c r="AM492" i="1" s="1"/>
  <c r="AM493" i="1" a="1"/>
  <c r="AM493" i="1" s="1"/>
  <c r="AM494" i="1" a="1"/>
  <c r="AM494" i="1" s="1"/>
  <c r="AM495" i="1" a="1"/>
  <c r="AM495" i="1" s="1"/>
  <c r="AM496" i="1" a="1"/>
  <c r="AM496" i="1" s="1"/>
  <c r="AM497" i="1" a="1"/>
  <c r="AM497" i="1" s="1"/>
  <c r="AM498" i="1" a="1"/>
  <c r="AM498" i="1"/>
  <c r="AM499" i="1" a="1"/>
  <c r="AM499" i="1" s="1"/>
  <c r="AM500" i="1" a="1"/>
  <c r="AM500" i="1" s="1"/>
  <c r="AM501" i="1" a="1"/>
  <c r="AM501" i="1" s="1"/>
  <c r="AM502" i="1" a="1"/>
  <c r="AM502" i="1" s="1"/>
  <c r="AM503" i="1" a="1"/>
  <c r="AM503" i="1" s="1"/>
  <c r="AM504" i="1" a="1"/>
  <c r="AM504" i="1" s="1"/>
  <c r="AM505" i="1" a="1"/>
  <c r="AM505" i="1" s="1"/>
  <c r="AM506" i="1" a="1"/>
  <c r="AM506" i="1" s="1"/>
  <c r="AM507" i="1" a="1"/>
  <c r="AM507" i="1" s="1"/>
  <c r="AM508" i="1" a="1"/>
  <c r="AM508" i="1" s="1"/>
  <c r="AM509" i="1" a="1"/>
  <c r="AM509" i="1" s="1"/>
  <c r="AM510" i="1" a="1"/>
  <c r="AM510" i="1"/>
  <c r="AM511" i="1" a="1"/>
  <c r="AM511" i="1" s="1"/>
  <c r="AM512" i="1" a="1"/>
  <c r="AM512" i="1" s="1"/>
  <c r="AM513" i="1" a="1"/>
  <c r="AM513" i="1" s="1"/>
  <c r="AM514" i="1" a="1"/>
  <c r="AM514" i="1" s="1"/>
  <c r="AM515" i="1" a="1"/>
  <c r="AM515" i="1" s="1"/>
  <c r="AM516" i="1" a="1"/>
  <c r="AM516" i="1" s="1"/>
  <c r="AM517" i="1" a="1"/>
  <c r="AM517" i="1" s="1"/>
  <c r="AM518" i="1" a="1"/>
  <c r="AM518" i="1" s="1"/>
  <c r="AM519" i="1" a="1"/>
  <c r="AM519" i="1"/>
  <c r="AM520" i="1" a="1"/>
  <c r="AM520" i="1" s="1"/>
  <c r="AM521" i="1" a="1"/>
  <c r="AM521" i="1" s="1"/>
  <c r="AM522" i="1" a="1"/>
  <c r="AM522" i="1" s="1"/>
  <c r="AM523" i="1" a="1"/>
  <c r="AM523" i="1" s="1"/>
  <c r="AM524" i="1" a="1"/>
  <c r="AM524" i="1" s="1"/>
  <c r="AM525" i="1" a="1"/>
  <c r="AM525" i="1" s="1"/>
  <c r="AM526" i="1" a="1"/>
  <c r="AM526" i="1" s="1"/>
  <c r="AM527" i="1" a="1"/>
  <c r="AM527" i="1" s="1"/>
  <c r="AM528" i="1" a="1"/>
  <c r="AM528" i="1" s="1"/>
  <c r="AM529" i="1" a="1"/>
  <c r="AM529" i="1" s="1"/>
  <c r="AM530" i="1" a="1"/>
  <c r="AM530" i="1" s="1"/>
  <c r="AM531" i="1" a="1"/>
  <c r="AM531" i="1" s="1"/>
  <c r="AM532" i="1" a="1"/>
  <c r="AM532" i="1" s="1"/>
  <c r="AM533" i="1" a="1"/>
  <c r="AM533" i="1" s="1"/>
  <c r="AM534" i="1" a="1"/>
  <c r="AM534" i="1" s="1"/>
  <c r="AM535" i="1" a="1"/>
  <c r="AM535" i="1" s="1"/>
  <c r="AM536" i="1" a="1"/>
  <c r="AM536" i="1" s="1"/>
  <c r="AM537" i="1" a="1"/>
  <c r="AM537" i="1" s="1"/>
  <c r="AM538" i="1" a="1"/>
  <c r="AM538" i="1" s="1"/>
  <c r="AM539" i="1" a="1"/>
  <c r="AM539" i="1" s="1"/>
  <c r="AM540" i="1" a="1"/>
  <c r="AM540" i="1" s="1"/>
  <c r="AM541" i="1" a="1"/>
  <c r="AM541" i="1" s="1"/>
  <c r="AM542" i="1" a="1"/>
  <c r="AM542" i="1" s="1"/>
  <c r="AM543" i="1" a="1"/>
  <c r="AM543" i="1" s="1"/>
  <c r="AM544" i="1" a="1"/>
  <c r="AM544" i="1" s="1"/>
  <c r="AM545" i="1" a="1"/>
  <c r="AM545" i="1"/>
  <c r="AM546" i="1" a="1"/>
  <c r="AM546" i="1" s="1"/>
  <c r="AM547" i="1" a="1"/>
  <c r="AM547" i="1" s="1"/>
  <c r="AM548" i="1" a="1"/>
  <c r="AM548" i="1" s="1"/>
  <c r="AM549" i="1" a="1"/>
  <c r="AM549" i="1" s="1"/>
  <c r="AM550" i="1" a="1"/>
  <c r="AM550" i="1" s="1"/>
  <c r="AM551" i="1" a="1"/>
  <c r="AM551" i="1" s="1"/>
  <c r="AM552" i="1" a="1"/>
  <c r="AM552" i="1" s="1"/>
  <c r="AM553" i="1" a="1"/>
  <c r="AM553" i="1" s="1"/>
  <c r="AM554" i="1" a="1"/>
  <c r="AM554" i="1" s="1"/>
  <c r="AM555" i="1" a="1"/>
  <c r="AM555" i="1" s="1"/>
  <c r="AM556" i="1" a="1"/>
  <c r="AM556" i="1" s="1"/>
  <c r="AM557" i="1" a="1"/>
  <c r="AM557" i="1" s="1"/>
  <c r="AM558" i="1" a="1"/>
  <c r="AM558" i="1" s="1"/>
  <c r="AM559" i="1" a="1"/>
  <c r="AM559" i="1" s="1"/>
  <c r="AM560" i="1" a="1"/>
  <c r="AM560" i="1" s="1"/>
  <c r="AM561" i="1" a="1"/>
  <c r="AM561" i="1" s="1"/>
  <c r="AM562" i="1" a="1"/>
  <c r="AM562" i="1"/>
  <c r="AM563" i="1" a="1"/>
  <c r="AM563" i="1" s="1"/>
  <c r="AM564" i="1" a="1"/>
  <c r="AM564" i="1" s="1"/>
  <c r="AM565" i="1" a="1"/>
  <c r="AM565" i="1" s="1"/>
  <c r="AM566" i="1" a="1"/>
  <c r="AM566" i="1" s="1"/>
  <c r="AM567" i="1" a="1"/>
  <c r="AM567" i="1" s="1"/>
  <c r="AM568" i="1" a="1"/>
  <c r="AM568" i="1" s="1"/>
  <c r="AM569" i="1" a="1"/>
  <c r="AM569" i="1" s="1"/>
  <c r="AM570" i="1" a="1"/>
  <c r="AM570" i="1" s="1"/>
  <c r="AM571" i="1" a="1"/>
  <c r="AM571" i="1" s="1"/>
  <c r="AM572" i="1" a="1"/>
  <c r="AM572" i="1" s="1"/>
  <c r="AM573" i="1" a="1"/>
  <c r="AM573" i="1" s="1"/>
  <c r="AM574" i="1" a="1"/>
  <c r="AM574" i="1" s="1"/>
  <c r="AM575" i="1" a="1"/>
  <c r="AM575" i="1" s="1"/>
  <c r="AM576" i="1" a="1"/>
  <c r="AM576" i="1" s="1"/>
  <c r="AM577" i="1" a="1"/>
  <c r="AM577" i="1" s="1"/>
  <c r="AM578" i="1" a="1"/>
  <c r="AM578" i="1" s="1"/>
  <c r="AM579" i="1" a="1"/>
  <c r="AM579" i="1" s="1"/>
  <c r="AM580" i="1" a="1"/>
  <c r="AM580" i="1" s="1"/>
  <c r="AM581" i="1" a="1"/>
  <c r="AM581" i="1" s="1"/>
  <c r="AM582" i="1" a="1"/>
  <c r="AM582" i="1" s="1"/>
  <c r="AM583" i="1" a="1"/>
  <c r="AM583" i="1" s="1"/>
  <c r="AM584" i="1" a="1"/>
  <c r="AM584" i="1" s="1"/>
  <c r="AM585" i="1" a="1"/>
  <c r="AM585" i="1" s="1"/>
  <c r="AM586" i="1" a="1"/>
  <c r="AM586" i="1" s="1"/>
  <c r="AM587" i="1" a="1"/>
  <c r="AM587" i="1" s="1"/>
  <c r="AM588" i="1" a="1"/>
  <c r="AM588" i="1" s="1"/>
  <c r="AM589" i="1" a="1"/>
  <c r="AM589" i="1" s="1"/>
  <c r="AM590" i="1" a="1"/>
  <c r="AM590" i="1" s="1"/>
  <c r="AM591" i="1" a="1"/>
  <c r="AM591" i="1" s="1"/>
  <c r="AM592" i="1" a="1"/>
  <c r="AM592" i="1" s="1"/>
  <c r="AM593" i="1" a="1"/>
  <c r="AM593" i="1"/>
  <c r="AM594" i="1" a="1"/>
  <c r="AM594" i="1" s="1"/>
  <c r="AM595" i="1" a="1"/>
  <c r="AM595" i="1" s="1"/>
  <c r="AM596" i="1" a="1"/>
  <c r="AM596" i="1" s="1"/>
  <c r="AM597" i="1" a="1"/>
  <c r="AM597" i="1" s="1"/>
  <c r="AM598" i="1" a="1"/>
  <c r="AM598" i="1" s="1"/>
  <c r="AM599" i="1" a="1"/>
  <c r="AM599" i="1" s="1"/>
  <c r="AM600" i="1" a="1"/>
  <c r="AM600" i="1" s="1"/>
  <c r="AM601" i="1" a="1"/>
  <c r="AM601" i="1" s="1"/>
  <c r="AM602" i="1" a="1"/>
  <c r="AM602" i="1" s="1"/>
  <c r="AM603" i="1" a="1"/>
  <c r="AM603" i="1" s="1"/>
  <c r="AM604" i="1" a="1"/>
  <c r="AM604" i="1" s="1"/>
  <c r="AM605" i="1" a="1"/>
  <c r="AM605" i="1" s="1"/>
  <c r="AM606" i="1" a="1"/>
  <c r="AM606" i="1" s="1"/>
  <c r="AM607" i="1" a="1"/>
  <c r="AM607" i="1" s="1"/>
  <c r="AM608" i="1" a="1"/>
  <c r="AM608" i="1" s="1"/>
  <c r="AM609" i="1" a="1"/>
  <c r="AM609" i="1" s="1"/>
  <c r="AM610" i="1" a="1"/>
  <c r="AM610" i="1" s="1"/>
  <c r="AM611" i="1" a="1"/>
  <c r="AM611" i="1" s="1"/>
  <c r="AM612" i="1" a="1"/>
  <c r="AM612" i="1" s="1"/>
  <c r="AM613" i="1" a="1"/>
  <c r="AM613" i="1" s="1"/>
  <c r="AM614" i="1" a="1"/>
  <c r="AM614" i="1" s="1"/>
  <c r="AM615" i="1" a="1"/>
  <c r="AM615" i="1" s="1"/>
  <c r="AM616" i="1" a="1"/>
  <c r="AM616" i="1"/>
  <c r="AM617" i="1" a="1"/>
  <c r="AM617" i="1" s="1"/>
  <c r="AM618" i="1" a="1"/>
  <c r="AM618" i="1" s="1"/>
  <c r="AM619" i="1" a="1"/>
  <c r="AM619" i="1" s="1"/>
  <c r="AM620" i="1" a="1"/>
  <c r="AM620" i="1" s="1"/>
  <c r="AM621" i="1" a="1"/>
  <c r="AM621" i="1" s="1"/>
  <c r="AM622" i="1" a="1"/>
  <c r="AM622" i="1" s="1"/>
  <c r="AM623" i="1" a="1"/>
  <c r="AM623" i="1" s="1"/>
  <c r="AM624" i="1" a="1"/>
  <c r="AM624" i="1" s="1"/>
  <c r="AM625" i="1" a="1"/>
  <c r="AM625" i="1" s="1"/>
  <c r="AM626" i="1" a="1"/>
  <c r="AM626" i="1" s="1"/>
  <c r="AM627" i="1" a="1"/>
  <c r="AM627" i="1" s="1"/>
  <c r="AM628" i="1" a="1"/>
  <c r="AM628" i="1" s="1"/>
  <c r="AM629" i="1" a="1"/>
  <c r="AM629" i="1" s="1"/>
  <c r="AM630" i="1" a="1"/>
  <c r="AM630" i="1" s="1"/>
  <c r="AM631" i="1" a="1"/>
  <c r="AM631" i="1" s="1"/>
  <c r="AM632" i="1" a="1"/>
  <c r="AM632" i="1" s="1"/>
  <c r="AM633" i="1" a="1"/>
  <c r="AM633" i="1" s="1"/>
  <c r="AM634" i="1" a="1"/>
  <c r="AM634" i="1" s="1"/>
  <c r="AM635" i="1" a="1"/>
  <c r="AM635" i="1" s="1"/>
  <c r="AM636" i="1" a="1"/>
  <c r="AM636" i="1" s="1"/>
  <c r="AM637" i="1" a="1"/>
  <c r="AM637" i="1" s="1"/>
  <c r="AM638" i="1" a="1"/>
  <c r="AM638" i="1" s="1"/>
  <c r="AM639" i="1" a="1"/>
  <c r="AM639" i="1" s="1"/>
  <c r="AM640" i="1" a="1"/>
  <c r="AM640" i="1" s="1"/>
  <c r="AM641" i="1" a="1"/>
  <c r="AM641" i="1" s="1"/>
  <c r="AM642" i="1" a="1"/>
  <c r="AM642" i="1" s="1"/>
  <c r="AM643" i="1" a="1"/>
  <c r="AM643" i="1" s="1"/>
  <c r="AM644" i="1" a="1"/>
  <c r="AM644" i="1" s="1"/>
  <c r="AM645" i="1" a="1"/>
  <c r="AM645" i="1" s="1"/>
  <c r="AM646" i="1" a="1"/>
  <c r="AM646" i="1" s="1"/>
  <c r="AM647" i="1" a="1"/>
  <c r="AM647" i="1" s="1"/>
  <c r="AM648" i="1" a="1"/>
  <c r="AM648" i="1" s="1"/>
  <c r="AM649" i="1" a="1"/>
  <c r="AM649" i="1" s="1"/>
  <c r="AM650" i="1" a="1"/>
  <c r="AM650" i="1" s="1"/>
  <c r="AM651" i="1" a="1"/>
  <c r="AM651" i="1" s="1"/>
  <c r="AM652" i="1" a="1"/>
  <c r="AM652" i="1" s="1"/>
  <c r="AM653" i="1" a="1"/>
  <c r="AM653" i="1" s="1"/>
  <c r="AM654" i="1" a="1"/>
  <c r="AM654" i="1" s="1"/>
  <c r="AM655" i="1" a="1"/>
  <c r="AM655" i="1" s="1"/>
  <c r="AM656" i="1" a="1"/>
  <c r="AM656" i="1" s="1"/>
  <c r="AM657" i="1" a="1"/>
  <c r="AM657" i="1" s="1"/>
  <c r="AM658" i="1" a="1"/>
  <c r="AM658" i="1" s="1"/>
  <c r="AM659" i="1" a="1"/>
  <c r="AM659" i="1" s="1"/>
  <c r="AM660" i="1" a="1"/>
  <c r="AM660" i="1" s="1"/>
  <c r="AM661" i="1" a="1"/>
  <c r="AM661" i="1" s="1"/>
  <c r="AM662" i="1" a="1"/>
  <c r="AM662" i="1" s="1"/>
  <c r="AM663" i="1" a="1"/>
  <c r="AM663" i="1" s="1"/>
  <c r="AM664" i="1" a="1"/>
  <c r="AM664" i="1" s="1"/>
  <c r="AM665" i="1" a="1"/>
  <c r="AM665" i="1" s="1"/>
  <c r="AM666" i="1" a="1"/>
  <c r="AM666" i="1" s="1"/>
  <c r="AM667" i="1" a="1"/>
  <c r="AM667" i="1" s="1"/>
  <c r="AM668" i="1" a="1"/>
  <c r="AM668" i="1" s="1"/>
  <c r="AM669" i="1" a="1"/>
  <c r="AM669" i="1" s="1"/>
  <c r="AM670" i="1" a="1"/>
  <c r="AM670" i="1" s="1"/>
  <c r="AM671" i="1" a="1"/>
  <c r="AM671" i="1" s="1"/>
  <c r="AM672" i="1" a="1"/>
  <c r="AM672" i="1" s="1"/>
  <c r="AM673" i="1" a="1"/>
  <c r="AM673" i="1" s="1"/>
  <c r="AM674" i="1" a="1"/>
  <c r="AM674" i="1" s="1"/>
  <c r="AM675" i="1" a="1"/>
  <c r="AM675" i="1" s="1"/>
  <c r="AM676" i="1" a="1"/>
  <c r="AM676" i="1" s="1"/>
  <c r="AM677" i="1" a="1"/>
  <c r="AM677" i="1" s="1"/>
  <c r="AM678" i="1" a="1"/>
  <c r="AM678" i="1" s="1"/>
  <c r="AM679" i="1" a="1"/>
  <c r="AM679" i="1" s="1"/>
  <c r="AM680" i="1" a="1"/>
  <c r="AM680" i="1" s="1"/>
  <c r="AM681" i="1" a="1"/>
  <c r="AM681" i="1" s="1"/>
  <c r="AM682" i="1" a="1"/>
  <c r="AM682" i="1" s="1"/>
  <c r="AM683" i="1" a="1"/>
  <c r="AM683" i="1"/>
  <c r="AM684" i="1" a="1"/>
  <c r="AM684" i="1" s="1"/>
  <c r="AM685" i="1" a="1"/>
  <c r="AM685" i="1" s="1"/>
  <c r="AM686" i="1" a="1"/>
  <c r="AM686" i="1" s="1"/>
  <c r="AM687" i="1" a="1"/>
  <c r="AM687" i="1" s="1"/>
  <c r="AM688" i="1" a="1"/>
  <c r="AM688" i="1" s="1"/>
  <c r="AM689" i="1" a="1"/>
  <c r="AM689" i="1" s="1"/>
  <c r="AM690" i="1" a="1"/>
  <c r="AM690" i="1" s="1"/>
  <c r="AM691" i="1" a="1"/>
  <c r="AM691" i="1" s="1"/>
  <c r="AM692" i="1" a="1"/>
  <c r="AM692" i="1" s="1"/>
  <c r="AM693" i="1" a="1"/>
  <c r="AM693" i="1" s="1"/>
  <c r="AM694" i="1" a="1"/>
  <c r="AM694" i="1" s="1"/>
  <c r="AM695" i="1" a="1"/>
  <c r="AM695" i="1" s="1"/>
  <c r="AM696" i="1" a="1"/>
  <c r="AM696" i="1" s="1"/>
  <c r="AM697" i="1" a="1"/>
  <c r="AM697" i="1" s="1"/>
  <c r="AM698" i="1" a="1"/>
  <c r="AM698" i="1" s="1"/>
  <c r="AM699" i="1" a="1"/>
  <c r="AM699" i="1" s="1"/>
  <c r="AM700" i="1" a="1"/>
  <c r="AM700" i="1" s="1"/>
  <c r="AM701" i="1" a="1"/>
  <c r="AM701" i="1" s="1"/>
  <c r="AM702" i="1" a="1"/>
  <c r="AM702" i="1" s="1"/>
  <c r="AM703" i="1" a="1"/>
  <c r="AM703" i="1" s="1"/>
  <c r="AM704" i="1" a="1"/>
  <c r="AM704" i="1" s="1"/>
  <c r="AM705" i="1" a="1"/>
  <c r="AM705" i="1" s="1"/>
  <c r="AM706" i="1" a="1"/>
  <c r="AM706" i="1" s="1"/>
  <c r="AM707" i="1" a="1"/>
  <c r="AM707" i="1" s="1"/>
  <c r="AM708" i="1" a="1"/>
  <c r="AM708" i="1" s="1"/>
  <c r="AM709" i="1" a="1"/>
  <c r="AM709" i="1" s="1"/>
  <c r="AM710" i="1" a="1"/>
  <c r="AM710" i="1" s="1"/>
  <c r="AM711" i="1" a="1"/>
  <c r="AM711" i="1" s="1"/>
  <c r="AM712" i="1" a="1"/>
  <c r="AM712" i="1" s="1"/>
  <c r="AM713" i="1" a="1"/>
  <c r="AM713" i="1" s="1"/>
  <c r="AM714" i="1" a="1"/>
  <c r="AM714" i="1" s="1"/>
  <c r="AM715" i="1" a="1"/>
  <c r="AM715" i="1" s="1"/>
  <c r="AM716" i="1" a="1"/>
  <c r="AM716" i="1" s="1"/>
  <c r="AM717" i="1" a="1"/>
  <c r="AM717" i="1" s="1"/>
  <c r="AM718" i="1" a="1"/>
  <c r="AM718" i="1" s="1"/>
  <c r="AM719" i="1" a="1"/>
  <c r="AM719" i="1" s="1"/>
  <c r="AM720" i="1" a="1"/>
  <c r="AM720" i="1" s="1"/>
  <c r="AM721" i="1" a="1"/>
  <c r="AM721" i="1" s="1"/>
  <c r="AM722" i="1" a="1"/>
  <c r="AM722" i="1" s="1"/>
  <c r="AM723" i="1" a="1"/>
  <c r="AM723" i="1" s="1"/>
  <c r="AM724" i="1" a="1"/>
  <c r="AM724" i="1" s="1"/>
  <c r="AM725" i="1" a="1"/>
  <c r="AM725" i="1" s="1"/>
  <c r="AM726" i="1" a="1"/>
  <c r="AM726" i="1" s="1"/>
  <c r="AM727" i="1" a="1"/>
  <c r="AM727" i="1" s="1"/>
  <c r="AM728" i="1" a="1"/>
  <c r="AM728" i="1" s="1"/>
  <c r="AM729" i="1" a="1"/>
  <c r="AM729" i="1" s="1"/>
  <c r="AM730" i="1" a="1"/>
  <c r="AM730" i="1" s="1"/>
  <c r="AM731" i="1" a="1"/>
  <c r="AM731" i="1" s="1"/>
  <c r="AM732" i="1" a="1"/>
  <c r="AM732" i="1" s="1"/>
  <c r="AM733" i="1" a="1"/>
  <c r="AM733" i="1" s="1"/>
  <c r="AM734" i="1" a="1"/>
  <c r="AM734" i="1" s="1"/>
  <c r="AM735" i="1" a="1"/>
  <c r="AM735" i="1" s="1"/>
  <c r="AM736" i="1" a="1"/>
  <c r="AM736" i="1" s="1"/>
  <c r="AM737" i="1" a="1"/>
  <c r="AM737" i="1" s="1"/>
  <c r="AM738" i="1" a="1"/>
  <c r="AM738" i="1" s="1"/>
  <c r="AM739" i="1" a="1"/>
  <c r="AM739" i="1" s="1"/>
  <c r="AM740" i="1" a="1"/>
  <c r="AM740" i="1" s="1"/>
  <c r="AM741" i="1" a="1"/>
  <c r="AM741" i="1" s="1"/>
  <c r="AM742" i="1" a="1"/>
  <c r="AM742" i="1" s="1"/>
  <c r="AM743" i="1" a="1"/>
  <c r="AM743" i="1" s="1"/>
  <c r="AM744" i="1" a="1"/>
  <c r="AM744" i="1" s="1"/>
  <c r="AM745" i="1" a="1"/>
  <c r="AM745" i="1" s="1"/>
  <c r="AM746" i="1" a="1"/>
  <c r="AM746" i="1" s="1"/>
  <c r="AM747" i="1" a="1"/>
  <c r="AM747" i="1" s="1"/>
  <c r="AM748" i="1" a="1"/>
  <c r="AM748" i="1" s="1"/>
  <c r="AM749" i="1" a="1"/>
  <c r="AM749" i="1" s="1"/>
  <c r="AM750" i="1" a="1"/>
  <c r="AM750" i="1" s="1"/>
  <c r="AM751" i="1" a="1"/>
  <c r="AM751" i="1" s="1"/>
  <c r="AM752" i="1" a="1"/>
  <c r="AM752" i="1" s="1"/>
  <c r="AM753" i="1" a="1"/>
  <c r="AM753" i="1" s="1"/>
  <c r="AM754" i="1" a="1"/>
  <c r="AM754" i="1" s="1"/>
  <c r="AM755" i="1" a="1"/>
  <c r="AM755" i="1" s="1"/>
  <c r="AM756" i="1" a="1"/>
  <c r="AM756" i="1" s="1"/>
  <c r="AM757" i="1" a="1"/>
  <c r="AM757" i="1" s="1"/>
  <c r="AM758" i="1" a="1"/>
  <c r="AM758" i="1" s="1"/>
  <c r="AM759" i="1" a="1"/>
  <c r="AM759" i="1" s="1"/>
  <c r="AM760" i="1" a="1"/>
  <c r="AM760" i="1" s="1"/>
  <c r="AM761" i="1" a="1"/>
  <c r="AM761" i="1" s="1"/>
  <c r="AM762" i="1" a="1"/>
  <c r="AM762" i="1" s="1"/>
  <c r="AM763" i="1" a="1"/>
  <c r="AM763" i="1" s="1"/>
  <c r="AM764" i="1" a="1"/>
  <c r="AM764" i="1" s="1"/>
  <c r="AM765" i="1" a="1"/>
  <c r="AM765" i="1" s="1"/>
  <c r="AM766" i="1" a="1"/>
  <c r="AM766" i="1" s="1"/>
  <c r="AM767" i="1" a="1"/>
  <c r="AM767" i="1" s="1"/>
  <c r="AM768" i="1" a="1"/>
  <c r="AM768" i="1" s="1"/>
  <c r="AM769" i="1" a="1"/>
  <c r="AM769" i="1" s="1"/>
  <c r="AM770" i="1" a="1"/>
  <c r="AM770" i="1" s="1"/>
  <c r="AM771" i="1" a="1"/>
  <c r="AM771" i="1" s="1"/>
  <c r="AM772" i="1" a="1"/>
  <c r="AM772" i="1" s="1"/>
  <c r="AM773" i="1" a="1"/>
  <c r="AM773" i="1" s="1"/>
  <c r="AM774" i="1" a="1"/>
  <c r="AM774" i="1" s="1"/>
  <c r="AM775" i="1" a="1"/>
  <c r="AM775" i="1" s="1"/>
  <c r="AM776" i="1" a="1"/>
  <c r="AM776" i="1" s="1"/>
  <c r="AM777" i="1" a="1"/>
  <c r="AM777" i="1" s="1"/>
  <c r="AM778" i="1" a="1"/>
  <c r="AM778" i="1"/>
  <c r="AM779" i="1" a="1"/>
  <c r="AM779" i="1" s="1"/>
  <c r="AM780" i="1" a="1"/>
  <c r="AM780" i="1" s="1"/>
  <c r="AM781" i="1" a="1"/>
  <c r="AM781" i="1" s="1"/>
  <c r="AM782" i="1" a="1"/>
  <c r="AM782" i="1" s="1"/>
  <c r="AM783" i="1" a="1"/>
  <c r="AM783" i="1" s="1"/>
  <c r="AM784" i="1" a="1"/>
  <c r="AM784" i="1" s="1"/>
  <c r="AM785" i="1" a="1"/>
  <c r="AM785" i="1" s="1"/>
  <c r="AM786" i="1" a="1"/>
  <c r="AM786" i="1" s="1"/>
  <c r="AM787" i="1" a="1"/>
  <c r="AM787" i="1" s="1"/>
  <c r="AM788" i="1" a="1"/>
  <c r="AM788" i="1" s="1"/>
  <c r="AM789" i="1" a="1"/>
  <c r="AM789" i="1" s="1"/>
  <c r="AM790" i="1" a="1"/>
  <c r="AM790" i="1" s="1"/>
  <c r="AM791" i="1" a="1"/>
  <c r="AM791" i="1" s="1"/>
  <c r="AM792" i="1" a="1"/>
  <c r="AM792" i="1" s="1"/>
  <c r="AM793" i="1" a="1"/>
  <c r="AM793" i="1" s="1"/>
  <c r="AM794" i="1" a="1"/>
  <c r="AM794" i="1"/>
  <c r="AM795" i="1" a="1"/>
  <c r="AM795" i="1" s="1"/>
  <c r="AM796" i="1" a="1"/>
  <c r="AM796" i="1" s="1"/>
  <c r="AM797" i="1" a="1"/>
  <c r="AM797" i="1" s="1"/>
  <c r="AM798" i="1" a="1"/>
  <c r="AM798" i="1" s="1"/>
  <c r="AM799" i="1" a="1"/>
  <c r="AM799" i="1" s="1"/>
  <c r="AM800" i="1" a="1"/>
  <c r="AM800" i="1" s="1"/>
  <c r="AM801" i="1" a="1"/>
  <c r="AM801" i="1" s="1"/>
  <c r="AM802" i="1" a="1"/>
  <c r="AM802" i="1" s="1"/>
  <c r="AM803" i="1" a="1"/>
  <c r="AM803" i="1" s="1"/>
  <c r="AM804" i="1" a="1"/>
  <c r="AM804" i="1" s="1"/>
  <c r="AM805" i="1" a="1"/>
  <c r="AM805" i="1" s="1"/>
  <c r="AM806" i="1" a="1"/>
  <c r="AM806" i="1" s="1"/>
  <c r="AM807" i="1" a="1"/>
  <c r="AM807" i="1" s="1"/>
  <c r="AM808" i="1" a="1"/>
  <c r="AM808" i="1" s="1"/>
  <c r="AM809" i="1" a="1"/>
  <c r="AM809" i="1" s="1"/>
  <c r="AM810" i="1" a="1"/>
  <c r="AM810" i="1" s="1"/>
  <c r="AM811" i="1" a="1"/>
  <c r="AM811" i="1" s="1"/>
  <c r="AM812" i="1" a="1"/>
  <c r="AM812" i="1" s="1"/>
  <c r="AM813" i="1" a="1"/>
  <c r="AM813" i="1" s="1"/>
  <c r="AM814" i="1" a="1"/>
  <c r="AM814" i="1" s="1"/>
  <c r="AM815" i="1" a="1"/>
  <c r="AM815" i="1" s="1"/>
  <c r="AM816" i="1" a="1"/>
  <c r="AM816" i="1" s="1"/>
  <c r="AM817" i="1" a="1"/>
  <c r="AM817" i="1" s="1"/>
  <c r="AM818" i="1" a="1"/>
  <c r="AM818" i="1" s="1"/>
  <c r="AM819" i="1" a="1"/>
  <c r="AM819" i="1" s="1"/>
  <c r="AM820" i="1" a="1"/>
  <c r="AM820" i="1" s="1"/>
  <c r="AM821" i="1" a="1"/>
  <c r="AM821" i="1" s="1"/>
  <c r="AM822" i="1" a="1"/>
  <c r="AM822" i="1" s="1"/>
  <c r="AM823" i="1" a="1"/>
  <c r="AM823" i="1" s="1"/>
  <c r="AM824" i="1" a="1"/>
  <c r="AM824" i="1" s="1"/>
  <c r="AM825" i="1" a="1"/>
  <c r="AM825" i="1" s="1"/>
  <c r="AM826" i="1" a="1"/>
  <c r="AM826" i="1" s="1"/>
  <c r="AM827" i="1" a="1"/>
  <c r="AM827" i="1" s="1"/>
  <c r="AM828" i="1" a="1"/>
  <c r="AM828" i="1" s="1"/>
  <c r="AM829" i="1" a="1"/>
  <c r="AM829" i="1" s="1"/>
  <c r="AM830" i="1" a="1"/>
  <c r="AM830" i="1" s="1"/>
  <c r="AM831" i="1" a="1"/>
  <c r="AM831" i="1" s="1"/>
  <c r="AM832" i="1" a="1"/>
  <c r="AM832" i="1" s="1"/>
  <c r="AM833" i="1" a="1"/>
  <c r="AM833" i="1" s="1"/>
  <c r="AM834" i="1" a="1"/>
  <c r="AM834" i="1" s="1"/>
  <c r="AM835" i="1" a="1"/>
  <c r="AM835" i="1" s="1"/>
  <c r="AM836" i="1" a="1"/>
  <c r="AM836" i="1" s="1"/>
  <c r="AM837" i="1" a="1"/>
  <c r="AM837" i="1" s="1"/>
  <c r="AM838" i="1" a="1"/>
  <c r="AM838" i="1" s="1"/>
  <c r="AM839" i="1" a="1"/>
  <c r="AM839" i="1" s="1"/>
  <c r="AM840" i="1" a="1"/>
  <c r="AM840" i="1" s="1"/>
  <c r="AM841" i="1" a="1"/>
  <c r="AM841" i="1" s="1"/>
  <c r="AM842" i="1" a="1"/>
  <c r="AM842" i="1" s="1"/>
  <c r="AM843" i="1" a="1"/>
  <c r="AM843" i="1" s="1"/>
  <c r="AM844" i="1" a="1"/>
  <c r="AM844" i="1" s="1"/>
  <c r="AM845" i="1" a="1"/>
  <c r="AM845" i="1" s="1"/>
  <c r="AM846" i="1" a="1"/>
  <c r="AM846" i="1" s="1"/>
  <c r="AM847" i="1" a="1"/>
  <c r="AM847" i="1" s="1"/>
  <c r="AM848" i="1" a="1"/>
  <c r="AM848" i="1" s="1"/>
  <c r="AM849" i="1" a="1"/>
  <c r="AM849" i="1" s="1"/>
  <c r="AM850" i="1" a="1"/>
  <c r="AM850" i="1" s="1"/>
  <c r="AM851" i="1" a="1"/>
  <c r="AM851" i="1" s="1"/>
  <c r="AM852" i="1" a="1"/>
  <c r="AM852" i="1" s="1"/>
  <c r="AM853" i="1" a="1"/>
  <c r="AM853" i="1" s="1"/>
  <c r="AM854" i="1" a="1"/>
  <c r="AM854" i="1" s="1"/>
  <c r="AM855" i="1" a="1"/>
  <c r="AM855" i="1" s="1"/>
  <c r="AM856" i="1" a="1"/>
  <c r="AM856" i="1" s="1"/>
  <c r="AM857" i="1" a="1"/>
  <c r="AM857" i="1" s="1"/>
  <c r="AM858" i="1" a="1"/>
  <c r="AM858" i="1" s="1"/>
  <c r="AM859" i="1" a="1"/>
  <c r="AM859" i="1" s="1"/>
  <c r="AM860" i="1" a="1"/>
  <c r="AM860" i="1" s="1"/>
  <c r="AM861" i="1" a="1"/>
  <c r="AM861" i="1" s="1"/>
  <c r="AM862" i="1" a="1"/>
  <c r="AM862" i="1" s="1"/>
  <c r="AM863" i="1" a="1"/>
  <c r="AM863" i="1" s="1"/>
  <c r="AM864" i="1" a="1"/>
  <c r="AM864" i="1" s="1"/>
  <c r="AM865" i="1" a="1"/>
  <c r="AM865" i="1" s="1"/>
  <c r="AM866" i="1" a="1"/>
  <c r="AM866" i="1" s="1"/>
  <c r="AM867" i="1" a="1"/>
  <c r="AM867" i="1" s="1"/>
  <c r="AM868" i="1" a="1"/>
  <c r="AM868" i="1" s="1"/>
  <c r="AM869" i="1" a="1"/>
  <c r="AM869" i="1" s="1"/>
  <c r="AM870" i="1" a="1"/>
  <c r="AM870" i="1" s="1"/>
  <c r="AM871" i="1" a="1"/>
  <c r="AM871" i="1" s="1"/>
  <c r="AM872" i="1" a="1"/>
  <c r="AM872" i="1" s="1"/>
  <c r="AM873" i="1" a="1"/>
  <c r="AM873" i="1" s="1"/>
  <c r="AM874" i="1" a="1"/>
  <c r="AM874" i="1" s="1"/>
  <c r="AM875" i="1" a="1"/>
  <c r="AM875" i="1" s="1"/>
  <c r="AM876" i="1" a="1"/>
  <c r="AM876" i="1" s="1"/>
  <c r="AM877" i="1" a="1"/>
  <c r="AM877" i="1" s="1"/>
  <c r="AM878" i="1" a="1"/>
  <c r="AM878" i="1" s="1"/>
  <c r="AM879" i="1" a="1"/>
  <c r="AM879" i="1" s="1"/>
  <c r="AM880" i="1" a="1"/>
  <c r="AM880" i="1"/>
  <c r="AM881" i="1" a="1"/>
  <c r="AM881" i="1" s="1"/>
  <c r="AM882" i="1" a="1"/>
  <c r="AM882" i="1" s="1"/>
  <c r="AM883" i="1" a="1"/>
  <c r="AM883" i="1" s="1"/>
  <c r="AM884" i="1" a="1"/>
  <c r="AM884" i="1" s="1"/>
  <c r="AM885" i="1" a="1"/>
  <c r="AM885" i="1" s="1"/>
  <c r="AM886" i="1" a="1"/>
  <c r="AM886" i="1" s="1"/>
  <c r="AM887" i="1" a="1"/>
  <c r="AM887" i="1" s="1"/>
  <c r="AM888" i="1" a="1"/>
  <c r="AM888" i="1" s="1"/>
  <c r="AM889" i="1" a="1"/>
  <c r="AM889" i="1" s="1"/>
  <c r="AM890" i="1" a="1"/>
  <c r="AM890" i="1" s="1"/>
  <c r="AM891" i="1" a="1"/>
  <c r="AM891" i="1" s="1"/>
  <c r="AM892" i="1" a="1"/>
  <c r="AM892" i="1" s="1"/>
  <c r="AM893" i="1" a="1"/>
  <c r="AM893" i="1" s="1"/>
  <c r="AM894" i="1" a="1"/>
  <c r="AM894" i="1" s="1"/>
  <c r="AM895" i="1" a="1"/>
  <c r="AM895" i="1" s="1"/>
  <c r="AM896" i="1" a="1"/>
  <c r="AM896" i="1" s="1"/>
  <c r="AM897" i="1" a="1"/>
  <c r="AM897" i="1" s="1"/>
  <c r="AM898" i="1" a="1"/>
  <c r="AM898" i="1" s="1"/>
  <c r="AM899" i="1" a="1"/>
  <c r="AM899" i="1" s="1"/>
  <c r="AM900" i="1" a="1"/>
  <c r="AM900" i="1" s="1"/>
  <c r="AM901" i="1" a="1"/>
  <c r="AM901" i="1" s="1"/>
  <c r="AM902" i="1" a="1"/>
  <c r="AM902" i="1" s="1"/>
  <c r="AM903" i="1" a="1"/>
  <c r="AM903" i="1" s="1"/>
  <c r="AM904" i="1" a="1"/>
  <c r="AM904" i="1" s="1"/>
  <c r="AM905" i="1" a="1"/>
  <c r="AM905" i="1" s="1"/>
  <c r="AM906" i="1" a="1"/>
  <c r="AM906" i="1" s="1"/>
  <c r="AM907" i="1" a="1"/>
  <c r="AM907" i="1" s="1"/>
  <c r="AM908" i="1" a="1"/>
  <c r="AM908" i="1" s="1"/>
  <c r="AM909" i="1" a="1"/>
  <c r="AM909" i="1" s="1"/>
  <c r="AM910" i="1" a="1"/>
  <c r="AM910" i="1" s="1"/>
  <c r="AM911" i="1" a="1"/>
  <c r="AM911" i="1" s="1"/>
  <c r="AM912" i="1" a="1"/>
  <c r="AM912" i="1" s="1"/>
  <c r="AM913" i="1" a="1"/>
  <c r="AM913" i="1" s="1"/>
  <c r="AM914" i="1" a="1"/>
  <c r="AM914" i="1"/>
  <c r="AM915" i="1" a="1"/>
  <c r="AM915" i="1" s="1"/>
  <c r="AM916" i="1" a="1"/>
  <c r="AM916" i="1" s="1"/>
  <c r="AM917" i="1" a="1"/>
  <c r="AM917" i="1" s="1"/>
  <c r="AM918" i="1" a="1"/>
  <c r="AM918" i="1" s="1"/>
  <c r="AM919" i="1" a="1"/>
  <c r="AM919" i="1" s="1"/>
  <c r="AM920" i="1" a="1"/>
  <c r="AM920" i="1" s="1"/>
  <c r="AM921" i="1" a="1"/>
  <c r="AM921" i="1" s="1"/>
  <c r="AM922" i="1" a="1"/>
  <c r="AM922" i="1" s="1"/>
  <c r="AM923" i="1" a="1"/>
  <c r="AM923" i="1" s="1"/>
  <c r="AM924" i="1" a="1"/>
  <c r="AM924" i="1" s="1"/>
  <c r="AM925" i="1" a="1"/>
  <c r="AM925" i="1" s="1"/>
  <c r="AM926" i="1" a="1"/>
  <c r="AM926" i="1" s="1"/>
  <c r="AM927" i="1" a="1"/>
  <c r="AM927" i="1" s="1"/>
  <c r="AM928" i="1" a="1"/>
  <c r="AM928" i="1" s="1"/>
  <c r="AM929" i="1" a="1"/>
  <c r="AM929" i="1" s="1"/>
  <c r="AM930" i="1" a="1"/>
  <c r="AM930" i="1" s="1"/>
  <c r="AM931" i="1" a="1"/>
  <c r="AM931" i="1" s="1"/>
  <c r="AM932" i="1" a="1"/>
  <c r="AM932" i="1" s="1"/>
  <c r="AM933" i="1" a="1"/>
  <c r="AM933" i="1" s="1"/>
  <c r="AM934" i="1" a="1"/>
  <c r="AM934" i="1" s="1"/>
  <c r="AM935" i="1" a="1"/>
  <c r="AM935" i="1" s="1"/>
  <c r="AM936" i="1" a="1"/>
  <c r="AM936" i="1" s="1"/>
  <c r="AM937" i="1" a="1"/>
  <c r="AM937" i="1" s="1"/>
  <c r="AM938" i="1" a="1"/>
  <c r="AM938" i="1" s="1"/>
  <c r="AM939" i="1" a="1"/>
  <c r="AM939" i="1" s="1"/>
  <c r="AM940" i="1" a="1"/>
  <c r="AM940" i="1" s="1"/>
  <c r="AM941" i="1" a="1"/>
  <c r="AM941" i="1" s="1"/>
  <c r="AM942" i="1" a="1"/>
  <c r="AM942" i="1" s="1"/>
  <c r="AM943" i="1" a="1"/>
  <c r="AM943" i="1" s="1"/>
  <c r="AM944" i="1" a="1"/>
  <c r="AM944" i="1" s="1"/>
  <c r="AM945" i="1" a="1"/>
  <c r="AM945" i="1" s="1"/>
  <c r="AM946" i="1" a="1"/>
  <c r="AM946" i="1" s="1"/>
  <c r="AM947" i="1" a="1"/>
  <c r="AM947" i="1" s="1"/>
  <c r="AM948" i="1" a="1"/>
  <c r="AM948" i="1" s="1"/>
  <c r="AM949" i="1" a="1"/>
  <c r="AM949" i="1" s="1"/>
  <c r="AM950" i="1" a="1"/>
  <c r="AM950" i="1"/>
  <c r="AM951" i="1" a="1"/>
  <c r="AM951" i="1" s="1"/>
  <c r="AM952" i="1" a="1"/>
  <c r="AM952" i="1" s="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s="1"/>
  <c r="AM963" i="1" a="1"/>
  <c r="AM963" i="1" s="1"/>
  <c r="AM964" i="1" a="1"/>
  <c r="AM964" i="1" s="1"/>
  <c r="AM965" i="1" a="1"/>
  <c r="AM965" i="1" s="1"/>
  <c r="AM966" i="1" a="1"/>
  <c r="AM966" i="1" s="1"/>
  <c r="AM967" i="1" a="1"/>
  <c r="AM967" i="1" s="1"/>
  <c r="AM968" i="1" a="1"/>
  <c r="AM968" i="1" s="1"/>
  <c r="AM969" i="1" a="1"/>
  <c r="AM969" i="1" s="1"/>
  <c r="AM970" i="1" a="1"/>
  <c r="AM970" i="1" s="1"/>
  <c r="AM971" i="1" a="1"/>
  <c r="AM971" i="1" s="1"/>
  <c r="AM972" i="1" a="1"/>
  <c r="AM972" i="1" s="1"/>
  <c r="AM973" i="1" a="1"/>
  <c r="AM973" i="1" s="1"/>
  <c r="AM974" i="1" a="1"/>
  <c r="AM974" i="1" s="1"/>
  <c r="AM975" i="1" a="1"/>
  <c r="AM975" i="1" s="1"/>
  <c r="AM976" i="1" a="1"/>
  <c r="AM976" i="1" s="1"/>
  <c r="AM977" i="1" a="1"/>
  <c r="AM977" i="1"/>
  <c r="AM978" i="1" a="1"/>
  <c r="AM978" i="1" s="1"/>
  <c r="AM979" i="1" a="1"/>
  <c r="AM979" i="1" s="1"/>
  <c r="AM980" i="1" a="1"/>
  <c r="AM980" i="1" s="1"/>
  <c r="AM981" i="1" a="1"/>
  <c r="AM981" i="1" s="1"/>
  <c r="AM982" i="1" a="1"/>
  <c r="AM982" i="1" s="1"/>
  <c r="AM983" i="1" a="1"/>
  <c r="AM983" i="1" s="1"/>
  <c r="AM984" i="1" a="1"/>
  <c r="AM984" i="1" s="1"/>
  <c r="AM985" i="1" a="1"/>
  <c r="AM985" i="1" s="1"/>
  <c r="AM986" i="1" a="1"/>
  <c r="AM986" i="1" s="1"/>
  <c r="AM987" i="1" a="1"/>
  <c r="AM987" i="1" s="1"/>
  <c r="AM988" i="1" a="1"/>
  <c r="AM988" i="1" s="1"/>
  <c r="AM989" i="1" a="1"/>
  <c r="AM989" i="1" s="1"/>
  <c r="AM990" i="1" a="1"/>
  <c r="AM990" i="1" s="1"/>
  <c r="AM991" i="1" a="1"/>
  <c r="AM991" i="1" s="1"/>
  <c r="AM992" i="1" a="1"/>
  <c r="AM992" i="1" s="1"/>
  <c r="AM993" i="1" a="1"/>
  <c r="AM993" i="1" s="1"/>
  <c r="AM994" i="1" a="1"/>
  <c r="AM994" i="1" s="1"/>
  <c r="AM995" i="1" a="1"/>
  <c r="AM995" i="1" s="1"/>
  <c r="AM996" i="1" a="1"/>
  <c r="AM996" i="1" s="1"/>
  <c r="AM997" i="1" a="1"/>
  <c r="AM997" i="1" s="1"/>
  <c r="AM998" i="1" a="1"/>
  <c r="AM998" i="1" s="1"/>
  <c r="AM999" i="1" a="1"/>
  <c r="AM999" i="1" s="1"/>
  <c r="AM1000" i="1" a="1"/>
  <c r="AM1000" i="1" s="1"/>
  <c r="AM1001" i="1" a="1"/>
  <c r="AM1001" i="1" s="1"/>
  <c r="AM1002" i="1" a="1"/>
  <c r="AM1002" i="1" s="1"/>
  <c r="AM1003" i="1" a="1"/>
  <c r="AM1003" i="1" s="1"/>
  <c r="AM1004" i="1" a="1"/>
  <c r="AM1004" i="1" s="1"/>
  <c r="AM1005" i="1" a="1"/>
  <c r="AM1005" i="1" s="1"/>
  <c r="AM1006" i="1" a="1"/>
  <c r="AM1006" i="1" s="1"/>
  <c r="AM1007" i="1" a="1"/>
  <c r="AM1007" i="1" s="1"/>
  <c r="AM1008" i="1" a="1"/>
  <c r="AM1008" i="1" s="1"/>
  <c r="AM1009" i="1" a="1"/>
  <c r="AM1009" i="1" s="1"/>
  <c r="AM1010" i="1" a="1"/>
  <c r="AM1010" i="1" s="1"/>
  <c r="AM1011" i="1" a="1"/>
  <c r="AM1011" i="1" s="1"/>
  <c r="AM1012" i="1" a="1"/>
  <c r="AM1012" i="1" s="1"/>
  <c r="AM1013" i="1" a="1"/>
  <c r="AM1013" i="1" s="1"/>
  <c r="AM1014" i="1" a="1"/>
  <c r="AM1014" i="1"/>
  <c r="AM1015" i="1" a="1"/>
  <c r="AM1015" i="1" s="1"/>
  <c r="AM1016" i="1" a="1"/>
  <c r="AM1016" i="1"/>
  <c r="AM1017" i="1" a="1"/>
  <c r="AM1017" i="1" s="1"/>
  <c r="AM1018" i="1" a="1"/>
  <c r="AM1018" i="1" s="1"/>
  <c r="AM1019" i="1" a="1"/>
  <c r="AM1019" i="1" s="1"/>
  <c r="AM1020" i="1" a="1"/>
  <c r="AM1020" i="1" s="1"/>
  <c r="AM1021" i="1" a="1"/>
  <c r="AM1021" i="1" s="1"/>
  <c r="AM1022" i="1" a="1"/>
  <c r="AM1022" i="1" s="1"/>
  <c r="AM1023" i="1" a="1"/>
  <c r="AM1023" i="1" s="1"/>
  <c r="AM1024" i="1" a="1"/>
  <c r="AM1024" i="1" s="1"/>
  <c r="AM1025" i="1" a="1"/>
  <c r="AM1025" i="1" s="1"/>
  <c r="AM1026" i="1" a="1"/>
  <c r="AM1026" i="1" s="1"/>
  <c r="AM1027" i="1" a="1"/>
  <c r="AM1027" i="1" s="1"/>
  <c r="AM1028" i="1" a="1"/>
  <c r="AM1028" i="1" s="1"/>
  <c r="AM1029" i="1" a="1"/>
  <c r="AM1029" i="1" s="1"/>
  <c r="AM1030" i="1" a="1"/>
  <c r="AM1030" i="1" s="1"/>
  <c r="AM1031" i="1" a="1"/>
  <c r="AM1031" i="1" s="1"/>
  <c r="AM1032" i="1" a="1"/>
  <c r="AM1032" i="1" s="1"/>
  <c r="AM1033" i="1" a="1"/>
  <c r="AM1033" i="1" s="1"/>
  <c r="AM1034" i="1" a="1"/>
  <c r="AM1034" i="1" s="1"/>
  <c r="AM1035" i="1" a="1"/>
  <c r="AM1035" i="1" s="1"/>
  <c r="AM1036" i="1" a="1"/>
  <c r="AM1036" i="1" s="1"/>
  <c r="AM1037" i="1" a="1"/>
  <c r="AM1037" i="1" s="1"/>
  <c r="AM1038" i="1" a="1"/>
  <c r="AM1038" i="1" s="1"/>
  <c r="AM1039" i="1" a="1"/>
  <c r="AM1039" i="1" s="1"/>
  <c r="AM1040" i="1" a="1"/>
  <c r="AM1040" i="1" s="1"/>
  <c r="AM1041" i="1" a="1"/>
  <c r="AM1041" i="1" s="1"/>
  <c r="AM1042" i="1" a="1"/>
  <c r="AM1042" i="1" s="1"/>
  <c r="AM1043" i="1" a="1"/>
  <c r="AM1043" i="1" s="1"/>
  <c r="AM1044" i="1" a="1"/>
  <c r="AM1044" i="1" s="1"/>
  <c r="AM1045" i="1" a="1"/>
  <c r="AM1045" i="1" s="1"/>
  <c r="AM1046" i="1" a="1"/>
  <c r="AM1046" i="1"/>
  <c r="AM1047" i="1" a="1"/>
  <c r="AM1047" i="1" s="1"/>
  <c r="AM1048" i="1" a="1"/>
  <c r="AM1048" i="1" s="1"/>
  <c r="AM1049" i="1" a="1"/>
  <c r="AM1049" i="1" s="1"/>
  <c r="AM1050" i="1" a="1"/>
  <c r="AM1050" i="1" s="1"/>
  <c r="AM1051" i="1" a="1"/>
  <c r="AM1051" i="1" s="1"/>
  <c r="AM1052" i="1" a="1"/>
  <c r="AM1052" i="1" s="1"/>
  <c r="AM1053" i="1" a="1"/>
  <c r="AM1053" i="1" s="1"/>
  <c r="AM1054" i="1" a="1"/>
  <c r="AM1054" i="1"/>
  <c r="AM1055" i="1" a="1"/>
  <c r="AM1055" i="1" s="1"/>
  <c r="AM1056" i="1" a="1"/>
  <c r="AM1056" i="1" s="1"/>
  <c r="AM1057" i="1" a="1"/>
  <c r="AM1057" i="1" s="1"/>
  <c r="AM1058" i="1" a="1"/>
  <c r="AM1058" i="1" s="1"/>
  <c r="AM1059" i="1" a="1"/>
  <c r="AM1059" i="1" s="1"/>
  <c r="AM1060" i="1" a="1"/>
  <c r="AM1060" i="1" s="1"/>
  <c r="AM1061" i="1" a="1"/>
  <c r="AM1061" i="1" s="1"/>
  <c r="AM1062" i="1" a="1"/>
  <c r="AM1062" i="1" s="1"/>
  <c r="AM1063" i="1" a="1"/>
  <c r="AM1063" i="1" s="1"/>
  <c r="AM1064" i="1" a="1"/>
  <c r="AM1064" i="1" s="1"/>
  <c r="AM1065" i="1" a="1"/>
  <c r="AM1065" i="1" s="1"/>
  <c r="AM1066" i="1" a="1"/>
  <c r="AM1066" i="1" s="1"/>
  <c r="AM1067" i="1" a="1"/>
  <c r="AM1067" i="1" s="1"/>
  <c r="AM1068" i="1" a="1"/>
  <c r="AM1068" i="1" s="1"/>
  <c r="AM1069" i="1" a="1"/>
  <c r="AM1069" i="1" s="1"/>
  <c r="AM1070" i="1" a="1"/>
  <c r="AM1070" i="1" s="1"/>
  <c r="AM1071" i="1" a="1"/>
  <c r="AM1071" i="1" s="1"/>
  <c r="AM1072" i="1" a="1"/>
  <c r="AM1072" i="1"/>
  <c r="AM1073" i="1" a="1"/>
  <c r="AM1073" i="1" s="1"/>
  <c r="AM1074" i="1" a="1"/>
  <c r="AM1074" i="1" s="1"/>
  <c r="AM1075" i="1" a="1"/>
  <c r="AM1075" i="1" s="1"/>
  <c r="AM1076" i="1" a="1"/>
  <c r="AM1076" i="1" s="1"/>
  <c r="AM1077" i="1" a="1"/>
  <c r="AM1077" i="1" s="1"/>
  <c r="AM1078" i="1" a="1"/>
  <c r="AM1078" i="1" s="1"/>
  <c r="AM1079" i="1" a="1"/>
  <c r="AM1079" i="1" s="1"/>
  <c r="AM1080" i="1" a="1"/>
  <c r="AM1080" i="1" s="1"/>
  <c r="AM1081" i="1" a="1"/>
  <c r="AM1081" i="1" s="1"/>
  <c r="AM1082" i="1" a="1"/>
  <c r="AM1082" i="1" s="1"/>
  <c r="AM1083" i="1" a="1"/>
  <c r="AM1083" i="1" s="1"/>
  <c r="AM1084" i="1" a="1"/>
  <c r="AM1084" i="1" s="1"/>
  <c r="AM1085" i="1" a="1"/>
  <c r="AM1085" i="1" s="1"/>
  <c r="AM1086" i="1" a="1"/>
  <c r="AM1086" i="1" s="1"/>
  <c r="AM1087" i="1" a="1"/>
  <c r="AM1087" i="1" s="1"/>
  <c r="AM1088" i="1" a="1"/>
  <c r="AM1088" i="1"/>
  <c r="AM1089" i="1" a="1"/>
  <c r="AM1089" i="1" s="1"/>
  <c r="AM1090" i="1" a="1"/>
  <c r="AM1090" i="1" s="1"/>
  <c r="AM1091" i="1" a="1"/>
  <c r="AM1091" i="1" s="1"/>
  <c r="AM1092" i="1" a="1"/>
  <c r="AM1092" i="1" s="1"/>
  <c r="AM1093" i="1" a="1"/>
  <c r="AM1093" i="1" s="1"/>
  <c r="AM1094" i="1" a="1"/>
  <c r="AM1094" i="1" s="1"/>
  <c r="AM1095" i="1" a="1"/>
  <c r="AM1095" i="1" s="1"/>
  <c r="AM1096" i="1" a="1"/>
  <c r="AM1096" i="1" s="1"/>
  <c r="AM1097" i="1" a="1"/>
  <c r="AM1097" i="1" s="1"/>
  <c r="AM1098" i="1" a="1"/>
  <c r="AM1098" i="1" s="1"/>
  <c r="AM1099" i="1" a="1"/>
  <c r="AM1099" i="1" s="1"/>
  <c r="AM1100" i="1" a="1"/>
  <c r="AM1100" i="1" s="1"/>
  <c r="AM1101" i="1" a="1"/>
  <c r="AM1101" i="1" s="1"/>
  <c r="AM1102" i="1" a="1"/>
  <c r="AM1102" i="1" s="1"/>
  <c r="AM1103" i="1" a="1"/>
  <c r="AM1103" i="1" s="1"/>
  <c r="AM1104" i="1" a="1"/>
  <c r="AM1104" i="1" s="1"/>
  <c r="AM1105" i="1" a="1"/>
  <c r="AM1105" i="1" s="1"/>
  <c r="AM1106" i="1" a="1"/>
  <c r="AM1106" i="1" s="1"/>
  <c r="AM1107" i="1" a="1"/>
  <c r="AM1107" i="1" s="1"/>
  <c r="AM1108" i="1" a="1"/>
  <c r="AM1108" i="1" s="1"/>
  <c r="AM1109" i="1" a="1"/>
  <c r="AM1109" i="1" s="1"/>
  <c r="AM1110" i="1" a="1"/>
  <c r="AM1110" i="1" s="1"/>
  <c r="AM1111" i="1" a="1"/>
  <c r="AM1111" i="1" s="1"/>
  <c r="AM1112" i="1" a="1"/>
  <c r="AM1112" i="1" s="1"/>
  <c r="AM1113" i="1" a="1"/>
  <c r="AM1113" i="1" s="1"/>
  <c r="AM1114" i="1" a="1"/>
  <c r="AM1114" i="1" s="1"/>
  <c r="AM1115" i="1" a="1"/>
  <c r="AM1115" i="1" s="1"/>
  <c r="AM1116" i="1" a="1"/>
  <c r="AM1116" i="1" s="1"/>
  <c r="AM1117" i="1" a="1"/>
  <c r="AM1117" i="1" s="1"/>
  <c r="AM1118" i="1" a="1"/>
  <c r="AM1118" i="1"/>
  <c r="AM1119" i="1" a="1"/>
  <c r="AM1119" i="1" s="1"/>
  <c r="AM1120" i="1" a="1"/>
  <c r="AM1120" i="1" s="1"/>
  <c r="AM1121" i="1" a="1"/>
  <c r="AM1121" i="1" s="1"/>
  <c r="AM1122" i="1" a="1"/>
  <c r="AM1122" i="1" s="1"/>
  <c r="AM1123" i="1" a="1"/>
  <c r="AM1123" i="1" s="1"/>
  <c r="AM1124" i="1" a="1"/>
  <c r="AM1124" i="1" s="1"/>
  <c r="AM1125" i="1" a="1"/>
  <c r="AM1125" i="1" s="1"/>
  <c r="AM1126" i="1" a="1"/>
  <c r="AM1126" i="1" s="1"/>
  <c r="AM1127" i="1" a="1"/>
  <c r="AM1127" i="1" s="1"/>
  <c r="AM1128" i="1" a="1"/>
  <c r="AM1128" i="1" s="1"/>
  <c r="AM1129" i="1" a="1"/>
  <c r="AM1129" i="1" s="1"/>
  <c r="AM1130" i="1" a="1"/>
  <c r="AM1130" i="1" s="1"/>
  <c r="AM1131" i="1" a="1"/>
  <c r="AM1131" i="1" s="1"/>
  <c r="AM1132" i="1" a="1"/>
  <c r="AM1132" i="1" s="1"/>
  <c r="AM1133" i="1" a="1"/>
  <c r="AM1133" i="1" s="1"/>
  <c r="AM1134" i="1" a="1"/>
  <c r="AM1134" i="1" s="1"/>
  <c r="AM1135" i="1" a="1"/>
  <c r="AM1135" i="1" s="1"/>
  <c r="AM1136" i="1" a="1"/>
  <c r="AM1136" i="1" s="1"/>
  <c r="AM1137" i="1" a="1"/>
  <c r="AM1137" i="1" s="1"/>
  <c r="AM1138" i="1" a="1"/>
  <c r="AM1138" i="1"/>
  <c r="AM1139" i="1" a="1"/>
  <c r="AM1139" i="1" s="1"/>
  <c r="AM1140" i="1" a="1"/>
  <c r="AM1140" i="1" s="1"/>
  <c r="AM1141" i="1" a="1"/>
  <c r="AM1141" i="1" s="1"/>
  <c r="AM1142" i="1" a="1"/>
  <c r="AM1142" i="1" s="1"/>
  <c r="AM1143" i="1" a="1"/>
  <c r="AM1143" i="1" s="1"/>
  <c r="AM1144" i="1" a="1"/>
  <c r="AM1144" i="1" s="1"/>
  <c r="AM1145" i="1" a="1"/>
  <c r="AM1145" i="1" s="1"/>
  <c r="AM1146" i="1" a="1"/>
  <c r="AM1146" i="1" s="1"/>
  <c r="AM1147" i="1" a="1"/>
  <c r="AM1147" i="1" s="1"/>
  <c r="AM1148" i="1" a="1"/>
  <c r="AM1148" i="1" s="1"/>
  <c r="AM1149" i="1" a="1"/>
  <c r="AM1149" i="1" s="1"/>
  <c r="AM1150" i="1" a="1"/>
  <c r="AM1150" i="1" s="1"/>
  <c r="AM1151" i="1" a="1"/>
  <c r="AM1151" i="1" s="1"/>
  <c r="AM1152" i="1" a="1"/>
  <c r="AM1152" i="1" s="1"/>
  <c r="AM1153" i="1" a="1"/>
  <c r="AM1153" i="1" s="1"/>
  <c r="AM1154" i="1" a="1"/>
  <c r="AM1154" i="1" s="1"/>
  <c r="AM1155" i="1" a="1"/>
  <c r="AM1155" i="1" s="1"/>
  <c r="AM1156" i="1" a="1"/>
  <c r="AM1156" i="1" s="1"/>
  <c r="AM1157" i="1" a="1"/>
  <c r="AM1157" i="1" s="1"/>
  <c r="AM1158" i="1" a="1"/>
  <c r="AM1158" i="1" s="1"/>
  <c r="AM1159" i="1" a="1"/>
  <c r="AM1159" i="1" s="1"/>
  <c r="AM1160" i="1" a="1"/>
  <c r="AM1160" i="1" s="1"/>
  <c r="AM1161" i="1" a="1"/>
  <c r="AM1161" i="1" s="1"/>
  <c r="AM1162" i="1" a="1"/>
  <c r="AM1162" i="1" s="1"/>
  <c r="AM1163" i="1" a="1"/>
  <c r="AM1163" i="1" s="1"/>
  <c r="AM1164" i="1" a="1"/>
  <c r="AM1164" i="1" s="1"/>
  <c r="AM1165" i="1" a="1"/>
  <c r="AM1165" i="1" s="1"/>
  <c r="AM1166" i="1" a="1"/>
  <c r="AM1166" i="1" s="1"/>
  <c r="AM1167" i="1" a="1"/>
  <c r="AM1167" i="1" s="1"/>
  <c r="AM1168" i="1" a="1"/>
  <c r="AM1168" i="1" s="1"/>
  <c r="AM1169" i="1" a="1"/>
  <c r="AM1169" i="1" s="1"/>
  <c r="AM1170" i="1" a="1"/>
  <c r="AM1170" i="1" s="1"/>
  <c r="AM1171" i="1" a="1"/>
  <c r="AM1171" i="1" s="1"/>
  <c r="AM1172" i="1" a="1"/>
  <c r="AM1172" i="1" s="1"/>
  <c r="AM1173" i="1" a="1"/>
  <c r="AM1173" i="1" s="1"/>
  <c r="AM1174" i="1" a="1"/>
  <c r="AM1174" i="1" s="1"/>
  <c r="AM1175" i="1" a="1"/>
  <c r="AM1175" i="1" s="1"/>
  <c r="AM1176" i="1" a="1"/>
  <c r="AM1176" i="1" s="1"/>
  <c r="AM1177" i="1" a="1"/>
  <c r="AM1177" i="1" s="1"/>
  <c r="AM1178" i="1" a="1"/>
  <c r="AM1178" i="1" s="1"/>
  <c r="AM1179" i="1" a="1"/>
  <c r="AM1179" i="1" s="1"/>
  <c r="AM1180" i="1" a="1"/>
  <c r="AM1180" i="1" s="1"/>
  <c r="AM1181" i="1" a="1"/>
  <c r="AM1181" i="1" s="1"/>
  <c r="AM1182" i="1" a="1"/>
  <c r="AM1182" i="1" s="1"/>
  <c r="AM1183" i="1" a="1"/>
  <c r="AM1183" i="1" s="1"/>
  <c r="AM1184" i="1" a="1"/>
  <c r="AM1184" i="1"/>
  <c r="AM1185" i="1" a="1"/>
  <c r="AM1185" i="1" s="1"/>
  <c r="AM1186" i="1" a="1"/>
  <c r="AM1186" i="1" s="1"/>
  <c r="AM1187" i="1" a="1"/>
  <c r="AM1187" i="1" s="1"/>
  <c r="AM1188" i="1" a="1"/>
  <c r="AM1188" i="1" s="1"/>
  <c r="AM1189" i="1" a="1"/>
  <c r="AM1189" i="1" s="1"/>
  <c r="AM1190" i="1" a="1"/>
  <c r="AM1190" i="1" s="1"/>
  <c r="AM1191" i="1" a="1"/>
  <c r="AM1191" i="1" s="1"/>
  <c r="AM1192" i="1" a="1"/>
  <c r="AM1192" i="1" s="1"/>
  <c r="AM1193" i="1" a="1"/>
  <c r="AM1193" i="1" s="1"/>
  <c r="AM1194" i="1" a="1"/>
  <c r="AM1194" i="1" s="1"/>
  <c r="AM1195" i="1" a="1"/>
  <c r="AM1195" i="1" s="1"/>
  <c r="AM1196" i="1" a="1"/>
  <c r="AM1196" i="1" s="1"/>
  <c r="AM1197" i="1" a="1"/>
  <c r="AM1197" i="1" s="1"/>
  <c r="AM1198" i="1" a="1"/>
  <c r="AM1198" i="1" s="1"/>
  <c r="AM1199" i="1" a="1"/>
  <c r="AM1199" i="1" s="1"/>
  <c r="AM1200" i="1" a="1"/>
  <c r="AM1200" i="1" s="1"/>
  <c r="AM1201" i="1" a="1"/>
  <c r="AM1201" i="1" s="1"/>
  <c r="AM1202" i="1" a="1"/>
  <c r="AM1202" i="1" s="1"/>
  <c r="AM1203" i="1" a="1"/>
  <c r="AM1203" i="1" s="1"/>
  <c r="AM1204" i="1" a="1"/>
  <c r="AM1204" i="1" s="1"/>
  <c r="AM1205" i="1" a="1"/>
  <c r="AM1205" i="1" s="1"/>
  <c r="AM1206" i="1" a="1"/>
  <c r="AM1206" i="1" s="1"/>
  <c r="AM1207" i="1" a="1"/>
  <c r="AM1207" i="1" s="1"/>
  <c r="AM1208" i="1" a="1"/>
  <c r="AM1208" i="1" s="1"/>
  <c r="AM1209" i="1" a="1"/>
  <c r="AM1209" i="1" s="1"/>
  <c r="AM1210" i="1" a="1"/>
  <c r="AM1210" i="1" s="1"/>
  <c r="AM1211" i="1" a="1"/>
  <c r="AM1211" i="1" s="1"/>
  <c r="AM1212" i="1" a="1"/>
  <c r="AM1212" i="1" s="1"/>
  <c r="AM1213" i="1" a="1"/>
  <c r="AM1213" i="1" s="1"/>
  <c r="AM1214" i="1" a="1"/>
  <c r="AM1214" i="1" s="1"/>
  <c r="AM1215" i="1" a="1"/>
  <c r="AM1215" i="1" s="1"/>
  <c r="AM1216" i="1" a="1"/>
  <c r="AM1216" i="1" s="1"/>
  <c r="AM1217" i="1" a="1"/>
  <c r="AM1217" i="1" s="1"/>
  <c r="AM1218" i="1" a="1"/>
  <c r="AM1218" i="1" s="1"/>
  <c r="AM1219" i="1" a="1"/>
  <c r="AM1219" i="1" s="1"/>
  <c r="AM1220" i="1" a="1"/>
  <c r="AM1220" i="1" s="1"/>
  <c r="AM1221" i="1" a="1"/>
  <c r="AM1221" i="1" s="1"/>
  <c r="AM1222" i="1" a="1"/>
  <c r="AM1222" i="1" s="1"/>
  <c r="AM1223" i="1" a="1"/>
  <c r="AM1223" i="1" s="1"/>
  <c r="AM1224" i="1" a="1"/>
  <c r="AM1224" i="1" s="1"/>
  <c r="AM1225" i="1" a="1"/>
  <c r="AM1225" i="1" s="1"/>
  <c r="AM1226" i="1" a="1"/>
  <c r="AM1226" i="1" s="1"/>
  <c r="AM1227" i="1" a="1"/>
  <c r="AM1227" i="1" s="1"/>
  <c r="AM1228" i="1" a="1"/>
  <c r="AM1228" i="1" s="1"/>
  <c r="AM1229" i="1" a="1"/>
  <c r="AM1229" i="1" s="1"/>
  <c r="AM1230" i="1" a="1"/>
  <c r="AM1230" i="1" s="1"/>
  <c r="AM1231" i="1" a="1"/>
  <c r="AM1231" i="1" s="1"/>
  <c r="AM1232" i="1" a="1"/>
  <c r="AM1232" i="1" s="1"/>
  <c r="AM1233" i="1" a="1"/>
  <c r="AM1233" i="1" s="1"/>
  <c r="AM1234" i="1" a="1"/>
  <c r="AM1234" i="1" s="1"/>
  <c r="AM1235" i="1" a="1"/>
  <c r="AM1235" i="1" s="1"/>
  <c r="AM1236" i="1" a="1"/>
  <c r="AM1236" i="1" s="1"/>
  <c r="AM1237" i="1" a="1"/>
  <c r="AM1237" i="1" s="1"/>
  <c r="AM1238" i="1" a="1"/>
  <c r="AM1238" i="1" s="1"/>
  <c r="AM1239" i="1" a="1"/>
  <c r="AM1239" i="1" s="1"/>
  <c r="AM1240" i="1" a="1"/>
  <c r="AM1240" i="1" s="1"/>
  <c r="AM1241" i="1" a="1"/>
  <c r="AM1241" i="1"/>
  <c r="AM1242" i="1" a="1"/>
  <c r="AM1242" i="1" s="1"/>
  <c r="AM1243" i="1" a="1"/>
  <c r="AM1243" i="1" s="1"/>
  <c r="AM1244" i="1" a="1"/>
  <c r="AM1244" i="1" s="1"/>
  <c r="AM1245" i="1" a="1"/>
  <c r="AM1245" i="1" s="1"/>
  <c r="AM1246" i="1" a="1"/>
  <c r="AM1246" i="1" s="1"/>
  <c r="AM1247" i="1" a="1"/>
  <c r="AM1247" i="1" s="1"/>
  <c r="AM1248" i="1" a="1"/>
  <c r="AM1248" i="1" s="1"/>
  <c r="AM1249" i="1" a="1"/>
  <c r="AM1249" i="1" s="1"/>
  <c r="AM1250" i="1" a="1"/>
  <c r="AM1250" i="1" s="1"/>
  <c r="AM1251" i="1" a="1"/>
  <c r="AM1251" i="1" s="1"/>
  <c r="AM1252" i="1" a="1"/>
  <c r="AM1252" i="1" s="1"/>
  <c r="AM1253" i="1" a="1"/>
  <c r="AM1253" i="1" s="1"/>
  <c r="AM1254" i="1" a="1"/>
  <c r="AM1254" i="1" s="1"/>
  <c r="AM1255" i="1" a="1"/>
  <c r="AM1255" i="1" s="1"/>
  <c r="AM1256" i="1" a="1"/>
  <c r="AM1256" i="1" s="1"/>
  <c r="AM1257" i="1" a="1"/>
  <c r="AM1257" i="1" s="1"/>
  <c r="AM1258" i="1" a="1"/>
  <c r="AM1258" i="1" s="1"/>
  <c r="AM1259" i="1" a="1"/>
  <c r="AM1259" i="1" s="1"/>
  <c r="AM1260" i="1" a="1"/>
  <c r="AM1260" i="1" s="1"/>
  <c r="AM1261" i="1" a="1"/>
  <c r="AM1261" i="1" s="1"/>
  <c r="AM1262" i="1" a="1"/>
  <c r="AM1262" i="1"/>
  <c r="AM1263" i="1" a="1"/>
  <c r="AM1263" i="1" s="1"/>
  <c r="AM1264" i="1" a="1"/>
  <c r="AM1264" i="1" s="1"/>
  <c r="AM1265" i="1" a="1"/>
  <c r="AM1265" i="1" s="1"/>
  <c r="AM1266" i="1" a="1"/>
  <c r="AM1266" i="1" s="1"/>
  <c r="AM1267" i="1" a="1"/>
  <c r="AM1267" i="1" s="1"/>
  <c r="AM1268" i="1" a="1"/>
  <c r="AM1268" i="1" s="1"/>
  <c r="AM1269" i="1" a="1"/>
  <c r="AM1269" i="1" s="1"/>
  <c r="AM1270" i="1" a="1"/>
  <c r="AM1270" i="1"/>
  <c r="AM1271" i="1" a="1"/>
  <c r="AM1271" i="1" s="1"/>
  <c r="AM1272" i="1" a="1"/>
  <c r="AM1272" i="1" s="1"/>
  <c r="AM1273" i="1" a="1"/>
  <c r="AM1273" i="1" s="1"/>
  <c r="AM1274" i="1" a="1"/>
  <c r="AM1274" i="1" s="1"/>
  <c r="AM1275" i="1" a="1"/>
  <c r="AM1275" i="1" s="1"/>
  <c r="AM1276" i="1" a="1"/>
  <c r="AM1276" i="1" s="1"/>
  <c r="AM1277" i="1" a="1"/>
  <c r="AM1277" i="1" s="1"/>
  <c r="AM1278" i="1" a="1"/>
  <c r="AM1278" i="1" s="1"/>
  <c r="AM1279" i="1" a="1"/>
  <c r="AM1279" i="1" s="1"/>
  <c r="AM1280" i="1" a="1"/>
  <c r="AM1280" i="1" s="1"/>
  <c r="AM1281" i="1" a="1"/>
  <c r="AM1281" i="1" s="1"/>
  <c r="AM1282" i="1" a="1"/>
  <c r="AM1282" i="1" s="1"/>
  <c r="AM1283" i="1" a="1"/>
  <c r="AM1283" i="1" s="1"/>
  <c r="AM1284" i="1" a="1"/>
  <c r="AM1284" i="1" s="1"/>
  <c r="AM1285" i="1" a="1"/>
  <c r="AM1285" i="1" s="1"/>
  <c r="AM1286" i="1" a="1"/>
  <c r="AM1286" i="1" s="1"/>
  <c r="AM1287" i="1" a="1"/>
  <c r="AM1287" i="1" s="1"/>
  <c r="AM1288" i="1" a="1"/>
  <c r="AM1288" i="1" s="1"/>
  <c r="AM1289" i="1" a="1"/>
  <c r="AM1289" i="1" s="1"/>
  <c r="AM1290" i="1" a="1"/>
  <c r="AM1290" i="1" s="1"/>
  <c r="AM1291" i="1" a="1"/>
  <c r="AM1291" i="1" s="1"/>
  <c r="AM1292" i="1" a="1"/>
  <c r="AM1292" i="1" s="1"/>
  <c r="AM1293" i="1" a="1"/>
  <c r="AM1293" i="1" s="1"/>
  <c r="AM1294" i="1" a="1"/>
  <c r="AM1294" i="1" s="1"/>
  <c r="AM1295" i="1" a="1"/>
  <c r="AM1295" i="1" s="1"/>
  <c r="AM1296" i="1" a="1"/>
  <c r="AM1296" i="1" s="1"/>
  <c r="AM1297" i="1" a="1"/>
  <c r="AM1297" i="1" s="1"/>
  <c r="AM1298" i="1" a="1"/>
  <c r="AM1298" i="1" s="1"/>
  <c r="AM1299" i="1" a="1"/>
  <c r="AM1299" i="1" s="1"/>
  <c r="AM1300" i="1" a="1"/>
  <c r="AM1300" i="1" s="1"/>
  <c r="AM1301" i="1" a="1"/>
  <c r="AM1301" i="1" s="1"/>
  <c r="AM1302" i="1" a="1"/>
  <c r="AM1302" i="1" s="1"/>
  <c r="AM1303" i="1" a="1"/>
  <c r="AM1303" i="1" s="1"/>
  <c r="AM1304" i="1" a="1"/>
  <c r="AM1304" i="1" s="1"/>
  <c r="AM1305" i="1" a="1"/>
  <c r="AM1305" i="1" s="1"/>
  <c r="AM1306" i="1" a="1"/>
  <c r="AM1306" i="1" s="1"/>
  <c r="AM1307" i="1" a="1"/>
  <c r="AM1307" i="1" s="1"/>
  <c r="AM1308" i="1" a="1"/>
  <c r="AM1308" i="1" s="1"/>
  <c r="AM1309" i="1" a="1"/>
  <c r="AM1309" i="1" s="1"/>
  <c r="AM1310" i="1" a="1"/>
  <c r="AM1310" i="1" s="1"/>
  <c r="AM1311" i="1" a="1"/>
  <c r="AM1311" i="1" s="1"/>
  <c r="AM1312" i="1" a="1"/>
  <c r="AM1312" i="1" s="1"/>
  <c r="AM1313" i="1" a="1"/>
  <c r="AM1313" i="1" s="1"/>
  <c r="AM1314" i="1" a="1"/>
  <c r="AM1314" i="1" s="1"/>
  <c r="AM1315" i="1" a="1"/>
  <c r="AM1315" i="1" s="1"/>
  <c r="AM1316" i="1" a="1"/>
  <c r="AM1316" i="1" s="1"/>
  <c r="AM1317" i="1" a="1"/>
  <c r="AM1317" i="1" s="1"/>
  <c r="AM1318" i="1" a="1"/>
  <c r="AM1318" i="1" s="1"/>
  <c r="AM1319" i="1" a="1"/>
  <c r="AM1319" i="1" s="1"/>
  <c r="AM1320" i="1" a="1"/>
  <c r="AM1320" i="1" s="1"/>
  <c r="AM1321" i="1" a="1"/>
  <c r="AM1321" i="1" s="1"/>
  <c r="AM1322" i="1" a="1"/>
  <c r="AM1322" i="1" s="1"/>
  <c r="AM1323" i="1" a="1"/>
  <c r="AM1323" i="1" s="1"/>
  <c r="AM1324" i="1" a="1"/>
  <c r="AM1324" i="1" s="1"/>
  <c r="AM1325" i="1" a="1"/>
  <c r="AM1325" i="1" s="1"/>
  <c r="AM1326" i="1" a="1"/>
  <c r="AM1326" i="1" s="1"/>
  <c r="AM1327" i="1" a="1"/>
  <c r="AM1327" i="1" s="1"/>
  <c r="AM1328" i="1" a="1"/>
  <c r="AM1328" i="1" s="1"/>
  <c r="AM1329" i="1" a="1"/>
  <c r="AM1329" i="1" s="1"/>
  <c r="AM1330" i="1" a="1"/>
  <c r="AM1330" i="1" s="1"/>
  <c r="AM1331" i="1" a="1"/>
  <c r="AM1331" i="1" s="1"/>
  <c r="AM1332" i="1" a="1"/>
  <c r="AM1332" i="1" s="1"/>
  <c r="AM1333" i="1" a="1"/>
  <c r="AM1333" i="1" s="1"/>
  <c r="AM1334" i="1" a="1"/>
  <c r="AM1334" i="1" s="1"/>
  <c r="AM1335" i="1" a="1"/>
  <c r="AM1335" i="1" s="1"/>
  <c r="AM1336" i="1" a="1"/>
  <c r="AM1336" i="1" s="1"/>
  <c r="AM1337" i="1" a="1"/>
  <c r="AM1337" i="1" s="1"/>
  <c r="AM1338" i="1" a="1"/>
  <c r="AM1338" i="1"/>
  <c r="AM1339" i="1" a="1"/>
  <c r="AM1339" i="1" s="1"/>
  <c r="AM1340" i="1" a="1"/>
  <c r="AM1340" i="1" s="1"/>
  <c r="AM1341" i="1" a="1"/>
  <c r="AM1341" i="1" s="1"/>
  <c r="AM1342" i="1" a="1"/>
  <c r="AM1342" i="1" s="1"/>
  <c r="AM1343" i="1" a="1"/>
  <c r="AM1343" i="1" s="1"/>
  <c r="AM1344" i="1" a="1"/>
  <c r="AM1344" i="1" s="1"/>
  <c r="AM1345" i="1" a="1"/>
  <c r="AM1345" i="1" s="1"/>
  <c r="AM1346" i="1" a="1"/>
  <c r="AM1346" i="1" s="1"/>
  <c r="AM1347" i="1" a="1"/>
  <c r="AM1347" i="1" s="1"/>
  <c r="AM1348" i="1" a="1"/>
  <c r="AM1348" i="1" s="1"/>
  <c r="AM1349" i="1" a="1"/>
  <c r="AM1349" i="1" s="1"/>
  <c r="AM1350" i="1" a="1"/>
  <c r="AM1350" i="1" s="1"/>
  <c r="AM1351" i="1" a="1"/>
  <c r="AM1351" i="1" s="1"/>
  <c r="AM1352" i="1" a="1"/>
  <c r="AM1352" i="1" s="1"/>
  <c r="AM1353" i="1" a="1"/>
  <c r="AM1353" i="1" s="1"/>
  <c r="AM1354" i="1" a="1"/>
  <c r="AM1354" i="1" s="1"/>
  <c r="AM1355" i="1" a="1"/>
  <c r="AM1355" i="1" s="1"/>
  <c r="AM1356" i="1" a="1"/>
  <c r="AM1356" i="1" s="1"/>
  <c r="AM1357" i="1" a="1"/>
  <c r="AM1357" i="1" s="1"/>
  <c r="AM1358" i="1" a="1"/>
  <c r="AM1358" i="1" s="1"/>
  <c r="AM1359" i="1" a="1"/>
  <c r="AM1359" i="1" s="1"/>
  <c r="AM1360" i="1" a="1"/>
  <c r="AM1360" i="1" s="1"/>
  <c r="AM1361" i="1" a="1"/>
  <c r="AM1361" i="1" s="1"/>
  <c r="AM1362" i="1" a="1"/>
  <c r="AM1362" i="1" s="1"/>
  <c r="AM1363" i="1" a="1"/>
  <c r="AM1363" i="1" s="1"/>
  <c r="AM1364" i="1" a="1"/>
  <c r="AM1364" i="1" s="1"/>
  <c r="AM1365" i="1" a="1"/>
  <c r="AM1365" i="1" s="1"/>
  <c r="AM1366" i="1" a="1"/>
  <c r="AM1366" i="1" s="1"/>
  <c r="AM1367" i="1" a="1"/>
  <c r="AM1367" i="1" s="1"/>
  <c r="AM1368" i="1" a="1"/>
  <c r="AM1368" i="1" s="1"/>
  <c r="AM1369" i="1" a="1"/>
  <c r="AM1369" i="1" s="1"/>
  <c r="AM1370" i="1" a="1"/>
  <c r="AM1370" i="1" s="1"/>
  <c r="AM1371" i="1" a="1"/>
  <c r="AM1371" i="1" s="1"/>
  <c r="AM1372" i="1" a="1"/>
  <c r="AM1372" i="1" s="1"/>
  <c r="AM1373" i="1" a="1"/>
  <c r="AM1373" i="1" s="1"/>
  <c r="AM1374" i="1" a="1"/>
  <c r="AM1374" i="1" s="1"/>
  <c r="AM1375" i="1" a="1"/>
  <c r="AM1375" i="1" s="1"/>
  <c r="AM1376" i="1" a="1"/>
  <c r="AM1376" i="1" s="1"/>
  <c r="AM1377" i="1" a="1"/>
  <c r="AM1377" i="1" s="1"/>
  <c r="AM1378" i="1" a="1"/>
  <c r="AM1378" i="1" s="1"/>
  <c r="AM1379" i="1" a="1"/>
  <c r="AM1379" i="1" s="1"/>
  <c r="AM1380" i="1" a="1"/>
  <c r="AM1380" i="1" s="1"/>
  <c r="AM1381" i="1" a="1"/>
  <c r="AM1381" i="1" s="1"/>
  <c r="AM1382" i="1" a="1"/>
  <c r="AM1382" i="1" s="1"/>
  <c r="AM1383" i="1" a="1"/>
  <c r="AM1383" i="1" s="1"/>
  <c r="AM1384" i="1" a="1"/>
  <c r="AM1384" i="1" s="1"/>
  <c r="AM1385" i="1" a="1"/>
  <c r="AM1385" i="1" s="1"/>
  <c r="AM1386" i="1" a="1"/>
  <c r="AM1386" i="1" s="1"/>
  <c r="AM1387" i="1" a="1"/>
  <c r="AM1387" i="1" s="1"/>
  <c r="AM1388" i="1" a="1"/>
  <c r="AM1388" i="1" s="1"/>
  <c r="AM1389" i="1" a="1"/>
  <c r="AM1389" i="1" s="1"/>
  <c r="AM1390" i="1" a="1"/>
  <c r="AM1390" i="1" s="1"/>
  <c r="AM1391" i="1" a="1"/>
  <c r="AM1391" i="1" s="1"/>
  <c r="AM1392" i="1" a="1"/>
  <c r="AM1392" i="1" s="1"/>
  <c r="AM1393" i="1" a="1"/>
  <c r="AM1393" i="1" s="1"/>
  <c r="AM1394" i="1" a="1"/>
  <c r="AM1394" i="1" s="1"/>
  <c r="AM1395" i="1" a="1"/>
  <c r="AM1395" i="1" s="1"/>
  <c r="AM1396" i="1" a="1"/>
  <c r="AM1396" i="1" s="1"/>
  <c r="AM1397" i="1" a="1"/>
  <c r="AM1397" i="1" s="1"/>
  <c r="AM1398" i="1" a="1"/>
  <c r="AM1398" i="1" s="1"/>
  <c r="AM1399" i="1" a="1"/>
  <c r="AM1399" i="1" s="1"/>
  <c r="AM1400" i="1" a="1"/>
  <c r="AM1400" i="1" s="1"/>
  <c r="AM1401" i="1" a="1"/>
  <c r="AM1401" i="1" s="1"/>
  <c r="AM1402" i="1" a="1"/>
  <c r="AM1402" i="1" s="1"/>
  <c r="AM1403" i="1" a="1"/>
  <c r="AM1403" i="1" s="1"/>
  <c r="AM1404" i="1" a="1"/>
  <c r="AM1404" i="1" s="1"/>
  <c r="AM1405" i="1" a="1"/>
  <c r="AM1405" i="1" s="1"/>
  <c r="AM1406" i="1" a="1"/>
  <c r="AM1406" i="1" s="1"/>
  <c r="AM1407" i="1" a="1"/>
  <c r="AM1407" i="1" s="1"/>
  <c r="AM1408" i="1" a="1"/>
  <c r="AM1408" i="1" s="1"/>
  <c r="AM1409" i="1" a="1"/>
  <c r="AM1409" i="1" s="1"/>
  <c r="AM1410" i="1" a="1"/>
  <c r="AM1410" i="1" s="1"/>
  <c r="AM1411" i="1" a="1"/>
  <c r="AM1411" i="1" s="1"/>
  <c r="AM1412" i="1" a="1"/>
  <c r="AM1412" i="1" s="1"/>
  <c r="AM1413" i="1" a="1"/>
  <c r="AM1413" i="1" s="1"/>
  <c r="AM1414" i="1" a="1"/>
  <c r="AM1414" i="1" s="1"/>
  <c r="AM1415" i="1" a="1"/>
  <c r="AM1415" i="1" s="1"/>
  <c r="AM1416" i="1" a="1"/>
  <c r="AM1416" i="1" s="1"/>
  <c r="AM1417" i="1" a="1"/>
  <c r="AM1417" i="1" s="1"/>
  <c r="AM1418" i="1" a="1"/>
  <c r="AM1418" i="1" s="1"/>
  <c r="AM1419" i="1" a="1"/>
  <c r="AM1419" i="1" s="1"/>
  <c r="AM1420" i="1" a="1"/>
  <c r="AM1420" i="1" s="1"/>
  <c r="AM1421" i="1" a="1"/>
  <c r="AM1421" i="1" s="1"/>
  <c r="AM1422" i="1" a="1"/>
  <c r="AM1422" i="1" s="1"/>
  <c r="AM1423" i="1" a="1"/>
  <c r="AM1423" i="1" s="1"/>
  <c r="AM1424" i="1" a="1"/>
  <c r="AM1424" i="1" s="1"/>
  <c r="AM1425" i="1" a="1"/>
  <c r="AM1425" i="1" s="1"/>
  <c r="AM1426" i="1" a="1"/>
  <c r="AM1426" i="1" s="1"/>
  <c r="AM1427" i="1" a="1"/>
  <c r="AM1427" i="1" s="1"/>
  <c r="AM1428" i="1" a="1"/>
  <c r="AM1428" i="1" s="1"/>
  <c r="AM1429" i="1" a="1"/>
  <c r="AM1429" i="1" s="1"/>
  <c r="AM1430" i="1" a="1"/>
  <c r="AM1430" i="1" s="1"/>
  <c r="AM1431" i="1" a="1"/>
  <c r="AM1431" i="1" s="1"/>
  <c r="AM1432" i="1" a="1"/>
  <c r="AM1432" i="1" s="1"/>
  <c r="AM1433" i="1" a="1"/>
  <c r="AM1433" i="1" s="1"/>
  <c r="AM1434" i="1" a="1"/>
  <c r="AM1434" i="1" s="1"/>
  <c r="AM1435" i="1" a="1"/>
  <c r="AM1435" i="1" s="1"/>
  <c r="AM1436" i="1" a="1"/>
  <c r="AM1436" i="1" s="1"/>
  <c r="AM1437" i="1" a="1"/>
  <c r="AM1437" i="1" s="1"/>
  <c r="AM1438" i="1" a="1"/>
  <c r="AM1438" i="1" s="1"/>
  <c r="AM1439" i="1" a="1"/>
  <c r="AM1439" i="1" s="1"/>
  <c r="AM1440" i="1" a="1"/>
  <c r="AM1440" i="1" s="1"/>
  <c r="AM1441" i="1" a="1"/>
  <c r="AM1441" i="1" s="1"/>
  <c r="AM1442" i="1" a="1"/>
  <c r="AM1442" i="1" s="1"/>
  <c r="AM1443" i="1" a="1"/>
  <c r="AM1443" i="1" s="1"/>
  <c r="AM1444" i="1" a="1"/>
  <c r="AM1444" i="1" s="1"/>
  <c r="AM1445" i="1" a="1"/>
  <c r="AM1445" i="1" s="1"/>
  <c r="AM1446" i="1" a="1"/>
  <c r="AM1446" i="1" s="1"/>
  <c r="AM1447" i="1" a="1"/>
  <c r="AM1447" i="1" s="1"/>
  <c r="AM1448" i="1" a="1"/>
  <c r="AM1448" i="1" s="1"/>
  <c r="AM1449" i="1" a="1"/>
  <c r="AM1449" i="1" s="1"/>
  <c r="AM1450" i="1" a="1"/>
  <c r="AM1450" i="1" s="1"/>
  <c r="AM1451" i="1" a="1"/>
  <c r="AM1451" i="1" s="1"/>
  <c r="AM1452" i="1" a="1"/>
  <c r="AM1452" i="1" s="1"/>
  <c r="AM1453" i="1" a="1"/>
  <c r="AM1453" i="1" s="1"/>
  <c r="AM1454" i="1" a="1"/>
  <c r="AM1454" i="1" s="1"/>
  <c r="AM1455" i="1" a="1"/>
  <c r="AM1455" i="1" s="1"/>
  <c r="AM1456" i="1" a="1"/>
  <c r="AM1456" i="1" s="1"/>
  <c r="AM1457" i="1" a="1"/>
  <c r="AM1457" i="1" s="1"/>
  <c r="AM1458" i="1" a="1"/>
  <c r="AM1458" i="1" s="1"/>
  <c r="AM1459" i="1" a="1"/>
  <c r="AM1459" i="1" s="1"/>
  <c r="AM1460" i="1" a="1"/>
  <c r="AM1460" i="1" s="1"/>
  <c r="AM1461" i="1" a="1"/>
  <c r="AM1461" i="1" s="1"/>
  <c r="AM1462" i="1" a="1"/>
  <c r="AM1462" i="1" s="1"/>
  <c r="AM1463" i="1" a="1"/>
  <c r="AM1463" i="1" s="1"/>
  <c r="AM1464" i="1" a="1"/>
  <c r="AM1464" i="1" s="1"/>
  <c r="AM1465" i="1" a="1"/>
  <c r="AM1465" i="1"/>
  <c r="AM1466" i="1" a="1"/>
  <c r="AM1466" i="1" s="1"/>
  <c r="AM1467" i="1" a="1"/>
  <c r="AM1467" i="1" s="1"/>
  <c r="AM1468" i="1" a="1"/>
  <c r="AM1468" i="1" s="1"/>
  <c r="AM1469" i="1" a="1"/>
  <c r="AM1469" i="1" s="1"/>
  <c r="AM1470" i="1" a="1"/>
  <c r="AM1470" i="1" s="1"/>
  <c r="AM1471" i="1" a="1"/>
  <c r="AM1471" i="1" s="1"/>
  <c r="AM2" i="1" a="1"/>
  <c r="AM2" i="1" s="1"/>
  <c r="AL3" i="1" a="1"/>
  <c r="AL3"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c r="AL854" i="1" a="1"/>
  <c r="AL854" i="1" s="1"/>
  <c r="AL855" i="1" a="1"/>
  <c r="AL855" i="1" s="1"/>
  <c r="AL856" i="1" a="1"/>
  <c r="AL856" i="1" s="1"/>
  <c r="AL857" i="1" a="1"/>
  <c r="AL857" i="1" s="1"/>
  <c r="AL858" i="1" a="1"/>
  <c r="AL858" i="1" s="1"/>
  <c r="AL859" i="1" a="1"/>
  <c r="AL859" i="1" s="1"/>
  <c r="AL860" i="1" a="1"/>
  <c r="AL860" i="1" s="1"/>
  <c r="AL861" i="1" a="1"/>
  <c r="AL861" i="1" s="1"/>
  <c r="AL862" i="1" a="1"/>
  <c r="AL862" i="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c r="AL1233" i="1" a="1"/>
  <c r="AL1233" i="1"/>
  <c r="AL1234" i="1" a="1"/>
  <c r="AL1234" i="1" s="1"/>
  <c r="AL1235" i="1" a="1"/>
  <c r="AL1235" i="1" s="1"/>
  <c r="AL1236" i="1" a="1"/>
  <c r="AL1236" i="1" s="1"/>
  <c r="AL1237" i="1" a="1"/>
  <c r="AL1237" i="1" s="1"/>
  <c r="AL1238" i="1" a="1"/>
  <c r="AL1238" i="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c r="AL1297" i="1" a="1"/>
  <c r="AL1297" i="1" s="1"/>
  <c r="AL1298" i="1" a="1"/>
  <c r="AL1298" i="1" s="1"/>
  <c r="AL1299" i="1" a="1"/>
  <c r="AL1299" i="1" s="1"/>
  <c r="AL1300" i="1" a="1"/>
  <c r="AL1300" i="1" s="1"/>
  <c r="AL1301" i="1" a="1"/>
  <c r="AL1301" i="1" s="1"/>
  <c r="AL1302" i="1" a="1"/>
  <c r="AL1302" i="1" s="1"/>
  <c r="AL1303" i="1" a="1"/>
  <c r="AL1303" i="1" s="1"/>
  <c r="AL1304" i="1" a="1"/>
  <c r="AL1304" i="1"/>
  <c r="AL1305" i="1" a="1"/>
  <c r="AL1305" i="1" s="1"/>
  <c r="AL1306" i="1" a="1"/>
  <c r="AL1306" i="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c r="AL1337" i="1" a="1"/>
  <c r="AL1337" i="1"/>
  <c r="AL1338" i="1" a="1"/>
  <c r="AL1338" i="1" s="1"/>
  <c r="AL1339" i="1" a="1"/>
  <c r="AL1339" i="1" s="1"/>
  <c r="AL1340" i="1" a="1"/>
  <c r="AL1340" i="1"/>
  <c r="AL1341" i="1" a="1"/>
  <c r="AL1341" i="1" s="1"/>
  <c r="AL1342" i="1" a="1"/>
  <c r="AL1342" i="1"/>
  <c r="AL1343" i="1" a="1"/>
  <c r="AL1343" i="1" s="1"/>
  <c r="AL1344" i="1" a="1"/>
  <c r="AL1344" i="1" s="1"/>
  <c r="AL1345" i="1" a="1"/>
  <c r="AL1345" i="1" s="1"/>
  <c r="AL1346" i="1" a="1"/>
  <c r="AL1346" i="1" s="1"/>
  <c r="AL1347" i="1" a="1"/>
  <c r="AL1347" i="1"/>
  <c r="AL1348" i="1" a="1"/>
  <c r="AL1348" i="1" s="1"/>
  <c r="AL1349" i="1" a="1"/>
  <c r="AL1349" i="1" s="1"/>
  <c r="AL1350" i="1" a="1"/>
  <c r="AL1350" i="1" s="1"/>
  <c r="AL1351" i="1" a="1"/>
  <c r="AL1351" i="1" s="1"/>
  <c r="AL1352" i="1" a="1"/>
  <c r="AL1352" i="1" s="1"/>
  <c r="AL1353" i="1" a="1"/>
  <c r="AL1353" i="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c r="AL1373" i="1" a="1"/>
  <c r="AL1373" i="1" s="1"/>
  <c r="AL1374" i="1" a="1"/>
  <c r="AL1374" i="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c r="AL1448" i="1" a="1"/>
  <c r="AL1448" i="1" s="1"/>
  <c r="AL1449" i="1" a="1"/>
  <c r="AL1449" i="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c r="AL1464" i="1" a="1"/>
  <c r="AL1464" i="1" s="1"/>
  <c r="AL1465" i="1" a="1"/>
  <c r="AL1465" i="1" s="1"/>
  <c r="AL1466" i="1" a="1"/>
  <c r="AL1466" i="1" s="1"/>
  <c r="AL1467" i="1" a="1"/>
  <c r="AL1467" i="1" s="1"/>
  <c r="AL1468" i="1" a="1"/>
  <c r="AL1468" i="1" s="1"/>
  <c r="AL1469" i="1" a="1"/>
  <c r="AL1469" i="1" s="1"/>
  <c r="AL1470" i="1" a="1"/>
  <c r="AL1470" i="1" s="1"/>
  <c r="AL1471" i="1" a="1"/>
  <c r="AL1471" i="1" s="1"/>
  <c r="AL2" i="1" a="1"/>
  <c r="AL2" i="1" s="1"/>
  <c r="AK3" i="1" a="1"/>
  <c r="AK3" i="1" s="1"/>
  <c r="AK4" i="1" a="1"/>
  <c r="AK4" i="1" s="1"/>
  <c r="AK5" i="1" a="1"/>
  <c r="AK5" i="1" s="1"/>
  <c r="AK6" i="1" a="1"/>
  <c r="AK6" i="1" s="1"/>
  <c r="AK7" i="1" a="1"/>
  <c r="AK7" i="1" s="1"/>
  <c r="AK8" i="1" a="1"/>
  <c r="AK8" i="1" s="1"/>
  <c r="AK9" i="1" a="1"/>
  <c r="AK9" i="1" s="1"/>
  <c r="AK10" i="1" a="1"/>
  <c r="AK10" i="1" s="1"/>
  <c r="AK11" i="1" a="1"/>
  <c r="AK11" i="1" s="1"/>
  <c r="AK12" i="1" a="1"/>
  <c r="AK12" i="1" s="1"/>
  <c r="AK13" i="1" a="1"/>
  <c r="AK13" i="1" s="1"/>
  <c r="AK14" i="1" a="1"/>
  <c r="AK14" i="1" s="1"/>
  <c r="AK15" i="1" a="1"/>
  <c r="AK15" i="1" s="1"/>
  <c r="AK16" i="1" a="1"/>
  <c r="AK16" i="1" s="1"/>
  <c r="AK17" i="1" a="1"/>
  <c r="AK17" i="1" s="1"/>
  <c r="AK18" i="1" a="1"/>
  <c r="AK18" i="1" s="1"/>
  <c r="AK19" i="1" a="1"/>
  <c r="AK19" i="1" s="1"/>
  <c r="AK20" i="1" a="1"/>
  <c r="AK20" i="1" s="1"/>
  <c r="AK21" i="1" a="1"/>
  <c r="AK21" i="1" s="1"/>
  <c r="AK22" i="1" a="1"/>
  <c r="AK22" i="1" s="1"/>
  <c r="AK23" i="1" a="1"/>
  <c r="AK23" i="1"/>
  <c r="AK24" i="1" a="1"/>
  <c r="AK24" i="1" s="1"/>
  <c r="AK25" i="1" a="1"/>
  <c r="AK25" i="1" s="1"/>
  <c r="AK26" i="1" a="1"/>
  <c r="AK26" i="1" s="1"/>
  <c r="AK27" i="1" a="1"/>
  <c r="AK27" i="1" s="1"/>
  <c r="AK28" i="1" a="1"/>
  <c r="AK28" i="1" s="1"/>
  <c r="AK29" i="1" a="1"/>
  <c r="AK29" i="1" s="1"/>
  <c r="AK30" i="1" a="1"/>
  <c r="AK30" i="1" s="1"/>
  <c r="AK31" i="1" a="1"/>
  <c r="AK31" i="1" s="1"/>
  <c r="AK32" i="1" a="1"/>
  <c r="AK32" i="1" s="1"/>
  <c r="AK33" i="1" a="1"/>
  <c r="AK33" i="1" s="1"/>
  <c r="AK34" i="1" a="1"/>
  <c r="AK34" i="1" s="1"/>
  <c r="AK35" i="1" a="1"/>
  <c r="AK35" i="1" s="1"/>
  <c r="AK36" i="1" a="1"/>
  <c r="AK36" i="1" s="1"/>
  <c r="AK37" i="1" a="1"/>
  <c r="AK37" i="1" s="1"/>
  <c r="AK38" i="1" a="1"/>
  <c r="AK38" i="1" s="1"/>
  <c r="AK39" i="1" a="1"/>
  <c r="AK39" i="1" s="1"/>
  <c r="AK40" i="1" a="1"/>
  <c r="AK40" i="1" s="1"/>
  <c r="AK41" i="1" a="1"/>
  <c r="AK41" i="1" s="1"/>
  <c r="AK42" i="1" a="1"/>
  <c r="AK42" i="1" s="1"/>
  <c r="AK43" i="1" a="1"/>
  <c r="AK43" i="1" s="1"/>
  <c r="AK44" i="1" a="1"/>
  <c r="AK44" i="1" s="1"/>
  <c r="AK45" i="1" a="1"/>
  <c r="AK45" i="1" s="1"/>
  <c r="AK46" i="1" a="1"/>
  <c r="AK46" i="1" s="1"/>
  <c r="AK47" i="1" a="1"/>
  <c r="AK47" i="1" s="1"/>
  <c r="AK48" i="1" a="1"/>
  <c r="AK48" i="1" s="1"/>
  <c r="AK49" i="1" a="1"/>
  <c r="AK49" i="1" s="1"/>
  <c r="AK50" i="1" a="1"/>
  <c r="AK50" i="1" s="1"/>
  <c r="AK51" i="1" a="1"/>
  <c r="AK51" i="1" s="1"/>
  <c r="AK52" i="1" a="1"/>
  <c r="AK52" i="1" s="1"/>
  <c r="AK53" i="1" a="1"/>
  <c r="AK53" i="1" s="1"/>
  <c r="AK54" i="1" a="1"/>
  <c r="AK54" i="1" s="1"/>
  <c r="AK55" i="1" a="1"/>
  <c r="AK55" i="1"/>
  <c r="AK56" i="1" a="1"/>
  <c r="AK56" i="1" s="1"/>
  <c r="AK57" i="1" a="1"/>
  <c r="AK57" i="1" s="1"/>
  <c r="AK58" i="1" a="1"/>
  <c r="AK58" i="1" s="1"/>
  <c r="AK59" i="1" a="1"/>
  <c r="AK59" i="1" s="1"/>
  <c r="AK60" i="1" a="1"/>
  <c r="AK60" i="1" s="1"/>
  <c r="AK61" i="1" a="1"/>
  <c r="AK61" i="1" s="1"/>
  <c r="AK62" i="1" a="1"/>
  <c r="AK62" i="1" s="1"/>
  <c r="AK63" i="1" a="1"/>
  <c r="AK63" i="1" s="1"/>
  <c r="AK64" i="1" a="1"/>
  <c r="AK64" i="1" s="1"/>
  <c r="AK65" i="1" a="1"/>
  <c r="AK65" i="1" s="1"/>
  <c r="AK66" i="1" a="1"/>
  <c r="AK66" i="1" s="1"/>
  <c r="AK67" i="1" a="1"/>
  <c r="AK67" i="1" s="1"/>
  <c r="AK68" i="1" a="1"/>
  <c r="AK68" i="1" s="1"/>
  <c r="AK69" i="1" a="1"/>
  <c r="AK69" i="1" s="1"/>
  <c r="AK70" i="1" a="1"/>
  <c r="AK70" i="1" s="1"/>
  <c r="AK71" i="1" a="1"/>
  <c r="AK71" i="1" s="1"/>
  <c r="AK72" i="1" a="1"/>
  <c r="AK72" i="1" s="1"/>
  <c r="AK73" i="1" a="1"/>
  <c r="AK73" i="1" s="1"/>
  <c r="AK74" i="1" a="1"/>
  <c r="AK74" i="1" s="1"/>
  <c r="AK75" i="1" a="1"/>
  <c r="AK75" i="1" s="1"/>
  <c r="AK76" i="1" a="1"/>
  <c r="AK76" i="1" s="1"/>
  <c r="AK77" i="1" a="1"/>
  <c r="AK77" i="1" s="1"/>
  <c r="AK78" i="1" a="1"/>
  <c r="AK78" i="1" s="1"/>
  <c r="AK79" i="1" a="1"/>
  <c r="AK79" i="1"/>
  <c r="AK80" i="1" a="1"/>
  <c r="AK80" i="1" s="1"/>
  <c r="AK81" i="1" a="1"/>
  <c r="AK81" i="1" s="1"/>
  <c r="AK82" i="1" a="1"/>
  <c r="AK82" i="1" s="1"/>
  <c r="AK83" i="1" a="1"/>
  <c r="AK83" i="1" s="1"/>
  <c r="AK84" i="1" a="1"/>
  <c r="AK84" i="1" s="1"/>
  <c r="AK85" i="1" a="1"/>
  <c r="AK85" i="1" s="1"/>
  <c r="AK86" i="1" a="1"/>
  <c r="AK86" i="1" s="1"/>
  <c r="AK87" i="1" a="1"/>
  <c r="AK87" i="1" s="1"/>
  <c r="AK88" i="1" a="1"/>
  <c r="AK88" i="1" s="1"/>
  <c r="AK89" i="1" a="1"/>
  <c r="AK89" i="1" s="1"/>
  <c r="AK90" i="1" a="1"/>
  <c r="AK90" i="1"/>
  <c r="AK91" i="1" a="1"/>
  <c r="AK91" i="1" s="1"/>
  <c r="AK92" i="1" a="1"/>
  <c r="AK92" i="1" s="1"/>
  <c r="AK93" i="1" a="1"/>
  <c r="AK93" i="1" s="1"/>
  <c r="AK94" i="1" a="1"/>
  <c r="AK94" i="1"/>
  <c r="AK95" i="1" a="1"/>
  <c r="AK95" i="1" s="1"/>
  <c r="AK96" i="1" a="1"/>
  <c r="AK96" i="1" s="1"/>
  <c r="AK97" i="1" a="1"/>
  <c r="AK97" i="1" s="1"/>
  <c r="AK98" i="1" a="1"/>
  <c r="AK98" i="1" s="1"/>
  <c r="AK99" i="1" a="1"/>
  <c r="AK99" i="1" s="1"/>
  <c r="AK100" i="1" a="1"/>
  <c r="AK100" i="1" s="1"/>
  <c r="AK101" i="1" a="1"/>
  <c r="AK101" i="1" s="1"/>
  <c r="AK102" i="1" a="1"/>
  <c r="AK102" i="1" s="1"/>
  <c r="AK103" i="1" a="1"/>
  <c r="AK103" i="1" s="1"/>
  <c r="AK104" i="1" a="1"/>
  <c r="AK104" i="1" s="1"/>
  <c r="AK105" i="1" a="1"/>
  <c r="AK105" i="1" s="1"/>
  <c r="AK106" i="1" a="1"/>
  <c r="AK106" i="1"/>
  <c r="AK107" i="1" a="1"/>
  <c r="AK107" i="1" s="1"/>
  <c r="AK108" i="1" a="1"/>
  <c r="AK108" i="1" s="1"/>
  <c r="AK109" i="1" a="1"/>
  <c r="AK109" i="1" s="1"/>
  <c r="AK110" i="1" a="1"/>
  <c r="AK110" i="1" s="1"/>
  <c r="AK111" i="1" a="1"/>
  <c r="AK111" i="1"/>
  <c r="AK112" i="1" a="1"/>
  <c r="AK112" i="1" s="1"/>
  <c r="AK113" i="1" a="1"/>
  <c r="AK113" i="1" s="1"/>
  <c r="AK114" i="1" a="1"/>
  <c r="AK114" i="1" s="1"/>
  <c r="AK115" i="1" a="1"/>
  <c r="AK115" i="1" s="1"/>
  <c r="AK116" i="1" a="1"/>
  <c r="AK116" i="1" s="1"/>
  <c r="AK117" i="1" a="1"/>
  <c r="AK117" i="1" s="1"/>
  <c r="AK118" i="1" a="1"/>
  <c r="AK118" i="1"/>
  <c r="AK119" i="1" a="1"/>
  <c r="AK119" i="1" s="1"/>
  <c r="AK120" i="1" a="1"/>
  <c r="AK120" i="1" s="1"/>
  <c r="AK121" i="1" a="1"/>
  <c r="AK121" i="1" s="1"/>
  <c r="AK122" i="1" a="1"/>
  <c r="AK122" i="1" s="1"/>
  <c r="AK123" i="1" a="1"/>
  <c r="AK123" i="1" s="1"/>
  <c r="AK124" i="1" a="1"/>
  <c r="AK124" i="1" s="1"/>
  <c r="AK125" i="1" a="1"/>
  <c r="AK125" i="1" s="1"/>
  <c r="AK126" i="1" a="1"/>
  <c r="AK126" i="1" s="1"/>
  <c r="AK127" i="1" a="1"/>
  <c r="AK127" i="1" s="1"/>
  <c r="AK128" i="1" a="1"/>
  <c r="AK128" i="1" s="1"/>
  <c r="AK129" i="1" a="1"/>
  <c r="AK129" i="1" s="1"/>
  <c r="AK130" i="1" a="1"/>
  <c r="AK130" i="1" s="1"/>
  <c r="AK131" i="1" a="1"/>
  <c r="AK131" i="1" s="1"/>
  <c r="AK132" i="1" a="1"/>
  <c r="AK132" i="1" s="1"/>
  <c r="AK133" i="1" a="1"/>
  <c r="AK133" i="1" s="1"/>
  <c r="AK134" i="1" a="1"/>
  <c r="AK134" i="1" s="1"/>
  <c r="AK135" i="1" a="1"/>
  <c r="AK135" i="1"/>
  <c r="AK136" i="1" a="1"/>
  <c r="AK136" i="1" s="1"/>
  <c r="AK137" i="1" a="1"/>
  <c r="AK137" i="1" s="1"/>
  <c r="AK138" i="1" a="1"/>
  <c r="AK138" i="1" s="1"/>
  <c r="AK139" i="1" a="1"/>
  <c r="AK139" i="1" s="1"/>
  <c r="AK140" i="1" a="1"/>
  <c r="AK140" i="1" s="1"/>
  <c r="AK141" i="1" a="1"/>
  <c r="AK141" i="1" s="1"/>
  <c r="AK142" i="1" a="1"/>
  <c r="AK142" i="1" s="1"/>
  <c r="AK143" i="1" a="1"/>
  <c r="AK143" i="1" s="1"/>
  <c r="AK144" i="1" a="1"/>
  <c r="AK144" i="1" s="1"/>
  <c r="AK145" i="1" a="1"/>
  <c r="AK145" i="1" s="1"/>
  <c r="AK146" i="1" a="1"/>
  <c r="AK146" i="1" s="1"/>
  <c r="AK147" i="1" a="1"/>
  <c r="AK147" i="1"/>
  <c r="AK148" i="1" a="1"/>
  <c r="AK148" i="1" s="1"/>
  <c r="AK149" i="1" a="1"/>
  <c r="AK149" i="1" s="1"/>
  <c r="AK150" i="1" a="1"/>
  <c r="AK150" i="1" s="1"/>
  <c r="AK151" i="1" a="1"/>
  <c r="AK151" i="1" s="1"/>
  <c r="AK152" i="1" a="1"/>
  <c r="AK152" i="1" s="1"/>
  <c r="AK153" i="1" a="1"/>
  <c r="AK153" i="1" s="1"/>
  <c r="AK154" i="1" a="1"/>
  <c r="AK154" i="1" s="1"/>
  <c r="AK155" i="1" a="1"/>
  <c r="AK155" i="1" s="1"/>
  <c r="AK156" i="1" a="1"/>
  <c r="AK156" i="1" s="1"/>
  <c r="AK157" i="1" a="1"/>
  <c r="AK157" i="1" s="1"/>
  <c r="AK158" i="1" a="1"/>
  <c r="AK158" i="1" s="1"/>
  <c r="AK159" i="1" a="1"/>
  <c r="AK159" i="1" s="1"/>
  <c r="AK160" i="1" a="1"/>
  <c r="AK160" i="1" s="1"/>
  <c r="AK161" i="1" a="1"/>
  <c r="AK161" i="1" s="1"/>
  <c r="AK162" i="1" a="1"/>
  <c r="AK162" i="1" s="1"/>
  <c r="AK163" i="1" a="1"/>
  <c r="AK163" i="1" s="1"/>
  <c r="AK164" i="1" a="1"/>
  <c r="AK164" i="1" s="1"/>
  <c r="AK165" i="1" a="1"/>
  <c r="AK165" i="1" s="1"/>
  <c r="AK166" i="1" a="1"/>
  <c r="AK166" i="1" s="1"/>
  <c r="AK167" i="1" a="1"/>
  <c r="AK167" i="1" s="1"/>
  <c r="AK168" i="1" a="1"/>
  <c r="AK168" i="1" s="1"/>
  <c r="AK169" i="1" a="1"/>
  <c r="AK169" i="1" s="1"/>
  <c r="AK170" i="1" a="1"/>
  <c r="AK170" i="1" s="1"/>
  <c r="AK171" i="1" a="1"/>
  <c r="AK171" i="1" s="1"/>
  <c r="AK172" i="1" a="1"/>
  <c r="AK172" i="1" s="1"/>
  <c r="AK173" i="1" a="1"/>
  <c r="AK173" i="1" s="1"/>
  <c r="AK174" i="1" a="1"/>
  <c r="AK174" i="1" s="1"/>
  <c r="AK175" i="1" a="1"/>
  <c r="AK175" i="1" s="1"/>
  <c r="AK176" i="1" a="1"/>
  <c r="AK176" i="1" s="1"/>
  <c r="AK177" i="1" a="1"/>
  <c r="AK177" i="1" s="1"/>
  <c r="AK178" i="1" a="1"/>
  <c r="AK178" i="1" s="1"/>
  <c r="AK179" i="1" a="1"/>
  <c r="AK179" i="1" s="1"/>
  <c r="AK180" i="1" a="1"/>
  <c r="AK180" i="1" s="1"/>
  <c r="AK181" i="1" a="1"/>
  <c r="AK181" i="1" s="1"/>
  <c r="AK182" i="1" a="1"/>
  <c r="AK182" i="1" s="1"/>
  <c r="AK183" i="1" a="1"/>
  <c r="AK183" i="1" s="1"/>
  <c r="AK184" i="1" a="1"/>
  <c r="AK184" i="1" s="1"/>
  <c r="AK185" i="1" a="1"/>
  <c r="AK185" i="1" s="1"/>
  <c r="AK186" i="1" a="1"/>
  <c r="AK186" i="1" s="1"/>
  <c r="AK187" i="1" a="1"/>
  <c r="AK187" i="1" s="1"/>
  <c r="AK188" i="1" a="1"/>
  <c r="AK188" i="1" s="1"/>
  <c r="AK189" i="1" a="1"/>
  <c r="AK189" i="1" s="1"/>
  <c r="AK190" i="1" a="1"/>
  <c r="AK190" i="1" s="1"/>
  <c r="AK191" i="1" a="1"/>
  <c r="AK191" i="1" s="1"/>
  <c r="AK192" i="1" a="1"/>
  <c r="AK192" i="1" s="1"/>
  <c r="AK193" i="1" a="1"/>
  <c r="AK193" i="1" s="1"/>
  <c r="AK194" i="1" a="1"/>
  <c r="AK194" i="1" s="1"/>
  <c r="AK195" i="1" a="1"/>
  <c r="AK195" i="1" s="1"/>
  <c r="AK196" i="1" a="1"/>
  <c r="AK196" i="1" s="1"/>
  <c r="AK197" i="1" a="1"/>
  <c r="AK197" i="1" s="1"/>
  <c r="AK198" i="1" a="1"/>
  <c r="AK198" i="1" s="1"/>
  <c r="AK199" i="1" a="1"/>
  <c r="AK199" i="1" s="1"/>
  <c r="AK200" i="1" a="1"/>
  <c r="AK200" i="1" s="1"/>
  <c r="AK201" i="1" a="1"/>
  <c r="AK201" i="1" s="1"/>
  <c r="AK202" i="1" a="1"/>
  <c r="AK202" i="1" s="1"/>
  <c r="AK203" i="1" a="1"/>
  <c r="AK203" i="1" s="1"/>
  <c r="AK204" i="1" a="1"/>
  <c r="AK204" i="1" s="1"/>
  <c r="AK205" i="1" a="1"/>
  <c r="AK205" i="1" s="1"/>
  <c r="AK206" i="1" a="1"/>
  <c r="AK206" i="1" s="1"/>
  <c r="AK207" i="1" a="1"/>
  <c r="AK207" i="1" s="1"/>
  <c r="AK208" i="1" a="1"/>
  <c r="AK208" i="1" s="1"/>
  <c r="AK209" i="1" a="1"/>
  <c r="AK209" i="1" s="1"/>
  <c r="AK210" i="1" a="1"/>
  <c r="AK210" i="1" s="1"/>
  <c r="AK211" i="1" a="1"/>
  <c r="AK211" i="1" s="1"/>
  <c r="AK212" i="1" a="1"/>
  <c r="AK212" i="1" s="1"/>
  <c r="AK213" i="1" a="1"/>
  <c r="AK213" i="1" s="1"/>
  <c r="AK214" i="1" a="1"/>
  <c r="AK214" i="1" s="1"/>
  <c r="AK215" i="1" a="1"/>
  <c r="AK215" i="1" s="1"/>
  <c r="AK216" i="1" a="1"/>
  <c r="AK216" i="1" s="1"/>
  <c r="AK217" i="1" a="1"/>
  <c r="AK217" i="1" s="1"/>
  <c r="AK218" i="1" a="1"/>
  <c r="AK218" i="1" s="1"/>
  <c r="AK219" i="1" a="1"/>
  <c r="AK219" i="1" s="1"/>
  <c r="AK220" i="1" a="1"/>
  <c r="AK220" i="1" s="1"/>
  <c r="AK221" i="1" a="1"/>
  <c r="AK221" i="1" s="1"/>
  <c r="AK222" i="1" a="1"/>
  <c r="AK222" i="1" s="1"/>
  <c r="AK223" i="1" a="1"/>
  <c r="AK223" i="1" s="1"/>
  <c r="AK224" i="1" a="1"/>
  <c r="AK224" i="1" s="1"/>
  <c r="AK225" i="1" a="1"/>
  <c r="AK225" i="1" s="1"/>
  <c r="AK226" i="1" a="1"/>
  <c r="AK226" i="1" s="1"/>
  <c r="AK227" i="1" a="1"/>
  <c r="AK227" i="1" s="1"/>
  <c r="AK228" i="1" a="1"/>
  <c r="AK228" i="1" s="1"/>
  <c r="AK229" i="1" a="1"/>
  <c r="AK229" i="1" s="1"/>
  <c r="AK230" i="1" a="1"/>
  <c r="AK230" i="1" s="1"/>
  <c r="AK231" i="1" a="1"/>
  <c r="AK231" i="1" s="1"/>
  <c r="AK232" i="1" a="1"/>
  <c r="AK232" i="1" s="1"/>
  <c r="AK233" i="1" a="1"/>
  <c r="AK233" i="1" s="1"/>
  <c r="AK234" i="1" a="1"/>
  <c r="AK234" i="1" s="1"/>
  <c r="AK235" i="1" a="1"/>
  <c r="AK235" i="1" s="1"/>
  <c r="AK236" i="1" a="1"/>
  <c r="AK236" i="1" s="1"/>
  <c r="AK237" i="1" a="1"/>
  <c r="AK237" i="1" s="1"/>
  <c r="AK238" i="1" a="1"/>
  <c r="AK238" i="1" s="1"/>
  <c r="AK239" i="1" a="1"/>
  <c r="AK239" i="1" s="1"/>
  <c r="AK240" i="1" a="1"/>
  <c r="AK240" i="1" s="1"/>
  <c r="AK241" i="1" a="1"/>
  <c r="AK241" i="1" s="1"/>
  <c r="AK242" i="1" a="1"/>
  <c r="AK242" i="1" s="1"/>
  <c r="AK243" i="1" a="1"/>
  <c r="AK243" i="1" s="1"/>
  <c r="AK244" i="1" a="1"/>
  <c r="AK244" i="1" s="1"/>
  <c r="AK245" i="1" a="1"/>
  <c r="AK245" i="1" s="1"/>
  <c r="AK246" i="1" a="1"/>
  <c r="AK246" i="1" s="1"/>
  <c r="AK247" i="1" a="1"/>
  <c r="AK247" i="1" s="1"/>
  <c r="AK248" i="1" a="1"/>
  <c r="AK248" i="1"/>
  <c r="AK249" i="1" a="1"/>
  <c r="AK249" i="1" s="1"/>
  <c r="AK250" i="1" a="1"/>
  <c r="AK250" i="1" s="1"/>
  <c r="AK251" i="1" a="1"/>
  <c r="AK251" i="1"/>
  <c r="AK252" i="1" a="1"/>
  <c r="AK252" i="1" s="1"/>
  <c r="AK253" i="1" a="1"/>
  <c r="AK253" i="1" s="1"/>
  <c r="AK254" i="1" a="1"/>
  <c r="AK254" i="1" s="1"/>
  <c r="AK255" i="1" a="1"/>
  <c r="AK255" i="1" s="1"/>
  <c r="AK256" i="1" a="1"/>
  <c r="AK256" i="1" s="1"/>
  <c r="AK257" i="1" a="1"/>
  <c r="AK257" i="1" s="1"/>
  <c r="AK258" i="1" a="1"/>
  <c r="AK258" i="1"/>
  <c r="AK259" i="1" a="1"/>
  <c r="AK259" i="1" s="1"/>
  <c r="AK260" i="1" a="1"/>
  <c r="AK260" i="1" s="1"/>
  <c r="AK261" i="1" a="1"/>
  <c r="AK261" i="1" s="1"/>
  <c r="AK262" i="1" a="1"/>
  <c r="AK262" i="1" s="1"/>
  <c r="AK263" i="1" a="1"/>
  <c r="AK263" i="1" s="1"/>
  <c r="AK264" i="1" a="1"/>
  <c r="AK264" i="1" s="1"/>
  <c r="AK265" i="1" a="1"/>
  <c r="AK265" i="1" s="1"/>
  <c r="AK266" i="1" a="1"/>
  <c r="AK266" i="1" s="1"/>
  <c r="AK267" i="1" a="1"/>
  <c r="AK267" i="1" s="1"/>
  <c r="AK268" i="1" a="1"/>
  <c r="AK268" i="1" s="1"/>
  <c r="AK269" i="1" a="1"/>
  <c r="AK269" i="1" s="1"/>
  <c r="AK270" i="1" a="1"/>
  <c r="AK270" i="1"/>
  <c r="AK271" i="1" a="1"/>
  <c r="AK271" i="1" s="1"/>
  <c r="AK272" i="1" a="1"/>
  <c r="AK272" i="1" s="1"/>
  <c r="AK273" i="1" a="1"/>
  <c r="AK273" i="1" s="1"/>
  <c r="AK274" i="1" a="1"/>
  <c r="AK274" i="1" s="1"/>
  <c r="AK275" i="1" a="1"/>
  <c r="AK275" i="1" s="1"/>
  <c r="AK276" i="1" a="1"/>
  <c r="AK276" i="1" s="1"/>
  <c r="AK277" i="1" a="1"/>
  <c r="AK277" i="1" s="1"/>
  <c r="AK278" i="1" a="1"/>
  <c r="AK278" i="1" s="1"/>
  <c r="AK279" i="1" a="1"/>
  <c r="AK279" i="1" s="1"/>
  <c r="AK280" i="1" a="1"/>
  <c r="AK280" i="1" s="1"/>
  <c r="AK281" i="1" a="1"/>
  <c r="AK281" i="1" s="1"/>
  <c r="AK282" i="1" a="1"/>
  <c r="AK282" i="1" s="1"/>
  <c r="AK283" i="1" a="1"/>
  <c r="AK283" i="1" s="1"/>
  <c r="AK284" i="1" a="1"/>
  <c r="AK284" i="1" s="1"/>
  <c r="AK285" i="1" a="1"/>
  <c r="AK285" i="1" s="1"/>
  <c r="AK286" i="1" a="1"/>
  <c r="AK286" i="1" s="1"/>
  <c r="AK287" i="1" a="1"/>
  <c r="AK287" i="1" s="1"/>
  <c r="AK288" i="1" a="1"/>
  <c r="AK288" i="1" s="1"/>
  <c r="AK289" i="1" a="1"/>
  <c r="AK289" i="1" s="1"/>
  <c r="AK290" i="1" a="1"/>
  <c r="AK290" i="1" s="1"/>
  <c r="AK291" i="1" a="1"/>
  <c r="AK291" i="1" s="1"/>
  <c r="AK292" i="1" a="1"/>
  <c r="AK292" i="1" s="1"/>
  <c r="AK293" i="1" a="1"/>
  <c r="AK293" i="1" s="1"/>
  <c r="AK294" i="1" a="1"/>
  <c r="AK294" i="1" s="1"/>
  <c r="AK295" i="1" a="1"/>
  <c r="AK295" i="1" s="1"/>
  <c r="AK296" i="1" a="1"/>
  <c r="AK296" i="1" s="1"/>
  <c r="AK297" i="1" a="1"/>
  <c r="AK297" i="1" s="1"/>
  <c r="AK298" i="1" a="1"/>
  <c r="AK298" i="1" s="1"/>
  <c r="AK299" i="1" a="1"/>
  <c r="AK299" i="1" s="1"/>
  <c r="AK300" i="1" a="1"/>
  <c r="AK300" i="1" s="1"/>
  <c r="AK301" i="1" a="1"/>
  <c r="AK301" i="1" s="1"/>
  <c r="AK302" i="1" a="1"/>
  <c r="AK302" i="1" s="1"/>
  <c r="AK303" i="1" a="1"/>
  <c r="AK303" i="1" s="1"/>
  <c r="AK304" i="1" a="1"/>
  <c r="AK304" i="1" s="1"/>
  <c r="AK305" i="1" a="1"/>
  <c r="AK305" i="1" s="1"/>
  <c r="AK306" i="1" a="1"/>
  <c r="AK306" i="1" s="1"/>
  <c r="AK307" i="1" a="1"/>
  <c r="AK307" i="1" s="1"/>
  <c r="AK308" i="1" a="1"/>
  <c r="AK308" i="1" s="1"/>
  <c r="AK309" i="1" a="1"/>
  <c r="AK309" i="1" s="1"/>
  <c r="AK310" i="1" a="1"/>
  <c r="AK310" i="1" s="1"/>
  <c r="AK311" i="1" a="1"/>
  <c r="AK311" i="1" s="1"/>
  <c r="AK312" i="1" a="1"/>
  <c r="AK312" i="1"/>
  <c r="AK313" i="1" a="1"/>
  <c r="AK313" i="1" s="1"/>
  <c r="AK314" i="1" a="1"/>
  <c r="AK314" i="1" s="1"/>
  <c r="AK315" i="1" a="1"/>
  <c r="AK315" i="1" s="1"/>
  <c r="AK316" i="1" a="1"/>
  <c r="AK316" i="1" s="1"/>
  <c r="AK317" i="1" a="1"/>
  <c r="AK317" i="1" s="1"/>
  <c r="AK318" i="1" a="1"/>
  <c r="AK318" i="1" s="1"/>
  <c r="AK319" i="1" a="1"/>
  <c r="AK319" i="1" s="1"/>
  <c r="AK320" i="1" a="1"/>
  <c r="AK320" i="1" s="1"/>
  <c r="AK321" i="1" a="1"/>
  <c r="AK321" i="1" s="1"/>
  <c r="AK322" i="1" a="1"/>
  <c r="AK322" i="1" s="1"/>
  <c r="AK323" i="1" a="1"/>
  <c r="AK323" i="1" s="1"/>
  <c r="AK324" i="1" a="1"/>
  <c r="AK324" i="1" s="1"/>
  <c r="AK325" i="1" a="1"/>
  <c r="AK325" i="1" s="1"/>
  <c r="AK326" i="1" a="1"/>
  <c r="AK326" i="1" s="1"/>
  <c r="AK327" i="1" a="1"/>
  <c r="AK327" i="1" s="1"/>
  <c r="AK328" i="1" a="1"/>
  <c r="AK328" i="1" s="1"/>
  <c r="AK329" i="1" a="1"/>
  <c r="AK329" i="1" s="1"/>
  <c r="AK330" i="1" a="1"/>
  <c r="AK330" i="1" s="1"/>
  <c r="AK331" i="1" a="1"/>
  <c r="AK331" i="1" s="1"/>
  <c r="AK332" i="1" a="1"/>
  <c r="AK332" i="1" s="1"/>
  <c r="AK333" i="1" a="1"/>
  <c r="AK333" i="1" s="1"/>
  <c r="AK334" i="1" a="1"/>
  <c r="AK334" i="1" s="1"/>
  <c r="AK335" i="1" a="1"/>
  <c r="AK335" i="1" s="1"/>
  <c r="AK336" i="1" a="1"/>
  <c r="AK336" i="1" s="1"/>
  <c r="AK337" i="1" a="1"/>
  <c r="AK337" i="1" s="1"/>
  <c r="AK338" i="1" a="1"/>
  <c r="AK338" i="1" s="1"/>
  <c r="AK339" i="1" a="1"/>
  <c r="AK339" i="1" s="1"/>
  <c r="AK340" i="1" a="1"/>
  <c r="AK340" i="1" s="1"/>
  <c r="AK341" i="1" a="1"/>
  <c r="AK341" i="1" s="1"/>
  <c r="AK342" i="1" a="1"/>
  <c r="AK342" i="1"/>
  <c r="AK343" i="1" a="1"/>
  <c r="AK343" i="1" s="1"/>
  <c r="AK344" i="1" a="1"/>
  <c r="AK344" i="1" s="1"/>
  <c r="AK345" i="1" a="1"/>
  <c r="AK345" i="1" s="1"/>
  <c r="AK346" i="1" a="1"/>
  <c r="AK346" i="1" s="1"/>
  <c r="AK347" i="1" a="1"/>
  <c r="AK347" i="1" s="1"/>
  <c r="AK348" i="1" a="1"/>
  <c r="AK348" i="1" s="1"/>
  <c r="AK349" i="1" a="1"/>
  <c r="AK349" i="1" s="1"/>
  <c r="AK350" i="1" a="1"/>
  <c r="AK350" i="1" s="1"/>
  <c r="AK351" i="1" a="1"/>
  <c r="AK351" i="1" s="1"/>
  <c r="AK352" i="1" a="1"/>
  <c r="AK352" i="1" s="1"/>
  <c r="AK353" i="1" a="1"/>
  <c r="AK353" i="1" s="1"/>
  <c r="AK354" i="1" a="1"/>
  <c r="AK354" i="1" s="1"/>
  <c r="AK355" i="1" a="1"/>
  <c r="AK355" i="1" s="1"/>
  <c r="AK356" i="1" a="1"/>
  <c r="AK356" i="1" s="1"/>
  <c r="AK357" i="1" a="1"/>
  <c r="AK357" i="1" s="1"/>
  <c r="AK358" i="1" a="1"/>
  <c r="AK358" i="1" s="1"/>
  <c r="AK359" i="1" a="1"/>
  <c r="AK359" i="1" s="1"/>
  <c r="AK360" i="1" a="1"/>
  <c r="AK360" i="1" s="1"/>
  <c r="AK361" i="1" a="1"/>
  <c r="AK361" i="1" s="1"/>
  <c r="AK362" i="1" a="1"/>
  <c r="AK362" i="1" s="1"/>
  <c r="AK363" i="1" a="1"/>
  <c r="AK363" i="1" s="1"/>
  <c r="AK364" i="1" a="1"/>
  <c r="AK364" i="1" s="1"/>
  <c r="AK365" i="1" a="1"/>
  <c r="AK365" i="1" s="1"/>
  <c r="AK366" i="1" a="1"/>
  <c r="AK366" i="1" s="1"/>
  <c r="AK367" i="1" a="1"/>
  <c r="AK367" i="1" s="1"/>
  <c r="AK368" i="1" a="1"/>
  <c r="AK368" i="1" s="1"/>
  <c r="AK369" i="1" a="1"/>
  <c r="AK369" i="1" s="1"/>
  <c r="AK370" i="1" a="1"/>
  <c r="AK370" i="1" s="1"/>
  <c r="AK371" i="1" a="1"/>
  <c r="AK371" i="1" s="1"/>
  <c r="AK372" i="1" a="1"/>
  <c r="AK372" i="1" s="1"/>
  <c r="AK373" i="1" a="1"/>
  <c r="AK373" i="1" s="1"/>
  <c r="AK374" i="1" a="1"/>
  <c r="AK374" i="1" s="1"/>
  <c r="AK375" i="1" a="1"/>
  <c r="AK375" i="1" s="1"/>
  <c r="AK376" i="1" a="1"/>
  <c r="AK376" i="1" s="1"/>
  <c r="AK377" i="1" a="1"/>
  <c r="AK377" i="1" s="1"/>
  <c r="AK378" i="1" a="1"/>
  <c r="AK378" i="1" s="1"/>
  <c r="AK379" i="1" a="1"/>
  <c r="AK379" i="1" s="1"/>
  <c r="AK380" i="1" a="1"/>
  <c r="AK380" i="1" s="1"/>
  <c r="AK381" i="1" a="1"/>
  <c r="AK381" i="1" s="1"/>
  <c r="AK382" i="1" a="1"/>
  <c r="AK382" i="1" s="1"/>
  <c r="AK383" i="1" a="1"/>
  <c r="AK383" i="1" s="1"/>
  <c r="AK384" i="1" a="1"/>
  <c r="AK384" i="1" s="1"/>
  <c r="AK385" i="1" a="1"/>
  <c r="AK385" i="1" s="1"/>
  <c r="AK386" i="1" a="1"/>
  <c r="AK386" i="1" s="1"/>
  <c r="AK387" i="1" a="1"/>
  <c r="AK387" i="1" s="1"/>
  <c r="AK388" i="1" a="1"/>
  <c r="AK388" i="1" s="1"/>
  <c r="AK389" i="1" a="1"/>
  <c r="AK389" i="1" s="1"/>
  <c r="AK390" i="1" a="1"/>
  <c r="AK390" i="1" s="1"/>
  <c r="AK391" i="1" a="1"/>
  <c r="AK391" i="1" s="1"/>
  <c r="AK392" i="1" a="1"/>
  <c r="AK392" i="1" s="1"/>
  <c r="AK393" i="1" a="1"/>
  <c r="AK393" i="1" s="1"/>
  <c r="AK394" i="1" a="1"/>
  <c r="AK394" i="1" s="1"/>
  <c r="AK395" i="1" a="1"/>
  <c r="AK395" i="1" s="1"/>
  <c r="AK396" i="1" a="1"/>
  <c r="AK396" i="1" s="1"/>
  <c r="AK397" i="1" a="1"/>
  <c r="AK397" i="1" s="1"/>
  <c r="AK398" i="1" a="1"/>
  <c r="AK398" i="1" s="1"/>
  <c r="AK399" i="1" a="1"/>
  <c r="AK399" i="1" s="1"/>
  <c r="AK400" i="1" a="1"/>
  <c r="AK400" i="1" s="1"/>
  <c r="AK401" i="1" a="1"/>
  <c r="AK401" i="1" s="1"/>
  <c r="AK402" i="1" a="1"/>
  <c r="AK402" i="1" s="1"/>
  <c r="AK403" i="1" a="1"/>
  <c r="AK403" i="1" s="1"/>
  <c r="AK404" i="1" a="1"/>
  <c r="AK404" i="1" s="1"/>
  <c r="AK405" i="1" a="1"/>
  <c r="AK405" i="1" s="1"/>
  <c r="AK406" i="1" a="1"/>
  <c r="AK406" i="1" s="1"/>
  <c r="AK407" i="1" a="1"/>
  <c r="AK407" i="1" s="1"/>
  <c r="AK408" i="1" a="1"/>
  <c r="AK408" i="1" s="1"/>
  <c r="AK409" i="1" a="1"/>
  <c r="AK409" i="1" s="1"/>
  <c r="AK410" i="1" a="1"/>
  <c r="AK410" i="1" s="1"/>
  <c r="AK411" i="1" a="1"/>
  <c r="AK411" i="1" s="1"/>
  <c r="AK412" i="1" a="1"/>
  <c r="AK412" i="1" s="1"/>
  <c r="AK413" i="1" a="1"/>
  <c r="AK413" i="1" s="1"/>
  <c r="AK414" i="1" a="1"/>
  <c r="AK414" i="1" s="1"/>
  <c r="AK415" i="1" a="1"/>
  <c r="AK415" i="1" s="1"/>
  <c r="AK416" i="1" a="1"/>
  <c r="AK416" i="1"/>
  <c r="AK417" i="1" a="1"/>
  <c r="AK417" i="1" s="1"/>
  <c r="AK418" i="1" a="1"/>
  <c r="AK418" i="1" s="1"/>
  <c r="AK419" i="1" a="1"/>
  <c r="AK419" i="1" s="1"/>
  <c r="AK420" i="1" a="1"/>
  <c r="AK420" i="1" s="1"/>
  <c r="AK421" i="1" a="1"/>
  <c r="AK421" i="1" s="1"/>
  <c r="AK422" i="1" a="1"/>
  <c r="AK422" i="1" s="1"/>
  <c r="AK423" i="1" a="1"/>
  <c r="AK423" i="1" s="1"/>
  <c r="AK424" i="1" a="1"/>
  <c r="AK424" i="1" s="1"/>
  <c r="AK425" i="1" a="1"/>
  <c r="AK425" i="1" s="1"/>
  <c r="AK426" i="1" a="1"/>
  <c r="AK426" i="1" s="1"/>
  <c r="AK427" i="1" a="1"/>
  <c r="AK427" i="1" s="1"/>
  <c r="AK428" i="1" a="1"/>
  <c r="AK428" i="1" s="1"/>
  <c r="AK429" i="1" a="1"/>
  <c r="AK429" i="1" s="1"/>
  <c r="AK430" i="1" a="1"/>
  <c r="AK430" i="1" s="1"/>
  <c r="AK431" i="1" a="1"/>
  <c r="AK431" i="1" s="1"/>
  <c r="AK432" i="1" a="1"/>
  <c r="AK432" i="1" s="1"/>
  <c r="AK433" i="1" a="1"/>
  <c r="AK433" i="1" s="1"/>
  <c r="AK434" i="1" a="1"/>
  <c r="AK434" i="1" s="1"/>
  <c r="AK435" i="1" a="1"/>
  <c r="AK435" i="1" s="1"/>
  <c r="AK436" i="1" a="1"/>
  <c r="AK436" i="1" s="1"/>
  <c r="AK437" i="1" a="1"/>
  <c r="AK437" i="1" s="1"/>
  <c r="AK438" i="1" a="1"/>
  <c r="AK438" i="1" s="1"/>
  <c r="AK439" i="1" a="1"/>
  <c r="AK439" i="1" s="1"/>
  <c r="AK440" i="1" a="1"/>
  <c r="AK440" i="1" s="1"/>
  <c r="AK441" i="1" a="1"/>
  <c r="AK441" i="1" s="1"/>
  <c r="AK442" i="1" a="1"/>
  <c r="AK442" i="1" s="1"/>
  <c r="AK443" i="1" a="1"/>
  <c r="AK443" i="1" s="1"/>
  <c r="AK444" i="1" a="1"/>
  <c r="AK444" i="1" s="1"/>
  <c r="AK445" i="1" a="1"/>
  <c r="AK445" i="1" s="1"/>
  <c r="AK446" i="1" a="1"/>
  <c r="AK446" i="1" s="1"/>
  <c r="AK447" i="1" a="1"/>
  <c r="AK447" i="1" s="1"/>
  <c r="AK448" i="1" a="1"/>
  <c r="AK448" i="1" s="1"/>
  <c r="AK449" i="1" a="1"/>
  <c r="AK449" i="1" s="1"/>
  <c r="AK450" i="1" a="1"/>
  <c r="AK450" i="1" s="1"/>
  <c r="AK451" i="1" a="1"/>
  <c r="AK451" i="1" s="1"/>
  <c r="AK452" i="1" a="1"/>
  <c r="AK452" i="1" s="1"/>
  <c r="AK453" i="1" a="1"/>
  <c r="AK453" i="1"/>
  <c r="AK454" i="1" a="1"/>
  <c r="AK454" i="1" s="1"/>
  <c r="AK455" i="1" a="1"/>
  <c r="AK455" i="1" s="1"/>
  <c r="AK456" i="1" a="1"/>
  <c r="AK456" i="1" s="1"/>
  <c r="AK457" i="1" a="1"/>
  <c r="AK457" i="1" s="1"/>
  <c r="AK458" i="1" a="1"/>
  <c r="AK458" i="1" s="1"/>
  <c r="AK459" i="1" a="1"/>
  <c r="AK459" i="1" s="1"/>
  <c r="AK460" i="1" a="1"/>
  <c r="AK460" i="1" s="1"/>
  <c r="AK461" i="1" a="1"/>
  <c r="AK461" i="1" s="1"/>
  <c r="AK462" i="1" a="1"/>
  <c r="AK462" i="1" s="1"/>
  <c r="AK463" i="1" a="1"/>
  <c r="AK463" i="1" s="1"/>
  <c r="AK464" i="1" a="1"/>
  <c r="AK464" i="1" s="1"/>
  <c r="AK465" i="1" a="1"/>
  <c r="AK465" i="1" s="1"/>
  <c r="AK466" i="1" a="1"/>
  <c r="AK466" i="1" s="1"/>
  <c r="AK467" i="1" a="1"/>
  <c r="AK467" i="1" s="1"/>
  <c r="AK468" i="1" a="1"/>
  <c r="AK468" i="1" s="1"/>
  <c r="AK469" i="1" a="1"/>
  <c r="AK469" i="1" s="1"/>
  <c r="AK470" i="1" a="1"/>
  <c r="AK470" i="1" s="1"/>
  <c r="AK471" i="1" a="1"/>
  <c r="AK471" i="1"/>
  <c r="AK472" i="1" a="1"/>
  <c r="AK472" i="1" s="1"/>
  <c r="AK473" i="1" a="1"/>
  <c r="AK473" i="1" s="1"/>
  <c r="AK474" i="1" a="1"/>
  <c r="AK474" i="1" s="1"/>
  <c r="AK475" i="1" a="1"/>
  <c r="AK475" i="1" s="1"/>
  <c r="AK476" i="1" a="1"/>
  <c r="AK476" i="1" s="1"/>
  <c r="AK477" i="1" a="1"/>
  <c r="AK477" i="1" s="1"/>
  <c r="AK478" i="1" a="1"/>
  <c r="AK478" i="1" s="1"/>
  <c r="AK479" i="1" a="1"/>
  <c r="AK479" i="1" s="1"/>
  <c r="AK480" i="1" a="1"/>
  <c r="AK480" i="1" s="1"/>
  <c r="AK481" i="1" a="1"/>
  <c r="AK481" i="1" s="1"/>
  <c r="AK482" i="1" a="1"/>
  <c r="AK482" i="1" s="1"/>
  <c r="AK483" i="1" a="1"/>
  <c r="AK483" i="1" s="1"/>
  <c r="AK484" i="1" a="1"/>
  <c r="AK484" i="1" s="1"/>
  <c r="AK485" i="1" a="1"/>
  <c r="AK485" i="1" s="1"/>
  <c r="AK486" i="1" a="1"/>
  <c r="AK486" i="1" s="1"/>
  <c r="AK487" i="1" a="1"/>
  <c r="AK487" i="1" s="1"/>
  <c r="AK488" i="1" a="1"/>
  <c r="AK488" i="1" s="1"/>
  <c r="AK489" i="1" a="1"/>
  <c r="AK489" i="1" s="1"/>
  <c r="AK490" i="1" a="1"/>
  <c r="AK490" i="1" s="1"/>
  <c r="AK491" i="1" a="1"/>
  <c r="AK491" i="1" s="1"/>
  <c r="AK492" i="1" a="1"/>
  <c r="AK492" i="1" s="1"/>
  <c r="AK493" i="1" a="1"/>
  <c r="AK493" i="1" s="1"/>
  <c r="AK494" i="1" a="1"/>
  <c r="AK494" i="1" s="1"/>
  <c r="AK495" i="1" a="1"/>
  <c r="AK495" i="1" s="1"/>
  <c r="AK496" i="1" a="1"/>
  <c r="AK496" i="1" s="1"/>
  <c r="AK497" i="1" a="1"/>
  <c r="AK497" i="1" s="1"/>
  <c r="AK498" i="1" a="1"/>
  <c r="AK498" i="1" s="1"/>
  <c r="AK499" i="1" a="1"/>
  <c r="AK499" i="1" s="1"/>
  <c r="AK500" i="1" a="1"/>
  <c r="AK500" i="1" s="1"/>
  <c r="AK501" i="1" a="1"/>
  <c r="AK501" i="1" s="1"/>
  <c r="AK502" i="1" a="1"/>
  <c r="AK502" i="1" s="1"/>
  <c r="AK503" i="1" a="1"/>
  <c r="AK503" i="1" s="1"/>
  <c r="AK504" i="1" a="1"/>
  <c r="AK504" i="1" s="1"/>
  <c r="AK505" i="1" a="1"/>
  <c r="AK505" i="1" s="1"/>
  <c r="AK506" i="1" a="1"/>
  <c r="AK506" i="1" s="1"/>
  <c r="AK507" i="1" a="1"/>
  <c r="AK507" i="1" s="1"/>
  <c r="AK508" i="1" a="1"/>
  <c r="AK508" i="1" s="1"/>
  <c r="AK509" i="1" a="1"/>
  <c r="AK509" i="1" s="1"/>
  <c r="AK510" i="1" a="1"/>
  <c r="AK510" i="1" s="1"/>
  <c r="AK511" i="1" a="1"/>
  <c r="AK511" i="1" s="1"/>
  <c r="AK512" i="1" a="1"/>
  <c r="AK512" i="1" s="1"/>
  <c r="AK513" i="1" a="1"/>
  <c r="AK513" i="1" s="1"/>
  <c r="AK514" i="1" a="1"/>
  <c r="AK514" i="1" s="1"/>
  <c r="AK515" i="1" a="1"/>
  <c r="AK515" i="1" s="1"/>
  <c r="AK516" i="1" a="1"/>
  <c r="AK516" i="1" s="1"/>
  <c r="AK517" i="1" a="1"/>
  <c r="AK517" i="1" s="1"/>
  <c r="AK518" i="1" a="1"/>
  <c r="AK518" i="1" s="1"/>
  <c r="AK519" i="1" a="1"/>
  <c r="AK519" i="1" s="1"/>
  <c r="AK520" i="1" a="1"/>
  <c r="AK520" i="1" s="1"/>
  <c r="AK521" i="1" a="1"/>
  <c r="AK521" i="1" s="1"/>
  <c r="AK522" i="1" a="1"/>
  <c r="AK522" i="1" s="1"/>
  <c r="AK523" i="1" a="1"/>
  <c r="AK523" i="1" s="1"/>
  <c r="AK524" i="1" a="1"/>
  <c r="AK524" i="1" s="1"/>
  <c r="AK525" i="1" a="1"/>
  <c r="AK525" i="1" s="1"/>
  <c r="AK526" i="1" a="1"/>
  <c r="AK526" i="1" s="1"/>
  <c r="AK527" i="1" a="1"/>
  <c r="AK527" i="1" s="1"/>
  <c r="AK528" i="1" a="1"/>
  <c r="AK528" i="1" s="1"/>
  <c r="AK529" i="1" a="1"/>
  <c r="AK529" i="1" s="1"/>
  <c r="AK530" i="1" a="1"/>
  <c r="AK530" i="1" s="1"/>
  <c r="AK531" i="1" a="1"/>
  <c r="AK531" i="1" s="1"/>
  <c r="AK532" i="1" a="1"/>
  <c r="AK532" i="1" s="1"/>
  <c r="AK533" i="1" a="1"/>
  <c r="AK533" i="1" s="1"/>
  <c r="AK534" i="1" a="1"/>
  <c r="AK534" i="1" s="1"/>
  <c r="AK535" i="1" a="1"/>
  <c r="AK535" i="1" s="1"/>
  <c r="AK536" i="1" a="1"/>
  <c r="AK536" i="1" s="1"/>
  <c r="AK537" i="1" a="1"/>
  <c r="AK537" i="1" s="1"/>
  <c r="AK538" i="1" a="1"/>
  <c r="AK538" i="1" s="1"/>
  <c r="AK539" i="1" a="1"/>
  <c r="AK539" i="1" s="1"/>
  <c r="AK540" i="1" a="1"/>
  <c r="AK540" i="1" s="1"/>
  <c r="AK541" i="1" a="1"/>
  <c r="AK541" i="1" s="1"/>
  <c r="AK542" i="1" a="1"/>
  <c r="AK542" i="1" s="1"/>
  <c r="AK543" i="1" a="1"/>
  <c r="AK543" i="1" s="1"/>
  <c r="AK544" i="1" a="1"/>
  <c r="AK544" i="1" s="1"/>
  <c r="AK545" i="1" a="1"/>
  <c r="AK545" i="1" s="1"/>
  <c r="AK546" i="1" a="1"/>
  <c r="AK546" i="1" s="1"/>
  <c r="AK547" i="1" a="1"/>
  <c r="AK547" i="1" s="1"/>
  <c r="AK548" i="1" a="1"/>
  <c r="AK548" i="1" s="1"/>
  <c r="AK549" i="1" a="1"/>
  <c r="AK549" i="1" s="1"/>
  <c r="AK550" i="1" a="1"/>
  <c r="AK550" i="1" s="1"/>
  <c r="AK551" i="1" a="1"/>
  <c r="AK551" i="1" s="1"/>
  <c r="AK552" i="1" a="1"/>
  <c r="AK552" i="1" s="1"/>
  <c r="AK553" i="1" a="1"/>
  <c r="AK553" i="1"/>
  <c r="AK554" i="1" a="1"/>
  <c r="AK554" i="1" s="1"/>
  <c r="AK555" i="1" a="1"/>
  <c r="AK555" i="1" s="1"/>
  <c r="AK556" i="1" a="1"/>
  <c r="AK556" i="1" s="1"/>
  <c r="AK557" i="1" a="1"/>
  <c r="AK557" i="1" s="1"/>
  <c r="AK558" i="1" a="1"/>
  <c r="AK558" i="1" s="1"/>
  <c r="AK559" i="1" a="1"/>
  <c r="AK559" i="1" s="1"/>
  <c r="AK560" i="1" a="1"/>
  <c r="AK560" i="1" s="1"/>
  <c r="AK561" i="1" a="1"/>
  <c r="AK561" i="1" s="1"/>
  <c r="AK562" i="1" a="1"/>
  <c r="AK562" i="1" s="1"/>
  <c r="AK563" i="1" a="1"/>
  <c r="AK563" i="1" s="1"/>
  <c r="AK564" i="1" a="1"/>
  <c r="AK564" i="1" s="1"/>
  <c r="AK565" i="1" a="1"/>
  <c r="AK565" i="1" s="1"/>
  <c r="AK566" i="1" a="1"/>
  <c r="AK566" i="1"/>
  <c r="AK567" i="1" a="1"/>
  <c r="AK567" i="1" s="1"/>
  <c r="AK568" i="1" a="1"/>
  <c r="AK568" i="1" s="1"/>
  <c r="AK569" i="1" a="1"/>
  <c r="AK569" i="1" s="1"/>
  <c r="AK570" i="1" a="1"/>
  <c r="AK570" i="1"/>
  <c r="AK571" i="1" a="1"/>
  <c r="AK571" i="1" s="1"/>
  <c r="AK572" i="1" a="1"/>
  <c r="AK572" i="1" s="1"/>
  <c r="AK573" i="1" a="1"/>
  <c r="AK573" i="1" s="1"/>
  <c r="AK574" i="1" a="1"/>
  <c r="AK574" i="1" s="1"/>
  <c r="AK575" i="1" a="1"/>
  <c r="AK575" i="1" s="1"/>
  <c r="AK576" i="1" a="1"/>
  <c r="AK576" i="1" s="1"/>
  <c r="AK577" i="1" a="1"/>
  <c r="AK577" i="1" s="1"/>
  <c r="AK578" i="1" a="1"/>
  <c r="AK578" i="1" s="1"/>
  <c r="AK579" i="1" a="1"/>
  <c r="AK579" i="1" s="1"/>
  <c r="AK580" i="1" a="1"/>
  <c r="AK580" i="1" s="1"/>
  <c r="AK581" i="1" a="1"/>
  <c r="AK581" i="1" s="1"/>
  <c r="AK582" i="1" a="1"/>
  <c r="AK582" i="1" s="1"/>
  <c r="AK583" i="1" a="1"/>
  <c r="AK583" i="1" s="1"/>
  <c r="AK584" i="1" a="1"/>
  <c r="AK584" i="1" s="1"/>
  <c r="AK585" i="1" a="1"/>
  <c r="AK585" i="1" s="1"/>
  <c r="AK586" i="1" a="1"/>
  <c r="AK586" i="1" s="1"/>
  <c r="AK587" i="1" a="1"/>
  <c r="AK587" i="1" s="1"/>
  <c r="AK588" i="1" a="1"/>
  <c r="AK588" i="1" s="1"/>
  <c r="AK589" i="1" a="1"/>
  <c r="AK589" i="1" s="1"/>
  <c r="AK590" i="1" a="1"/>
  <c r="AK590" i="1" s="1"/>
  <c r="AK591" i="1" a="1"/>
  <c r="AK591" i="1" s="1"/>
  <c r="AK592" i="1" a="1"/>
  <c r="AK592" i="1" s="1"/>
  <c r="AK593" i="1" a="1"/>
  <c r="AK593" i="1" s="1"/>
  <c r="AK594" i="1" a="1"/>
  <c r="AK594" i="1" s="1"/>
  <c r="AK595" i="1" a="1"/>
  <c r="AK595" i="1" s="1"/>
  <c r="AK596" i="1" a="1"/>
  <c r="AK596" i="1" s="1"/>
  <c r="AK597" i="1" a="1"/>
  <c r="AK597" i="1" s="1"/>
  <c r="AK598" i="1" a="1"/>
  <c r="AK598" i="1" s="1"/>
  <c r="AK599" i="1" a="1"/>
  <c r="AK599" i="1" s="1"/>
  <c r="AK600" i="1" a="1"/>
  <c r="AK600" i="1" s="1"/>
  <c r="AK601" i="1" a="1"/>
  <c r="AK601" i="1" s="1"/>
  <c r="AK602" i="1" a="1"/>
  <c r="AK602" i="1" s="1"/>
  <c r="AK603" i="1" a="1"/>
  <c r="AK603" i="1" s="1"/>
  <c r="AK604" i="1" a="1"/>
  <c r="AK604" i="1" s="1"/>
  <c r="AK605" i="1" a="1"/>
  <c r="AK605" i="1" s="1"/>
  <c r="AK606" i="1" a="1"/>
  <c r="AK606" i="1" s="1"/>
  <c r="AK607" i="1" a="1"/>
  <c r="AK607" i="1" s="1"/>
  <c r="AK608" i="1" a="1"/>
  <c r="AK608" i="1" s="1"/>
  <c r="AK609" i="1" a="1"/>
  <c r="AK609" i="1"/>
  <c r="AK610" i="1" a="1"/>
  <c r="AK610" i="1" s="1"/>
  <c r="AK611" i="1" a="1"/>
  <c r="AK611" i="1" s="1"/>
  <c r="AK612" i="1" a="1"/>
  <c r="AK612" i="1" s="1"/>
  <c r="AK613" i="1" a="1"/>
  <c r="AK613" i="1"/>
  <c r="AK614" i="1" a="1"/>
  <c r="AK614" i="1"/>
  <c r="AK615" i="1" a="1"/>
  <c r="AK615" i="1" s="1"/>
  <c r="AK616" i="1" a="1"/>
  <c r="AK616" i="1" s="1"/>
  <c r="AK617" i="1" a="1"/>
  <c r="AK617" i="1" s="1"/>
  <c r="AK618" i="1" a="1"/>
  <c r="AK618" i="1" s="1"/>
  <c r="AK619" i="1" a="1"/>
  <c r="AK619" i="1" s="1"/>
  <c r="AK620" i="1" a="1"/>
  <c r="AK620" i="1" s="1"/>
  <c r="AK621" i="1" a="1"/>
  <c r="AK621" i="1" s="1"/>
  <c r="AK622" i="1" a="1"/>
  <c r="AK622" i="1" s="1"/>
  <c r="AK623" i="1" a="1"/>
  <c r="AK623" i="1" s="1"/>
  <c r="AK624" i="1" a="1"/>
  <c r="AK624" i="1" s="1"/>
  <c r="AK625" i="1" a="1"/>
  <c r="AK625" i="1" s="1"/>
  <c r="AK626" i="1" a="1"/>
  <c r="AK626" i="1" s="1"/>
  <c r="AK627" i="1" a="1"/>
  <c r="AK627" i="1" s="1"/>
  <c r="AK628" i="1" a="1"/>
  <c r="AK628" i="1" s="1"/>
  <c r="AK629" i="1" a="1"/>
  <c r="AK629" i="1" s="1"/>
  <c r="AK630" i="1" a="1"/>
  <c r="AK630" i="1" s="1"/>
  <c r="AK631" i="1" a="1"/>
  <c r="AK631" i="1" s="1"/>
  <c r="AK632" i="1" a="1"/>
  <c r="AK632" i="1" s="1"/>
  <c r="AK633" i="1" a="1"/>
  <c r="AK633" i="1" s="1"/>
  <c r="AK634" i="1" a="1"/>
  <c r="AK634" i="1" s="1"/>
  <c r="AK635" i="1" a="1"/>
  <c r="AK635" i="1" s="1"/>
  <c r="AK636" i="1" a="1"/>
  <c r="AK636" i="1" s="1"/>
  <c r="AK637" i="1" a="1"/>
  <c r="AK637" i="1" s="1"/>
  <c r="AK638" i="1" a="1"/>
  <c r="AK638" i="1" s="1"/>
  <c r="AK639" i="1" a="1"/>
  <c r="AK639" i="1" s="1"/>
  <c r="AK640" i="1" a="1"/>
  <c r="AK640" i="1" s="1"/>
  <c r="AK641" i="1" a="1"/>
  <c r="AK641" i="1" s="1"/>
  <c r="AK642" i="1" a="1"/>
  <c r="AK642" i="1" s="1"/>
  <c r="AK643" i="1" a="1"/>
  <c r="AK643" i="1" s="1"/>
  <c r="AK644" i="1" a="1"/>
  <c r="AK644" i="1" s="1"/>
  <c r="AK645" i="1" a="1"/>
  <c r="AK645" i="1"/>
  <c r="AK646" i="1" a="1"/>
  <c r="AK646" i="1" s="1"/>
  <c r="AK647" i="1" a="1"/>
  <c r="AK647" i="1" s="1"/>
  <c r="AK648" i="1" a="1"/>
  <c r="AK648" i="1" s="1"/>
  <c r="AK649" i="1" a="1"/>
  <c r="AK649" i="1" s="1"/>
  <c r="AK650" i="1" a="1"/>
  <c r="AK650" i="1" s="1"/>
  <c r="AK651" i="1" a="1"/>
  <c r="AK651" i="1" s="1"/>
  <c r="AK652" i="1" a="1"/>
  <c r="AK652" i="1" s="1"/>
  <c r="AK653" i="1" a="1"/>
  <c r="AK653" i="1" s="1"/>
  <c r="AK654" i="1" a="1"/>
  <c r="AK654" i="1" s="1"/>
  <c r="AK655" i="1" a="1"/>
  <c r="AK655" i="1" s="1"/>
  <c r="AK656" i="1" a="1"/>
  <c r="AK656" i="1" s="1"/>
  <c r="AK657" i="1" a="1"/>
  <c r="AK657" i="1" s="1"/>
  <c r="AK658" i="1" a="1"/>
  <c r="AK658" i="1" s="1"/>
  <c r="AK659" i="1" a="1"/>
  <c r="AK659" i="1" s="1"/>
  <c r="AK660" i="1" a="1"/>
  <c r="AK660" i="1" s="1"/>
  <c r="AK661" i="1" a="1"/>
  <c r="AK661" i="1" s="1"/>
  <c r="AK662" i="1" a="1"/>
  <c r="AK662" i="1" s="1"/>
  <c r="AK663" i="1" a="1"/>
  <c r="AK663" i="1" s="1"/>
  <c r="AK664" i="1" a="1"/>
  <c r="AK664" i="1" s="1"/>
  <c r="AK665" i="1" a="1"/>
  <c r="AK665" i="1" s="1"/>
  <c r="AK666" i="1" a="1"/>
  <c r="AK666" i="1" s="1"/>
  <c r="AK667" i="1" a="1"/>
  <c r="AK667" i="1" s="1"/>
  <c r="AK668" i="1" a="1"/>
  <c r="AK668" i="1" s="1"/>
  <c r="AK669" i="1" a="1"/>
  <c r="AK669" i="1" s="1"/>
  <c r="AK670" i="1" a="1"/>
  <c r="AK670" i="1"/>
  <c r="AK671" i="1" a="1"/>
  <c r="AK671" i="1" s="1"/>
  <c r="AK672" i="1" a="1"/>
  <c r="AK672" i="1" s="1"/>
  <c r="AK673" i="1" a="1"/>
  <c r="AK673" i="1" s="1"/>
  <c r="AK674" i="1" a="1"/>
  <c r="AK674" i="1" s="1"/>
  <c r="AK675" i="1" a="1"/>
  <c r="AK675" i="1" s="1"/>
  <c r="AK676" i="1" a="1"/>
  <c r="AK676" i="1" s="1"/>
  <c r="AK677" i="1" a="1"/>
  <c r="AK677" i="1" s="1"/>
  <c r="AK678" i="1" a="1"/>
  <c r="AK678" i="1" s="1"/>
  <c r="AK679" i="1" a="1"/>
  <c r="AK679" i="1" s="1"/>
  <c r="AK680" i="1" a="1"/>
  <c r="AK680" i="1" s="1"/>
  <c r="AK681" i="1" a="1"/>
  <c r="AK681" i="1" s="1"/>
  <c r="AK682" i="1" a="1"/>
  <c r="AK682" i="1" s="1"/>
  <c r="AK683" i="1" a="1"/>
  <c r="AK683" i="1" s="1"/>
  <c r="AK684" i="1" a="1"/>
  <c r="AK684" i="1" s="1"/>
  <c r="AK685" i="1" a="1"/>
  <c r="AK685" i="1" s="1"/>
  <c r="AK686" i="1" a="1"/>
  <c r="AK686" i="1" s="1"/>
  <c r="AK687" i="1" a="1"/>
  <c r="AK687" i="1" s="1"/>
  <c r="AK688" i="1" a="1"/>
  <c r="AK688" i="1" s="1"/>
  <c r="AK689" i="1" a="1"/>
  <c r="AK689" i="1" s="1"/>
  <c r="AK690" i="1" a="1"/>
  <c r="AK690" i="1" s="1"/>
  <c r="AK691" i="1" a="1"/>
  <c r="AK691" i="1" s="1"/>
  <c r="AK692" i="1" a="1"/>
  <c r="AK692" i="1" s="1"/>
  <c r="AK693" i="1" a="1"/>
  <c r="AK693" i="1" s="1"/>
  <c r="AK694" i="1" a="1"/>
  <c r="AK694" i="1" s="1"/>
  <c r="AK695" i="1" a="1"/>
  <c r="AK695" i="1" s="1"/>
  <c r="AK696" i="1" a="1"/>
  <c r="AK696" i="1" s="1"/>
  <c r="AK697" i="1" a="1"/>
  <c r="AK697" i="1" s="1"/>
  <c r="AK698" i="1" a="1"/>
  <c r="AK698" i="1" s="1"/>
  <c r="AK699" i="1" a="1"/>
  <c r="AK699" i="1" s="1"/>
  <c r="AK700" i="1" a="1"/>
  <c r="AK700" i="1" s="1"/>
  <c r="AK701" i="1" a="1"/>
  <c r="AK701" i="1" s="1"/>
  <c r="AK702" i="1" a="1"/>
  <c r="AK702" i="1" s="1"/>
  <c r="AK703" i="1" a="1"/>
  <c r="AK703" i="1" s="1"/>
  <c r="AK704" i="1" a="1"/>
  <c r="AK704" i="1" s="1"/>
  <c r="AK705" i="1" a="1"/>
  <c r="AK705" i="1" s="1"/>
  <c r="AK706" i="1" a="1"/>
  <c r="AK706" i="1" s="1"/>
  <c r="AK707" i="1" a="1"/>
  <c r="AK707" i="1" s="1"/>
  <c r="AK708" i="1" a="1"/>
  <c r="AK708" i="1" s="1"/>
  <c r="AK709" i="1" a="1"/>
  <c r="AK709" i="1" s="1"/>
  <c r="AK710" i="1" a="1"/>
  <c r="AK710" i="1" s="1"/>
  <c r="AK711" i="1" a="1"/>
  <c r="AK711" i="1" s="1"/>
  <c r="AK712" i="1" a="1"/>
  <c r="AK712" i="1" s="1"/>
  <c r="AK713" i="1" a="1"/>
  <c r="AK713" i="1" s="1"/>
  <c r="AK714" i="1" a="1"/>
  <c r="AK714" i="1" s="1"/>
  <c r="AK715" i="1" a="1"/>
  <c r="AK715" i="1" s="1"/>
  <c r="AK716" i="1" a="1"/>
  <c r="AK716" i="1" s="1"/>
  <c r="AK717" i="1" a="1"/>
  <c r="AK717" i="1" s="1"/>
  <c r="AK718" i="1" a="1"/>
  <c r="AK718" i="1" s="1"/>
  <c r="AK719" i="1" a="1"/>
  <c r="AK719" i="1" s="1"/>
  <c r="AK720" i="1" a="1"/>
  <c r="AK720" i="1" s="1"/>
  <c r="AK721" i="1" a="1"/>
  <c r="AK721" i="1" s="1"/>
  <c r="AK722" i="1" a="1"/>
  <c r="AK722" i="1" s="1"/>
  <c r="AK723" i="1" a="1"/>
  <c r="AK723" i="1" s="1"/>
  <c r="AK724" i="1" a="1"/>
  <c r="AK724" i="1" s="1"/>
  <c r="AK725" i="1" a="1"/>
  <c r="AK725" i="1" s="1"/>
  <c r="AK726" i="1" a="1"/>
  <c r="AK726" i="1" s="1"/>
  <c r="AK727" i="1" a="1"/>
  <c r="AK727" i="1" s="1"/>
  <c r="AK728" i="1" a="1"/>
  <c r="AK728" i="1" s="1"/>
  <c r="AK729" i="1" a="1"/>
  <c r="AK729" i="1" s="1"/>
  <c r="AK730" i="1" a="1"/>
  <c r="AK730" i="1" s="1"/>
  <c r="AK731" i="1" a="1"/>
  <c r="AK731" i="1" s="1"/>
  <c r="AK732" i="1" a="1"/>
  <c r="AK732" i="1" s="1"/>
  <c r="AK733" i="1" a="1"/>
  <c r="AK733" i="1" s="1"/>
  <c r="AK734" i="1" a="1"/>
  <c r="AK734" i="1" s="1"/>
  <c r="AK735" i="1" a="1"/>
  <c r="AK735" i="1" s="1"/>
  <c r="AK736" i="1" a="1"/>
  <c r="AK736" i="1" s="1"/>
  <c r="AK737" i="1" a="1"/>
  <c r="AK737" i="1" s="1"/>
  <c r="AK738" i="1" a="1"/>
  <c r="AK738" i="1" s="1"/>
  <c r="AK739" i="1" a="1"/>
  <c r="AK739" i="1" s="1"/>
  <c r="AK740" i="1" a="1"/>
  <c r="AK740" i="1" s="1"/>
  <c r="AK741" i="1" a="1"/>
  <c r="AK741" i="1" s="1"/>
  <c r="AK742" i="1" a="1"/>
  <c r="AK742" i="1" s="1"/>
  <c r="AK743" i="1" a="1"/>
  <c r="AK743" i="1" s="1"/>
  <c r="AK744" i="1" a="1"/>
  <c r="AK744" i="1" s="1"/>
  <c r="AK745" i="1" a="1"/>
  <c r="AK745" i="1" s="1"/>
  <c r="AK746" i="1" a="1"/>
  <c r="AK746" i="1" s="1"/>
  <c r="AK747" i="1" a="1"/>
  <c r="AK747" i="1" s="1"/>
  <c r="AK748" i="1" a="1"/>
  <c r="AK748" i="1" s="1"/>
  <c r="AK749" i="1" a="1"/>
  <c r="AK749" i="1" s="1"/>
  <c r="AK750" i="1" a="1"/>
  <c r="AK750" i="1" s="1"/>
  <c r="AK751" i="1" a="1"/>
  <c r="AK751" i="1" s="1"/>
  <c r="AK752" i="1" a="1"/>
  <c r="AK752" i="1" s="1"/>
  <c r="AK753" i="1" a="1"/>
  <c r="AK753" i="1" s="1"/>
  <c r="AK754" i="1" a="1"/>
  <c r="AK754" i="1" s="1"/>
  <c r="AK755" i="1" a="1"/>
  <c r="AK755" i="1" s="1"/>
  <c r="AK756" i="1" a="1"/>
  <c r="AK756" i="1" s="1"/>
  <c r="AK757" i="1" a="1"/>
  <c r="AK757" i="1"/>
  <c r="AK758" i="1" a="1"/>
  <c r="AK758" i="1" s="1"/>
  <c r="AK759" i="1" a="1"/>
  <c r="AK759" i="1" s="1"/>
  <c r="AK760" i="1" a="1"/>
  <c r="AK760" i="1" s="1"/>
  <c r="AK761" i="1" a="1"/>
  <c r="AK761" i="1" s="1"/>
  <c r="AK762" i="1" a="1"/>
  <c r="AK762" i="1" s="1"/>
  <c r="AK763" i="1" a="1"/>
  <c r="AK763" i="1" s="1"/>
  <c r="AK764" i="1" a="1"/>
  <c r="AK764" i="1" s="1"/>
  <c r="AK765" i="1" a="1"/>
  <c r="AK765" i="1" s="1"/>
  <c r="AK766" i="1" a="1"/>
  <c r="AK766" i="1" s="1"/>
  <c r="AK767" i="1" a="1"/>
  <c r="AK767" i="1" s="1"/>
  <c r="AK768" i="1" a="1"/>
  <c r="AK768" i="1" s="1"/>
  <c r="AK769" i="1" a="1"/>
  <c r="AK769" i="1" s="1"/>
  <c r="AK770" i="1" a="1"/>
  <c r="AK770" i="1" s="1"/>
  <c r="AK771" i="1" a="1"/>
  <c r="AK771" i="1" s="1"/>
  <c r="AK772" i="1" a="1"/>
  <c r="AK772" i="1" s="1"/>
  <c r="AK773" i="1" a="1"/>
  <c r="AK773" i="1" s="1"/>
  <c r="AK774" i="1" a="1"/>
  <c r="AK774" i="1" s="1"/>
  <c r="AK775" i="1" a="1"/>
  <c r="AK775" i="1" s="1"/>
  <c r="AK776" i="1" a="1"/>
  <c r="AK776" i="1" s="1"/>
  <c r="AK777" i="1" a="1"/>
  <c r="AK777" i="1" s="1"/>
  <c r="AK778" i="1" a="1"/>
  <c r="AK778" i="1" s="1"/>
  <c r="AK779" i="1" a="1"/>
  <c r="AK779" i="1" s="1"/>
  <c r="AK780" i="1" a="1"/>
  <c r="AK780" i="1" s="1"/>
  <c r="AK781" i="1" a="1"/>
  <c r="AK781" i="1" s="1"/>
  <c r="AK782" i="1" a="1"/>
  <c r="AK782" i="1" s="1"/>
  <c r="AK783" i="1" a="1"/>
  <c r="AK783" i="1" s="1"/>
  <c r="AK784" i="1" a="1"/>
  <c r="AK784" i="1" s="1"/>
  <c r="AK785" i="1" a="1"/>
  <c r="AK785" i="1" s="1"/>
  <c r="AK786" i="1" a="1"/>
  <c r="AK786" i="1" s="1"/>
  <c r="AK787" i="1" a="1"/>
  <c r="AK787" i="1" s="1"/>
  <c r="AK788" i="1" a="1"/>
  <c r="AK788" i="1" s="1"/>
  <c r="AK789" i="1" a="1"/>
  <c r="AK789" i="1" s="1"/>
  <c r="AK790" i="1" a="1"/>
  <c r="AK790" i="1" s="1"/>
  <c r="AK791" i="1" a="1"/>
  <c r="AK791" i="1" s="1"/>
  <c r="AK792" i="1" a="1"/>
  <c r="AK792" i="1" s="1"/>
  <c r="AK793" i="1" a="1"/>
  <c r="AK793" i="1" s="1"/>
  <c r="AK794" i="1" a="1"/>
  <c r="AK794" i="1" s="1"/>
  <c r="AK795" i="1" a="1"/>
  <c r="AK795" i="1" s="1"/>
  <c r="AK796" i="1" a="1"/>
  <c r="AK796" i="1" s="1"/>
  <c r="AK797" i="1" a="1"/>
  <c r="AK797" i="1" s="1"/>
  <c r="AK798" i="1" a="1"/>
  <c r="AK798" i="1" s="1"/>
  <c r="AK799" i="1" a="1"/>
  <c r="AK799" i="1" s="1"/>
  <c r="AK800" i="1" a="1"/>
  <c r="AK800" i="1" s="1"/>
  <c r="AK801" i="1" a="1"/>
  <c r="AK801" i="1" s="1"/>
  <c r="AK802" i="1" a="1"/>
  <c r="AK802" i="1" s="1"/>
  <c r="AK803" i="1" a="1"/>
  <c r="AK803" i="1" s="1"/>
  <c r="AK804" i="1" a="1"/>
  <c r="AK804" i="1" s="1"/>
  <c r="AK805" i="1" a="1"/>
  <c r="AK805" i="1"/>
  <c r="AK806" i="1" a="1"/>
  <c r="AK806" i="1" s="1"/>
  <c r="AK807" i="1" a="1"/>
  <c r="AK807" i="1" s="1"/>
  <c r="AK808" i="1" a="1"/>
  <c r="AK808" i="1" s="1"/>
  <c r="AK809" i="1" a="1"/>
  <c r="AK809" i="1" s="1"/>
  <c r="AK810" i="1" a="1"/>
  <c r="AK810" i="1" s="1"/>
  <c r="AK811" i="1" a="1"/>
  <c r="AK811" i="1" s="1"/>
  <c r="AK812" i="1" a="1"/>
  <c r="AK812" i="1" s="1"/>
  <c r="AK813" i="1" a="1"/>
  <c r="AK813" i="1" s="1"/>
  <c r="AK814" i="1" a="1"/>
  <c r="AK814" i="1" s="1"/>
  <c r="AK815" i="1" a="1"/>
  <c r="AK815" i="1" s="1"/>
  <c r="AK816" i="1" a="1"/>
  <c r="AK816" i="1" s="1"/>
  <c r="AK817" i="1" a="1"/>
  <c r="AK817" i="1" s="1"/>
  <c r="AK818" i="1" a="1"/>
  <c r="AK818" i="1" s="1"/>
  <c r="AK819" i="1" a="1"/>
  <c r="AK819" i="1" s="1"/>
  <c r="AK820" i="1" a="1"/>
  <c r="AK820" i="1" s="1"/>
  <c r="AK821" i="1" a="1"/>
  <c r="AK821" i="1" s="1"/>
  <c r="AK822" i="1" a="1"/>
  <c r="AK822" i="1" s="1"/>
  <c r="AK823" i="1" a="1"/>
  <c r="AK823" i="1" s="1"/>
  <c r="AK824" i="1" a="1"/>
  <c r="AK824" i="1" s="1"/>
  <c r="AK825" i="1" a="1"/>
  <c r="AK825" i="1" s="1"/>
  <c r="AK826" i="1" a="1"/>
  <c r="AK826" i="1" s="1"/>
  <c r="AK827" i="1" a="1"/>
  <c r="AK827" i="1" s="1"/>
  <c r="AK828" i="1" a="1"/>
  <c r="AK828" i="1" s="1"/>
  <c r="AK829" i="1" a="1"/>
  <c r="AK829" i="1" s="1"/>
  <c r="AK830" i="1" a="1"/>
  <c r="AK830" i="1" s="1"/>
  <c r="AK831" i="1" a="1"/>
  <c r="AK831" i="1" s="1"/>
  <c r="AK832" i="1" a="1"/>
  <c r="AK832" i="1"/>
  <c r="AK833" i="1" a="1"/>
  <c r="AK833" i="1" s="1"/>
  <c r="AK834" i="1" a="1"/>
  <c r="AK834" i="1" s="1"/>
  <c r="AK835" i="1" a="1"/>
  <c r="AK835" i="1" s="1"/>
  <c r="AK836" i="1" a="1"/>
  <c r="AK836" i="1" s="1"/>
  <c r="AK837" i="1" a="1"/>
  <c r="AK837" i="1" s="1"/>
  <c r="AK838" i="1" a="1"/>
  <c r="AK838" i="1" s="1"/>
  <c r="AK839" i="1" a="1"/>
  <c r="AK839" i="1" s="1"/>
  <c r="AK840" i="1" a="1"/>
  <c r="AK840" i="1" s="1"/>
  <c r="AK841" i="1" a="1"/>
  <c r="AK841" i="1" s="1"/>
  <c r="AK842" i="1" a="1"/>
  <c r="AK842" i="1" s="1"/>
  <c r="AK843" i="1" a="1"/>
  <c r="AK843" i="1" s="1"/>
  <c r="AK844" i="1" a="1"/>
  <c r="AK844" i="1" s="1"/>
  <c r="AK845" i="1" a="1"/>
  <c r="AK845" i="1" s="1"/>
  <c r="AK846" i="1" a="1"/>
  <c r="AK846" i="1" s="1"/>
  <c r="AK847" i="1" a="1"/>
  <c r="AK847" i="1" s="1"/>
  <c r="AK848" i="1" a="1"/>
  <c r="AK848" i="1" s="1"/>
  <c r="AK849" i="1" a="1"/>
  <c r="AK849" i="1" s="1"/>
  <c r="AK850" i="1" a="1"/>
  <c r="AK850" i="1" s="1"/>
  <c r="AK851" i="1" a="1"/>
  <c r="AK851" i="1" s="1"/>
  <c r="AK852" i="1" a="1"/>
  <c r="AK852" i="1" s="1"/>
  <c r="AK853" i="1" a="1"/>
  <c r="AK853" i="1" s="1"/>
  <c r="AK854" i="1" a="1"/>
  <c r="AK854" i="1" s="1"/>
  <c r="AK855" i="1" a="1"/>
  <c r="AK855" i="1" s="1"/>
  <c r="AK856" i="1" a="1"/>
  <c r="AK856" i="1" s="1"/>
  <c r="AK857" i="1" a="1"/>
  <c r="AK857" i="1" s="1"/>
  <c r="AK858" i="1" a="1"/>
  <c r="AK858" i="1" s="1"/>
  <c r="AK859" i="1" a="1"/>
  <c r="AK859" i="1" s="1"/>
  <c r="AK860" i="1" a="1"/>
  <c r="AK860" i="1" s="1"/>
  <c r="AK861" i="1" a="1"/>
  <c r="AK861" i="1" s="1"/>
  <c r="AK862" i="1" a="1"/>
  <c r="AK862" i="1" s="1"/>
  <c r="AK863" i="1" a="1"/>
  <c r="AK863" i="1" s="1"/>
  <c r="AK864" i="1" a="1"/>
  <c r="AK864" i="1" s="1"/>
  <c r="AK865" i="1" a="1"/>
  <c r="AK865" i="1" s="1"/>
  <c r="AK866" i="1" a="1"/>
  <c r="AK866" i="1" s="1"/>
  <c r="AK867" i="1" a="1"/>
  <c r="AK867" i="1" s="1"/>
  <c r="AK868" i="1" a="1"/>
  <c r="AK868" i="1" s="1"/>
  <c r="AK869" i="1" a="1"/>
  <c r="AK869" i="1" s="1"/>
  <c r="AK870" i="1" a="1"/>
  <c r="AK870" i="1" s="1"/>
  <c r="AK871" i="1" a="1"/>
  <c r="AK871" i="1" s="1"/>
  <c r="AK872" i="1" a="1"/>
  <c r="AK872" i="1" s="1"/>
  <c r="AK873" i="1" a="1"/>
  <c r="AK873" i="1" s="1"/>
  <c r="AK874" i="1" a="1"/>
  <c r="AK874" i="1" s="1"/>
  <c r="AK875" i="1" a="1"/>
  <c r="AK875" i="1" s="1"/>
  <c r="AK876" i="1" a="1"/>
  <c r="AK876" i="1" s="1"/>
  <c r="AK877" i="1" a="1"/>
  <c r="AK877" i="1" s="1"/>
  <c r="AK878" i="1" a="1"/>
  <c r="AK878" i="1" s="1"/>
  <c r="AK879" i="1" a="1"/>
  <c r="AK879" i="1" s="1"/>
  <c r="AK880" i="1" a="1"/>
  <c r="AK880" i="1" s="1"/>
  <c r="AK881" i="1" a="1"/>
  <c r="AK881" i="1" s="1"/>
  <c r="AK882" i="1" a="1"/>
  <c r="AK882" i="1" s="1"/>
  <c r="AK883" i="1" a="1"/>
  <c r="AK883" i="1" s="1"/>
  <c r="AK884" i="1" a="1"/>
  <c r="AK884" i="1" s="1"/>
  <c r="AK885" i="1" a="1"/>
  <c r="AK885" i="1" s="1"/>
  <c r="AK886" i="1" a="1"/>
  <c r="AK886" i="1" s="1"/>
  <c r="AK887" i="1" a="1"/>
  <c r="AK887" i="1" s="1"/>
  <c r="AK888" i="1" a="1"/>
  <c r="AK888" i="1" s="1"/>
  <c r="AK889" i="1" a="1"/>
  <c r="AK889" i="1" s="1"/>
  <c r="AK890" i="1" a="1"/>
  <c r="AK890" i="1" s="1"/>
  <c r="AK891" i="1" a="1"/>
  <c r="AK891" i="1" s="1"/>
  <c r="AK892" i="1" a="1"/>
  <c r="AK892" i="1" s="1"/>
  <c r="AK893" i="1" a="1"/>
  <c r="AK893" i="1" s="1"/>
  <c r="AK894" i="1" a="1"/>
  <c r="AK894" i="1" s="1"/>
  <c r="AK895" i="1" a="1"/>
  <c r="AK895" i="1" s="1"/>
  <c r="AK896" i="1" a="1"/>
  <c r="AK896" i="1" s="1"/>
  <c r="AK897" i="1" a="1"/>
  <c r="AK897" i="1"/>
  <c r="AK898" i="1" a="1"/>
  <c r="AK898" i="1" s="1"/>
  <c r="AK899" i="1" a="1"/>
  <c r="AK899" i="1" s="1"/>
  <c r="AK900" i="1" a="1"/>
  <c r="AK900" i="1" s="1"/>
  <c r="AK901" i="1" a="1"/>
  <c r="AK901" i="1" s="1"/>
  <c r="AK902" i="1" a="1"/>
  <c r="AK902" i="1" s="1"/>
  <c r="AK903" i="1" a="1"/>
  <c r="AK903" i="1" s="1"/>
  <c r="AK904" i="1" a="1"/>
  <c r="AK904" i="1" s="1"/>
  <c r="AK905" i="1" a="1"/>
  <c r="AK905" i="1" s="1"/>
  <c r="AK906" i="1" a="1"/>
  <c r="AK906" i="1" s="1"/>
  <c r="AK907" i="1" a="1"/>
  <c r="AK907" i="1" s="1"/>
  <c r="AK908" i="1" a="1"/>
  <c r="AK908" i="1" s="1"/>
  <c r="AK909" i="1" a="1"/>
  <c r="AK909" i="1" s="1"/>
  <c r="AK910" i="1" a="1"/>
  <c r="AK910" i="1" s="1"/>
  <c r="AK911" i="1" a="1"/>
  <c r="AK911" i="1" s="1"/>
  <c r="AK912" i="1" a="1"/>
  <c r="AK912" i="1" s="1"/>
  <c r="AK913" i="1" a="1"/>
  <c r="AK913" i="1"/>
  <c r="AK914" i="1" a="1"/>
  <c r="AK914" i="1" s="1"/>
  <c r="AK915" i="1" a="1"/>
  <c r="AK915" i="1" s="1"/>
  <c r="AK916" i="1" a="1"/>
  <c r="AK916" i="1" s="1"/>
  <c r="AK917" i="1" a="1"/>
  <c r="AK917" i="1" s="1"/>
  <c r="AK918" i="1" a="1"/>
  <c r="AK918" i="1" s="1"/>
  <c r="AK919" i="1" a="1"/>
  <c r="AK919" i="1" s="1"/>
  <c r="AK920" i="1" a="1"/>
  <c r="AK920" i="1" s="1"/>
  <c r="AK921" i="1" a="1"/>
  <c r="AK921" i="1" s="1"/>
  <c r="AK922" i="1" a="1"/>
  <c r="AK922" i="1" s="1"/>
  <c r="AK923" i="1" a="1"/>
  <c r="AK923" i="1" s="1"/>
  <c r="AK924" i="1" a="1"/>
  <c r="AK924" i="1" s="1"/>
  <c r="AK925" i="1" a="1"/>
  <c r="AK925" i="1" s="1"/>
  <c r="AK926" i="1" a="1"/>
  <c r="AK926" i="1" s="1"/>
  <c r="AK927" i="1" a="1"/>
  <c r="AK927" i="1" s="1"/>
  <c r="AK928" i="1" a="1"/>
  <c r="AK928" i="1" s="1"/>
  <c r="AK929" i="1" a="1"/>
  <c r="AK929" i="1" s="1"/>
  <c r="AK930" i="1" a="1"/>
  <c r="AK930" i="1" s="1"/>
  <c r="AK931" i="1" a="1"/>
  <c r="AK931" i="1" s="1"/>
  <c r="AK932" i="1" a="1"/>
  <c r="AK932" i="1" s="1"/>
  <c r="AK933" i="1" a="1"/>
  <c r="AK933" i="1" s="1"/>
  <c r="AK934" i="1" a="1"/>
  <c r="AK934" i="1" s="1"/>
  <c r="AK935" i="1" a="1"/>
  <c r="AK935" i="1"/>
  <c r="AK936" i="1" a="1"/>
  <c r="AK936" i="1" s="1"/>
  <c r="AK937" i="1" a="1"/>
  <c r="AK937" i="1" s="1"/>
  <c r="AK938" i="1" a="1"/>
  <c r="AK938" i="1" s="1"/>
  <c r="AK939" i="1" a="1"/>
  <c r="AK939" i="1" s="1"/>
  <c r="AK940" i="1" a="1"/>
  <c r="AK940" i="1" s="1"/>
  <c r="AK941" i="1" a="1"/>
  <c r="AK941" i="1" s="1"/>
  <c r="AK942" i="1" a="1"/>
  <c r="AK942" i="1" s="1"/>
  <c r="AK943" i="1" a="1"/>
  <c r="AK943" i="1" s="1"/>
  <c r="AK944" i="1" a="1"/>
  <c r="AK944" i="1" s="1"/>
  <c r="AK945" i="1" a="1"/>
  <c r="AK945" i="1" s="1"/>
  <c r="AK946" i="1" a="1"/>
  <c r="AK946" i="1" s="1"/>
  <c r="AK947" i="1" a="1"/>
  <c r="AK947" i="1" s="1"/>
  <c r="AK948" i="1" a="1"/>
  <c r="AK948" i="1" s="1"/>
  <c r="AK949" i="1" a="1"/>
  <c r="AK949" i="1" s="1"/>
  <c r="AK950" i="1" a="1"/>
  <c r="AK950" i="1" s="1"/>
  <c r="AK951" i="1" a="1"/>
  <c r="AK951" i="1" s="1"/>
  <c r="AK952" i="1" a="1"/>
  <c r="AK952" i="1" s="1"/>
  <c r="AK953" i="1" a="1"/>
  <c r="AK953" i="1" s="1"/>
  <c r="AK954" i="1" a="1"/>
  <c r="AK954" i="1" s="1"/>
  <c r="AK955" i="1" a="1"/>
  <c r="AK955" i="1" s="1"/>
  <c r="AK956" i="1" a="1"/>
  <c r="AK956" i="1" s="1"/>
  <c r="AK957" i="1" a="1"/>
  <c r="AK957" i="1" s="1"/>
  <c r="AK958" i="1" a="1"/>
  <c r="AK958" i="1" s="1"/>
  <c r="AK959" i="1" a="1"/>
  <c r="AK959" i="1" s="1"/>
  <c r="AK960" i="1" a="1"/>
  <c r="AK960" i="1" s="1"/>
  <c r="AK961" i="1" a="1"/>
  <c r="AK961" i="1" s="1"/>
  <c r="AK962" i="1" a="1"/>
  <c r="AK962" i="1" s="1"/>
  <c r="AK963" i="1" a="1"/>
  <c r="AK963" i="1" s="1"/>
  <c r="AK964" i="1" a="1"/>
  <c r="AK964" i="1" s="1"/>
  <c r="AK965" i="1" a="1"/>
  <c r="AK965" i="1" s="1"/>
  <c r="AK966" i="1" a="1"/>
  <c r="AK966" i="1" s="1"/>
  <c r="AK967" i="1" a="1"/>
  <c r="AK967" i="1" s="1"/>
  <c r="AK968" i="1" a="1"/>
  <c r="AK968" i="1" s="1"/>
  <c r="AK969" i="1" a="1"/>
  <c r="AK969" i="1" s="1"/>
  <c r="AK970" i="1" a="1"/>
  <c r="AK970" i="1" s="1"/>
  <c r="AK971" i="1" a="1"/>
  <c r="AK971"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981" i="1" a="1"/>
  <c r="AK981" i="1" s="1"/>
  <c r="AK982" i="1" a="1"/>
  <c r="AK982" i="1" s="1"/>
  <c r="AK983" i="1" a="1"/>
  <c r="AK983" i="1" s="1"/>
  <c r="AK984" i="1" a="1"/>
  <c r="AK984" i="1" s="1"/>
  <c r="AK985" i="1" a="1"/>
  <c r="AK985" i="1" s="1"/>
  <c r="AK986" i="1" a="1"/>
  <c r="AK986" i="1" s="1"/>
  <c r="AK987" i="1" a="1"/>
  <c r="AK987" i="1" s="1"/>
  <c r="AK988" i="1" a="1"/>
  <c r="AK988" i="1" s="1"/>
  <c r="AK989" i="1" a="1"/>
  <c r="AK989" i="1" s="1"/>
  <c r="AK990" i="1" a="1"/>
  <c r="AK990" i="1" s="1"/>
  <c r="AK991" i="1" a="1"/>
  <c r="AK991" i="1" s="1"/>
  <c r="AK992" i="1" a="1"/>
  <c r="AK992" i="1" s="1"/>
  <c r="AK993" i="1" a="1"/>
  <c r="AK993" i="1"/>
  <c r="AK994" i="1" a="1"/>
  <c r="AK994" i="1" s="1"/>
  <c r="AK995" i="1" a="1"/>
  <c r="AK995" i="1" s="1"/>
  <c r="AK996" i="1" a="1"/>
  <c r="AK996" i="1" s="1"/>
  <c r="AK997" i="1" a="1"/>
  <c r="AK997" i="1" s="1"/>
  <c r="AK998" i="1" a="1"/>
  <c r="AK998" i="1" s="1"/>
  <c r="AK999" i="1" a="1"/>
  <c r="AK999" i="1" s="1"/>
  <c r="AK1000" i="1" a="1"/>
  <c r="AK1000" i="1" s="1"/>
  <c r="AK1001" i="1" a="1"/>
  <c r="AK1001" i="1" s="1"/>
  <c r="AK1002" i="1" a="1"/>
  <c r="AK1002" i="1" s="1"/>
  <c r="AK1003" i="1" a="1"/>
  <c r="AK1003" i="1" s="1"/>
  <c r="AK1004" i="1" a="1"/>
  <c r="AK1004" i="1" s="1"/>
  <c r="AK1005" i="1" a="1"/>
  <c r="AK1005" i="1" s="1"/>
  <c r="AK1006" i="1" a="1"/>
  <c r="AK1006" i="1" s="1"/>
  <c r="AK1007" i="1" a="1"/>
  <c r="AK1007" i="1" s="1"/>
  <c r="AK1008" i="1" a="1"/>
  <c r="AK1008" i="1" s="1"/>
  <c r="AK1009" i="1" a="1"/>
  <c r="AK1009" i="1" s="1"/>
  <c r="AK1010" i="1" a="1"/>
  <c r="AK1010" i="1" s="1"/>
  <c r="AK1011" i="1" a="1"/>
  <c r="AK1011" i="1" s="1"/>
  <c r="AK1012" i="1" a="1"/>
  <c r="AK1012" i="1" s="1"/>
  <c r="AK1013" i="1" a="1"/>
  <c r="AK1013" i="1" s="1"/>
  <c r="AK1014" i="1" a="1"/>
  <c r="AK1014" i="1" s="1"/>
  <c r="AK1015" i="1" a="1"/>
  <c r="AK1015" i="1" s="1"/>
  <c r="AK1016" i="1" a="1"/>
  <c r="AK1016" i="1" s="1"/>
  <c r="AK1017" i="1" a="1"/>
  <c r="AK1017" i="1" s="1"/>
  <c r="AK1018" i="1" a="1"/>
  <c r="AK1018" i="1" s="1"/>
  <c r="AK1019" i="1" a="1"/>
  <c r="AK1019" i="1" s="1"/>
  <c r="AK1020" i="1" a="1"/>
  <c r="AK1020" i="1" s="1"/>
  <c r="AK1021" i="1" a="1"/>
  <c r="AK1021" i="1" s="1"/>
  <c r="AK1022" i="1" a="1"/>
  <c r="AK1022" i="1" s="1"/>
  <c r="AK1023" i="1" a="1"/>
  <c r="AK1023" i="1" s="1"/>
  <c r="AK1024" i="1" a="1"/>
  <c r="AK1024" i="1" s="1"/>
  <c r="AK1025" i="1" a="1"/>
  <c r="AK1025" i="1" s="1"/>
  <c r="AK1026" i="1" a="1"/>
  <c r="AK1026" i="1" s="1"/>
  <c r="AK1027" i="1" a="1"/>
  <c r="AK1027" i="1" s="1"/>
  <c r="AK1028" i="1" a="1"/>
  <c r="AK1028" i="1" s="1"/>
  <c r="AK1029" i="1" a="1"/>
  <c r="AK1029" i="1" s="1"/>
  <c r="AK1030" i="1" a="1"/>
  <c r="AK1030" i="1" s="1"/>
  <c r="AK1031" i="1" a="1"/>
  <c r="AK1031" i="1" s="1"/>
  <c r="AK1032" i="1" a="1"/>
  <c r="AK1032" i="1" s="1"/>
  <c r="AK1033" i="1" a="1"/>
  <c r="AK1033" i="1" s="1"/>
  <c r="AK1034" i="1" a="1"/>
  <c r="AK1034" i="1" s="1"/>
  <c r="AK1035" i="1" a="1"/>
  <c r="AK1035" i="1" s="1"/>
  <c r="AK1036" i="1" a="1"/>
  <c r="AK1036" i="1" s="1"/>
  <c r="AK1037" i="1" a="1"/>
  <c r="AK1037" i="1" s="1"/>
  <c r="AK1038" i="1" a="1"/>
  <c r="AK1038" i="1" s="1"/>
  <c r="AK1039" i="1" a="1"/>
  <c r="AK1039" i="1" s="1"/>
  <c r="AK1040" i="1" a="1"/>
  <c r="AK1040" i="1" s="1"/>
  <c r="AK1041" i="1" a="1"/>
  <c r="AK1041" i="1" s="1"/>
  <c r="AK1042" i="1" a="1"/>
  <c r="AK1042" i="1" s="1"/>
  <c r="AK1043" i="1" a="1"/>
  <c r="AK1043" i="1" s="1"/>
  <c r="AK1044" i="1" a="1"/>
  <c r="AK1044" i="1" s="1"/>
  <c r="AK1045" i="1" a="1"/>
  <c r="AK1045" i="1"/>
  <c r="AK1046" i="1" a="1"/>
  <c r="AK1046" i="1" s="1"/>
  <c r="AK1047" i="1" a="1"/>
  <c r="AK1047" i="1" s="1"/>
  <c r="AK1048" i="1" a="1"/>
  <c r="AK1048" i="1" s="1"/>
  <c r="AK1049" i="1" a="1"/>
  <c r="AK1049" i="1" s="1"/>
  <c r="AK1050" i="1" a="1"/>
  <c r="AK1050" i="1" s="1"/>
  <c r="AK1051" i="1" a="1"/>
  <c r="AK1051" i="1" s="1"/>
  <c r="AK1052" i="1" a="1"/>
  <c r="AK1052" i="1"/>
  <c r="AK1053" i="1" a="1"/>
  <c r="AK1053" i="1" s="1"/>
  <c r="AK1054" i="1" a="1"/>
  <c r="AK1054" i="1" s="1"/>
  <c r="AK1055" i="1" a="1"/>
  <c r="AK1055" i="1" s="1"/>
  <c r="AK1056" i="1" a="1"/>
  <c r="AK1056" i="1" s="1"/>
  <c r="AK1057" i="1" a="1"/>
  <c r="AK1057" i="1" s="1"/>
  <c r="AK1058" i="1" a="1"/>
  <c r="AK1058" i="1" s="1"/>
  <c r="AK1059" i="1" a="1"/>
  <c r="AK1059" i="1" s="1"/>
  <c r="AK1060" i="1" a="1"/>
  <c r="AK1060" i="1" s="1"/>
  <c r="AK1061" i="1" a="1"/>
  <c r="AK1061" i="1" s="1"/>
  <c r="AK1062" i="1" a="1"/>
  <c r="AK1062" i="1" s="1"/>
  <c r="AK1063" i="1" a="1"/>
  <c r="AK1063" i="1" s="1"/>
  <c r="AK1064" i="1" a="1"/>
  <c r="AK1064" i="1" s="1"/>
  <c r="AK1065" i="1" a="1"/>
  <c r="AK1065" i="1" s="1"/>
  <c r="AK1066" i="1" a="1"/>
  <c r="AK1066" i="1" s="1"/>
  <c r="AK1067" i="1" a="1"/>
  <c r="AK1067" i="1" s="1"/>
  <c r="AK1068" i="1" a="1"/>
  <c r="AK1068" i="1" s="1"/>
  <c r="AK1069" i="1" a="1"/>
  <c r="AK1069" i="1" s="1"/>
  <c r="AK1070" i="1" a="1"/>
  <c r="AK1070" i="1" s="1"/>
  <c r="AK1071" i="1" a="1"/>
  <c r="AK1071" i="1" s="1"/>
  <c r="AK1072" i="1" a="1"/>
  <c r="AK1072" i="1" s="1"/>
  <c r="AK1073" i="1" a="1"/>
  <c r="AK1073" i="1" s="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s="1"/>
  <c r="AK1083" i="1" a="1"/>
  <c r="AK1083" i="1" s="1"/>
  <c r="AK1084" i="1" a="1"/>
  <c r="AK1084" i="1" s="1"/>
  <c r="AK1085" i="1" a="1"/>
  <c r="AK1085" i="1" s="1"/>
  <c r="AK1086" i="1" a="1"/>
  <c r="AK1086" i="1" s="1"/>
  <c r="AK1087" i="1" a="1"/>
  <c r="AK1087" i="1" s="1"/>
  <c r="AK1088" i="1" a="1"/>
  <c r="AK1088" i="1" s="1"/>
  <c r="AK1089" i="1" a="1"/>
  <c r="AK1089" i="1" s="1"/>
  <c r="AK1090" i="1" a="1"/>
  <c r="AK1090" i="1" s="1"/>
  <c r="AK1091" i="1" a="1"/>
  <c r="AK1091" i="1" s="1"/>
  <c r="AK1092" i="1" a="1"/>
  <c r="AK1092" i="1" s="1"/>
  <c r="AK1093" i="1" a="1"/>
  <c r="AK1093" i="1" s="1"/>
  <c r="AK1094" i="1" a="1"/>
  <c r="AK1094" i="1" s="1"/>
  <c r="AK1095" i="1" a="1"/>
  <c r="AK1095" i="1" s="1"/>
  <c r="AK1096" i="1" a="1"/>
  <c r="AK1096" i="1"/>
  <c r="AK1097" i="1" a="1"/>
  <c r="AK1097" i="1" s="1"/>
  <c r="AK1098" i="1" a="1"/>
  <c r="AK1098" i="1" s="1"/>
  <c r="AK1099" i="1" a="1"/>
  <c r="AK1099" i="1" s="1"/>
  <c r="AK1100" i="1" a="1"/>
  <c r="AK1100" i="1" s="1"/>
  <c r="AK1101" i="1" a="1"/>
  <c r="AK1101" i="1" s="1"/>
  <c r="AK1102" i="1" a="1"/>
  <c r="AK1102" i="1" s="1"/>
  <c r="AK1103" i="1" a="1"/>
  <c r="AK1103" i="1" s="1"/>
  <c r="AK1104" i="1" a="1"/>
  <c r="AK1104" i="1" s="1"/>
  <c r="AK1105" i="1" a="1"/>
  <c r="AK1105" i="1" s="1"/>
  <c r="AK1106" i="1" a="1"/>
  <c r="AK1106" i="1" s="1"/>
  <c r="AK1107" i="1" a="1"/>
  <c r="AK1107" i="1" s="1"/>
  <c r="AK1108" i="1" a="1"/>
  <c r="AK1108" i="1" s="1"/>
  <c r="AK1109" i="1" a="1"/>
  <c r="AK1109" i="1" s="1"/>
  <c r="AK1110" i="1" a="1"/>
  <c r="AK1110" i="1" s="1"/>
  <c r="AK1111" i="1" a="1"/>
  <c r="AK1111" i="1" s="1"/>
  <c r="AK1112" i="1" a="1"/>
  <c r="AK1112" i="1" s="1"/>
  <c r="AK1113" i="1" a="1"/>
  <c r="AK1113" i="1" s="1"/>
  <c r="AK1114" i="1" a="1"/>
  <c r="AK1114" i="1" s="1"/>
  <c r="AK1115" i="1" a="1"/>
  <c r="AK1115" i="1" s="1"/>
  <c r="AK1116" i="1" a="1"/>
  <c r="AK1116" i="1" s="1"/>
  <c r="AK1117" i="1" a="1"/>
  <c r="AK1117" i="1" s="1"/>
  <c r="AK1118" i="1" a="1"/>
  <c r="AK1118" i="1" s="1"/>
  <c r="AK1119" i="1" a="1"/>
  <c r="AK1119" i="1" s="1"/>
  <c r="AK1120" i="1" a="1"/>
  <c r="AK1120" i="1" s="1"/>
  <c r="AK1121" i="1" a="1"/>
  <c r="AK1121" i="1" s="1"/>
  <c r="AK1122" i="1" a="1"/>
  <c r="AK1122" i="1" s="1"/>
  <c r="AK1123" i="1" a="1"/>
  <c r="AK1123" i="1" s="1"/>
  <c r="AK1124" i="1" a="1"/>
  <c r="AK1124" i="1" s="1"/>
  <c r="AK1125" i="1" a="1"/>
  <c r="AK1125" i="1" s="1"/>
  <c r="AK1126" i="1" a="1"/>
  <c r="AK1126" i="1" s="1"/>
  <c r="AK1127" i="1" a="1"/>
  <c r="AK1127" i="1" s="1"/>
  <c r="AK1128" i="1" a="1"/>
  <c r="AK1128" i="1" s="1"/>
  <c r="AK1129" i="1" a="1"/>
  <c r="AK1129" i="1" s="1"/>
  <c r="AK1130" i="1" a="1"/>
  <c r="AK1130" i="1" s="1"/>
  <c r="AK1131" i="1" a="1"/>
  <c r="AK1131" i="1" s="1"/>
  <c r="AK1132" i="1" a="1"/>
  <c r="AK1132" i="1" s="1"/>
  <c r="AK1133" i="1" a="1"/>
  <c r="AK1133" i="1" s="1"/>
  <c r="AK1134" i="1" a="1"/>
  <c r="AK1134" i="1" s="1"/>
  <c r="AK1135" i="1" a="1"/>
  <c r="AK1135" i="1" s="1"/>
  <c r="AK1136" i="1" a="1"/>
  <c r="AK1136" i="1"/>
  <c r="AK1137" i="1" a="1"/>
  <c r="AK1137" i="1" s="1"/>
  <c r="AK1138" i="1" a="1"/>
  <c r="AK1138" i="1" s="1"/>
  <c r="AK1139" i="1" a="1"/>
  <c r="AK1139" i="1" s="1"/>
  <c r="AK1140" i="1" a="1"/>
  <c r="AK1140" i="1" s="1"/>
  <c r="AK1141" i="1" a="1"/>
  <c r="AK1141" i="1" s="1"/>
  <c r="AK1142" i="1" a="1"/>
  <c r="AK1142" i="1" s="1"/>
  <c r="AK1143" i="1" a="1"/>
  <c r="AK1143" i="1" s="1"/>
  <c r="AK1144" i="1" a="1"/>
  <c r="AK1144" i="1" s="1"/>
  <c r="AK1145" i="1" a="1"/>
  <c r="AK1145" i="1" s="1"/>
  <c r="AK1146" i="1" a="1"/>
  <c r="AK1146" i="1" s="1"/>
  <c r="AK1147" i="1" a="1"/>
  <c r="AK1147" i="1" s="1"/>
  <c r="AK1148" i="1" a="1"/>
  <c r="AK1148" i="1" s="1"/>
  <c r="AK1149" i="1" a="1"/>
  <c r="AK1149" i="1" s="1"/>
  <c r="AK1150" i="1" a="1"/>
  <c r="AK1150" i="1"/>
  <c r="AK1151" i="1" a="1"/>
  <c r="AK1151" i="1" s="1"/>
  <c r="AK1152" i="1" a="1"/>
  <c r="AK1152" i="1" s="1"/>
  <c r="AK1153" i="1" a="1"/>
  <c r="AK1153" i="1" s="1"/>
  <c r="AK1154" i="1" a="1"/>
  <c r="AK1154" i="1" s="1"/>
  <c r="AK1155" i="1" a="1"/>
  <c r="AK1155" i="1" s="1"/>
  <c r="AK1156" i="1" a="1"/>
  <c r="AK1156" i="1" s="1"/>
  <c r="AK1157" i="1" a="1"/>
  <c r="AK1157" i="1" s="1"/>
  <c r="AK1158" i="1" a="1"/>
  <c r="AK1158" i="1" s="1"/>
  <c r="AK1159" i="1" a="1"/>
  <c r="AK1159" i="1" s="1"/>
  <c r="AK1160" i="1" a="1"/>
  <c r="AK1160" i="1" s="1"/>
  <c r="AK1161" i="1" a="1"/>
  <c r="AK1161" i="1" s="1"/>
  <c r="AK1162" i="1" a="1"/>
  <c r="AK1162" i="1" s="1"/>
  <c r="AK1163" i="1" a="1"/>
  <c r="AK1163" i="1" s="1"/>
  <c r="AK1164" i="1" a="1"/>
  <c r="AK1164" i="1" s="1"/>
  <c r="AK1165" i="1" a="1"/>
  <c r="AK1165" i="1" s="1"/>
  <c r="AK1166" i="1" a="1"/>
  <c r="AK1166" i="1" s="1"/>
  <c r="AK1167" i="1" a="1"/>
  <c r="AK1167" i="1" s="1"/>
  <c r="AK1168" i="1" a="1"/>
  <c r="AK1168" i="1" s="1"/>
  <c r="AK1169" i="1" a="1"/>
  <c r="AK1169" i="1" s="1"/>
  <c r="AK1170" i="1" a="1"/>
  <c r="AK1170" i="1" s="1"/>
  <c r="AK1171" i="1" a="1"/>
  <c r="AK1171" i="1" s="1"/>
  <c r="AK1172" i="1" a="1"/>
  <c r="AK1172" i="1" s="1"/>
  <c r="AK1173" i="1" a="1"/>
  <c r="AK1173" i="1" s="1"/>
  <c r="AK1174" i="1" a="1"/>
  <c r="AK1174" i="1" s="1"/>
  <c r="AK1175" i="1" a="1"/>
  <c r="AK1175" i="1" s="1"/>
  <c r="AK1176" i="1" a="1"/>
  <c r="AK1176" i="1" s="1"/>
  <c r="AK1177" i="1" a="1"/>
  <c r="AK1177" i="1" s="1"/>
  <c r="AK1178" i="1" a="1"/>
  <c r="AK1178" i="1" s="1"/>
  <c r="AK1179" i="1" a="1"/>
  <c r="AK1179" i="1" s="1"/>
  <c r="AK1180" i="1" a="1"/>
  <c r="AK1180" i="1" s="1"/>
  <c r="AK1181" i="1" a="1"/>
  <c r="AK1181" i="1" s="1"/>
  <c r="AK1182" i="1" a="1"/>
  <c r="AK1182" i="1" s="1"/>
  <c r="AK1183" i="1" a="1"/>
  <c r="AK1183" i="1" s="1"/>
  <c r="AK1184" i="1" a="1"/>
  <c r="AK1184" i="1" s="1"/>
  <c r="AK1185" i="1" a="1"/>
  <c r="AK1185" i="1" s="1"/>
  <c r="AK1186" i="1" a="1"/>
  <c r="AK1186" i="1" s="1"/>
  <c r="AK1187" i="1" a="1"/>
  <c r="AK1187" i="1" s="1"/>
  <c r="AK1188" i="1" a="1"/>
  <c r="AK1188" i="1" s="1"/>
  <c r="AK1189" i="1" a="1"/>
  <c r="AK1189" i="1" s="1"/>
  <c r="AK1190" i="1" a="1"/>
  <c r="AK1190" i="1" s="1"/>
  <c r="AK1191" i="1" a="1"/>
  <c r="AK1191" i="1" s="1"/>
  <c r="AK1192" i="1" a="1"/>
  <c r="AK1192" i="1" s="1"/>
  <c r="AK1193" i="1" a="1"/>
  <c r="AK1193" i="1" s="1"/>
  <c r="AK1194" i="1" a="1"/>
  <c r="AK1194" i="1" s="1"/>
  <c r="AK1195" i="1" a="1"/>
  <c r="AK1195" i="1" s="1"/>
  <c r="AK1196" i="1" a="1"/>
  <c r="AK1196" i="1" s="1"/>
  <c r="AK1197" i="1" a="1"/>
  <c r="AK1197" i="1" s="1"/>
  <c r="AK1198" i="1" a="1"/>
  <c r="AK1198" i="1" s="1"/>
  <c r="AK1199" i="1" a="1"/>
  <c r="AK1199" i="1" s="1"/>
  <c r="AK1200" i="1" a="1"/>
  <c r="AK1200" i="1"/>
  <c r="AK1201" i="1" a="1"/>
  <c r="AK1201" i="1" s="1"/>
  <c r="AK1202" i="1" a="1"/>
  <c r="AK1202" i="1" s="1"/>
  <c r="AK1203" i="1" a="1"/>
  <c r="AK1203" i="1" s="1"/>
  <c r="AK1204" i="1" a="1"/>
  <c r="AK1204" i="1" s="1"/>
  <c r="AK1205" i="1" a="1"/>
  <c r="AK1205" i="1" s="1"/>
  <c r="AK1206" i="1" a="1"/>
  <c r="AK1206" i="1" s="1"/>
  <c r="AK1207" i="1" a="1"/>
  <c r="AK1207" i="1" s="1"/>
  <c r="AK1208" i="1" a="1"/>
  <c r="AK1208" i="1" s="1"/>
  <c r="AK1209" i="1" a="1"/>
  <c r="AK1209" i="1" s="1"/>
  <c r="AK1210" i="1" a="1"/>
  <c r="AK1210" i="1" s="1"/>
  <c r="AK1211" i="1" a="1"/>
  <c r="AK1211" i="1" s="1"/>
  <c r="AK1212" i="1" a="1"/>
  <c r="AK1212" i="1" s="1"/>
  <c r="AK1213" i="1" a="1"/>
  <c r="AK1213" i="1" s="1"/>
  <c r="AK1214" i="1" a="1"/>
  <c r="AK1214" i="1" s="1"/>
  <c r="AK1215" i="1" a="1"/>
  <c r="AK1215" i="1" s="1"/>
  <c r="AK1216" i="1" a="1"/>
  <c r="AK1216" i="1" s="1"/>
  <c r="AK1217" i="1" a="1"/>
  <c r="AK1217" i="1" s="1"/>
  <c r="AK1218" i="1" a="1"/>
  <c r="AK1218" i="1" s="1"/>
  <c r="AK1219" i="1" a="1"/>
  <c r="AK1219" i="1" s="1"/>
  <c r="AK1220" i="1" a="1"/>
  <c r="AK1220" i="1" s="1"/>
  <c r="AK1221" i="1" a="1"/>
  <c r="AK1221" i="1" s="1"/>
  <c r="AK1222" i="1" a="1"/>
  <c r="AK1222" i="1" s="1"/>
  <c r="AK1223" i="1" a="1"/>
  <c r="AK1223" i="1" s="1"/>
  <c r="AK1224" i="1" a="1"/>
  <c r="AK1224" i="1" s="1"/>
  <c r="AK1225" i="1" a="1"/>
  <c r="AK1225" i="1" s="1"/>
  <c r="AK1226" i="1" a="1"/>
  <c r="AK1226" i="1" s="1"/>
  <c r="AK1227" i="1" a="1"/>
  <c r="AK1227" i="1" s="1"/>
  <c r="AK1228" i="1" a="1"/>
  <c r="AK1228" i="1" s="1"/>
  <c r="AK1229" i="1" a="1"/>
  <c r="AK1229" i="1" s="1"/>
  <c r="AK1230" i="1" a="1"/>
  <c r="AK1230" i="1" s="1"/>
  <c r="AK1231" i="1" a="1"/>
  <c r="AK1231" i="1" s="1"/>
  <c r="AK1232" i="1" a="1"/>
  <c r="AK1232" i="1" s="1"/>
  <c r="AK1233" i="1" a="1"/>
  <c r="AK1233" i="1" s="1"/>
  <c r="AK1234" i="1" a="1"/>
  <c r="AK1234" i="1" s="1"/>
  <c r="AK1235" i="1" a="1"/>
  <c r="AK1235" i="1" s="1"/>
  <c r="AK1236" i="1" a="1"/>
  <c r="AK1236" i="1" s="1"/>
  <c r="AK1237" i="1" a="1"/>
  <c r="AK1237" i="1" s="1"/>
  <c r="AK1238" i="1" a="1"/>
  <c r="AK1238" i="1" s="1"/>
  <c r="AK1239" i="1" a="1"/>
  <c r="AK1239" i="1" s="1"/>
  <c r="AK1240" i="1" a="1"/>
  <c r="AK1240" i="1" s="1"/>
  <c r="AK1241" i="1" a="1"/>
  <c r="AK1241" i="1" s="1"/>
  <c r="AK1242" i="1" a="1"/>
  <c r="AK1242" i="1" s="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s="1"/>
  <c r="AK1253" i="1" a="1"/>
  <c r="AK1253" i="1" s="1"/>
  <c r="AK1254" i="1" a="1"/>
  <c r="AK1254" i="1" s="1"/>
  <c r="AK1255" i="1" a="1"/>
  <c r="AK1255" i="1" s="1"/>
  <c r="AK1256" i="1" a="1"/>
  <c r="AK1256" i="1" s="1"/>
  <c r="AK1257" i="1" a="1"/>
  <c r="AK1257" i="1" s="1"/>
  <c r="AK1258" i="1" a="1"/>
  <c r="AK1258" i="1"/>
  <c r="AK1259" i="1" a="1"/>
  <c r="AK1259" i="1" s="1"/>
  <c r="AK1260" i="1" a="1"/>
  <c r="AK1260" i="1" s="1"/>
  <c r="AK1261" i="1" a="1"/>
  <c r="AK1261" i="1" s="1"/>
  <c r="AK1262" i="1" a="1"/>
  <c r="AK1262" i="1" s="1"/>
  <c r="AK1263" i="1" a="1"/>
  <c r="AK1263" i="1" s="1"/>
  <c r="AK1264" i="1" a="1"/>
  <c r="AK1264" i="1" s="1"/>
  <c r="AK1265" i="1" a="1"/>
  <c r="AK1265" i="1" s="1"/>
  <c r="AK1266" i="1" a="1"/>
  <c r="AK1266" i="1" s="1"/>
  <c r="AK1267" i="1" a="1"/>
  <c r="AK1267" i="1" s="1"/>
  <c r="AK1268" i="1" a="1"/>
  <c r="AK1268" i="1" s="1"/>
  <c r="AK1269" i="1" a="1"/>
  <c r="AK1269" i="1" s="1"/>
  <c r="AK1270" i="1" a="1"/>
  <c r="AK1270" i="1" s="1"/>
  <c r="AK1271" i="1" a="1"/>
  <c r="AK1271" i="1" s="1"/>
  <c r="AK1272" i="1" a="1"/>
  <c r="AK1272" i="1"/>
  <c r="AK1273" i="1" a="1"/>
  <c r="AK1273" i="1" s="1"/>
  <c r="AK1274" i="1" a="1"/>
  <c r="AK1274" i="1" s="1"/>
  <c r="AK1275" i="1" a="1"/>
  <c r="AK1275" i="1" s="1"/>
  <c r="AK1276" i="1" a="1"/>
  <c r="AK1276" i="1" s="1"/>
  <c r="AK1277" i="1" a="1"/>
  <c r="AK1277" i="1" s="1"/>
  <c r="AK1278" i="1" a="1"/>
  <c r="AK1278" i="1" s="1"/>
  <c r="AK1279" i="1" a="1"/>
  <c r="AK1279" i="1" s="1"/>
  <c r="AK1280" i="1" a="1"/>
  <c r="AK1280" i="1" s="1"/>
  <c r="AK1281" i="1" a="1"/>
  <c r="AK1281" i="1" s="1"/>
  <c r="AK1282" i="1" a="1"/>
  <c r="AK1282" i="1" s="1"/>
  <c r="AK1283" i="1" a="1"/>
  <c r="AK1283" i="1" s="1"/>
  <c r="AK1284" i="1" a="1"/>
  <c r="AK1284" i="1" s="1"/>
  <c r="AK1285" i="1" a="1"/>
  <c r="AK1285" i="1" s="1"/>
  <c r="AK1286" i="1" a="1"/>
  <c r="AK1286" i="1" s="1"/>
  <c r="AK1287" i="1" a="1"/>
  <c r="AK1287" i="1" s="1"/>
  <c r="AK1288" i="1" a="1"/>
  <c r="AK1288" i="1" s="1"/>
  <c r="AK1289" i="1" a="1"/>
  <c r="AK1289" i="1" s="1"/>
  <c r="AK1290" i="1" a="1"/>
  <c r="AK1290" i="1"/>
  <c r="AK1291" i="1" a="1"/>
  <c r="AK1291" i="1" s="1"/>
  <c r="AK1292" i="1" a="1"/>
  <c r="AK1292" i="1" s="1"/>
  <c r="AK1293" i="1" a="1"/>
  <c r="AK1293" i="1" s="1"/>
  <c r="AK1294" i="1" a="1"/>
  <c r="AK1294" i="1" s="1"/>
  <c r="AK1295" i="1" a="1"/>
  <c r="AK1295" i="1" s="1"/>
  <c r="AK1296" i="1" a="1"/>
  <c r="AK1296" i="1" s="1"/>
  <c r="AK1297" i="1" a="1"/>
  <c r="AK1297" i="1" s="1"/>
  <c r="AK1298" i="1" a="1"/>
  <c r="AK1298" i="1" s="1"/>
  <c r="AK1299" i="1" a="1"/>
  <c r="AK1299" i="1" s="1"/>
  <c r="AK1300" i="1" a="1"/>
  <c r="AK1300" i="1" s="1"/>
  <c r="AK1301" i="1" a="1"/>
  <c r="AK1301" i="1" s="1"/>
  <c r="AK1302" i="1" a="1"/>
  <c r="AK1302" i="1" s="1"/>
  <c r="AK1303" i="1" a="1"/>
  <c r="AK1303" i="1" s="1"/>
  <c r="AK1304" i="1" a="1"/>
  <c r="AK1304" i="1" s="1"/>
  <c r="AK1305" i="1" a="1"/>
  <c r="AK1305" i="1" s="1"/>
  <c r="AK1306" i="1" a="1"/>
  <c r="AK1306" i="1" s="1"/>
  <c r="AK1307" i="1" a="1"/>
  <c r="AK1307" i="1" s="1"/>
  <c r="AK1308" i="1" a="1"/>
  <c r="AK1308" i="1" s="1"/>
  <c r="AK1309" i="1" a="1"/>
  <c r="AK1309" i="1" s="1"/>
  <c r="AK1310" i="1" a="1"/>
  <c r="AK1310" i="1" s="1"/>
  <c r="AK1311" i="1" a="1"/>
  <c r="AK1311" i="1" s="1"/>
  <c r="AK1312" i="1" a="1"/>
  <c r="AK1312" i="1" s="1"/>
  <c r="AK1313" i="1" a="1"/>
  <c r="AK1313" i="1" s="1"/>
  <c r="AK1314" i="1" a="1"/>
  <c r="AK1314" i="1" s="1"/>
  <c r="AK1315" i="1" a="1"/>
  <c r="AK1315" i="1" s="1"/>
  <c r="AK1316" i="1" a="1"/>
  <c r="AK1316" i="1" s="1"/>
  <c r="AK1317" i="1" a="1"/>
  <c r="AK1317" i="1" s="1"/>
  <c r="AK1318" i="1" a="1"/>
  <c r="AK1318" i="1"/>
  <c r="AK1319" i="1" a="1"/>
  <c r="AK1319" i="1" s="1"/>
  <c r="AK1320" i="1" a="1"/>
  <c r="AK1320" i="1" s="1"/>
  <c r="AK1321" i="1" a="1"/>
  <c r="AK1321" i="1" s="1"/>
  <c r="AK1322" i="1" a="1"/>
  <c r="AK1322" i="1" s="1"/>
  <c r="AK1323" i="1" a="1"/>
  <c r="AK1323" i="1" s="1"/>
  <c r="AK1324" i="1" a="1"/>
  <c r="AK1324" i="1" s="1"/>
  <c r="AK1325" i="1" a="1"/>
  <c r="AK1325" i="1" s="1"/>
  <c r="AK1326" i="1" a="1"/>
  <c r="AK1326" i="1" s="1"/>
  <c r="AK1327" i="1" a="1"/>
  <c r="AK1327" i="1" s="1"/>
  <c r="AK1328" i="1" a="1"/>
  <c r="AK1328" i="1" s="1"/>
  <c r="AK1329" i="1" a="1"/>
  <c r="AK1329" i="1" s="1"/>
  <c r="AK1330" i="1" a="1"/>
  <c r="AK1330" i="1" s="1"/>
  <c r="AK1331" i="1" a="1"/>
  <c r="AK1331" i="1" s="1"/>
  <c r="AK1332" i="1" a="1"/>
  <c r="AK1332" i="1" s="1"/>
  <c r="AK1333" i="1" a="1"/>
  <c r="AK1333" i="1" s="1"/>
  <c r="AK1334" i="1" a="1"/>
  <c r="AK1334" i="1" s="1"/>
  <c r="AK1335" i="1" a="1"/>
  <c r="AK1335" i="1" s="1"/>
  <c r="AK1336" i="1" a="1"/>
  <c r="AK1336" i="1" s="1"/>
  <c r="AK1337" i="1" a="1"/>
  <c r="AK1337" i="1" s="1"/>
  <c r="AK1338" i="1" a="1"/>
  <c r="AK1338" i="1" s="1"/>
  <c r="AK1339" i="1" a="1"/>
  <c r="AK1339" i="1" s="1"/>
  <c r="AK1340" i="1" a="1"/>
  <c r="AK1340" i="1" s="1"/>
  <c r="AK1341" i="1" a="1"/>
  <c r="AK1341" i="1" s="1"/>
  <c r="AK1342" i="1" a="1"/>
  <c r="AK1342" i="1"/>
  <c r="AK1343" i="1" a="1"/>
  <c r="AK1343" i="1" s="1"/>
  <c r="AK1344" i="1" a="1"/>
  <c r="AK1344" i="1" s="1"/>
  <c r="AK1345" i="1" a="1"/>
  <c r="AK1345" i="1" s="1"/>
  <c r="AK1346" i="1" a="1"/>
  <c r="AK1346" i="1" s="1"/>
  <c r="AK1347" i="1" a="1"/>
  <c r="AK1347" i="1" s="1"/>
  <c r="AK1348" i="1" a="1"/>
  <c r="AK1348" i="1" s="1"/>
  <c r="AK1349" i="1" a="1"/>
  <c r="AK1349" i="1" s="1"/>
  <c r="AK1350" i="1" a="1"/>
  <c r="AK1350" i="1" s="1"/>
  <c r="AK1351" i="1" a="1"/>
  <c r="AK1351" i="1" s="1"/>
  <c r="AK1352" i="1" a="1"/>
  <c r="AK1352" i="1" s="1"/>
  <c r="AK1353" i="1" a="1"/>
  <c r="AK1353" i="1" s="1"/>
  <c r="AK1354" i="1" a="1"/>
  <c r="AK1354" i="1" s="1"/>
  <c r="AK1355" i="1" a="1"/>
  <c r="AK1355" i="1" s="1"/>
  <c r="AK1356" i="1" a="1"/>
  <c r="AK1356" i="1" s="1"/>
  <c r="AK1357" i="1" a="1"/>
  <c r="AK1357" i="1" s="1"/>
  <c r="AK1358" i="1" a="1"/>
  <c r="AK1358" i="1" s="1"/>
  <c r="AK1359" i="1" a="1"/>
  <c r="AK1359" i="1" s="1"/>
  <c r="AK1360" i="1" a="1"/>
  <c r="AK1360" i="1" s="1"/>
  <c r="AK1361" i="1" a="1"/>
  <c r="AK1361" i="1" s="1"/>
  <c r="AK1362" i="1" a="1"/>
  <c r="AK1362" i="1" s="1"/>
  <c r="AK1363" i="1" a="1"/>
  <c r="AK1363" i="1" s="1"/>
  <c r="AK1364" i="1" a="1"/>
  <c r="AK1364" i="1" s="1"/>
  <c r="AK1365" i="1" a="1"/>
  <c r="AK1365" i="1" s="1"/>
  <c r="AK1366" i="1" a="1"/>
  <c r="AK1366" i="1" s="1"/>
  <c r="AK1367" i="1" a="1"/>
  <c r="AK1367" i="1" s="1"/>
  <c r="AK1368" i="1" a="1"/>
  <c r="AK1368" i="1" s="1"/>
  <c r="AK1369" i="1" a="1"/>
  <c r="AK1369" i="1" s="1"/>
  <c r="AK1370" i="1" a="1"/>
  <c r="AK1370" i="1" s="1"/>
  <c r="AK1371" i="1" a="1"/>
  <c r="AK1371" i="1" s="1"/>
  <c r="AK1372" i="1" a="1"/>
  <c r="AK1372" i="1" s="1"/>
  <c r="AK1373" i="1" a="1"/>
  <c r="AK1373" i="1" s="1"/>
  <c r="AK1374" i="1" a="1"/>
  <c r="AK1374" i="1" s="1"/>
  <c r="AK1375" i="1" a="1"/>
  <c r="AK1375" i="1" s="1"/>
  <c r="AK1376" i="1" a="1"/>
  <c r="AK1376" i="1"/>
  <c r="AK1377" i="1" a="1"/>
  <c r="AK1377" i="1" s="1"/>
  <c r="AK1378" i="1" a="1"/>
  <c r="AK1378" i="1" s="1"/>
  <c r="AK1379" i="1" a="1"/>
  <c r="AK1379" i="1" s="1"/>
  <c r="AK1380" i="1" a="1"/>
  <c r="AK1380" i="1" s="1"/>
  <c r="AK1381" i="1" a="1"/>
  <c r="AK1381" i="1" s="1"/>
  <c r="AK1382" i="1" a="1"/>
  <c r="AK1382" i="1" s="1"/>
  <c r="AK1383" i="1" a="1"/>
  <c r="AK1383" i="1" s="1"/>
  <c r="AK1384" i="1" a="1"/>
  <c r="AK1384" i="1" s="1"/>
  <c r="AK1385" i="1" a="1"/>
  <c r="AK1385" i="1" s="1"/>
  <c r="AK1386" i="1" a="1"/>
  <c r="AK1386" i="1" s="1"/>
  <c r="AK1387" i="1" a="1"/>
  <c r="AK1387" i="1" s="1"/>
  <c r="AK1388" i="1" a="1"/>
  <c r="AK1388" i="1" s="1"/>
  <c r="AK1389" i="1" a="1"/>
  <c r="AK1389" i="1" s="1"/>
  <c r="AK1390" i="1" a="1"/>
  <c r="AK1390" i="1" s="1"/>
  <c r="AK1391" i="1" a="1"/>
  <c r="AK1391" i="1" s="1"/>
  <c r="AK1392" i="1" a="1"/>
  <c r="AK1392" i="1" s="1"/>
  <c r="AK1393" i="1" a="1"/>
  <c r="AK1393" i="1" s="1"/>
  <c r="AK1394" i="1" a="1"/>
  <c r="AK1394" i="1" s="1"/>
  <c r="AK1395" i="1" a="1"/>
  <c r="AK1395" i="1" s="1"/>
  <c r="AK1396" i="1" a="1"/>
  <c r="AK1396" i="1" s="1"/>
  <c r="AK1397" i="1" a="1"/>
  <c r="AK1397" i="1" s="1"/>
  <c r="AK1398" i="1" a="1"/>
  <c r="AK1398" i="1" s="1"/>
  <c r="AK1399" i="1" a="1"/>
  <c r="AK1399" i="1" s="1"/>
  <c r="AK1400" i="1" a="1"/>
  <c r="AK1400" i="1" s="1"/>
  <c r="AK1401" i="1" a="1"/>
  <c r="AK1401" i="1" s="1"/>
  <c r="AK1402" i="1" a="1"/>
  <c r="AK1402" i="1" s="1"/>
  <c r="AK1403" i="1" a="1"/>
  <c r="AK1403" i="1" s="1"/>
  <c r="AK1404" i="1" a="1"/>
  <c r="AK1404" i="1" s="1"/>
  <c r="AK1405" i="1" a="1"/>
  <c r="AK1405" i="1" s="1"/>
  <c r="AK1406" i="1" a="1"/>
  <c r="AK1406" i="1"/>
  <c r="AK1407" i="1" a="1"/>
  <c r="AK1407" i="1" s="1"/>
  <c r="AK1408" i="1" a="1"/>
  <c r="AK1408" i="1" s="1"/>
  <c r="AK1409" i="1" a="1"/>
  <c r="AK1409" i="1" s="1"/>
  <c r="AK1410" i="1" a="1"/>
  <c r="AK1410" i="1" s="1"/>
  <c r="AK1411" i="1" a="1"/>
  <c r="AK1411" i="1" s="1"/>
  <c r="AK1412" i="1" a="1"/>
  <c r="AK1412" i="1" s="1"/>
  <c r="AK1413" i="1" a="1"/>
  <c r="AK1413" i="1" s="1"/>
  <c r="AK1414" i="1" a="1"/>
  <c r="AK1414" i="1" s="1"/>
  <c r="AK1415" i="1" a="1"/>
  <c r="AK1415" i="1" s="1"/>
  <c r="AK1416" i="1" a="1"/>
  <c r="AK1416" i="1" s="1"/>
  <c r="AK1417" i="1" a="1"/>
  <c r="AK1417" i="1" s="1"/>
  <c r="AK1418" i="1" a="1"/>
  <c r="AK1418" i="1" s="1"/>
  <c r="AK1419" i="1" a="1"/>
  <c r="AK1419" i="1" s="1"/>
  <c r="AK1420" i="1" a="1"/>
  <c r="AK1420" i="1" s="1"/>
  <c r="AK1421" i="1" a="1"/>
  <c r="AK1421" i="1" s="1"/>
  <c r="AK1422" i="1" a="1"/>
  <c r="AK1422" i="1" s="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s="1"/>
  <c r="AK1432" i="1" a="1"/>
  <c r="AK1432" i="1" s="1"/>
  <c r="AK1433" i="1" a="1"/>
  <c r="AK1433" i="1" s="1"/>
  <c r="AK1434" i="1" a="1"/>
  <c r="AK1434" i="1" s="1"/>
  <c r="AK1435" i="1" a="1"/>
  <c r="AK1435" i="1" s="1"/>
  <c r="AK1436" i="1" a="1"/>
  <c r="AK1436" i="1" s="1"/>
  <c r="AK1437" i="1" a="1"/>
  <c r="AK1437" i="1" s="1"/>
  <c r="AK1438" i="1" a="1"/>
  <c r="AK1438" i="1" s="1"/>
  <c r="AK1439" i="1" a="1"/>
  <c r="AK1439" i="1" s="1"/>
  <c r="AK1440" i="1" a="1"/>
  <c r="AK1440" i="1" s="1"/>
  <c r="AK1441" i="1" a="1"/>
  <c r="AK1441" i="1" s="1"/>
  <c r="AK1442" i="1" a="1"/>
  <c r="AK1442" i="1" s="1"/>
  <c r="AK1443" i="1" a="1"/>
  <c r="AK1443" i="1" s="1"/>
  <c r="AK1444" i="1" a="1"/>
  <c r="AK1444" i="1" s="1"/>
  <c r="AK1445" i="1" a="1"/>
  <c r="AK1445" i="1" s="1"/>
  <c r="AK1446" i="1" a="1"/>
  <c r="AK1446" i="1" s="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s="1"/>
  <c r="AK1456" i="1" a="1"/>
  <c r="AK1456" i="1" s="1"/>
  <c r="AK1457" i="1" a="1"/>
  <c r="AK1457" i="1" s="1"/>
  <c r="AK1458" i="1" a="1"/>
  <c r="AK1458" i="1" s="1"/>
  <c r="AK1459" i="1" a="1"/>
  <c r="AK1459" i="1" s="1"/>
  <c r="AK1460" i="1" a="1"/>
  <c r="AK1460" i="1" s="1"/>
  <c r="AK1461" i="1" a="1"/>
  <c r="AK1461" i="1" s="1"/>
  <c r="AK1462" i="1" a="1"/>
  <c r="AK1462" i="1" s="1"/>
  <c r="AK1463" i="1" a="1"/>
  <c r="AK1463" i="1" s="1"/>
  <c r="AK1464" i="1" a="1"/>
  <c r="AK1464" i="1" s="1"/>
  <c r="AK1465" i="1" a="1"/>
  <c r="AK1465" i="1" s="1"/>
  <c r="AK1466" i="1" a="1"/>
  <c r="AK1466" i="1" s="1"/>
  <c r="AK1467" i="1" a="1"/>
  <c r="AK1467" i="1" s="1"/>
  <c r="AK1468" i="1" a="1"/>
  <c r="AK1468" i="1" s="1"/>
  <c r="AK1469" i="1" a="1"/>
  <c r="AK1469" i="1" s="1"/>
  <c r="AK1470" i="1" a="1"/>
  <c r="AK1470" i="1" s="1"/>
  <c r="AK1471" i="1" a="1"/>
  <c r="AK1471" i="1" s="1"/>
  <c r="AK2" i="1" a="1"/>
  <c r="AK2" i="1" s="1"/>
  <c r="AJ3" i="1" a="1"/>
  <c r="AJ3" i="1" s="1"/>
  <c r="AJ4" i="1" a="1"/>
  <c r="AJ4" i="1" s="1"/>
  <c r="AJ5" i="1" a="1"/>
  <c r="AJ5" i="1" s="1"/>
  <c r="AJ6" i="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s="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s="1"/>
  <c r="AJ121" i="1" a="1"/>
  <c r="AJ121" i="1" s="1"/>
  <c r="AJ122" i="1" a="1"/>
  <c r="AJ122" i="1" s="1"/>
  <c r="AJ123" i="1" a="1"/>
  <c r="AJ123" i="1" s="1"/>
  <c r="AJ124" i="1" a="1"/>
  <c r="AJ124" i="1" s="1"/>
  <c r="AJ125" i="1" a="1"/>
  <c r="AJ125" i="1" s="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4" i="1" a="1"/>
  <c r="AJ194" i="1" s="1"/>
  <c r="AJ195" i="1" a="1"/>
  <c r="AJ195" i="1" s="1"/>
  <c r="AJ196" i="1" a="1"/>
  <c r="AJ196" i="1" s="1"/>
  <c r="AJ197" i="1" a="1"/>
  <c r="AJ197" i="1"/>
  <c r="AJ198" i="1" a="1"/>
  <c r="AJ198" i="1" s="1"/>
  <c r="AJ199" i="1" a="1"/>
  <c r="AJ199" i="1" s="1"/>
  <c r="AJ200" i="1" a="1"/>
  <c r="AJ200" i="1" s="1"/>
  <c r="AJ201" i="1" a="1"/>
  <c r="AJ201" i="1" s="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s="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s="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s="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s="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s="1"/>
  <c r="AJ504" i="1" a="1"/>
  <c r="AJ504" i="1" s="1"/>
  <c r="AJ505" i="1" a="1"/>
  <c r="AJ505" i="1" s="1"/>
  <c r="AJ506" i="1" a="1"/>
  <c r="AJ506" i="1" s="1"/>
  <c r="AJ507" i="1" a="1"/>
  <c r="AJ507" i="1" s="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s="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s="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c r="AJ646" i="1" a="1"/>
  <c r="AJ646" i="1" s="1"/>
  <c r="AJ647" i="1" a="1"/>
  <c r="AJ647" i="1" s="1"/>
  <c r="AJ648" i="1" a="1"/>
  <c r="AJ648" i="1" s="1"/>
  <c r="AJ649" i="1" a="1"/>
  <c r="AJ649" i="1" s="1"/>
  <c r="AJ650" i="1" a="1"/>
  <c r="AJ650" i="1" s="1"/>
  <c r="AJ651" i="1" a="1"/>
  <c r="AJ651" i="1"/>
  <c r="AJ652" i="1" a="1"/>
  <c r="AJ652" i="1" s="1"/>
  <c r="AJ653" i="1" a="1"/>
  <c r="AJ653" i="1" s="1"/>
  <c r="AJ654" i="1" a="1"/>
  <c r="AJ654" i="1" s="1"/>
  <c r="AJ655" i="1" a="1"/>
  <c r="AJ655" i="1" s="1"/>
  <c r="AJ656" i="1" a="1"/>
  <c r="AJ656" i="1" s="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679" i="1" a="1"/>
  <c r="AJ679" i="1" s="1"/>
  <c r="AJ680" i="1" a="1"/>
  <c r="AJ680" i="1" s="1"/>
  <c r="AJ681" i="1" a="1"/>
  <c r="AJ681" i="1" s="1"/>
  <c r="AJ682" i="1" a="1"/>
  <c r="AJ682" i="1" s="1"/>
  <c r="AJ683" i="1" a="1"/>
  <c r="AJ683" i="1" s="1"/>
  <c r="AJ684" i="1" a="1"/>
  <c r="AJ684" i="1" s="1"/>
  <c r="AJ685" i="1" a="1"/>
  <c r="AJ685" i="1" s="1"/>
  <c r="AJ686" i="1" a="1"/>
  <c r="AJ686" i="1" s="1"/>
  <c r="AJ687" i="1" a="1"/>
  <c r="AJ687" i="1" s="1"/>
  <c r="AJ688" i="1" a="1"/>
  <c r="AJ688" i="1" s="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s="1"/>
  <c r="AJ700" i="1" a="1"/>
  <c r="AJ700" i="1"/>
  <c r="AJ701" i="1" a="1"/>
  <c r="AJ701" i="1" s="1"/>
  <c r="AJ702" i="1" a="1"/>
  <c r="AJ702" i="1" s="1"/>
  <c r="AJ703" i="1" a="1"/>
  <c r="AJ703" i="1" s="1"/>
  <c r="AJ704" i="1" a="1"/>
  <c r="AJ704" i="1" s="1"/>
  <c r="AJ705" i="1" a="1"/>
  <c r="AJ705" i="1" s="1"/>
  <c r="AJ706" i="1" a="1"/>
  <c r="AJ706" i="1" s="1"/>
  <c r="AJ707" i="1" a="1"/>
  <c r="AJ707" i="1" s="1"/>
  <c r="AJ708" i="1" a="1"/>
  <c r="AJ708" i="1"/>
  <c r="AJ709" i="1" a="1"/>
  <c r="AJ709" i="1" s="1"/>
  <c r="AJ710" i="1" a="1"/>
  <c r="AJ710" i="1" s="1"/>
  <c r="AJ711" i="1" a="1"/>
  <c r="AJ711" i="1" s="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s="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s="1"/>
  <c r="AJ745" i="1" a="1"/>
  <c r="AJ745" i="1" s="1"/>
  <c r="AJ746" i="1" a="1"/>
  <c r="AJ746" i="1" s="1"/>
  <c r="AJ747" i="1" a="1"/>
  <c r="AJ747" i="1" s="1"/>
  <c r="AJ748" i="1" a="1"/>
  <c r="AJ748" i="1" s="1"/>
  <c r="AJ749" i="1" a="1"/>
  <c r="AJ749" i="1" s="1"/>
  <c r="AJ750" i="1" a="1"/>
  <c r="AJ750" i="1" s="1"/>
  <c r="AJ751" i="1" a="1"/>
  <c r="AJ751" i="1" s="1"/>
  <c r="AJ752" i="1" a="1"/>
  <c r="AJ752" i="1" s="1"/>
  <c r="AJ753" i="1" a="1"/>
  <c r="AJ753" i="1" s="1"/>
  <c r="AJ754" i="1" a="1"/>
  <c r="AJ754" i="1" s="1"/>
  <c r="AJ755" i="1" a="1"/>
  <c r="AJ755" i="1" s="1"/>
  <c r="AJ756" i="1" a="1"/>
  <c r="AJ756" i="1" s="1"/>
  <c r="AJ757" i="1" a="1"/>
  <c r="AJ757" i="1" s="1"/>
  <c r="AJ758" i="1" a="1"/>
  <c r="AJ758" i="1"/>
  <c r="AJ759" i="1" a="1"/>
  <c r="AJ759" i="1"/>
  <c r="AJ760" i="1" a="1"/>
  <c r="AJ760" i="1" s="1"/>
  <c r="AJ761" i="1" a="1"/>
  <c r="AJ761" i="1" s="1"/>
  <c r="AJ762" i="1" a="1"/>
  <c r="AJ762" i="1" s="1"/>
  <c r="AJ763" i="1" a="1"/>
  <c r="AJ763" i="1" s="1"/>
  <c r="AJ764" i="1" a="1"/>
  <c r="AJ764" i="1" s="1"/>
  <c r="AJ765" i="1" a="1"/>
  <c r="AJ765" i="1" s="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s="1"/>
  <c r="AJ776" i="1" a="1"/>
  <c r="AJ776" i="1" s="1"/>
  <c r="AJ777" i="1" a="1"/>
  <c r="AJ777" i="1" s="1"/>
  <c r="AJ778" i="1" a="1"/>
  <c r="AJ778" i="1" s="1"/>
  <c r="AJ779" i="1" a="1"/>
  <c r="AJ779" i="1" s="1"/>
  <c r="AJ780" i="1" a="1"/>
  <c r="AJ780" i="1" s="1"/>
  <c r="AJ781" i="1" a="1"/>
  <c r="AJ781" i="1" s="1"/>
  <c r="AJ782" i="1" a="1"/>
  <c r="AJ782" i="1" s="1"/>
  <c r="AJ783" i="1" a="1"/>
  <c r="AJ783" i="1" s="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s="1"/>
  <c r="AJ796" i="1" a="1"/>
  <c r="AJ796" i="1" s="1"/>
  <c r="AJ797" i="1" a="1"/>
  <c r="AJ797" i="1" s="1"/>
  <c r="AJ798" i="1" a="1"/>
  <c r="AJ798" i="1" s="1"/>
  <c r="AJ799" i="1" a="1"/>
  <c r="AJ799" i="1" s="1"/>
  <c r="AJ800" i="1" a="1"/>
  <c r="AJ800" i="1" s="1"/>
  <c r="AJ801" i="1" a="1"/>
  <c r="AJ801" i="1" s="1"/>
  <c r="AJ802" i="1" a="1"/>
  <c r="AJ802" i="1" s="1"/>
  <c r="AJ803" i="1" a="1"/>
  <c r="AJ803" i="1" s="1"/>
  <c r="AJ804" i="1" a="1"/>
  <c r="AJ804" i="1"/>
  <c r="AJ805" i="1" a="1"/>
  <c r="AJ805" i="1" s="1"/>
  <c r="AJ806" i="1" a="1"/>
  <c r="AJ806" i="1" s="1"/>
  <c r="AJ807" i="1" a="1"/>
  <c r="AJ807" i="1" s="1"/>
  <c r="AJ808" i="1" a="1"/>
  <c r="AJ808" i="1" s="1"/>
  <c r="AJ809" i="1" a="1"/>
  <c r="AJ809" i="1" s="1"/>
  <c r="AJ810" i="1" a="1"/>
  <c r="AJ810" i="1" s="1"/>
  <c r="AJ811" i="1" a="1"/>
  <c r="AJ811" i="1" s="1"/>
  <c r="AJ812" i="1" a="1"/>
  <c r="AJ812" i="1" s="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s="1"/>
  <c r="AJ823" i="1" a="1"/>
  <c r="AJ823" i="1" s="1"/>
  <c r="AJ824" i="1" a="1"/>
  <c r="AJ824" i="1" s="1"/>
  <c r="AJ825" i="1" a="1"/>
  <c r="AJ825" i="1" s="1"/>
  <c r="AJ826" i="1" a="1"/>
  <c r="AJ826" i="1" s="1"/>
  <c r="AJ827" i="1" a="1"/>
  <c r="AJ827" i="1" s="1"/>
  <c r="AJ828" i="1" a="1"/>
  <c r="AJ828" i="1" s="1"/>
  <c r="AJ829" i="1" a="1"/>
  <c r="AJ829" i="1" s="1"/>
  <c r="AJ830" i="1" a="1"/>
  <c r="AJ830" i="1" s="1"/>
  <c r="AJ831" i="1" a="1"/>
  <c r="AJ831" i="1" s="1"/>
  <c r="AJ832" i="1" a="1"/>
  <c r="AJ832" i="1" s="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c r="AJ847" i="1" a="1"/>
  <c r="AJ847" i="1" s="1"/>
  <c r="AJ848" i="1" a="1"/>
  <c r="AJ848" i="1" s="1"/>
  <c r="AJ849" i="1" a="1"/>
  <c r="AJ849" i="1" s="1"/>
  <c r="AJ850" i="1" a="1"/>
  <c r="AJ850" i="1" s="1"/>
  <c r="AJ851" i="1" a="1"/>
  <c r="AJ851" i="1" s="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s="1"/>
  <c r="AJ867" i="1" a="1"/>
  <c r="AJ867" i="1" s="1"/>
  <c r="AJ868" i="1" a="1"/>
  <c r="AJ868" i="1" s="1"/>
  <c r="AJ869" i="1" a="1"/>
  <c r="AJ869" i="1" s="1"/>
  <c r="AJ870" i="1" a="1"/>
  <c r="AJ870" i="1" s="1"/>
  <c r="AJ871" i="1" a="1"/>
  <c r="AJ871" i="1" s="1"/>
  <c r="AJ872" i="1" a="1"/>
  <c r="AJ872" i="1" s="1"/>
  <c r="AJ873" i="1" a="1"/>
  <c r="AJ873" i="1" s="1"/>
  <c r="AJ874" i="1" a="1"/>
  <c r="AJ874" i="1" s="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s="1"/>
  <c r="AJ888" i="1" a="1"/>
  <c r="AJ888" i="1" s="1"/>
  <c r="AJ889" i="1" a="1"/>
  <c r="AJ889" i="1" s="1"/>
  <c r="AJ890" i="1" a="1"/>
  <c r="AJ890" i="1" s="1"/>
  <c r="AJ891" i="1" a="1"/>
  <c r="AJ891" i="1" s="1"/>
  <c r="AJ892" i="1" a="1"/>
  <c r="AJ892" i="1" s="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s="1"/>
  <c r="AJ904" i="1" a="1"/>
  <c r="AJ904" i="1" s="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c r="AJ921" i="1" a="1"/>
  <c r="AJ921" i="1" s="1"/>
  <c r="AJ922" i="1" a="1"/>
  <c r="AJ922" i="1" s="1"/>
  <c r="AJ923" i="1" a="1"/>
  <c r="AJ923" i="1" s="1"/>
  <c r="AJ924" i="1" a="1"/>
  <c r="AJ924" i="1" s="1"/>
  <c r="AJ925" i="1" a="1"/>
  <c r="AJ925" i="1" s="1"/>
  <c r="AJ926" i="1" a="1"/>
  <c r="AJ926" i="1" s="1"/>
  <c r="AJ927" i="1" a="1"/>
  <c r="AJ927" i="1" s="1"/>
  <c r="AJ928" i="1" a="1"/>
  <c r="AJ928" i="1" s="1"/>
  <c r="AJ929" i="1" a="1"/>
  <c r="AJ929" i="1" s="1"/>
  <c r="AJ930" i="1" a="1"/>
  <c r="AJ930" i="1" s="1"/>
  <c r="AJ931" i="1" a="1"/>
  <c r="AJ931" i="1" s="1"/>
  <c r="AJ932" i="1" a="1"/>
  <c r="AJ932" i="1" s="1"/>
  <c r="AJ933" i="1" a="1"/>
  <c r="AJ933" i="1" s="1"/>
  <c r="AJ934" i="1" a="1"/>
  <c r="AJ934" i="1" s="1"/>
  <c r="AJ935" i="1" a="1"/>
  <c r="AJ935" i="1" s="1"/>
  <c r="AJ936" i="1" a="1"/>
  <c r="AJ936" i="1" s="1"/>
  <c r="AJ937" i="1" a="1"/>
  <c r="AJ937" i="1" s="1"/>
  <c r="AJ938" i="1" a="1"/>
  <c r="AJ938" i="1" s="1"/>
  <c r="AJ939" i="1" a="1"/>
  <c r="AJ939" i="1"/>
  <c r="AJ940" i="1" a="1"/>
  <c r="AJ940" i="1" s="1"/>
  <c r="AJ941" i="1" a="1"/>
  <c r="AJ941" i="1" s="1"/>
  <c r="AJ942" i="1" a="1"/>
  <c r="AJ942" i="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c r="AJ958" i="1" a="1"/>
  <c r="AJ958" i="1" s="1"/>
  <c r="AJ959" i="1" a="1"/>
  <c r="AJ959" i="1" s="1"/>
  <c r="AJ960" i="1" a="1"/>
  <c r="AJ960" i="1" s="1"/>
  <c r="AJ961" i="1" a="1"/>
  <c r="AJ961" i="1" s="1"/>
  <c r="AJ962" i="1" a="1"/>
  <c r="AJ962" i="1" s="1"/>
  <c r="AJ963" i="1" a="1"/>
  <c r="AJ963" i="1" s="1"/>
  <c r="AJ964" i="1" a="1"/>
  <c r="AJ964" i="1" s="1"/>
  <c r="AJ965" i="1" a="1"/>
  <c r="AJ965" i="1" s="1"/>
  <c r="AJ966" i="1" a="1"/>
  <c r="AJ966" i="1" s="1"/>
  <c r="AJ967" i="1" a="1"/>
  <c r="AJ967" i="1" s="1"/>
  <c r="AJ968" i="1" a="1"/>
  <c r="AJ968" i="1" s="1"/>
  <c r="AJ969" i="1" a="1"/>
  <c r="AJ969" i="1" s="1"/>
  <c r="AJ970" i="1" a="1"/>
  <c r="AJ970" i="1" s="1"/>
  <c r="AJ971" i="1" a="1"/>
  <c r="AJ971" i="1" s="1"/>
  <c r="AJ972" i="1" a="1"/>
  <c r="AJ972" i="1"/>
  <c r="AJ973" i="1" a="1"/>
  <c r="AJ973" i="1" s="1"/>
  <c r="AJ974" i="1" a="1"/>
  <c r="AJ974" i="1" s="1"/>
  <c r="AJ975" i="1" a="1"/>
  <c r="AJ975" i="1" s="1"/>
  <c r="AJ976" i="1" a="1"/>
  <c r="AJ976" i="1" s="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s="1"/>
  <c r="AJ992" i="1" a="1"/>
  <c r="AJ992" i="1" s="1"/>
  <c r="AJ993" i="1" a="1"/>
  <c r="AJ993" i="1" s="1"/>
  <c r="AJ994" i="1" a="1"/>
  <c r="AJ994" i="1" s="1"/>
  <c r="AJ995" i="1" a="1"/>
  <c r="AJ995" i="1" s="1"/>
  <c r="AJ996" i="1" a="1"/>
  <c r="AJ996" i="1" s="1"/>
  <c r="AJ997" i="1" a="1"/>
  <c r="AJ997" i="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s="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s="1"/>
  <c r="AJ1051" i="1" a="1"/>
  <c r="AJ1051" i="1" s="1"/>
  <c r="AJ1052" i="1" a="1"/>
  <c r="AJ1052" i="1" s="1"/>
  <c r="AJ1053" i="1" a="1"/>
  <c r="AJ1053" i="1" s="1"/>
  <c r="AJ1054" i="1" a="1"/>
  <c r="AJ1054" i="1"/>
  <c r="AJ1055" i="1" a="1"/>
  <c r="AJ1055" i="1" s="1"/>
  <c r="AJ1056" i="1" a="1"/>
  <c r="AJ1056" i="1" s="1"/>
  <c r="AJ1057" i="1" a="1"/>
  <c r="AJ1057" i="1" s="1"/>
  <c r="AJ1058" i="1" a="1"/>
  <c r="AJ1058" i="1" s="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s="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1084" i="1" a="1"/>
  <c r="AJ1084" i="1" s="1"/>
  <c r="AJ1085" i="1" a="1"/>
  <c r="AJ1085" i="1" s="1"/>
  <c r="AJ1086" i="1" a="1"/>
  <c r="AJ1086" i="1" s="1"/>
  <c r="AJ1087" i="1" a="1"/>
  <c r="AJ1087" i="1" s="1"/>
  <c r="AJ1088" i="1" a="1"/>
  <c r="AJ1088" i="1" s="1"/>
  <c r="AJ1089" i="1" a="1"/>
  <c r="AJ1089" i="1" s="1"/>
  <c r="AJ1090" i="1" a="1"/>
  <c r="AJ1090" i="1" s="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s="1"/>
  <c r="AJ1124" i="1" a="1"/>
  <c r="AJ1124" i="1" s="1"/>
  <c r="AJ1125" i="1" a="1"/>
  <c r="AJ1125" i="1" s="1"/>
  <c r="AJ1126" i="1" a="1"/>
  <c r="AJ1126" i="1" s="1"/>
  <c r="AJ1127" i="1" a="1"/>
  <c r="AJ1127" i="1"/>
  <c r="AJ1128" i="1" a="1"/>
  <c r="AJ1128" i="1" s="1"/>
  <c r="AJ1129" i="1" a="1"/>
  <c r="AJ1129" i="1" s="1"/>
  <c r="AJ1130" i="1" a="1"/>
  <c r="AJ1130" i="1" s="1"/>
  <c r="AJ1131" i="1" a="1"/>
  <c r="AJ1131" i="1" s="1"/>
  <c r="AJ1132" i="1" a="1"/>
  <c r="AJ1132" i="1" s="1"/>
  <c r="AJ1133" i="1" a="1"/>
  <c r="AJ1133" i="1" s="1"/>
  <c r="AJ1134" i="1" a="1"/>
  <c r="AJ1134" i="1" s="1"/>
  <c r="AJ1135" i="1" a="1"/>
  <c r="AJ1135" i="1"/>
  <c r="AJ1136" i="1" a="1"/>
  <c r="AJ1136" i="1" s="1"/>
  <c r="AJ1137" i="1" a="1"/>
  <c r="AJ1137" i="1" s="1"/>
  <c r="AJ1138" i="1" a="1"/>
  <c r="AJ1138" i="1"/>
  <c r="AJ1139" i="1" a="1"/>
  <c r="AJ1139" i="1" s="1"/>
  <c r="AJ1140" i="1" a="1"/>
  <c r="AJ1140" i="1" s="1"/>
  <c r="AJ1141" i="1" a="1"/>
  <c r="AJ1141" i="1" s="1"/>
  <c r="AJ1142" i="1" a="1"/>
  <c r="AJ1142" i="1" s="1"/>
  <c r="AJ1143" i="1" a="1"/>
  <c r="AJ1143" i="1" s="1"/>
  <c r="AJ1144" i="1" a="1"/>
  <c r="AJ1144" i="1" s="1"/>
  <c r="AJ1145" i="1" a="1"/>
  <c r="AJ1145" i="1" s="1"/>
  <c r="AJ1146" i="1" a="1"/>
  <c r="AJ1146" i="1" s="1"/>
  <c r="AJ1147" i="1" a="1"/>
  <c r="AJ1147" i="1" s="1"/>
  <c r="AJ1148" i="1" a="1"/>
  <c r="AJ1148" i="1" s="1"/>
  <c r="AJ1149" i="1" a="1"/>
  <c r="AJ1149" i="1" s="1"/>
  <c r="AJ1150" i="1" a="1"/>
  <c r="AJ1150" i="1" s="1"/>
  <c r="AJ1151" i="1" a="1"/>
  <c r="AJ1151" i="1" s="1"/>
  <c r="AJ1152" i="1" a="1"/>
  <c r="AJ1152" i="1" s="1"/>
  <c r="AJ1153" i="1" a="1"/>
  <c r="AJ1153" i="1" s="1"/>
  <c r="AJ1154" i="1" a="1"/>
  <c r="AJ1154" i="1" s="1"/>
  <c r="AJ1155" i="1" a="1"/>
  <c r="AJ1155" i="1" s="1"/>
  <c r="AJ1156" i="1" a="1"/>
  <c r="AJ1156" i="1" s="1"/>
  <c r="AJ1157" i="1" a="1"/>
  <c r="AJ1157" i="1" s="1"/>
  <c r="AJ1158" i="1" a="1"/>
  <c r="AJ1158" i="1" s="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c r="AJ1182" i="1" a="1"/>
  <c r="AJ1182" i="1" s="1"/>
  <c r="AJ1183" i="1" a="1"/>
  <c r="AJ1183" i="1" s="1"/>
  <c r="AJ1184" i="1" a="1"/>
  <c r="AJ1184" i="1" s="1"/>
  <c r="AJ1185" i="1" a="1"/>
  <c r="AJ1185" i="1" s="1"/>
  <c r="AJ1186" i="1" a="1"/>
  <c r="AJ1186" i="1" s="1"/>
  <c r="AJ1187" i="1" a="1"/>
  <c r="AJ1187" i="1" s="1"/>
  <c r="AJ1188" i="1" a="1"/>
  <c r="AJ1188" i="1" s="1"/>
  <c r="AJ1189" i="1" a="1"/>
  <c r="AJ1189" i="1"/>
  <c r="AJ1190" i="1" a="1"/>
  <c r="AJ1190" i="1" s="1"/>
  <c r="AJ1191" i="1" a="1"/>
  <c r="AJ1191" i="1" s="1"/>
  <c r="AJ1192" i="1" a="1"/>
  <c r="AJ1192" i="1" s="1"/>
  <c r="AJ1193" i="1" a="1"/>
  <c r="AJ1193" i="1" s="1"/>
  <c r="AJ1194" i="1" a="1"/>
  <c r="AJ1194" i="1" s="1"/>
  <c r="AJ1195" i="1" a="1"/>
  <c r="AJ1195" i="1" s="1"/>
  <c r="AJ1196" i="1" a="1"/>
  <c r="AJ1196" i="1" s="1"/>
  <c r="AJ1197" i="1" a="1"/>
  <c r="AJ1197" i="1" s="1"/>
  <c r="AJ1198" i="1" a="1"/>
  <c r="AJ1198" i="1"/>
  <c r="AJ1199" i="1" a="1"/>
  <c r="AJ1199" i="1" s="1"/>
  <c r="AJ1200" i="1" a="1"/>
  <c r="AJ1200" i="1" s="1"/>
  <c r="AJ1201" i="1" a="1"/>
  <c r="AJ1201" i="1" s="1"/>
  <c r="AJ1202" i="1" a="1"/>
  <c r="AJ1202" i="1" s="1"/>
  <c r="AJ1203" i="1" a="1"/>
  <c r="AJ1203" i="1" s="1"/>
  <c r="AJ1204" i="1" a="1"/>
  <c r="AJ1204" i="1" s="1"/>
  <c r="AJ1205" i="1" a="1"/>
  <c r="AJ1205" i="1" s="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s="1"/>
  <c r="AJ1221" i="1" a="1"/>
  <c r="AJ1221" i="1" s="1"/>
  <c r="AJ1222" i="1" a="1"/>
  <c r="AJ1222" i="1" s="1"/>
  <c r="AJ1223" i="1" a="1"/>
  <c r="AJ1223" i="1"/>
  <c r="AJ1224" i="1" a="1"/>
  <c r="AJ1224" i="1" s="1"/>
  <c r="AJ1225" i="1" a="1"/>
  <c r="AJ1225" i="1" s="1"/>
  <c r="AJ1226" i="1" a="1"/>
  <c r="AJ1226" i="1" s="1"/>
  <c r="AJ1227" i="1" a="1"/>
  <c r="AJ1227" i="1" s="1"/>
  <c r="AJ1228" i="1" a="1"/>
  <c r="AJ1228" i="1" s="1"/>
  <c r="AJ1229" i="1" a="1"/>
  <c r="AJ1229" i="1" s="1"/>
  <c r="AJ1230" i="1" a="1"/>
  <c r="AJ1230" i="1" s="1"/>
  <c r="AJ1231" i="1" a="1"/>
  <c r="AJ1231" i="1" s="1"/>
  <c r="AJ1232" i="1" a="1"/>
  <c r="AJ1232" i="1" s="1"/>
  <c r="AJ1233" i="1" a="1"/>
  <c r="AJ1233" i="1" s="1"/>
  <c r="AJ1234" i="1" a="1"/>
  <c r="AJ1234" i="1" s="1"/>
  <c r="AJ1235" i="1" a="1"/>
  <c r="AJ1235" i="1" s="1"/>
  <c r="AJ1236" i="1" a="1"/>
  <c r="AJ1236" i="1" s="1"/>
  <c r="AJ1237" i="1" a="1"/>
  <c r="AJ1237" i="1" s="1"/>
  <c r="AJ1238" i="1" a="1"/>
  <c r="AJ1238" i="1" s="1"/>
  <c r="AJ1239" i="1" a="1"/>
  <c r="AJ1239" i="1" s="1"/>
  <c r="AJ1240" i="1" a="1"/>
  <c r="AJ1240" i="1"/>
  <c r="AJ1241" i="1" a="1"/>
  <c r="AJ1241" i="1" s="1"/>
  <c r="AJ1242" i="1" a="1"/>
  <c r="AJ1242" i="1" s="1"/>
  <c r="AJ1243" i="1" a="1"/>
  <c r="AJ1243" i="1" s="1"/>
  <c r="AJ1244" i="1" a="1"/>
  <c r="AJ1244" i="1" s="1"/>
  <c r="AJ1245" i="1" a="1"/>
  <c r="AJ1245" i="1" s="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1260" i="1" a="1"/>
  <c r="AJ1260" i="1" s="1"/>
  <c r="AJ1261" i="1" a="1"/>
  <c r="AJ1261" i="1" s="1"/>
  <c r="AJ1262" i="1" a="1"/>
  <c r="AJ1262" i="1" s="1"/>
  <c r="AJ1263" i="1" a="1"/>
  <c r="AJ1263" i="1" s="1"/>
  <c r="AJ1264" i="1" a="1"/>
  <c r="AJ1264" i="1" s="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c r="AJ1278" i="1" a="1"/>
  <c r="AJ1278" i="1" s="1"/>
  <c r="AJ1279" i="1" a="1"/>
  <c r="AJ1279" i="1" s="1"/>
  <c r="AJ1280" i="1" a="1"/>
  <c r="AJ1280" i="1" s="1"/>
  <c r="AJ1281" i="1" a="1"/>
  <c r="AJ1281" i="1" s="1"/>
  <c r="AJ1282" i="1" a="1"/>
  <c r="AJ1282" i="1" s="1"/>
  <c r="AJ1283" i="1" a="1"/>
  <c r="AJ1283" i="1" s="1"/>
  <c r="AJ1284" i="1" a="1"/>
  <c r="AJ1284" i="1" s="1"/>
  <c r="AJ1285" i="1" a="1"/>
  <c r="AJ1285" i="1" s="1"/>
  <c r="AJ1286" i="1" a="1"/>
  <c r="AJ1286" i="1" s="1"/>
  <c r="AJ1287" i="1" a="1"/>
  <c r="AJ1287" i="1" s="1"/>
  <c r="AJ1288" i="1" a="1"/>
  <c r="AJ1288" i="1" s="1"/>
  <c r="AJ1289" i="1" a="1"/>
  <c r="AJ1289" i="1" s="1"/>
  <c r="AJ1290" i="1" a="1"/>
  <c r="AJ1290" i="1" s="1"/>
  <c r="AJ1291" i="1" a="1"/>
  <c r="AJ1291" i="1" s="1"/>
  <c r="AJ1292" i="1" a="1"/>
  <c r="AJ1292" i="1"/>
  <c r="AJ1293" i="1" a="1"/>
  <c r="AJ1293" i="1" s="1"/>
  <c r="AJ1294" i="1" a="1"/>
  <c r="AJ1294" i="1" s="1"/>
  <c r="AJ1295" i="1" a="1"/>
  <c r="AJ1295" i="1" s="1"/>
  <c r="AJ1296" i="1" a="1"/>
  <c r="AJ1296" i="1" s="1"/>
  <c r="AJ1297" i="1" a="1"/>
  <c r="AJ1297" i="1" s="1"/>
  <c r="AJ1298" i="1" a="1"/>
  <c r="AJ1298" i="1" s="1"/>
  <c r="AJ1299" i="1" a="1"/>
  <c r="AJ1299" i="1" s="1"/>
  <c r="AJ1300" i="1" a="1"/>
  <c r="AJ1300" i="1" s="1"/>
  <c r="AJ1301" i="1" a="1"/>
  <c r="AJ1301" i="1" s="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s="1"/>
  <c r="AJ1311" i="1" a="1"/>
  <c r="AJ1311" i="1" s="1"/>
  <c r="AJ1312" i="1" a="1"/>
  <c r="AJ1312" i="1" s="1"/>
  <c r="AJ1313" i="1" a="1"/>
  <c r="AJ1313" i="1" s="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s="1"/>
  <c r="AJ1329" i="1" a="1"/>
  <c r="AJ1329" i="1" s="1"/>
  <c r="AJ1330" i="1" a="1"/>
  <c r="AJ1330" i="1" s="1"/>
  <c r="AJ1331" i="1" a="1"/>
  <c r="AJ1331" i="1" s="1"/>
  <c r="AJ1332" i="1" a="1"/>
  <c r="AJ1332" i="1" s="1"/>
  <c r="AJ1333" i="1" a="1"/>
  <c r="AJ1333" i="1"/>
  <c r="AJ1334" i="1" a="1"/>
  <c r="AJ1334" i="1" s="1"/>
  <c r="AJ1335" i="1" a="1"/>
  <c r="AJ1335" i="1" s="1"/>
  <c r="AJ1336" i="1" a="1"/>
  <c r="AJ1336" i="1" s="1"/>
  <c r="AJ1337" i="1" a="1"/>
  <c r="AJ1337" i="1" s="1"/>
  <c r="AJ1338" i="1" a="1"/>
  <c r="AJ1338" i="1" s="1"/>
  <c r="AJ1339" i="1" a="1"/>
  <c r="AJ1339" i="1" s="1"/>
  <c r="AJ1340" i="1" a="1"/>
  <c r="AJ1340" i="1"/>
  <c r="AJ1341" i="1" a="1"/>
  <c r="AJ1341" i="1" s="1"/>
  <c r="AJ1342" i="1" a="1"/>
  <c r="AJ1342" i="1" s="1"/>
  <c r="AJ1343" i="1" a="1"/>
  <c r="AJ1343" i="1" s="1"/>
  <c r="AJ1344" i="1" a="1"/>
  <c r="AJ1344" i="1" s="1"/>
  <c r="AJ1345" i="1" a="1"/>
  <c r="AJ1345" i="1" s="1"/>
  <c r="AJ1346" i="1" a="1"/>
  <c r="AJ1346" i="1" s="1"/>
  <c r="AJ1347" i="1" a="1"/>
  <c r="AJ1347" i="1" s="1"/>
  <c r="AJ1348" i="1" a="1"/>
  <c r="AJ1348" i="1" s="1"/>
  <c r="AJ1349" i="1" a="1"/>
  <c r="AJ1349" i="1" s="1"/>
  <c r="AJ1350" i="1" a="1"/>
  <c r="AJ1350" i="1" s="1"/>
  <c r="AJ1351" i="1" a="1"/>
  <c r="AJ1351" i="1" s="1"/>
  <c r="AJ1352" i="1" a="1"/>
  <c r="AJ1352" i="1" s="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s="1"/>
  <c r="AJ1362" i="1" a="1"/>
  <c r="AJ1362" i="1" s="1"/>
  <c r="AJ1363" i="1" a="1"/>
  <c r="AJ1363" i="1" s="1"/>
  <c r="AJ1364" i="1" a="1"/>
  <c r="AJ1364" i="1" s="1"/>
  <c r="AJ1365" i="1" a="1"/>
  <c r="AJ1365" i="1" s="1"/>
  <c r="AJ1366" i="1" a="1"/>
  <c r="AJ1366" i="1" s="1"/>
  <c r="AJ1367" i="1" a="1"/>
  <c r="AJ1367" i="1" s="1"/>
  <c r="AJ1368" i="1" a="1"/>
  <c r="AJ1368" i="1" s="1"/>
  <c r="AJ1369" i="1" a="1"/>
  <c r="AJ1369" i="1" s="1"/>
  <c r="AJ1370" i="1" a="1"/>
  <c r="AJ1370" i="1" s="1"/>
  <c r="AJ1371" i="1" a="1"/>
  <c r="AJ1371" i="1"/>
  <c r="AJ1372" i="1" a="1"/>
  <c r="AJ1372" i="1" s="1"/>
  <c r="AJ1373" i="1" a="1"/>
  <c r="AJ1373" i="1" s="1"/>
  <c r="AJ1374" i="1" a="1"/>
  <c r="AJ1374" i="1" s="1"/>
  <c r="AJ1375" i="1" a="1"/>
  <c r="AJ1375" i="1" s="1"/>
  <c r="AJ1376" i="1" a="1"/>
  <c r="AJ1376" i="1" s="1"/>
  <c r="AJ1377" i="1" a="1"/>
  <c r="AJ1377" i="1" s="1"/>
  <c r="AJ1378" i="1" a="1"/>
  <c r="AJ1378" i="1" s="1"/>
  <c r="AJ1379" i="1" a="1"/>
  <c r="AJ1379" i="1" s="1"/>
  <c r="AJ1380" i="1" a="1"/>
  <c r="AJ1380" i="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s="1"/>
  <c r="AJ1393" i="1" a="1"/>
  <c r="AJ1393" i="1" s="1"/>
  <c r="AJ1394" i="1" a="1"/>
  <c r="AJ1394" i="1" s="1"/>
  <c r="AJ1395" i="1" a="1"/>
  <c r="AJ1395" i="1" s="1"/>
  <c r="AJ1396" i="1" a="1"/>
  <c r="AJ1396" i="1" s="1"/>
  <c r="AJ1397" i="1" a="1"/>
  <c r="AJ1397" i="1" s="1"/>
  <c r="AJ1398" i="1" a="1"/>
  <c r="AJ1398" i="1" s="1"/>
  <c r="AJ1399" i="1" a="1"/>
  <c r="AJ1399" i="1" s="1"/>
  <c r="AJ1400" i="1" a="1"/>
  <c r="AJ1400" i="1" s="1"/>
  <c r="AJ1401" i="1" a="1"/>
  <c r="AJ1401" i="1" s="1"/>
  <c r="AJ1402" i="1" a="1"/>
  <c r="AJ1402" i="1" s="1"/>
  <c r="AJ1403" i="1" a="1"/>
  <c r="AJ1403" i="1" s="1"/>
  <c r="AJ1404" i="1" a="1"/>
  <c r="AJ1404" i="1" s="1"/>
  <c r="AJ1405" i="1" a="1"/>
  <c r="AJ1405" i="1"/>
  <c r="AJ1406" i="1" a="1"/>
  <c r="AJ1406" i="1" s="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s="1"/>
  <c r="AJ1420" i="1" a="1"/>
  <c r="AJ1420" i="1" s="1"/>
  <c r="AJ1421" i="1" a="1"/>
  <c r="AJ1421" i="1" s="1"/>
  <c r="AJ1422" i="1" a="1"/>
  <c r="AJ1422" i="1" s="1"/>
  <c r="AJ1423" i="1" a="1"/>
  <c r="AJ1423" i="1" s="1"/>
  <c r="AJ1424" i="1" a="1"/>
  <c r="AJ1424" i="1" s="1"/>
  <c r="AJ1425" i="1" a="1"/>
  <c r="AJ1425" i="1" s="1"/>
  <c r="AJ1426" i="1" a="1"/>
  <c r="AJ1426" i="1" s="1"/>
  <c r="AJ1427" i="1" a="1"/>
  <c r="AJ1427" i="1" s="1"/>
  <c r="AJ1428" i="1" a="1"/>
  <c r="AJ1428" i="1" s="1"/>
  <c r="AJ1429" i="1" a="1"/>
  <c r="AJ1429" i="1" s="1"/>
  <c r="AJ1430" i="1" a="1"/>
  <c r="AJ1430" i="1" s="1"/>
  <c r="AJ1431" i="1" a="1"/>
  <c r="AJ1431" i="1" s="1"/>
  <c r="AJ1432" i="1" a="1"/>
  <c r="AJ1432" i="1" s="1"/>
  <c r="AJ1433" i="1" a="1"/>
  <c r="AJ1433" i="1" s="1"/>
  <c r="AJ1434" i="1" a="1"/>
  <c r="AJ1434" i="1" s="1"/>
  <c r="AJ1435" i="1" a="1"/>
  <c r="AJ1435" i="1" s="1"/>
  <c r="AJ1436" i="1" a="1"/>
  <c r="AJ1436" i="1" s="1"/>
  <c r="AJ1437" i="1" a="1"/>
  <c r="AJ1437" i="1" s="1"/>
  <c r="AJ1438" i="1" a="1"/>
  <c r="AJ1438" i="1" s="1"/>
  <c r="AJ1439" i="1" a="1"/>
  <c r="AJ1439" i="1" s="1"/>
  <c r="AJ1440" i="1" a="1"/>
  <c r="AJ1440" i="1" s="1"/>
  <c r="AJ1441" i="1" a="1"/>
  <c r="AJ1441" i="1" s="1"/>
  <c r="AJ1442" i="1" a="1"/>
  <c r="AJ1442" i="1" s="1"/>
  <c r="AJ1443" i="1" a="1"/>
  <c r="AJ1443" i="1" s="1"/>
  <c r="AJ1444" i="1" a="1"/>
  <c r="AJ1444" i="1" s="1"/>
  <c r="AJ1445" i="1" a="1"/>
  <c r="AJ1445" i="1" s="1"/>
  <c r="AJ1446" i="1" a="1"/>
  <c r="AJ1446" i="1" s="1"/>
  <c r="AJ1447" i="1" a="1"/>
  <c r="AJ1447" i="1" s="1"/>
  <c r="AJ1448" i="1" a="1"/>
  <c r="AJ1448" i="1" s="1"/>
  <c r="AJ1449" i="1" a="1"/>
  <c r="AJ1449" i="1" s="1"/>
  <c r="AJ1450" i="1" a="1"/>
  <c r="AJ1450" i="1" s="1"/>
  <c r="AJ1451" i="1" a="1"/>
  <c r="AJ1451" i="1"/>
  <c r="AJ1452" i="1" a="1"/>
  <c r="AJ1452" i="1" s="1"/>
  <c r="AJ1453" i="1" a="1"/>
  <c r="AJ1453" i="1" s="1"/>
  <c r="AJ1454" i="1" a="1"/>
  <c r="AJ1454" i="1" s="1"/>
  <c r="AJ1455" i="1" a="1"/>
  <c r="AJ1455" i="1" s="1"/>
  <c r="AJ1456" i="1" a="1"/>
  <c r="AJ1456" i="1" s="1"/>
  <c r="AJ1457" i="1" a="1"/>
  <c r="AJ1457" i="1" s="1"/>
  <c r="AJ1458" i="1" a="1"/>
  <c r="AJ1458" i="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AJ2" i="1" a="1"/>
  <c r="AJ2" i="1" s="1"/>
  <c r="AI3" i="1" a="1"/>
  <c r="AI3" i="1" s="1"/>
  <c r="AI4" i="1" a="1"/>
  <c r="AI4" i="1" s="1"/>
  <c r="AI5" i="1" a="1"/>
  <c r="AI5" i="1" s="1"/>
  <c r="AI6" i="1" a="1"/>
  <c r="AI6" i="1" s="1"/>
  <c r="AI7" i="1" a="1"/>
  <c r="AI7" i="1" s="1"/>
  <c r="AI8" i="1" a="1"/>
  <c r="AI8" i="1" s="1"/>
  <c r="AI9" i="1" a="1"/>
  <c r="AI9" i="1" s="1"/>
  <c r="AI10" i="1" a="1"/>
  <c r="AI10" i="1" s="1"/>
  <c r="AI11" i="1" a="1"/>
  <c r="AI11" i="1" s="1"/>
  <c r="AI12" i="1" a="1"/>
  <c r="AI12" i="1" s="1"/>
  <c r="AI13" i="1" a="1"/>
  <c r="AI13" i="1" s="1"/>
  <c r="AI14" i="1" a="1"/>
  <c r="AI14" i="1" s="1"/>
  <c r="AI15" i="1" a="1"/>
  <c r="AI15" i="1" s="1"/>
  <c r="AI16" i="1" a="1"/>
  <c r="AI16" i="1" s="1"/>
  <c r="AI17" i="1" a="1"/>
  <c r="AI17" i="1" s="1"/>
  <c r="AI18" i="1" a="1"/>
  <c r="AI18" i="1" s="1"/>
  <c r="AI19" i="1" a="1"/>
  <c r="AI19" i="1" s="1"/>
  <c r="AI20" i="1" a="1"/>
  <c r="AI20" i="1" s="1"/>
  <c r="AI21" i="1" a="1"/>
  <c r="AI21" i="1" s="1"/>
  <c r="AI22" i="1" a="1"/>
  <c r="AI22" i="1" s="1"/>
  <c r="AI23" i="1" a="1"/>
  <c r="AI23" i="1" s="1"/>
  <c r="AI24" i="1" a="1"/>
  <c r="AI24" i="1" s="1"/>
  <c r="AI25" i="1" a="1"/>
  <c r="AI25" i="1" s="1"/>
  <c r="AI26" i="1" a="1"/>
  <c r="AI26" i="1" s="1"/>
  <c r="AI27" i="1" a="1"/>
  <c r="AI27" i="1" s="1"/>
  <c r="AI28" i="1" a="1"/>
  <c r="AI28" i="1" s="1"/>
  <c r="AI29" i="1" a="1"/>
  <c r="AI29" i="1" s="1"/>
  <c r="AI30" i="1" a="1"/>
  <c r="AI30" i="1" s="1"/>
  <c r="AI31" i="1" a="1"/>
  <c r="AI31" i="1" s="1"/>
  <c r="AI32" i="1" a="1"/>
  <c r="AI32" i="1" s="1"/>
  <c r="AI33" i="1" a="1"/>
  <c r="AI33" i="1" s="1"/>
  <c r="AI34" i="1" a="1"/>
  <c r="AI34" i="1" s="1"/>
  <c r="AI35" i="1" a="1"/>
  <c r="AI35" i="1" s="1"/>
  <c r="AI36" i="1" a="1"/>
  <c r="AI36" i="1" s="1"/>
  <c r="AI37" i="1" a="1"/>
  <c r="AI37" i="1" s="1"/>
  <c r="AI38" i="1" a="1"/>
  <c r="AI38" i="1" s="1"/>
  <c r="AI39" i="1" a="1"/>
  <c r="AI39" i="1" s="1"/>
  <c r="AI40" i="1" a="1"/>
  <c r="AI40" i="1" s="1"/>
  <c r="AI41" i="1" a="1"/>
  <c r="AI41" i="1" s="1"/>
  <c r="AI42" i="1" a="1"/>
  <c r="AI42" i="1" s="1"/>
  <c r="AI43" i="1" a="1"/>
  <c r="AI43" i="1" s="1"/>
  <c r="AI44" i="1" a="1"/>
  <c r="AI44" i="1" s="1"/>
  <c r="AI45" i="1" a="1"/>
  <c r="AI45" i="1" s="1"/>
  <c r="AI46" i="1" a="1"/>
  <c r="AI46" i="1" s="1"/>
  <c r="AI47" i="1" a="1"/>
  <c r="AI47" i="1" s="1"/>
  <c r="AI48" i="1" a="1"/>
  <c r="AI48" i="1" s="1"/>
  <c r="AI49" i="1" a="1"/>
  <c r="AI49" i="1" s="1"/>
  <c r="AI50" i="1" a="1"/>
  <c r="AI50" i="1" s="1"/>
  <c r="AI51" i="1" a="1"/>
  <c r="AI51" i="1" s="1"/>
  <c r="AI52" i="1" a="1"/>
  <c r="AI52" i="1" s="1"/>
  <c r="AI53" i="1" a="1"/>
  <c r="AI53" i="1" s="1"/>
  <c r="AI54" i="1" a="1"/>
  <c r="AI54" i="1" s="1"/>
  <c r="AI55" i="1" a="1"/>
  <c r="AI55" i="1" s="1"/>
  <c r="AI56" i="1" a="1"/>
  <c r="AI56" i="1" s="1"/>
  <c r="AI57" i="1" a="1"/>
  <c r="AI57" i="1" s="1"/>
  <c r="AI58" i="1" a="1"/>
  <c r="AI58" i="1" s="1"/>
  <c r="AI59" i="1" a="1"/>
  <c r="AI59" i="1" s="1"/>
  <c r="AI60" i="1" a="1"/>
  <c r="AI60" i="1" s="1"/>
  <c r="AI61" i="1" a="1"/>
  <c r="AI61" i="1" s="1"/>
  <c r="AI62" i="1" a="1"/>
  <c r="AI62" i="1" s="1"/>
  <c r="AI63" i="1" a="1"/>
  <c r="AI63" i="1" s="1"/>
  <c r="AI64" i="1" a="1"/>
  <c r="AI64" i="1" s="1"/>
  <c r="AI65" i="1" a="1"/>
  <c r="AI65" i="1" s="1"/>
  <c r="AI66" i="1" a="1"/>
  <c r="AI66" i="1" s="1"/>
  <c r="AI67" i="1" a="1"/>
  <c r="AI67" i="1" s="1"/>
  <c r="AI68" i="1" a="1"/>
  <c r="AI68" i="1" s="1"/>
  <c r="AI69" i="1" a="1"/>
  <c r="AI69" i="1" s="1"/>
  <c r="AI70" i="1" a="1"/>
  <c r="AI70" i="1" s="1"/>
  <c r="AI71" i="1" a="1"/>
  <c r="AI71" i="1" s="1"/>
  <c r="AI72" i="1" a="1"/>
  <c r="AI72" i="1" s="1"/>
  <c r="AI73" i="1" a="1"/>
  <c r="AI73" i="1" s="1"/>
  <c r="AI74" i="1" a="1"/>
  <c r="AI74" i="1" s="1"/>
  <c r="AI75" i="1" a="1"/>
  <c r="AI75" i="1" s="1"/>
  <c r="AI76" i="1" a="1"/>
  <c r="AI76" i="1" s="1"/>
  <c r="AI77" i="1" a="1"/>
  <c r="AI77" i="1" s="1"/>
  <c r="AI78" i="1" a="1"/>
  <c r="AI78" i="1" s="1"/>
  <c r="AI79" i="1" a="1"/>
  <c r="AI79" i="1" s="1"/>
  <c r="AI80" i="1" a="1"/>
  <c r="AI80" i="1" s="1"/>
  <c r="AI81" i="1" a="1"/>
  <c r="AI81" i="1" s="1"/>
  <c r="AI82" i="1" a="1"/>
  <c r="AI82" i="1" s="1"/>
  <c r="AI83" i="1" a="1"/>
  <c r="AI83" i="1" s="1"/>
  <c r="AI84" i="1" a="1"/>
  <c r="AI84" i="1" s="1"/>
  <c r="AI85" i="1" a="1"/>
  <c r="AI85" i="1"/>
  <c r="AI86" i="1" a="1"/>
  <c r="AI86" i="1" s="1"/>
  <c r="AI87" i="1" a="1"/>
  <c r="AI87" i="1" s="1"/>
  <c r="AI88" i="1" a="1"/>
  <c r="AI88" i="1" s="1"/>
  <c r="AI89" i="1" a="1"/>
  <c r="AI89" i="1" s="1"/>
  <c r="AI90" i="1" a="1"/>
  <c r="AI90" i="1" s="1"/>
  <c r="AI91" i="1" a="1"/>
  <c r="AI91" i="1" s="1"/>
  <c r="AI92" i="1" a="1"/>
  <c r="AI92" i="1" s="1"/>
  <c r="AI93" i="1" a="1"/>
  <c r="AI93" i="1" s="1"/>
  <c r="AI94" i="1" a="1"/>
  <c r="AI94" i="1" s="1"/>
  <c r="AI95" i="1" a="1"/>
  <c r="AI95" i="1" s="1"/>
  <c r="AI96" i="1" a="1"/>
  <c r="AI96" i="1" s="1"/>
  <c r="AI97" i="1" a="1"/>
  <c r="AI97" i="1" s="1"/>
  <c r="AI98" i="1" a="1"/>
  <c r="AI98" i="1" s="1"/>
  <c r="AI99" i="1" a="1"/>
  <c r="AI99" i="1" s="1"/>
  <c r="AI100" i="1" a="1"/>
  <c r="AI100" i="1" s="1"/>
  <c r="AI101" i="1" a="1"/>
  <c r="AI101" i="1" s="1"/>
  <c r="AI102" i="1" a="1"/>
  <c r="AI102" i="1" s="1"/>
  <c r="AI103" i="1" a="1"/>
  <c r="AI103" i="1" s="1"/>
  <c r="AI104" i="1" a="1"/>
  <c r="AI104" i="1" s="1"/>
  <c r="AI105" i="1" a="1"/>
  <c r="AI105" i="1" s="1"/>
  <c r="AI106" i="1" a="1"/>
  <c r="AI106" i="1" s="1"/>
  <c r="AI107" i="1" a="1"/>
  <c r="AI107" i="1" s="1"/>
  <c r="AI108" i="1" a="1"/>
  <c r="AI108" i="1" s="1"/>
  <c r="AI109" i="1" a="1"/>
  <c r="AI109" i="1" s="1"/>
  <c r="AI110" i="1" a="1"/>
  <c r="AI110" i="1" s="1"/>
  <c r="AI111" i="1" a="1"/>
  <c r="AI111" i="1" s="1"/>
  <c r="AI112" i="1" a="1"/>
  <c r="AI112" i="1" s="1"/>
  <c r="AI113" i="1" a="1"/>
  <c r="AI113" i="1" s="1"/>
  <c r="AI114" i="1" a="1"/>
  <c r="AI114" i="1" s="1"/>
  <c r="AI115" i="1" a="1"/>
  <c r="AI115" i="1" s="1"/>
  <c r="AI116" i="1" a="1"/>
  <c r="AI116" i="1" s="1"/>
  <c r="AI117" i="1" a="1"/>
  <c r="AI117" i="1" s="1"/>
  <c r="AI118" i="1" a="1"/>
  <c r="AI118" i="1" s="1"/>
  <c r="AI119" i="1" a="1"/>
  <c r="AI119" i="1" s="1"/>
  <c r="AI120" i="1" a="1"/>
  <c r="AI120" i="1" s="1"/>
  <c r="AI121" i="1" a="1"/>
  <c r="AI121" i="1" s="1"/>
  <c r="AI122" i="1" a="1"/>
  <c r="AI122" i="1" s="1"/>
  <c r="AI123" i="1" a="1"/>
  <c r="AI123" i="1" s="1"/>
  <c r="AI124" i="1" a="1"/>
  <c r="AI124" i="1" s="1"/>
  <c r="AI125" i="1" a="1"/>
  <c r="AI125" i="1" s="1"/>
  <c r="AI126" i="1" a="1"/>
  <c r="AI126" i="1" s="1"/>
  <c r="AI127" i="1" a="1"/>
  <c r="AI127" i="1" s="1"/>
  <c r="AI128" i="1" a="1"/>
  <c r="AI128" i="1" s="1"/>
  <c r="AI129" i="1" a="1"/>
  <c r="AI129" i="1" s="1"/>
  <c r="AI130" i="1" a="1"/>
  <c r="AI130" i="1" s="1"/>
  <c r="AI131" i="1" a="1"/>
  <c r="AI131" i="1" s="1"/>
  <c r="AI132" i="1" a="1"/>
  <c r="AI132" i="1" s="1"/>
  <c r="AI133" i="1" a="1"/>
  <c r="AI133" i="1" s="1"/>
  <c r="AI134" i="1" a="1"/>
  <c r="AI134" i="1" s="1"/>
  <c r="AI135" i="1" a="1"/>
  <c r="AI135" i="1" s="1"/>
  <c r="AI136" i="1" a="1"/>
  <c r="AI136" i="1" s="1"/>
  <c r="AI137" i="1" a="1"/>
  <c r="AI137" i="1" s="1"/>
  <c r="AI138" i="1" a="1"/>
  <c r="AI138" i="1" s="1"/>
  <c r="AI139" i="1" a="1"/>
  <c r="AI139" i="1" s="1"/>
  <c r="AI140" i="1" a="1"/>
  <c r="AI140" i="1" s="1"/>
  <c r="AI141" i="1" a="1"/>
  <c r="AI141" i="1" s="1"/>
  <c r="AI142" i="1" a="1"/>
  <c r="AI142" i="1" s="1"/>
  <c r="AI143" i="1" a="1"/>
  <c r="AI143" i="1" s="1"/>
  <c r="AI144" i="1" a="1"/>
  <c r="AI144" i="1" s="1"/>
  <c r="AI145" i="1" a="1"/>
  <c r="AI145" i="1" s="1"/>
  <c r="AI146" i="1" a="1"/>
  <c r="AI146" i="1" s="1"/>
  <c r="AI147" i="1" a="1"/>
  <c r="AI147" i="1" s="1"/>
  <c r="AI148" i="1" a="1"/>
  <c r="AI148" i="1" s="1"/>
  <c r="AI149" i="1" a="1"/>
  <c r="AI149" i="1" s="1"/>
  <c r="AI150" i="1" a="1"/>
  <c r="AI150" i="1" s="1"/>
  <c r="AI151" i="1" a="1"/>
  <c r="AI151" i="1" s="1"/>
  <c r="AI152" i="1" a="1"/>
  <c r="AI152" i="1" s="1"/>
  <c r="AI153" i="1" a="1"/>
  <c r="AI153" i="1" s="1"/>
  <c r="AI154" i="1" a="1"/>
  <c r="AI154" i="1" s="1"/>
  <c r="AI155" i="1" a="1"/>
  <c r="AI155" i="1" s="1"/>
  <c r="AI156" i="1" a="1"/>
  <c r="AI156" i="1" s="1"/>
  <c r="AI157" i="1" a="1"/>
  <c r="AI157" i="1" s="1"/>
  <c r="AI158" i="1" a="1"/>
  <c r="AI158" i="1" s="1"/>
  <c r="AI159" i="1" a="1"/>
  <c r="AI159" i="1" s="1"/>
  <c r="AI160" i="1" a="1"/>
  <c r="AI160" i="1"/>
  <c r="AI161" i="1" a="1"/>
  <c r="AI161" i="1"/>
  <c r="AI162" i="1" a="1"/>
  <c r="AI162" i="1" s="1"/>
  <c r="AI163" i="1" a="1"/>
  <c r="AI163" i="1" s="1"/>
  <c r="AI164" i="1" a="1"/>
  <c r="AI164" i="1" s="1"/>
  <c r="AI165" i="1" a="1"/>
  <c r="AI165" i="1" s="1"/>
  <c r="AI166" i="1" a="1"/>
  <c r="AI166" i="1" s="1"/>
  <c r="AI167" i="1" a="1"/>
  <c r="AI167" i="1" s="1"/>
  <c r="AI168" i="1" a="1"/>
  <c r="AI168" i="1" s="1"/>
  <c r="AI169" i="1" a="1"/>
  <c r="AI169" i="1" s="1"/>
  <c r="AI170" i="1" a="1"/>
  <c r="AI170" i="1" s="1"/>
  <c r="AI171" i="1" a="1"/>
  <c r="AI171" i="1" s="1"/>
  <c r="AI172" i="1" a="1"/>
  <c r="AI172" i="1" s="1"/>
  <c r="AI173" i="1" a="1"/>
  <c r="AI173" i="1" s="1"/>
  <c r="AI174" i="1" a="1"/>
  <c r="AI174" i="1" s="1"/>
  <c r="AI175" i="1" a="1"/>
  <c r="AI175" i="1" s="1"/>
  <c r="AI176" i="1" a="1"/>
  <c r="AI176" i="1" s="1"/>
  <c r="AI177" i="1" a="1"/>
  <c r="AI177" i="1" s="1"/>
  <c r="AI178" i="1" a="1"/>
  <c r="AI178" i="1" s="1"/>
  <c r="AI179" i="1" a="1"/>
  <c r="AI179" i="1" s="1"/>
  <c r="AI180" i="1" a="1"/>
  <c r="AI180" i="1" s="1"/>
  <c r="AI181" i="1" a="1"/>
  <c r="AI181" i="1" s="1"/>
  <c r="AI182" i="1" a="1"/>
  <c r="AI182" i="1" s="1"/>
  <c r="AI183" i="1" a="1"/>
  <c r="AI183" i="1" s="1"/>
  <c r="AI184" i="1" a="1"/>
  <c r="AI184" i="1" s="1"/>
  <c r="AI185" i="1" a="1"/>
  <c r="AI185" i="1" s="1"/>
  <c r="AI186" i="1" a="1"/>
  <c r="AI186" i="1" s="1"/>
  <c r="AI187" i="1" a="1"/>
  <c r="AI187" i="1" s="1"/>
  <c r="AI188" i="1" a="1"/>
  <c r="AI188" i="1" s="1"/>
  <c r="AI189" i="1" a="1"/>
  <c r="AI189" i="1" s="1"/>
  <c r="AI190" i="1" a="1"/>
  <c r="AI190" i="1" s="1"/>
  <c r="AI191" i="1" a="1"/>
  <c r="AI191" i="1" s="1"/>
  <c r="AI192" i="1" a="1"/>
  <c r="AI192" i="1" s="1"/>
  <c r="AI193" i="1" a="1"/>
  <c r="AI193" i="1" s="1"/>
  <c r="AI194" i="1" a="1"/>
  <c r="AI194" i="1" s="1"/>
  <c r="AI195" i="1" a="1"/>
  <c r="AI195" i="1" s="1"/>
  <c r="AI196" i="1" a="1"/>
  <c r="AI196" i="1" s="1"/>
  <c r="AI197" i="1" a="1"/>
  <c r="AI197" i="1" s="1"/>
  <c r="AI198" i="1" a="1"/>
  <c r="AI198" i="1" s="1"/>
  <c r="AI199" i="1" a="1"/>
  <c r="AI199" i="1" s="1"/>
  <c r="AI200" i="1" a="1"/>
  <c r="AI200" i="1" s="1"/>
  <c r="AI201" i="1" a="1"/>
  <c r="AI201" i="1" s="1"/>
  <c r="AI202" i="1" a="1"/>
  <c r="AI202" i="1" s="1"/>
  <c r="AI203" i="1" a="1"/>
  <c r="AI203" i="1" s="1"/>
  <c r="AI204" i="1" a="1"/>
  <c r="AI204" i="1" s="1"/>
  <c r="AI205" i="1" a="1"/>
  <c r="AI205" i="1" s="1"/>
  <c r="AI206" i="1" a="1"/>
  <c r="AI206" i="1" s="1"/>
  <c r="AI207" i="1" a="1"/>
  <c r="AI207" i="1" s="1"/>
  <c r="AI208" i="1" a="1"/>
  <c r="AI208" i="1" s="1"/>
  <c r="AI209" i="1" a="1"/>
  <c r="AI209" i="1" s="1"/>
  <c r="AI210" i="1" a="1"/>
  <c r="AI210" i="1" s="1"/>
  <c r="AI211" i="1" a="1"/>
  <c r="AI211" i="1" s="1"/>
  <c r="AI212" i="1" a="1"/>
  <c r="AI212" i="1" s="1"/>
  <c r="AI213" i="1" a="1"/>
  <c r="AI213" i="1" s="1"/>
  <c r="AI214" i="1" a="1"/>
  <c r="AI214" i="1" s="1"/>
  <c r="AI215" i="1" a="1"/>
  <c r="AI215" i="1" s="1"/>
  <c r="AI216" i="1" a="1"/>
  <c r="AI216" i="1" s="1"/>
  <c r="AI217" i="1" a="1"/>
  <c r="AI217" i="1" s="1"/>
  <c r="AI218" i="1" a="1"/>
  <c r="AI218" i="1" s="1"/>
  <c r="AI219" i="1" a="1"/>
  <c r="AI219" i="1" s="1"/>
  <c r="AI220" i="1" a="1"/>
  <c r="AI220" i="1" s="1"/>
  <c r="AI221" i="1" a="1"/>
  <c r="AI221" i="1" s="1"/>
  <c r="AI222" i="1" a="1"/>
  <c r="AI222" i="1" s="1"/>
  <c r="AI223" i="1" a="1"/>
  <c r="AI223" i="1" s="1"/>
  <c r="AI224" i="1" a="1"/>
  <c r="AI224" i="1" s="1"/>
  <c r="AI225" i="1" a="1"/>
  <c r="AI225" i="1" s="1"/>
  <c r="AI226" i="1" a="1"/>
  <c r="AI226" i="1" s="1"/>
  <c r="AI227" i="1" a="1"/>
  <c r="AI227" i="1" s="1"/>
  <c r="AI228" i="1" a="1"/>
  <c r="AI228" i="1" s="1"/>
  <c r="AI229" i="1" a="1"/>
  <c r="AI229" i="1" s="1"/>
  <c r="AI230" i="1" a="1"/>
  <c r="AI230" i="1" s="1"/>
  <c r="AI231" i="1" a="1"/>
  <c r="AI231" i="1" s="1"/>
  <c r="AI232" i="1" a="1"/>
  <c r="AI232" i="1" s="1"/>
  <c r="AI233" i="1" a="1"/>
  <c r="AI233" i="1" s="1"/>
  <c r="AI234" i="1" a="1"/>
  <c r="AI234" i="1" s="1"/>
  <c r="AI235" i="1" a="1"/>
  <c r="AI235" i="1" s="1"/>
  <c r="AI236" i="1" a="1"/>
  <c r="AI236" i="1"/>
  <c r="AI237" i="1" a="1"/>
  <c r="AI237" i="1" s="1"/>
  <c r="AI238" i="1" a="1"/>
  <c r="AI238" i="1" s="1"/>
  <c r="AI239" i="1" a="1"/>
  <c r="AI239" i="1" s="1"/>
  <c r="AI240" i="1" a="1"/>
  <c r="AI240" i="1" s="1"/>
  <c r="AI241" i="1" a="1"/>
  <c r="AI241" i="1" s="1"/>
  <c r="AI242" i="1" a="1"/>
  <c r="AI242" i="1" s="1"/>
  <c r="AI243" i="1" a="1"/>
  <c r="AI243" i="1" s="1"/>
  <c r="AI244" i="1" a="1"/>
  <c r="AI244" i="1" s="1"/>
  <c r="AI245" i="1" a="1"/>
  <c r="AI245" i="1" s="1"/>
  <c r="AI246" i="1" a="1"/>
  <c r="AI246" i="1" s="1"/>
  <c r="AI247" i="1" a="1"/>
  <c r="AI247" i="1" s="1"/>
  <c r="AI248" i="1" a="1"/>
  <c r="AI248" i="1" s="1"/>
  <c r="AI249" i="1" a="1"/>
  <c r="AI249" i="1"/>
  <c r="AI250" i="1" a="1"/>
  <c r="AI250" i="1" s="1"/>
  <c r="AI251" i="1" a="1"/>
  <c r="AI251" i="1" s="1"/>
  <c r="AI252" i="1" a="1"/>
  <c r="AI252" i="1" s="1"/>
  <c r="AI253" i="1" a="1"/>
  <c r="AI253" i="1" s="1"/>
  <c r="AI254" i="1" a="1"/>
  <c r="AI254" i="1" s="1"/>
  <c r="AI255" i="1" a="1"/>
  <c r="AI255" i="1" s="1"/>
  <c r="AI256" i="1" a="1"/>
  <c r="AI256" i="1" s="1"/>
  <c r="AI257" i="1" a="1"/>
  <c r="AI257" i="1" s="1"/>
  <c r="AI258" i="1" a="1"/>
  <c r="AI258" i="1" s="1"/>
  <c r="AI259" i="1" a="1"/>
  <c r="AI259" i="1" s="1"/>
  <c r="AI260" i="1" a="1"/>
  <c r="AI260" i="1" s="1"/>
  <c r="AI261" i="1" a="1"/>
  <c r="AI261" i="1" s="1"/>
  <c r="AI262" i="1" a="1"/>
  <c r="AI262" i="1" s="1"/>
  <c r="AI263" i="1" a="1"/>
  <c r="AI263" i="1" s="1"/>
  <c r="AI264" i="1" a="1"/>
  <c r="AI264" i="1" s="1"/>
  <c r="AI265" i="1" a="1"/>
  <c r="AI265" i="1" s="1"/>
  <c r="AI266" i="1" a="1"/>
  <c r="AI266" i="1" s="1"/>
  <c r="AI267" i="1" a="1"/>
  <c r="AI267" i="1" s="1"/>
  <c r="AI268" i="1" a="1"/>
  <c r="AI268" i="1"/>
  <c r="AI269" i="1" a="1"/>
  <c r="AI269" i="1" s="1"/>
  <c r="AI270" i="1" a="1"/>
  <c r="AI270" i="1" s="1"/>
  <c r="AI271" i="1" a="1"/>
  <c r="AI271" i="1" s="1"/>
  <c r="AI272" i="1" a="1"/>
  <c r="AI272" i="1" s="1"/>
  <c r="AI273" i="1" a="1"/>
  <c r="AI273" i="1" s="1"/>
  <c r="AI274" i="1" a="1"/>
  <c r="AI274" i="1" s="1"/>
  <c r="AI275" i="1" a="1"/>
  <c r="AI275" i="1" s="1"/>
  <c r="AI276" i="1" a="1"/>
  <c r="AI276" i="1" s="1"/>
  <c r="AI277" i="1" a="1"/>
  <c r="AI277" i="1" s="1"/>
  <c r="AI278" i="1" a="1"/>
  <c r="AI278" i="1" s="1"/>
  <c r="AI279" i="1" a="1"/>
  <c r="AI279" i="1" s="1"/>
  <c r="AI280" i="1" a="1"/>
  <c r="AI280" i="1" s="1"/>
  <c r="AI281" i="1" a="1"/>
  <c r="AI281" i="1" s="1"/>
  <c r="AI282" i="1" a="1"/>
  <c r="AI282" i="1" s="1"/>
  <c r="AI283" i="1" a="1"/>
  <c r="AI283" i="1" s="1"/>
  <c r="AI284" i="1" a="1"/>
  <c r="AI284" i="1" s="1"/>
  <c r="AI285" i="1" a="1"/>
  <c r="AI285" i="1" s="1"/>
  <c r="AI286" i="1" a="1"/>
  <c r="AI286" i="1" s="1"/>
  <c r="AI287" i="1" a="1"/>
  <c r="AI287" i="1" s="1"/>
  <c r="AI288" i="1" a="1"/>
  <c r="AI288" i="1" s="1"/>
  <c r="AI289" i="1" a="1"/>
  <c r="AI289" i="1" s="1"/>
  <c r="AI290" i="1" a="1"/>
  <c r="AI290" i="1" s="1"/>
  <c r="AI291" i="1" a="1"/>
  <c r="AI291" i="1" s="1"/>
  <c r="AI292" i="1" a="1"/>
  <c r="AI292" i="1" s="1"/>
  <c r="AI293" i="1" a="1"/>
  <c r="AI293" i="1" s="1"/>
  <c r="AI294" i="1" a="1"/>
  <c r="AI294" i="1" s="1"/>
  <c r="AI295" i="1" a="1"/>
  <c r="AI295" i="1" s="1"/>
  <c r="AI296" i="1" a="1"/>
  <c r="AI296" i="1" s="1"/>
  <c r="AI297" i="1" a="1"/>
  <c r="AI297" i="1" s="1"/>
  <c r="AI298" i="1" a="1"/>
  <c r="AI298" i="1" s="1"/>
  <c r="AI299" i="1" a="1"/>
  <c r="AI299" i="1" s="1"/>
  <c r="AI300" i="1" a="1"/>
  <c r="AI300" i="1" s="1"/>
  <c r="AI301" i="1" a="1"/>
  <c r="AI301" i="1" s="1"/>
  <c r="AI302" i="1" a="1"/>
  <c r="AI302" i="1" s="1"/>
  <c r="AI303" i="1" a="1"/>
  <c r="AI303" i="1" s="1"/>
  <c r="AI304" i="1" a="1"/>
  <c r="AI304" i="1" s="1"/>
  <c r="AI305" i="1" a="1"/>
  <c r="AI305" i="1" s="1"/>
  <c r="AI306" i="1" a="1"/>
  <c r="AI306" i="1" s="1"/>
  <c r="AI307" i="1" a="1"/>
  <c r="AI307" i="1" s="1"/>
  <c r="AI308" i="1" a="1"/>
  <c r="AI308" i="1" s="1"/>
  <c r="AI309" i="1" a="1"/>
  <c r="AI309" i="1" s="1"/>
  <c r="AI310" i="1" a="1"/>
  <c r="AI310" i="1" s="1"/>
  <c r="AI311" i="1" a="1"/>
  <c r="AI311" i="1" s="1"/>
  <c r="AI312" i="1" a="1"/>
  <c r="AI312" i="1" s="1"/>
  <c r="AI313" i="1" a="1"/>
  <c r="AI313" i="1" s="1"/>
  <c r="AI314" i="1" a="1"/>
  <c r="AI314" i="1" s="1"/>
  <c r="AI315" i="1" a="1"/>
  <c r="AI315" i="1" s="1"/>
  <c r="AI316" i="1" a="1"/>
  <c r="AI316" i="1" s="1"/>
  <c r="AI317" i="1" a="1"/>
  <c r="AI317" i="1" s="1"/>
  <c r="AI318" i="1" a="1"/>
  <c r="AI318" i="1" s="1"/>
  <c r="AI319" i="1" a="1"/>
  <c r="AI319" i="1" s="1"/>
  <c r="AI320" i="1" a="1"/>
  <c r="AI320" i="1" s="1"/>
  <c r="AI321" i="1" a="1"/>
  <c r="AI321" i="1" s="1"/>
  <c r="AI322" i="1" a="1"/>
  <c r="AI322" i="1" s="1"/>
  <c r="AI323" i="1" a="1"/>
  <c r="AI323" i="1" s="1"/>
  <c r="AI324" i="1" a="1"/>
  <c r="AI324" i="1" s="1"/>
  <c r="AI325" i="1" a="1"/>
  <c r="AI325" i="1" s="1"/>
  <c r="AI326" i="1" a="1"/>
  <c r="AI326" i="1" s="1"/>
  <c r="AI327" i="1" a="1"/>
  <c r="AI327" i="1" s="1"/>
  <c r="AI328" i="1" a="1"/>
  <c r="AI328" i="1" s="1"/>
  <c r="AI329" i="1" a="1"/>
  <c r="AI329" i="1" s="1"/>
  <c r="AI330" i="1" a="1"/>
  <c r="AI330" i="1" s="1"/>
  <c r="AI331" i="1" a="1"/>
  <c r="AI331" i="1" s="1"/>
  <c r="AI332" i="1" a="1"/>
  <c r="AI332" i="1"/>
  <c r="AI333" i="1" a="1"/>
  <c r="AI333" i="1" s="1"/>
  <c r="AI334" i="1" a="1"/>
  <c r="AI334" i="1" s="1"/>
  <c r="AI335" i="1" a="1"/>
  <c r="AI335" i="1" s="1"/>
  <c r="AI336" i="1" a="1"/>
  <c r="AI336" i="1" s="1"/>
  <c r="AI337" i="1" a="1"/>
  <c r="AI337" i="1" s="1"/>
  <c r="AI338" i="1" a="1"/>
  <c r="AI338" i="1" s="1"/>
  <c r="AI339" i="1" a="1"/>
  <c r="AI339" i="1" s="1"/>
  <c r="AI340" i="1" a="1"/>
  <c r="AI340" i="1" s="1"/>
  <c r="AI341" i="1" a="1"/>
  <c r="AI341" i="1" s="1"/>
  <c r="AI342" i="1" a="1"/>
  <c r="AI342" i="1" s="1"/>
  <c r="AI343" i="1" a="1"/>
  <c r="AI343" i="1" s="1"/>
  <c r="AI344" i="1" a="1"/>
  <c r="AI344" i="1" s="1"/>
  <c r="AI345" i="1" a="1"/>
  <c r="AI345" i="1" s="1"/>
  <c r="AI346" i="1" a="1"/>
  <c r="AI346" i="1"/>
  <c r="AI347" i="1" a="1"/>
  <c r="AI347" i="1" s="1"/>
  <c r="AI348" i="1" a="1"/>
  <c r="AI348" i="1" s="1"/>
  <c r="AI349" i="1" a="1"/>
  <c r="AI349" i="1" s="1"/>
  <c r="AI350" i="1" a="1"/>
  <c r="AI350" i="1" s="1"/>
  <c r="AI351" i="1" a="1"/>
  <c r="AI351" i="1" s="1"/>
  <c r="AI352" i="1" a="1"/>
  <c r="AI352" i="1" s="1"/>
  <c r="AI353" i="1" a="1"/>
  <c r="AI353" i="1" s="1"/>
  <c r="AI354" i="1" a="1"/>
  <c r="AI354" i="1" s="1"/>
  <c r="AI355" i="1" a="1"/>
  <c r="AI355" i="1" s="1"/>
  <c r="AI356" i="1" a="1"/>
  <c r="AI356" i="1" s="1"/>
  <c r="AI357" i="1" a="1"/>
  <c r="AI357" i="1" s="1"/>
  <c r="AI358" i="1" a="1"/>
  <c r="AI358" i="1" s="1"/>
  <c r="AI359" i="1" a="1"/>
  <c r="AI359" i="1" s="1"/>
  <c r="AI360" i="1" a="1"/>
  <c r="AI360" i="1" s="1"/>
  <c r="AI361" i="1" a="1"/>
  <c r="AI361" i="1" s="1"/>
  <c r="AI362" i="1" a="1"/>
  <c r="AI362" i="1" s="1"/>
  <c r="AI363" i="1" a="1"/>
  <c r="AI363" i="1" s="1"/>
  <c r="AI364" i="1" a="1"/>
  <c r="AI364" i="1" s="1"/>
  <c r="AI365" i="1" a="1"/>
  <c r="AI365" i="1" s="1"/>
  <c r="AI366" i="1" a="1"/>
  <c r="AI366" i="1" s="1"/>
  <c r="AI367" i="1" a="1"/>
  <c r="AI367" i="1" s="1"/>
  <c r="AI368" i="1" a="1"/>
  <c r="AI368" i="1" s="1"/>
  <c r="AI369" i="1" a="1"/>
  <c r="AI369" i="1" s="1"/>
  <c r="AI370" i="1" a="1"/>
  <c r="AI370" i="1" s="1"/>
  <c r="AI371" i="1" a="1"/>
  <c r="AI371" i="1" s="1"/>
  <c r="AI372" i="1" a="1"/>
  <c r="AI372" i="1" s="1"/>
  <c r="AI373" i="1" a="1"/>
  <c r="AI373" i="1" s="1"/>
  <c r="AI374" i="1" a="1"/>
  <c r="AI374" i="1" s="1"/>
  <c r="AI375" i="1" a="1"/>
  <c r="AI375" i="1" s="1"/>
  <c r="AI376" i="1" a="1"/>
  <c r="AI376" i="1" s="1"/>
  <c r="AI377" i="1" a="1"/>
  <c r="AI377" i="1" s="1"/>
  <c r="AI378" i="1" a="1"/>
  <c r="AI378" i="1" s="1"/>
  <c r="AI379" i="1" a="1"/>
  <c r="AI379" i="1" s="1"/>
  <c r="AI380" i="1" a="1"/>
  <c r="AI380" i="1" s="1"/>
  <c r="AI381" i="1" a="1"/>
  <c r="AI381" i="1" s="1"/>
  <c r="AI382" i="1" a="1"/>
  <c r="AI382" i="1" s="1"/>
  <c r="AI383" i="1" a="1"/>
  <c r="AI383" i="1" s="1"/>
  <c r="AI384" i="1" a="1"/>
  <c r="AI384" i="1" s="1"/>
  <c r="AI385" i="1" a="1"/>
  <c r="AI385" i="1" s="1"/>
  <c r="AI386" i="1" a="1"/>
  <c r="AI386" i="1" s="1"/>
  <c r="AI387" i="1" a="1"/>
  <c r="AI387" i="1" s="1"/>
  <c r="AI388" i="1" a="1"/>
  <c r="AI388" i="1" s="1"/>
  <c r="AI389" i="1" a="1"/>
  <c r="AI389" i="1" s="1"/>
  <c r="AI390" i="1" a="1"/>
  <c r="AI390" i="1" s="1"/>
  <c r="AI391" i="1" a="1"/>
  <c r="AI391" i="1" s="1"/>
  <c r="AI392" i="1" a="1"/>
  <c r="AI392" i="1" s="1"/>
  <c r="AI393" i="1" a="1"/>
  <c r="AI393" i="1" s="1"/>
  <c r="AI394" i="1" a="1"/>
  <c r="AI394" i="1" s="1"/>
  <c r="AI395" i="1" a="1"/>
  <c r="AI395" i="1" s="1"/>
  <c r="AI396" i="1" a="1"/>
  <c r="AI396" i="1" s="1"/>
  <c r="AI397" i="1" a="1"/>
  <c r="AI397" i="1" s="1"/>
  <c r="AI398" i="1" a="1"/>
  <c r="AI398" i="1" s="1"/>
  <c r="AI399" i="1" a="1"/>
  <c r="AI399" i="1" s="1"/>
  <c r="AI400" i="1" a="1"/>
  <c r="AI400" i="1" s="1"/>
  <c r="AI401" i="1" a="1"/>
  <c r="AI401" i="1" s="1"/>
  <c r="AI402" i="1" a="1"/>
  <c r="AI402" i="1" s="1"/>
  <c r="AI403" i="1" a="1"/>
  <c r="AI403" i="1" s="1"/>
  <c r="AI404" i="1" a="1"/>
  <c r="AI404" i="1" s="1"/>
  <c r="AI405" i="1" a="1"/>
  <c r="AI405" i="1" s="1"/>
  <c r="AI406" i="1" a="1"/>
  <c r="AI406" i="1" s="1"/>
  <c r="AI407" i="1" a="1"/>
  <c r="AI407" i="1" s="1"/>
  <c r="AI408" i="1" a="1"/>
  <c r="AI408" i="1"/>
  <c r="AI409" i="1" a="1"/>
  <c r="AI409" i="1" s="1"/>
  <c r="AI410" i="1" a="1"/>
  <c r="AI410" i="1" s="1"/>
  <c r="AI411" i="1" a="1"/>
  <c r="AI411" i="1" s="1"/>
  <c r="AI412" i="1" a="1"/>
  <c r="AI412" i="1" s="1"/>
  <c r="AI413" i="1" a="1"/>
  <c r="AI413" i="1" s="1"/>
  <c r="AI414" i="1" a="1"/>
  <c r="AI414" i="1" s="1"/>
  <c r="AI415" i="1" a="1"/>
  <c r="AI415" i="1" s="1"/>
  <c r="AI416" i="1" a="1"/>
  <c r="AI416" i="1" s="1"/>
  <c r="AI417" i="1" a="1"/>
  <c r="AI417" i="1" s="1"/>
  <c r="AI418" i="1" a="1"/>
  <c r="AI418" i="1" s="1"/>
  <c r="AI419" i="1" a="1"/>
  <c r="AI419" i="1" s="1"/>
  <c r="AI420" i="1" a="1"/>
  <c r="AI420" i="1"/>
  <c r="AI421" i="1" a="1"/>
  <c r="AI421" i="1" s="1"/>
  <c r="AI422" i="1" a="1"/>
  <c r="AI422" i="1" s="1"/>
  <c r="AI423" i="1" a="1"/>
  <c r="AI423" i="1" s="1"/>
  <c r="AI424" i="1" a="1"/>
  <c r="AI424" i="1" s="1"/>
  <c r="AI425" i="1" a="1"/>
  <c r="AI425" i="1" s="1"/>
  <c r="AI426" i="1" a="1"/>
  <c r="AI426" i="1" s="1"/>
  <c r="AI427" i="1" a="1"/>
  <c r="AI427" i="1" s="1"/>
  <c r="AI428" i="1" a="1"/>
  <c r="AI428" i="1" s="1"/>
  <c r="AI429" i="1" a="1"/>
  <c r="AI429" i="1" s="1"/>
  <c r="AI430" i="1" a="1"/>
  <c r="AI430" i="1" s="1"/>
  <c r="AI431" i="1" a="1"/>
  <c r="AI431" i="1" s="1"/>
  <c r="AI432" i="1" a="1"/>
  <c r="AI432" i="1" s="1"/>
  <c r="AI433" i="1" a="1"/>
  <c r="AI433" i="1" s="1"/>
  <c r="AI434" i="1" a="1"/>
  <c r="AI434" i="1" s="1"/>
  <c r="AI435" i="1" a="1"/>
  <c r="AI435" i="1" s="1"/>
  <c r="AI436" i="1" a="1"/>
  <c r="AI436" i="1" s="1"/>
  <c r="AI437" i="1" a="1"/>
  <c r="AI437" i="1" s="1"/>
  <c r="AI438" i="1" a="1"/>
  <c r="AI438" i="1" s="1"/>
  <c r="AI439" i="1" a="1"/>
  <c r="AI439" i="1" s="1"/>
  <c r="AI440" i="1" a="1"/>
  <c r="AI440" i="1" s="1"/>
  <c r="AI441" i="1" a="1"/>
  <c r="AI441" i="1" s="1"/>
  <c r="AI442" i="1" a="1"/>
  <c r="AI442" i="1" s="1"/>
  <c r="AI443" i="1" a="1"/>
  <c r="AI443" i="1" s="1"/>
  <c r="AI444" i="1" a="1"/>
  <c r="AI444" i="1" s="1"/>
  <c r="AI445" i="1" a="1"/>
  <c r="AI445" i="1" s="1"/>
  <c r="AI446" i="1" a="1"/>
  <c r="AI446" i="1" s="1"/>
  <c r="AI447" i="1" a="1"/>
  <c r="AI447" i="1" s="1"/>
  <c r="AI448" i="1" a="1"/>
  <c r="AI448" i="1" s="1"/>
  <c r="AI449" i="1" a="1"/>
  <c r="AI449" i="1"/>
  <c r="AI450" i="1" a="1"/>
  <c r="AI450" i="1"/>
  <c r="AI451" i="1" a="1"/>
  <c r="AI451" i="1" s="1"/>
  <c r="AI452" i="1" a="1"/>
  <c r="AI452" i="1" s="1"/>
  <c r="AI453" i="1" a="1"/>
  <c r="AI453" i="1" s="1"/>
  <c r="AI454" i="1" a="1"/>
  <c r="AI454" i="1" s="1"/>
  <c r="AI455" i="1" a="1"/>
  <c r="AI455" i="1" s="1"/>
  <c r="AI456" i="1" a="1"/>
  <c r="AI456" i="1" s="1"/>
  <c r="AI457" i="1" a="1"/>
  <c r="AI457" i="1" s="1"/>
  <c r="AI458" i="1" a="1"/>
  <c r="AI458" i="1" s="1"/>
  <c r="AI459" i="1" a="1"/>
  <c r="AI459" i="1" s="1"/>
  <c r="AI460" i="1" a="1"/>
  <c r="AI460" i="1" s="1"/>
  <c r="AI461" i="1" a="1"/>
  <c r="AI461" i="1" s="1"/>
  <c r="AI462" i="1" a="1"/>
  <c r="AI462" i="1" s="1"/>
  <c r="AI463" i="1" a="1"/>
  <c r="AI463" i="1" s="1"/>
  <c r="AI464" i="1" a="1"/>
  <c r="AI464" i="1" s="1"/>
  <c r="AI465" i="1" a="1"/>
  <c r="AI465" i="1" s="1"/>
  <c r="AI466" i="1" a="1"/>
  <c r="AI466" i="1" s="1"/>
  <c r="AI467" i="1" a="1"/>
  <c r="AI467" i="1" s="1"/>
  <c r="AI468" i="1" a="1"/>
  <c r="AI468" i="1" s="1"/>
  <c r="AI469" i="1" a="1"/>
  <c r="AI469" i="1" s="1"/>
  <c r="AI470" i="1" a="1"/>
  <c r="AI470" i="1" s="1"/>
  <c r="AI471" i="1" a="1"/>
  <c r="AI471" i="1" s="1"/>
  <c r="AI472" i="1" a="1"/>
  <c r="AI472" i="1" s="1"/>
  <c r="AI473" i="1" a="1"/>
  <c r="AI473" i="1" s="1"/>
  <c r="AI474" i="1" a="1"/>
  <c r="AI474" i="1" s="1"/>
  <c r="AI475" i="1" a="1"/>
  <c r="AI475" i="1" s="1"/>
  <c r="AI476" i="1" a="1"/>
  <c r="AI476" i="1" s="1"/>
  <c r="AI477" i="1" a="1"/>
  <c r="AI477" i="1" s="1"/>
  <c r="AI478" i="1" a="1"/>
  <c r="AI478" i="1" s="1"/>
  <c r="AI479" i="1" a="1"/>
  <c r="AI479" i="1" s="1"/>
  <c r="AI480" i="1" a="1"/>
  <c r="AI480" i="1" s="1"/>
  <c r="AI481" i="1" a="1"/>
  <c r="AI481" i="1" s="1"/>
  <c r="AI482" i="1" a="1"/>
  <c r="AI482" i="1" s="1"/>
  <c r="AI483" i="1" a="1"/>
  <c r="AI483" i="1" s="1"/>
  <c r="AI484" i="1" a="1"/>
  <c r="AI484" i="1" s="1"/>
  <c r="AI485" i="1" a="1"/>
  <c r="AI485" i="1" s="1"/>
  <c r="AI486" i="1" a="1"/>
  <c r="AI486" i="1" s="1"/>
  <c r="AI487" i="1" a="1"/>
  <c r="AI487" i="1" s="1"/>
  <c r="AI488" i="1" a="1"/>
  <c r="AI488" i="1" s="1"/>
  <c r="AI489" i="1" a="1"/>
  <c r="AI489" i="1" s="1"/>
  <c r="AI490" i="1" a="1"/>
  <c r="AI490" i="1" s="1"/>
  <c r="AI491" i="1" a="1"/>
  <c r="AI491" i="1" s="1"/>
  <c r="AI492" i="1" a="1"/>
  <c r="AI492" i="1" s="1"/>
  <c r="AI493" i="1" a="1"/>
  <c r="AI493" i="1" s="1"/>
  <c r="AI494" i="1" a="1"/>
  <c r="AI494" i="1" s="1"/>
  <c r="AI495" i="1" a="1"/>
  <c r="AI495" i="1" s="1"/>
  <c r="AI496" i="1" a="1"/>
  <c r="AI496" i="1"/>
  <c r="AI497" i="1" a="1"/>
  <c r="AI497" i="1" s="1"/>
  <c r="AI498" i="1" a="1"/>
  <c r="AI498" i="1" s="1"/>
  <c r="AI499" i="1" a="1"/>
  <c r="AI499" i="1" s="1"/>
  <c r="AI500" i="1" a="1"/>
  <c r="AI500" i="1" s="1"/>
  <c r="AI501" i="1" a="1"/>
  <c r="AI501" i="1" s="1"/>
  <c r="AI502" i="1" a="1"/>
  <c r="AI502" i="1" s="1"/>
  <c r="AI503" i="1" a="1"/>
  <c r="AI503" i="1" s="1"/>
  <c r="AI504" i="1" a="1"/>
  <c r="AI504" i="1" s="1"/>
  <c r="AI505" i="1" a="1"/>
  <c r="AI505" i="1" s="1"/>
  <c r="AI506" i="1" a="1"/>
  <c r="AI506" i="1" s="1"/>
  <c r="AI507" i="1" a="1"/>
  <c r="AI507" i="1" s="1"/>
  <c r="AI508" i="1" a="1"/>
  <c r="AI508" i="1" s="1"/>
  <c r="AI509" i="1" a="1"/>
  <c r="AI509" i="1" s="1"/>
  <c r="AI510" i="1" a="1"/>
  <c r="AI510" i="1" s="1"/>
  <c r="AI511" i="1" a="1"/>
  <c r="AI511" i="1" s="1"/>
  <c r="AI512" i="1" a="1"/>
  <c r="AI512" i="1" s="1"/>
  <c r="AI513" i="1" a="1"/>
  <c r="AI513" i="1" s="1"/>
  <c r="AI514" i="1" a="1"/>
  <c r="AI514" i="1" s="1"/>
  <c r="AI515" i="1" a="1"/>
  <c r="AI515" i="1" s="1"/>
  <c r="AI516" i="1" a="1"/>
  <c r="AI516" i="1" s="1"/>
  <c r="AI517" i="1" a="1"/>
  <c r="AI517" i="1" s="1"/>
  <c r="AI518" i="1" a="1"/>
  <c r="AI518" i="1" s="1"/>
  <c r="AI519" i="1" a="1"/>
  <c r="AI519" i="1" s="1"/>
  <c r="AI520" i="1" a="1"/>
  <c r="AI520" i="1" s="1"/>
  <c r="AI521" i="1" a="1"/>
  <c r="AI521" i="1" s="1"/>
  <c r="AI522" i="1" a="1"/>
  <c r="AI522" i="1" s="1"/>
  <c r="AI523" i="1" a="1"/>
  <c r="AI523" i="1" s="1"/>
  <c r="AI524" i="1" a="1"/>
  <c r="AI524" i="1" s="1"/>
  <c r="AI525" i="1" a="1"/>
  <c r="AI525" i="1" s="1"/>
  <c r="AI526" i="1" a="1"/>
  <c r="AI526" i="1" s="1"/>
  <c r="AI527" i="1" a="1"/>
  <c r="AI527" i="1" s="1"/>
  <c r="AI528" i="1" a="1"/>
  <c r="AI528" i="1" s="1"/>
  <c r="AI529" i="1" a="1"/>
  <c r="AI529" i="1" s="1"/>
  <c r="AI530" i="1" a="1"/>
  <c r="AI530" i="1" s="1"/>
  <c r="AI531" i="1" a="1"/>
  <c r="AI531" i="1" s="1"/>
  <c r="AI532" i="1" a="1"/>
  <c r="AI532" i="1"/>
  <c r="AI533" i="1" a="1"/>
  <c r="AI533" i="1"/>
  <c r="AI534" i="1" a="1"/>
  <c r="AI534" i="1" s="1"/>
  <c r="AI535" i="1" a="1"/>
  <c r="AI535" i="1" s="1"/>
  <c r="AI536" i="1" a="1"/>
  <c r="AI536" i="1" s="1"/>
  <c r="AI537" i="1" a="1"/>
  <c r="AI537" i="1" s="1"/>
  <c r="AI538" i="1" a="1"/>
  <c r="AI538" i="1" s="1"/>
  <c r="AI539" i="1" a="1"/>
  <c r="AI539" i="1" s="1"/>
  <c r="AI540" i="1" a="1"/>
  <c r="AI540" i="1" s="1"/>
  <c r="AI541" i="1" a="1"/>
  <c r="AI541" i="1" s="1"/>
  <c r="AI542" i="1" a="1"/>
  <c r="AI542" i="1" s="1"/>
  <c r="AI543" i="1" a="1"/>
  <c r="AI543" i="1" s="1"/>
  <c r="AI544" i="1" a="1"/>
  <c r="AI544" i="1" s="1"/>
  <c r="AI545" i="1" a="1"/>
  <c r="AI545" i="1" s="1"/>
  <c r="AI546" i="1" a="1"/>
  <c r="AI546" i="1" s="1"/>
  <c r="AI547" i="1" a="1"/>
  <c r="AI547" i="1" s="1"/>
  <c r="AI548" i="1" a="1"/>
  <c r="AI548" i="1" s="1"/>
  <c r="AI549" i="1" a="1"/>
  <c r="AI549" i="1" s="1"/>
  <c r="AI550" i="1" a="1"/>
  <c r="AI550" i="1" s="1"/>
  <c r="AI551" i="1" a="1"/>
  <c r="AI551" i="1" s="1"/>
  <c r="AI552" i="1" a="1"/>
  <c r="AI552" i="1" s="1"/>
  <c r="AI553" i="1" a="1"/>
  <c r="AI553" i="1" s="1"/>
  <c r="AI554" i="1" a="1"/>
  <c r="AI554" i="1" s="1"/>
  <c r="AI555" i="1" a="1"/>
  <c r="AI555" i="1" s="1"/>
  <c r="AI556" i="1" a="1"/>
  <c r="AI556" i="1" s="1"/>
  <c r="AI557" i="1" a="1"/>
  <c r="AI557" i="1" s="1"/>
  <c r="AI558" i="1" a="1"/>
  <c r="AI558" i="1" s="1"/>
  <c r="AI559" i="1" a="1"/>
  <c r="AI559" i="1" s="1"/>
  <c r="AI560" i="1" a="1"/>
  <c r="AI560" i="1" s="1"/>
  <c r="AI561" i="1" a="1"/>
  <c r="AI561" i="1" s="1"/>
  <c r="AI562" i="1" a="1"/>
  <c r="AI562" i="1" s="1"/>
  <c r="AI563" i="1" a="1"/>
  <c r="AI563" i="1" s="1"/>
  <c r="AI564" i="1" a="1"/>
  <c r="AI564" i="1" s="1"/>
  <c r="AI565" i="1" a="1"/>
  <c r="AI565" i="1" s="1"/>
  <c r="AI566" i="1" a="1"/>
  <c r="AI566" i="1" s="1"/>
  <c r="AI567" i="1" a="1"/>
  <c r="AI567" i="1" s="1"/>
  <c r="AI568" i="1" a="1"/>
  <c r="AI568" i="1" s="1"/>
  <c r="AI569" i="1" a="1"/>
  <c r="AI569" i="1" s="1"/>
  <c r="AI570" i="1" a="1"/>
  <c r="AI570" i="1" s="1"/>
  <c r="AI571" i="1" a="1"/>
  <c r="AI571" i="1"/>
  <c r="AI572" i="1" a="1"/>
  <c r="AI572" i="1" s="1"/>
  <c r="AI573" i="1" a="1"/>
  <c r="AI573" i="1" s="1"/>
  <c r="AI574" i="1" a="1"/>
  <c r="AI574" i="1" s="1"/>
  <c r="AI575" i="1" a="1"/>
  <c r="AI575" i="1" s="1"/>
  <c r="AI576" i="1" a="1"/>
  <c r="AI576" i="1" s="1"/>
  <c r="AI577" i="1" a="1"/>
  <c r="AI577" i="1" s="1"/>
  <c r="AI578" i="1" a="1"/>
  <c r="AI578" i="1" s="1"/>
  <c r="AI579" i="1" a="1"/>
  <c r="AI579" i="1" s="1"/>
  <c r="AI580" i="1" a="1"/>
  <c r="AI580" i="1"/>
  <c r="AI581" i="1" a="1"/>
  <c r="AI581" i="1" s="1"/>
  <c r="AI582" i="1" a="1"/>
  <c r="AI582" i="1" s="1"/>
  <c r="AI583" i="1" a="1"/>
  <c r="AI583" i="1" s="1"/>
  <c r="AI584" i="1" a="1"/>
  <c r="AI584" i="1" s="1"/>
  <c r="AI585" i="1" a="1"/>
  <c r="AI585" i="1" s="1"/>
  <c r="AI586" i="1" a="1"/>
  <c r="AI586" i="1" s="1"/>
  <c r="AI587" i="1" a="1"/>
  <c r="AI587" i="1" s="1"/>
  <c r="AI588" i="1" a="1"/>
  <c r="AI588" i="1" s="1"/>
  <c r="AI589" i="1" a="1"/>
  <c r="AI589" i="1" s="1"/>
  <c r="AI590" i="1" a="1"/>
  <c r="AI590" i="1" s="1"/>
  <c r="AI591" i="1" a="1"/>
  <c r="AI591" i="1" s="1"/>
  <c r="AI592" i="1" a="1"/>
  <c r="AI592" i="1" s="1"/>
  <c r="AI593" i="1" a="1"/>
  <c r="AI593" i="1" s="1"/>
  <c r="AI594" i="1" a="1"/>
  <c r="AI594" i="1" s="1"/>
  <c r="AI595" i="1" a="1"/>
  <c r="AI595" i="1" s="1"/>
  <c r="AI596" i="1" a="1"/>
  <c r="AI596" i="1" s="1"/>
  <c r="AI597" i="1" a="1"/>
  <c r="AI597" i="1" s="1"/>
  <c r="AI598" i="1" a="1"/>
  <c r="AI598" i="1" s="1"/>
  <c r="AI599" i="1" a="1"/>
  <c r="AI599" i="1" s="1"/>
  <c r="AI600" i="1" a="1"/>
  <c r="AI600" i="1"/>
  <c r="AI601" i="1" a="1"/>
  <c r="AI601" i="1" s="1"/>
  <c r="AI602" i="1" a="1"/>
  <c r="AI602" i="1" s="1"/>
  <c r="AI603" i="1" a="1"/>
  <c r="AI603" i="1" s="1"/>
  <c r="AI604" i="1" a="1"/>
  <c r="AI604" i="1" s="1"/>
  <c r="AI605" i="1" a="1"/>
  <c r="AI605" i="1" s="1"/>
  <c r="AI606" i="1" a="1"/>
  <c r="AI606" i="1" s="1"/>
  <c r="AI607" i="1" a="1"/>
  <c r="AI607" i="1" s="1"/>
  <c r="AI608" i="1" a="1"/>
  <c r="AI608" i="1" s="1"/>
  <c r="AI609" i="1" a="1"/>
  <c r="AI609" i="1" s="1"/>
  <c r="AI610" i="1" a="1"/>
  <c r="AI610" i="1" s="1"/>
  <c r="AI611" i="1" a="1"/>
  <c r="AI611" i="1" s="1"/>
  <c r="AI612" i="1" a="1"/>
  <c r="AI612" i="1" s="1"/>
  <c r="AI613" i="1" a="1"/>
  <c r="AI613" i="1" s="1"/>
  <c r="AI614" i="1" a="1"/>
  <c r="AI614" i="1" s="1"/>
  <c r="AI615" i="1" a="1"/>
  <c r="AI615" i="1" s="1"/>
  <c r="AI616" i="1" a="1"/>
  <c r="AI616" i="1" s="1"/>
  <c r="AI617" i="1" a="1"/>
  <c r="AI617" i="1" s="1"/>
  <c r="AI618" i="1" a="1"/>
  <c r="AI618" i="1" s="1"/>
  <c r="AI619" i="1" a="1"/>
  <c r="AI619" i="1" s="1"/>
  <c r="AI620" i="1" a="1"/>
  <c r="AI620" i="1" s="1"/>
  <c r="AI621" i="1" a="1"/>
  <c r="AI621" i="1" s="1"/>
  <c r="AI622" i="1" a="1"/>
  <c r="AI622" i="1" s="1"/>
  <c r="AI623" i="1" a="1"/>
  <c r="AI623" i="1" s="1"/>
  <c r="AI624" i="1" a="1"/>
  <c r="AI624" i="1" s="1"/>
  <c r="AI625" i="1" a="1"/>
  <c r="AI625" i="1" s="1"/>
  <c r="AI626" i="1" a="1"/>
  <c r="AI626" i="1" s="1"/>
  <c r="AI627" i="1" a="1"/>
  <c r="AI627" i="1"/>
  <c r="AI628" i="1" a="1"/>
  <c r="AI628" i="1" s="1"/>
  <c r="AI629" i="1" a="1"/>
  <c r="AI629" i="1" s="1"/>
  <c r="AI630" i="1" a="1"/>
  <c r="AI630" i="1" s="1"/>
  <c r="AI631" i="1" a="1"/>
  <c r="AI631" i="1" s="1"/>
  <c r="AI632" i="1" a="1"/>
  <c r="AI632" i="1" s="1"/>
  <c r="AI633" i="1" a="1"/>
  <c r="AI633" i="1" s="1"/>
  <c r="AI634" i="1" a="1"/>
  <c r="AI634" i="1" s="1"/>
  <c r="AI635" i="1" a="1"/>
  <c r="AI635" i="1" s="1"/>
  <c r="AI636" i="1" a="1"/>
  <c r="AI636" i="1" s="1"/>
  <c r="AI637" i="1" a="1"/>
  <c r="AI637" i="1" s="1"/>
  <c r="AI638" i="1" a="1"/>
  <c r="AI638" i="1" s="1"/>
  <c r="AI639" i="1" a="1"/>
  <c r="AI639" i="1" s="1"/>
  <c r="AI640" i="1" a="1"/>
  <c r="AI640" i="1" s="1"/>
  <c r="AI641" i="1" a="1"/>
  <c r="AI641" i="1" s="1"/>
  <c r="AI642" i="1" a="1"/>
  <c r="AI642" i="1" s="1"/>
  <c r="AI643" i="1" a="1"/>
  <c r="AI643" i="1" s="1"/>
  <c r="AI644" i="1" a="1"/>
  <c r="AI644" i="1" s="1"/>
  <c r="AI645" i="1" a="1"/>
  <c r="AI645" i="1" s="1"/>
  <c r="AI646" i="1" a="1"/>
  <c r="AI646" i="1" s="1"/>
  <c r="AI647" i="1" a="1"/>
  <c r="AI647" i="1" s="1"/>
  <c r="AI648" i="1" a="1"/>
  <c r="AI648" i="1" s="1"/>
  <c r="AI649" i="1" a="1"/>
  <c r="AI649" i="1" s="1"/>
  <c r="AI650" i="1" a="1"/>
  <c r="AI650" i="1" s="1"/>
  <c r="AI651" i="1" a="1"/>
  <c r="AI651" i="1" s="1"/>
  <c r="AI652" i="1" a="1"/>
  <c r="AI652" i="1" s="1"/>
  <c r="AI653" i="1" a="1"/>
  <c r="AI653" i="1" s="1"/>
  <c r="AI654" i="1" a="1"/>
  <c r="AI654" i="1" s="1"/>
  <c r="AI655" i="1" a="1"/>
  <c r="AI655" i="1" s="1"/>
  <c r="AI656" i="1" a="1"/>
  <c r="AI656" i="1" s="1"/>
  <c r="AI657" i="1" a="1"/>
  <c r="AI657" i="1" s="1"/>
  <c r="AI658" i="1" a="1"/>
  <c r="AI658" i="1" s="1"/>
  <c r="AI659" i="1" a="1"/>
  <c r="AI659" i="1" s="1"/>
  <c r="AI660" i="1" a="1"/>
  <c r="AI660" i="1" s="1"/>
  <c r="AI661" i="1" a="1"/>
  <c r="AI661" i="1" s="1"/>
  <c r="AI662" i="1" a="1"/>
  <c r="AI662" i="1" s="1"/>
  <c r="AI663" i="1" a="1"/>
  <c r="AI663" i="1" s="1"/>
  <c r="AI664" i="1" a="1"/>
  <c r="AI664" i="1" s="1"/>
  <c r="AI665" i="1" a="1"/>
  <c r="AI665" i="1" s="1"/>
  <c r="AI666" i="1" a="1"/>
  <c r="AI666" i="1" s="1"/>
  <c r="AI667" i="1" a="1"/>
  <c r="AI667" i="1" s="1"/>
  <c r="AI668" i="1" a="1"/>
  <c r="AI668" i="1" s="1"/>
  <c r="AI669" i="1" a="1"/>
  <c r="AI669" i="1"/>
  <c r="AI670" i="1" a="1"/>
  <c r="AI670" i="1" s="1"/>
  <c r="AI671" i="1" a="1"/>
  <c r="AI671" i="1" s="1"/>
  <c r="AI672" i="1" a="1"/>
  <c r="AI672" i="1" s="1"/>
  <c r="AI673" i="1" a="1"/>
  <c r="AI673" i="1" s="1"/>
  <c r="AI674" i="1" a="1"/>
  <c r="AI674" i="1" s="1"/>
  <c r="AI675" i="1" a="1"/>
  <c r="AI675" i="1" s="1"/>
  <c r="AI676" i="1" a="1"/>
  <c r="AI676" i="1" s="1"/>
  <c r="AI677" i="1" a="1"/>
  <c r="AI677" i="1" s="1"/>
  <c r="AI678" i="1" a="1"/>
  <c r="AI678" i="1" s="1"/>
  <c r="AI679" i="1" a="1"/>
  <c r="AI679" i="1" s="1"/>
  <c r="AI680" i="1" a="1"/>
  <c r="AI680" i="1" s="1"/>
  <c r="AI681" i="1" a="1"/>
  <c r="AI681" i="1" s="1"/>
  <c r="AI682" i="1" a="1"/>
  <c r="AI682" i="1" s="1"/>
  <c r="AI683" i="1" a="1"/>
  <c r="AI683" i="1" s="1"/>
  <c r="AI684" i="1" a="1"/>
  <c r="AI684" i="1" s="1"/>
  <c r="AI685" i="1" a="1"/>
  <c r="AI685" i="1" s="1"/>
  <c r="AI686" i="1" a="1"/>
  <c r="AI686" i="1" s="1"/>
  <c r="AI687" i="1" a="1"/>
  <c r="AI687" i="1" s="1"/>
  <c r="AI688" i="1" a="1"/>
  <c r="AI688" i="1" s="1"/>
  <c r="AI689" i="1" a="1"/>
  <c r="AI689" i="1" s="1"/>
  <c r="AI690" i="1" a="1"/>
  <c r="AI690" i="1" s="1"/>
  <c r="AI691" i="1" a="1"/>
  <c r="AI691" i="1" s="1"/>
  <c r="AI692" i="1" a="1"/>
  <c r="AI692" i="1" s="1"/>
  <c r="AI693" i="1" a="1"/>
  <c r="AI693" i="1" s="1"/>
  <c r="AI694" i="1" a="1"/>
  <c r="AI694" i="1" s="1"/>
  <c r="AI695" i="1" a="1"/>
  <c r="AI695" i="1" s="1"/>
  <c r="AI696" i="1" a="1"/>
  <c r="AI696" i="1" s="1"/>
  <c r="AI697" i="1" a="1"/>
  <c r="AI697" i="1" s="1"/>
  <c r="AI698" i="1" a="1"/>
  <c r="AI698" i="1" s="1"/>
  <c r="AI699" i="1" a="1"/>
  <c r="AI699" i="1" s="1"/>
  <c r="AI700" i="1" a="1"/>
  <c r="AI700" i="1" s="1"/>
  <c r="AI701" i="1" a="1"/>
  <c r="AI701" i="1" s="1"/>
  <c r="AI702" i="1" a="1"/>
  <c r="AI702" i="1" s="1"/>
  <c r="AI703" i="1" a="1"/>
  <c r="AI703" i="1" s="1"/>
  <c r="AI704" i="1" a="1"/>
  <c r="AI704" i="1" s="1"/>
  <c r="AI705" i="1" a="1"/>
  <c r="AI705" i="1" s="1"/>
  <c r="AI706" i="1" a="1"/>
  <c r="AI706" i="1" s="1"/>
  <c r="AI707" i="1" a="1"/>
  <c r="AI707" i="1" s="1"/>
  <c r="AI708" i="1" a="1"/>
  <c r="AI708" i="1" s="1"/>
  <c r="AI709" i="1" a="1"/>
  <c r="AI709" i="1" s="1"/>
  <c r="AI710" i="1" a="1"/>
  <c r="AI710" i="1" s="1"/>
  <c r="AI711" i="1" a="1"/>
  <c r="AI711" i="1" s="1"/>
  <c r="AI712" i="1" a="1"/>
  <c r="AI712" i="1" s="1"/>
  <c r="AI713" i="1" a="1"/>
  <c r="AI713" i="1" s="1"/>
  <c r="AI714" i="1" a="1"/>
  <c r="AI714" i="1" s="1"/>
  <c r="AI715" i="1" a="1"/>
  <c r="AI715" i="1" s="1"/>
  <c r="AI716" i="1" a="1"/>
  <c r="AI716" i="1" s="1"/>
  <c r="AI717" i="1" a="1"/>
  <c r="AI717" i="1" s="1"/>
  <c r="AI718" i="1" a="1"/>
  <c r="AI718" i="1" s="1"/>
  <c r="AI719" i="1" a="1"/>
  <c r="AI719" i="1" s="1"/>
  <c r="AI720" i="1" a="1"/>
  <c r="AI720" i="1"/>
  <c r="AI721" i="1" a="1"/>
  <c r="AI721" i="1" s="1"/>
  <c r="AI722" i="1" a="1"/>
  <c r="AI722" i="1" s="1"/>
  <c r="AI723" i="1" a="1"/>
  <c r="AI723" i="1" s="1"/>
  <c r="AI724" i="1" a="1"/>
  <c r="AI724" i="1" s="1"/>
  <c r="AI725" i="1" a="1"/>
  <c r="AI725" i="1" s="1"/>
  <c r="AI726" i="1" a="1"/>
  <c r="AI726" i="1" s="1"/>
  <c r="AI727" i="1" a="1"/>
  <c r="AI727" i="1" s="1"/>
  <c r="AI728" i="1" a="1"/>
  <c r="AI728" i="1" s="1"/>
  <c r="AI729" i="1" a="1"/>
  <c r="AI729" i="1" s="1"/>
  <c r="AI730" i="1" a="1"/>
  <c r="AI730" i="1" s="1"/>
  <c r="AI731" i="1" a="1"/>
  <c r="AI731" i="1" s="1"/>
  <c r="AI732" i="1" a="1"/>
  <c r="AI732" i="1" s="1"/>
  <c r="AI733" i="1" a="1"/>
  <c r="AI733" i="1" s="1"/>
  <c r="AI734" i="1" a="1"/>
  <c r="AI734" i="1" s="1"/>
  <c r="AI735" i="1" a="1"/>
  <c r="AI735" i="1" s="1"/>
  <c r="AI736" i="1" a="1"/>
  <c r="AI736" i="1" s="1"/>
  <c r="AI737" i="1" a="1"/>
  <c r="AI737" i="1" s="1"/>
  <c r="AI738" i="1" a="1"/>
  <c r="AI738" i="1" s="1"/>
  <c r="AI739" i="1" a="1"/>
  <c r="AI739" i="1" s="1"/>
  <c r="AI740" i="1" a="1"/>
  <c r="AI740" i="1" s="1"/>
  <c r="AI741" i="1" a="1"/>
  <c r="AI741" i="1" s="1"/>
  <c r="AI742" i="1" a="1"/>
  <c r="AI742" i="1" s="1"/>
  <c r="AI743" i="1" a="1"/>
  <c r="AI743" i="1" s="1"/>
  <c r="AI744" i="1" a="1"/>
  <c r="AI744" i="1" s="1"/>
  <c r="AI745" i="1" a="1"/>
  <c r="AI745" i="1" s="1"/>
  <c r="AI746" i="1" a="1"/>
  <c r="AI746" i="1" s="1"/>
  <c r="AI747" i="1" a="1"/>
  <c r="AI747" i="1" s="1"/>
  <c r="AI748" i="1" a="1"/>
  <c r="AI748" i="1" s="1"/>
  <c r="AI749" i="1" a="1"/>
  <c r="AI749" i="1" s="1"/>
  <c r="AI750" i="1" a="1"/>
  <c r="AI750" i="1" s="1"/>
  <c r="AI751" i="1" a="1"/>
  <c r="AI751" i="1" s="1"/>
  <c r="AI752" i="1" a="1"/>
  <c r="AI752" i="1" s="1"/>
  <c r="AI753" i="1" a="1"/>
  <c r="AI753" i="1" s="1"/>
  <c r="AI754" i="1" a="1"/>
  <c r="AI754" i="1" s="1"/>
  <c r="AI755" i="1" a="1"/>
  <c r="AI755" i="1" s="1"/>
  <c r="AI756" i="1" a="1"/>
  <c r="AI756" i="1" s="1"/>
  <c r="AI757" i="1" a="1"/>
  <c r="AI757" i="1" s="1"/>
  <c r="AI758" i="1" a="1"/>
  <c r="AI758" i="1" s="1"/>
  <c r="AI759" i="1" a="1"/>
  <c r="AI759" i="1" s="1"/>
  <c r="AI760" i="1" a="1"/>
  <c r="AI760" i="1" s="1"/>
  <c r="AI761" i="1" a="1"/>
  <c r="AI761" i="1" s="1"/>
  <c r="AI762" i="1" a="1"/>
  <c r="AI762" i="1" s="1"/>
  <c r="AI763" i="1" a="1"/>
  <c r="AI763" i="1" s="1"/>
  <c r="AI764" i="1" a="1"/>
  <c r="AI764" i="1" s="1"/>
  <c r="AI765" i="1" a="1"/>
  <c r="AI765" i="1" s="1"/>
  <c r="AI766" i="1" a="1"/>
  <c r="AI766" i="1" s="1"/>
  <c r="AI767" i="1" a="1"/>
  <c r="AI767" i="1" s="1"/>
  <c r="AI768" i="1" a="1"/>
  <c r="AI768" i="1" s="1"/>
  <c r="AI769" i="1" a="1"/>
  <c r="AI769" i="1" s="1"/>
  <c r="AI770" i="1" a="1"/>
  <c r="AI770" i="1" s="1"/>
  <c r="AI771" i="1" a="1"/>
  <c r="AI771" i="1" s="1"/>
  <c r="AI772" i="1" a="1"/>
  <c r="AI772" i="1" s="1"/>
  <c r="AI773" i="1" a="1"/>
  <c r="AI773" i="1" s="1"/>
  <c r="AI774" i="1" a="1"/>
  <c r="AI774" i="1" s="1"/>
  <c r="AI775" i="1" a="1"/>
  <c r="AI775" i="1" s="1"/>
  <c r="AI776" i="1" a="1"/>
  <c r="AI776" i="1" s="1"/>
  <c r="AI777" i="1" a="1"/>
  <c r="AI777" i="1" s="1"/>
  <c r="AI778" i="1" a="1"/>
  <c r="AI778" i="1" s="1"/>
  <c r="AI779" i="1" a="1"/>
  <c r="AI779" i="1" s="1"/>
  <c r="AI780" i="1" a="1"/>
  <c r="AI780" i="1" s="1"/>
  <c r="AI781" i="1" a="1"/>
  <c r="AI781" i="1" s="1"/>
  <c r="AI782" i="1" a="1"/>
  <c r="AI782" i="1" s="1"/>
  <c r="AI783" i="1" a="1"/>
  <c r="AI783" i="1" s="1"/>
  <c r="AI784" i="1" a="1"/>
  <c r="AI784" i="1" s="1"/>
  <c r="AI785" i="1" a="1"/>
  <c r="AI785" i="1" s="1"/>
  <c r="AI786" i="1" a="1"/>
  <c r="AI786" i="1" s="1"/>
  <c r="AI787" i="1" a="1"/>
  <c r="AI787" i="1" s="1"/>
  <c r="AI788" i="1" a="1"/>
  <c r="AI788" i="1" s="1"/>
  <c r="AI789" i="1" a="1"/>
  <c r="AI789" i="1" s="1"/>
  <c r="AI790" i="1" a="1"/>
  <c r="AI790" i="1" s="1"/>
  <c r="AI791" i="1" a="1"/>
  <c r="AI791" i="1" s="1"/>
  <c r="AI792" i="1" a="1"/>
  <c r="AI792" i="1" s="1"/>
  <c r="AI793" i="1" a="1"/>
  <c r="AI793" i="1" s="1"/>
  <c r="AI794" i="1" a="1"/>
  <c r="AI794" i="1"/>
  <c r="AI795" i="1" a="1"/>
  <c r="AI795" i="1" s="1"/>
  <c r="AI796" i="1" a="1"/>
  <c r="AI796" i="1" s="1"/>
  <c r="AI797" i="1" a="1"/>
  <c r="AI797" i="1" s="1"/>
  <c r="AI798" i="1" a="1"/>
  <c r="AI798" i="1" s="1"/>
  <c r="AI799" i="1" a="1"/>
  <c r="AI799" i="1" s="1"/>
  <c r="AI800" i="1" a="1"/>
  <c r="AI800" i="1" s="1"/>
  <c r="AI801" i="1" a="1"/>
  <c r="AI801" i="1" s="1"/>
  <c r="AI802" i="1" a="1"/>
  <c r="AI802" i="1" s="1"/>
  <c r="AI803" i="1" a="1"/>
  <c r="AI803" i="1" s="1"/>
  <c r="AI804" i="1" a="1"/>
  <c r="AI804" i="1" s="1"/>
  <c r="AI805" i="1" a="1"/>
  <c r="AI805" i="1" s="1"/>
  <c r="AI806" i="1" a="1"/>
  <c r="AI806" i="1" s="1"/>
  <c r="AI807" i="1" a="1"/>
  <c r="AI807" i="1" s="1"/>
  <c r="AI808" i="1" a="1"/>
  <c r="AI808" i="1" s="1"/>
  <c r="AI809" i="1" a="1"/>
  <c r="AI809" i="1" s="1"/>
  <c r="AI810" i="1" a="1"/>
  <c r="AI810" i="1" s="1"/>
  <c r="AI811" i="1" a="1"/>
  <c r="AI811" i="1" s="1"/>
  <c r="AI812" i="1" a="1"/>
  <c r="AI812" i="1" s="1"/>
  <c r="AI813" i="1" a="1"/>
  <c r="AI813" i="1" s="1"/>
  <c r="AI814" i="1" a="1"/>
  <c r="AI814" i="1" s="1"/>
  <c r="AI815" i="1" a="1"/>
  <c r="AI815" i="1" s="1"/>
  <c r="AI816" i="1" a="1"/>
  <c r="AI816" i="1" s="1"/>
  <c r="AI817" i="1" a="1"/>
  <c r="AI817" i="1" s="1"/>
  <c r="AI818" i="1" a="1"/>
  <c r="AI818" i="1" s="1"/>
  <c r="AI819" i="1" a="1"/>
  <c r="AI819" i="1" s="1"/>
  <c r="AI820" i="1" a="1"/>
  <c r="AI820" i="1" s="1"/>
  <c r="AI821" i="1" a="1"/>
  <c r="AI821" i="1" s="1"/>
  <c r="AI822" i="1" a="1"/>
  <c r="AI822" i="1" s="1"/>
  <c r="AI823" i="1" a="1"/>
  <c r="AI823" i="1" s="1"/>
  <c r="AI824" i="1" a="1"/>
  <c r="AI824" i="1" s="1"/>
  <c r="AI825" i="1" a="1"/>
  <c r="AI825" i="1" s="1"/>
  <c r="AI826" i="1" a="1"/>
  <c r="AI826" i="1" s="1"/>
  <c r="AI827" i="1" a="1"/>
  <c r="AI827" i="1" s="1"/>
  <c r="AI828" i="1" a="1"/>
  <c r="AI828" i="1" s="1"/>
  <c r="AI829" i="1" a="1"/>
  <c r="AI829" i="1" s="1"/>
  <c r="AI830" i="1" a="1"/>
  <c r="AI830" i="1" s="1"/>
  <c r="AI831" i="1" a="1"/>
  <c r="AI831" i="1" s="1"/>
  <c r="AI832" i="1" a="1"/>
  <c r="AI832" i="1" s="1"/>
  <c r="AI833" i="1" a="1"/>
  <c r="AI833" i="1" s="1"/>
  <c r="AI834" i="1" a="1"/>
  <c r="AI834" i="1" s="1"/>
  <c r="AI835" i="1" a="1"/>
  <c r="AI835" i="1" s="1"/>
  <c r="AI836" i="1" a="1"/>
  <c r="AI836" i="1" s="1"/>
  <c r="AI837" i="1" a="1"/>
  <c r="AI837" i="1" s="1"/>
  <c r="AI838" i="1" a="1"/>
  <c r="AI838" i="1" s="1"/>
  <c r="AI839" i="1" a="1"/>
  <c r="AI839" i="1" s="1"/>
  <c r="AI840" i="1" a="1"/>
  <c r="AI840" i="1" s="1"/>
  <c r="AI841" i="1" a="1"/>
  <c r="AI841" i="1" s="1"/>
  <c r="AI842" i="1" a="1"/>
  <c r="AI842" i="1" s="1"/>
  <c r="AI843" i="1" a="1"/>
  <c r="AI843" i="1" s="1"/>
  <c r="AI844" i="1" a="1"/>
  <c r="AI844" i="1" s="1"/>
  <c r="AI845" i="1" a="1"/>
  <c r="AI845" i="1" s="1"/>
  <c r="AI846" i="1" a="1"/>
  <c r="AI846" i="1" s="1"/>
  <c r="AI847" i="1" a="1"/>
  <c r="AI847" i="1" s="1"/>
  <c r="AI848" i="1" a="1"/>
  <c r="AI848" i="1" s="1"/>
  <c r="AI849" i="1" a="1"/>
  <c r="AI849" i="1" s="1"/>
  <c r="AI850" i="1" a="1"/>
  <c r="AI850" i="1" s="1"/>
  <c r="AI851" i="1" a="1"/>
  <c r="AI851" i="1" s="1"/>
  <c r="AI852" i="1" a="1"/>
  <c r="AI852" i="1" s="1"/>
  <c r="AI853" i="1" a="1"/>
  <c r="AI853" i="1" s="1"/>
  <c r="AI854" i="1" a="1"/>
  <c r="AI854" i="1" s="1"/>
  <c r="AI855" i="1" a="1"/>
  <c r="AI855" i="1" s="1"/>
  <c r="AI856" i="1" a="1"/>
  <c r="AI856" i="1" s="1"/>
  <c r="AI857" i="1" a="1"/>
  <c r="AI857" i="1" s="1"/>
  <c r="AI858" i="1" a="1"/>
  <c r="AI858" i="1" s="1"/>
  <c r="AI859" i="1" a="1"/>
  <c r="AI859" i="1" s="1"/>
  <c r="AI860" i="1" a="1"/>
  <c r="AI860" i="1" s="1"/>
  <c r="AI861" i="1" a="1"/>
  <c r="AI861" i="1" s="1"/>
  <c r="AI862" i="1" a="1"/>
  <c r="AI862" i="1" s="1"/>
  <c r="AI863" i="1" a="1"/>
  <c r="AI863" i="1" s="1"/>
  <c r="AI864" i="1" a="1"/>
  <c r="AI864" i="1" s="1"/>
  <c r="AI865" i="1" a="1"/>
  <c r="AI865" i="1" s="1"/>
  <c r="AI866" i="1" a="1"/>
  <c r="AI866" i="1" s="1"/>
  <c r="AI867" i="1" a="1"/>
  <c r="AI867" i="1" s="1"/>
  <c r="AI868" i="1" a="1"/>
  <c r="AI868" i="1" s="1"/>
  <c r="AI869" i="1" a="1"/>
  <c r="AI869" i="1" s="1"/>
  <c r="AI870" i="1" a="1"/>
  <c r="AI870" i="1" s="1"/>
  <c r="AI871" i="1" a="1"/>
  <c r="AI871" i="1" s="1"/>
  <c r="AI872" i="1" a="1"/>
  <c r="AI872" i="1" s="1"/>
  <c r="AI873" i="1" a="1"/>
  <c r="AI873" i="1" s="1"/>
  <c r="AI874" i="1" a="1"/>
  <c r="AI874" i="1" s="1"/>
  <c r="AI875" i="1" a="1"/>
  <c r="AI875" i="1" s="1"/>
  <c r="AI876" i="1" a="1"/>
  <c r="AI876" i="1" s="1"/>
  <c r="AI877" i="1" a="1"/>
  <c r="AI877" i="1" s="1"/>
  <c r="AI878" i="1" a="1"/>
  <c r="AI878" i="1" s="1"/>
  <c r="AI879" i="1" a="1"/>
  <c r="AI879" i="1" s="1"/>
  <c r="AI880" i="1" a="1"/>
  <c r="AI880" i="1" s="1"/>
  <c r="AI881" i="1" a="1"/>
  <c r="AI881" i="1" s="1"/>
  <c r="AI882" i="1" a="1"/>
  <c r="AI882" i="1" s="1"/>
  <c r="AI883" i="1" a="1"/>
  <c r="AI883" i="1" s="1"/>
  <c r="AI884" i="1" a="1"/>
  <c r="AI884" i="1" s="1"/>
  <c r="AI885" i="1" a="1"/>
  <c r="AI885" i="1" s="1"/>
  <c r="AI886" i="1" a="1"/>
  <c r="AI886" i="1" s="1"/>
  <c r="AI887" i="1" a="1"/>
  <c r="AI887" i="1" s="1"/>
  <c r="AI888" i="1" a="1"/>
  <c r="AI888" i="1" s="1"/>
  <c r="AI889" i="1" a="1"/>
  <c r="AI889" i="1" s="1"/>
  <c r="AI890" i="1" a="1"/>
  <c r="AI890" i="1" s="1"/>
  <c r="AI891" i="1" a="1"/>
  <c r="AI891" i="1" s="1"/>
  <c r="AI892" i="1" a="1"/>
  <c r="AI892" i="1" s="1"/>
  <c r="AI893" i="1" a="1"/>
  <c r="AI893" i="1" s="1"/>
  <c r="AI894" i="1" a="1"/>
  <c r="AI894" i="1" s="1"/>
  <c r="AI895" i="1" a="1"/>
  <c r="AI895" i="1" s="1"/>
  <c r="AI896" i="1" a="1"/>
  <c r="AI896" i="1" s="1"/>
  <c r="AI897" i="1" a="1"/>
  <c r="AI897" i="1" s="1"/>
  <c r="AI898" i="1" a="1"/>
  <c r="AI898" i="1" s="1"/>
  <c r="AI899" i="1" a="1"/>
  <c r="AI899" i="1" s="1"/>
  <c r="AI900" i="1" a="1"/>
  <c r="AI900" i="1" s="1"/>
  <c r="AI901" i="1" a="1"/>
  <c r="AI901" i="1" s="1"/>
  <c r="AI902" i="1" a="1"/>
  <c r="AI902" i="1" s="1"/>
  <c r="AI903" i="1" a="1"/>
  <c r="AI903" i="1" s="1"/>
  <c r="AI904" i="1" a="1"/>
  <c r="AI904" i="1" s="1"/>
  <c r="AI905" i="1" a="1"/>
  <c r="AI905" i="1" s="1"/>
  <c r="AI906" i="1" a="1"/>
  <c r="AI906" i="1" s="1"/>
  <c r="AI907" i="1" a="1"/>
  <c r="AI907" i="1" s="1"/>
  <c r="AI908" i="1" a="1"/>
  <c r="AI908" i="1" s="1"/>
  <c r="AI909" i="1" a="1"/>
  <c r="AI909" i="1" s="1"/>
  <c r="AI910" i="1" a="1"/>
  <c r="AI910" i="1" s="1"/>
  <c r="AI911" i="1" a="1"/>
  <c r="AI911" i="1" s="1"/>
  <c r="AI912" i="1" a="1"/>
  <c r="AI912" i="1" s="1"/>
  <c r="AI913" i="1" a="1"/>
  <c r="AI913" i="1" s="1"/>
  <c r="AI914" i="1" a="1"/>
  <c r="AI914" i="1" s="1"/>
  <c r="AI915" i="1" a="1"/>
  <c r="AI915" i="1" s="1"/>
  <c r="AI916" i="1" a="1"/>
  <c r="AI916" i="1" s="1"/>
  <c r="AI917" i="1" a="1"/>
  <c r="AI917" i="1" s="1"/>
  <c r="AI918" i="1" a="1"/>
  <c r="AI918" i="1" s="1"/>
  <c r="AI919" i="1" a="1"/>
  <c r="AI919" i="1" s="1"/>
  <c r="AI920" i="1" a="1"/>
  <c r="AI920" i="1"/>
  <c r="AI921" i="1" a="1"/>
  <c r="AI921" i="1"/>
  <c r="AI922" i="1" a="1"/>
  <c r="AI922" i="1" s="1"/>
  <c r="AI923" i="1" a="1"/>
  <c r="AI923" i="1" s="1"/>
  <c r="AI924" i="1" a="1"/>
  <c r="AI924" i="1" s="1"/>
  <c r="AI925" i="1" a="1"/>
  <c r="AI925" i="1" s="1"/>
  <c r="AI926" i="1" a="1"/>
  <c r="AI926" i="1" s="1"/>
  <c r="AI927" i="1" a="1"/>
  <c r="AI927" i="1" s="1"/>
  <c r="AI928" i="1" a="1"/>
  <c r="AI928" i="1" s="1"/>
  <c r="AI929" i="1" a="1"/>
  <c r="AI929" i="1" s="1"/>
  <c r="AI930" i="1" a="1"/>
  <c r="AI930" i="1" s="1"/>
  <c r="AI931" i="1" a="1"/>
  <c r="AI931" i="1" s="1"/>
  <c r="AI932" i="1" a="1"/>
  <c r="AI932" i="1" s="1"/>
  <c r="AI933" i="1" a="1"/>
  <c r="AI933" i="1" s="1"/>
  <c r="AI934" i="1" a="1"/>
  <c r="AI934" i="1" s="1"/>
  <c r="AI935" i="1" a="1"/>
  <c r="AI935" i="1" s="1"/>
  <c r="AI936" i="1" a="1"/>
  <c r="AI936" i="1" s="1"/>
  <c r="AI937" i="1" a="1"/>
  <c r="AI937" i="1" s="1"/>
  <c r="AI938" i="1" a="1"/>
  <c r="AI938" i="1" s="1"/>
  <c r="AI939" i="1" a="1"/>
  <c r="AI939" i="1" s="1"/>
  <c r="AI940" i="1" a="1"/>
  <c r="AI940" i="1" s="1"/>
  <c r="AI941" i="1" a="1"/>
  <c r="AI941" i="1" s="1"/>
  <c r="AI942" i="1" a="1"/>
  <c r="AI942" i="1" s="1"/>
  <c r="AI943" i="1" a="1"/>
  <c r="AI943" i="1" s="1"/>
  <c r="AI944" i="1" a="1"/>
  <c r="AI944" i="1" s="1"/>
  <c r="AI945" i="1" a="1"/>
  <c r="AI945" i="1" s="1"/>
  <c r="AI946" i="1" a="1"/>
  <c r="AI946" i="1" s="1"/>
  <c r="AI947" i="1" a="1"/>
  <c r="AI947" i="1" s="1"/>
  <c r="AI948" i="1" a="1"/>
  <c r="AI948" i="1" s="1"/>
  <c r="AI949" i="1" a="1"/>
  <c r="AI949" i="1" s="1"/>
  <c r="AI950" i="1" a="1"/>
  <c r="AI950" i="1" s="1"/>
  <c r="AI951" i="1" a="1"/>
  <c r="AI951" i="1" s="1"/>
  <c r="AI952" i="1" a="1"/>
  <c r="AI952" i="1" s="1"/>
  <c r="AI953" i="1" a="1"/>
  <c r="AI953" i="1" s="1"/>
  <c r="AI954" i="1" a="1"/>
  <c r="AI954" i="1" s="1"/>
  <c r="AI955" i="1" a="1"/>
  <c r="AI955" i="1" s="1"/>
  <c r="AI956" i="1" a="1"/>
  <c r="AI956" i="1" s="1"/>
  <c r="AI957" i="1" a="1"/>
  <c r="AI957" i="1" s="1"/>
  <c r="AI958" i="1" a="1"/>
  <c r="AI958" i="1" s="1"/>
  <c r="AI959" i="1" a="1"/>
  <c r="AI959" i="1" s="1"/>
  <c r="AI960" i="1" a="1"/>
  <c r="AI960" i="1" s="1"/>
  <c r="AI961" i="1" a="1"/>
  <c r="AI961" i="1" s="1"/>
  <c r="AI962" i="1" a="1"/>
  <c r="AI962" i="1" s="1"/>
  <c r="AI963" i="1" a="1"/>
  <c r="AI963" i="1" s="1"/>
  <c r="AI964" i="1" a="1"/>
  <c r="AI964" i="1" s="1"/>
  <c r="AI965" i="1" a="1"/>
  <c r="AI965" i="1" s="1"/>
  <c r="AI966" i="1" a="1"/>
  <c r="AI966" i="1" s="1"/>
  <c r="AI967" i="1" a="1"/>
  <c r="AI967" i="1" s="1"/>
  <c r="AI968" i="1" a="1"/>
  <c r="AI968" i="1" s="1"/>
  <c r="AI969" i="1" a="1"/>
  <c r="AI969" i="1" s="1"/>
  <c r="AI970" i="1" a="1"/>
  <c r="AI970" i="1" s="1"/>
  <c r="AI971" i="1" a="1"/>
  <c r="AI971" i="1" s="1"/>
  <c r="AI972" i="1" a="1"/>
  <c r="AI972" i="1"/>
  <c r="AI973" i="1" a="1"/>
  <c r="AI973" i="1" s="1"/>
  <c r="AI974" i="1" a="1"/>
  <c r="AI974" i="1" s="1"/>
  <c r="AI975" i="1" a="1"/>
  <c r="AI975" i="1" s="1"/>
  <c r="AI976" i="1" a="1"/>
  <c r="AI976" i="1" s="1"/>
  <c r="AI977" i="1" a="1"/>
  <c r="AI977" i="1" s="1"/>
  <c r="AI978" i="1" a="1"/>
  <c r="AI978" i="1" s="1"/>
  <c r="AI979" i="1" a="1"/>
  <c r="AI979" i="1" s="1"/>
  <c r="AI980" i="1" a="1"/>
  <c r="AI980" i="1" s="1"/>
  <c r="AI981" i="1" a="1"/>
  <c r="AI981" i="1" s="1"/>
  <c r="AI982" i="1" a="1"/>
  <c r="AI982" i="1" s="1"/>
  <c r="AI983" i="1" a="1"/>
  <c r="AI983" i="1" s="1"/>
  <c r="AI984" i="1" a="1"/>
  <c r="AI984" i="1" s="1"/>
  <c r="AI985" i="1" a="1"/>
  <c r="AI985" i="1" s="1"/>
  <c r="AI986" i="1" a="1"/>
  <c r="AI986" i="1" s="1"/>
  <c r="AI987" i="1" a="1"/>
  <c r="AI987" i="1" s="1"/>
  <c r="AI988" i="1" a="1"/>
  <c r="AI988" i="1" s="1"/>
  <c r="AI989" i="1" a="1"/>
  <c r="AI989" i="1" s="1"/>
  <c r="AI990" i="1" a="1"/>
  <c r="AI990" i="1" s="1"/>
  <c r="AI991" i="1" a="1"/>
  <c r="AI991" i="1" s="1"/>
  <c r="AI992" i="1" a="1"/>
  <c r="AI992" i="1" s="1"/>
  <c r="AI993" i="1" a="1"/>
  <c r="AI993" i="1" s="1"/>
  <c r="AI994" i="1" a="1"/>
  <c r="AI994" i="1" s="1"/>
  <c r="AI995" i="1" a="1"/>
  <c r="AI995" i="1" s="1"/>
  <c r="AI996" i="1" a="1"/>
  <c r="AI996" i="1" s="1"/>
  <c r="AI997" i="1" a="1"/>
  <c r="AI997" i="1" s="1"/>
  <c r="AI998" i="1" a="1"/>
  <c r="AI998" i="1" s="1"/>
  <c r="AI999" i="1" a="1"/>
  <c r="AI999" i="1" s="1"/>
  <c r="AI1000" i="1" a="1"/>
  <c r="AI1000" i="1" s="1"/>
  <c r="AI1001" i="1" a="1"/>
  <c r="AI1001" i="1" s="1"/>
  <c r="AI1002" i="1" a="1"/>
  <c r="AI1002" i="1" s="1"/>
  <c r="AI1003" i="1" a="1"/>
  <c r="AI1003" i="1" s="1"/>
  <c r="AI1004" i="1" a="1"/>
  <c r="AI1004" i="1" s="1"/>
  <c r="AI1005" i="1" a="1"/>
  <c r="AI1005" i="1" s="1"/>
  <c r="AI1006" i="1" a="1"/>
  <c r="AI1006" i="1" s="1"/>
  <c r="AI1007" i="1" a="1"/>
  <c r="AI1007" i="1" s="1"/>
  <c r="AI1008" i="1" a="1"/>
  <c r="AI1008" i="1" s="1"/>
  <c r="AI1009" i="1" a="1"/>
  <c r="AI1009" i="1" s="1"/>
  <c r="AI1010" i="1" a="1"/>
  <c r="AI1010" i="1" s="1"/>
  <c r="AI1011" i="1" a="1"/>
  <c r="AI1011" i="1" s="1"/>
  <c r="AI1012" i="1" a="1"/>
  <c r="AI1012" i="1"/>
  <c r="AI1013" i="1" a="1"/>
  <c r="AI1013" i="1" s="1"/>
  <c r="AI1014" i="1" a="1"/>
  <c r="AI1014" i="1" s="1"/>
  <c r="AI1015" i="1" a="1"/>
  <c r="AI1015" i="1" s="1"/>
  <c r="AI1016" i="1" a="1"/>
  <c r="AI1016" i="1" s="1"/>
  <c r="AI1017" i="1" a="1"/>
  <c r="AI1017" i="1" s="1"/>
  <c r="AI1018" i="1" a="1"/>
  <c r="AI1018" i="1" s="1"/>
  <c r="AI1019" i="1" a="1"/>
  <c r="AI1019" i="1" s="1"/>
  <c r="AI1020" i="1" a="1"/>
  <c r="AI1020" i="1" s="1"/>
  <c r="AI1021" i="1" a="1"/>
  <c r="AI1021" i="1" s="1"/>
  <c r="AI1022" i="1" a="1"/>
  <c r="AI1022" i="1" s="1"/>
  <c r="AI1023" i="1" a="1"/>
  <c r="AI1023" i="1" s="1"/>
  <c r="AI1024" i="1" a="1"/>
  <c r="AI1024" i="1" s="1"/>
  <c r="AI1025" i="1" a="1"/>
  <c r="AI1025" i="1" s="1"/>
  <c r="AI1026" i="1" a="1"/>
  <c r="AI1026" i="1" s="1"/>
  <c r="AI1027" i="1" a="1"/>
  <c r="AI1027" i="1" s="1"/>
  <c r="AI1028" i="1" a="1"/>
  <c r="AI1028" i="1" s="1"/>
  <c r="AI1029" i="1" a="1"/>
  <c r="AI1029" i="1" s="1"/>
  <c r="AI1030" i="1" a="1"/>
  <c r="AI1030" i="1" s="1"/>
  <c r="AI1031" i="1" a="1"/>
  <c r="AI1031" i="1" s="1"/>
  <c r="AI1032" i="1" a="1"/>
  <c r="AI1032" i="1" s="1"/>
  <c r="AI1033" i="1" a="1"/>
  <c r="AI1033" i="1" s="1"/>
  <c r="AI1034" i="1" a="1"/>
  <c r="AI1034" i="1" s="1"/>
  <c r="AI1035" i="1" a="1"/>
  <c r="AI1035" i="1" s="1"/>
  <c r="AI1036" i="1" a="1"/>
  <c r="AI1036" i="1" s="1"/>
  <c r="AI1037" i="1" a="1"/>
  <c r="AI1037" i="1" s="1"/>
  <c r="AI1038" i="1" a="1"/>
  <c r="AI1038" i="1" s="1"/>
  <c r="AI1039" i="1" a="1"/>
  <c r="AI1039" i="1" s="1"/>
  <c r="AI1040" i="1" a="1"/>
  <c r="AI1040" i="1" s="1"/>
  <c r="AI1041" i="1" a="1"/>
  <c r="AI1041" i="1" s="1"/>
  <c r="AI1042" i="1" a="1"/>
  <c r="AI1042" i="1" s="1"/>
  <c r="AI1043" i="1" a="1"/>
  <c r="AI1043" i="1" s="1"/>
  <c r="AI1044" i="1" a="1"/>
  <c r="AI1044" i="1" s="1"/>
  <c r="AI1045" i="1" a="1"/>
  <c r="AI1045" i="1" s="1"/>
  <c r="AI1046" i="1" a="1"/>
  <c r="AI1046" i="1" s="1"/>
  <c r="AI1047" i="1" a="1"/>
  <c r="AI1047" i="1" s="1"/>
  <c r="AI1048" i="1" a="1"/>
  <c r="AI1048" i="1" s="1"/>
  <c r="AI1049" i="1" a="1"/>
  <c r="AI1049" i="1" s="1"/>
  <c r="AI1050" i="1" a="1"/>
  <c r="AI1050" i="1" s="1"/>
  <c r="AI1051" i="1" a="1"/>
  <c r="AI1051" i="1" s="1"/>
  <c r="AI1052" i="1" a="1"/>
  <c r="AI1052" i="1" s="1"/>
  <c r="AI1053" i="1" a="1"/>
  <c r="AI1053" i="1" s="1"/>
  <c r="AI1054" i="1" a="1"/>
  <c r="AI1054" i="1"/>
  <c r="AI1055" i="1" a="1"/>
  <c r="AI1055" i="1" s="1"/>
  <c r="AI1056" i="1" a="1"/>
  <c r="AI1056" i="1" s="1"/>
  <c r="AI1057" i="1" a="1"/>
  <c r="AI1057" i="1" s="1"/>
  <c r="AI1058" i="1" a="1"/>
  <c r="AI1058" i="1" s="1"/>
  <c r="AI1059" i="1" a="1"/>
  <c r="AI1059" i="1" s="1"/>
  <c r="AI1060" i="1" a="1"/>
  <c r="AI1060" i="1" s="1"/>
  <c r="AI1061" i="1" a="1"/>
  <c r="AI1061" i="1" s="1"/>
  <c r="AI1062" i="1" a="1"/>
  <c r="AI1062" i="1" s="1"/>
  <c r="AI1063" i="1" a="1"/>
  <c r="AI1063" i="1" s="1"/>
  <c r="AI1064" i="1" a="1"/>
  <c r="AI1064" i="1" s="1"/>
  <c r="AI1065" i="1" a="1"/>
  <c r="AI1065" i="1" s="1"/>
  <c r="AI1066" i="1" a="1"/>
  <c r="AI1066" i="1" s="1"/>
  <c r="AI1067" i="1" a="1"/>
  <c r="AI1067" i="1" s="1"/>
  <c r="AI1068" i="1" a="1"/>
  <c r="AI1068" i="1" s="1"/>
  <c r="AI1069" i="1" a="1"/>
  <c r="AI1069" i="1" s="1"/>
  <c r="AI1070" i="1" a="1"/>
  <c r="AI1070" i="1" s="1"/>
  <c r="AI1071" i="1" a="1"/>
  <c r="AI1071" i="1" s="1"/>
  <c r="AI1072" i="1" a="1"/>
  <c r="AI1072" i="1" s="1"/>
  <c r="AI1073" i="1" a="1"/>
  <c r="AI1073" i="1" s="1"/>
  <c r="AI1074" i="1" a="1"/>
  <c r="AI1074" i="1" s="1"/>
  <c r="AI1075" i="1" a="1"/>
  <c r="AI1075" i="1" s="1"/>
  <c r="AI1076" i="1" a="1"/>
  <c r="AI1076" i="1" s="1"/>
  <c r="AI1077" i="1" a="1"/>
  <c r="AI1077" i="1" s="1"/>
  <c r="AI1078" i="1" a="1"/>
  <c r="AI1078" i="1" s="1"/>
  <c r="AI1079" i="1" a="1"/>
  <c r="AI1079" i="1" s="1"/>
  <c r="AI1080" i="1" a="1"/>
  <c r="AI1080" i="1" s="1"/>
  <c r="AI1081" i="1" a="1"/>
  <c r="AI1081" i="1" s="1"/>
  <c r="AI1082" i="1" a="1"/>
  <c r="AI1082" i="1"/>
  <c r="AI1083" i="1" a="1"/>
  <c r="AI1083" i="1" s="1"/>
  <c r="AI1084" i="1" a="1"/>
  <c r="AI1084" i="1" s="1"/>
  <c r="AI1085" i="1" a="1"/>
  <c r="AI1085" i="1" s="1"/>
  <c r="AI1086" i="1" a="1"/>
  <c r="AI1086" i="1" s="1"/>
  <c r="AI1087" i="1" a="1"/>
  <c r="AI1087" i="1" s="1"/>
  <c r="AI1088" i="1" a="1"/>
  <c r="AI1088" i="1"/>
  <c r="AI1089" i="1" a="1"/>
  <c r="AI1089" i="1"/>
  <c r="AI1090" i="1" a="1"/>
  <c r="AI1090" i="1"/>
  <c r="AI1091" i="1" a="1"/>
  <c r="AI1091" i="1" s="1"/>
  <c r="AI1092" i="1" a="1"/>
  <c r="AI1092" i="1" s="1"/>
  <c r="AI1093" i="1" a="1"/>
  <c r="AI1093" i="1" s="1"/>
  <c r="AI1094" i="1" a="1"/>
  <c r="AI1094" i="1" s="1"/>
  <c r="AI1095" i="1" a="1"/>
  <c r="AI1095" i="1" s="1"/>
  <c r="AI1096" i="1" a="1"/>
  <c r="AI1096" i="1" s="1"/>
  <c r="AI1097" i="1" a="1"/>
  <c r="AI1097" i="1" s="1"/>
  <c r="AI1098" i="1" a="1"/>
  <c r="AI1098" i="1" s="1"/>
  <c r="AI1099" i="1" a="1"/>
  <c r="AI1099" i="1" s="1"/>
  <c r="AI1100" i="1" a="1"/>
  <c r="AI1100" i="1" s="1"/>
  <c r="AI1101" i="1" a="1"/>
  <c r="AI1101" i="1" s="1"/>
  <c r="AI1102" i="1" a="1"/>
  <c r="AI1102" i="1" s="1"/>
  <c r="AI1103" i="1" a="1"/>
  <c r="AI1103" i="1" s="1"/>
  <c r="AI1104" i="1" a="1"/>
  <c r="AI1104" i="1" s="1"/>
  <c r="AI1105" i="1" a="1"/>
  <c r="AI1105" i="1" s="1"/>
  <c r="AI1106" i="1" a="1"/>
  <c r="AI1106" i="1" s="1"/>
  <c r="AI1107" i="1" a="1"/>
  <c r="AI1107" i="1" s="1"/>
  <c r="AI1108" i="1" a="1"/>
  <c r="AI1108" i="1" s="1"/>
  <c r="AI1109" i="1" a="1"/>
  <c r="AI1109" i="1" s="1"/>
  <c r="AI1110" i="1" a="1"/>
  <c r="AI1110" i="1" s="1"/>
  <c r="AI1111" i="1" a="1"/>
  <c r="AI1111" i="1" s="1"/>
  <c r="AI1112" i="1" a="1"/>
  <c r="AI1112" i="1" s="1"/>
  <c r="AI1113" i="1" a="1"/>
  <c r="AI1113" i="1" s="1"/>
  <c r="AI1114" i="1" a="1"/>
  <c r="AI1114" i="1" s="1"/>
  <c r="AI1115" i="1" a="1"/>
  <c r="AI1115" i="1" s="1"/>
  <c r="AI1116" i="1" a="1"/>
  <c r="AI1116" i="1" s="1"/>
  <c r="AI1117" i="1" a="1"/>
  <c r="AI1117" i="1" s="1"/>
  <c r="AI1118" i="1" a="1"/>
  <c r="AI1118" i="1" s="1"/>
  <c r="AI1119" i="1" a="1"/>
  <c r="AI1119" i="1" s="1"/>
  <c r="AI1120" i="1" a="1"/>
  <c r="AI1120" i="1" s="1"/>
  <c r="AI1121" i="1" a="1"/>
  <c r="AI1121" i="1" s="1"/>
  <c r="AI1122" i="1" a="1"/>
  <c r="AI1122" i="1" s="1"/>
  <c r="AI1123" i="1" a="1"/>
  <c r="AI1123" i="1" s="1"/>
  <c r="AI1124" i="1" a="1"/>
  <c r="AI1124" i="1" s="1"/>
  <c r="AI1125" i="1" a="1"/>
  <c r="AI1125" i="1" s="1"/>
  <c r="AI1126" i="1" a="1"/>
  <c r="AI1126" i="1"/>
  <c r="AI1127" i="1" a="1"/>
  <c r="AI1127" i="1" s="1"/>
  <c r="AI1128" i="1" a="1"/>
  <c r="AI1128" i="1"/>
  <c r="AI1129" i="1" a="1"/>
  <c r="AI1129" i="1" s="1"/>
  <c r="AI1130" i="1" a="1"/>
  <c r="AI1130" i="1" s="1"/>
  <c r="AI1131" i="1" a="1"/>
  <c r="AI1131" i="1" s="1"/>
  <c r="AI1132" i="1" a="1"/>
  <c r="AI1132" i="1" s="1"/>
  <c r="AI1133" i="1" a="1"/>
  <c r="AI1133" i="1" s="1"/>
  <c r="AI1134" i="1" a="1"/>
  <c r="AI1134" i="1" s="1"/>
  <c r="AI1135" i="1" a="1"/>
  <c r="AI1135" i="1" s="1"/>
  <c r="AI1136" i="1" a="1"/>
  <c r="AI1136" i="1" s="1"/>
  <c r="AI1137" i="1" a="1"/>
  <c r="AI1137" i="1" s="1"/>
  <c r="AI1138" i="1" a="1"/>
  <c r="AI1138" i="1" s="1"/>
  <c r="AI1139" i="1" a="1"/>
  <c r="AI1139" i="1" s="1"/>
  <c r="AI1140" i="1" a="1"/>
  <c r="AI1140" i="1" s="1"/>
  <c r="AI1141" i="1" a="1"/>
  <c r="AI1141" i="1" s="1"/>
  <c r="AI1142" i="1" a="1"/>
  <c r="AI1142" i="1" s="1"/>
  <c r="AI1143" i="1" a="1"/>
  <c r="AI1143" i="1" s="1"/>
  <c r="AI1144" i="1" a="1"/>
  <c r="AI1144" i="1" s="1"/>
  <c r="AI1145" i="1" a="1"/>
  <c r="AI1145" i="1" s="1"/>
  <c r="AI1146" i="1" a="1"/>
  <c r="AI1146" i="1" s="1"/>
  <c r="AI1147" i="1" a="1"/>
  <c r="AI1147" i="1" s="1"/>
  <c r="AI1148" i="1" a="1"/>
  <c r="AI1148" i="1" s="1"/>
  <c r="AI1149" i="1" a="1"/>
  <c r="AI1149" i="1" s="1"/>
  <c r="AI1150" i="1" a="1"/>
  <c r="AI1150" i="1" s="1"/>
  <c r="AI1151" i="1" a="1"/>
  <c r="AI1151" i="1" s="1"/>
  <c r="AI1152" i="1" a="1"/>
  <c r="AI1152" i="1" s="1"/>
  <c r="AI1153" i="1" a="1"/>
  <c r="AI1153" i="1" s="1"/>
  <c r="AI1154" i="1" a="1"/>
  <c r="AI1154" i="1" s="1"/>
  <c r="AI1155" i="1" a="1"/>
  <c r="AI1155" i="1" s="1"/>
  <c r="AI1156" i="1" a="1"/>
  <c r="AI1156" i="1" s="1"/>
  <c r="AI1157" i="1" a="1"/>
  <c r="AI1157" i="1" s="1"/>
  <c r="AI1158" i="1" a="1"/>
  <c r="AI1158" i="1" s="1"/>
  <c r="AI1159" i="1" a="1"/>
  <c r="AI1159" i="1" s="1"/>
  <c r="AI1160" i="1" a="1"/>
  <c r="AI1160" i="1" s="1"/>
  <c r="AI1161" i="1" a="1"/>
  <c r="AI1161" i="1" s="1"/>
  <c r="AI1162" i="1" a="1"/>
  <c r="AI1162" i="1" s="1"/>
  <c r="AI1163" i="1" a="1"/>
  <c r="AI1163" i="1" s="1"/>
  <c r="AI1164" i="1" a="1"/>
  <c r="AI1164" i="1" s="1"/>
  <c r="AI1165" i="1" a="1"/>
  <c r="AI1165" i="1" s="1"/>
  <c r="AI1166" i="1" a="1"/>
  <c r="AI1166" i="1"/>
  <c r="AI1167" i="1" a="1"/>
  <c r="AI1167" i="1" s="1"/>
  <c r="AI1168" i="1" a="1"/>
  <c r="AI1168" i="1" s="1"/>
  <c r="AI1169" i="1" a="1"/>
  <c r="AI1169" i="1" s="1"/>
  <c r="AI1170" i="1" a="1"/>
  <c r="AI1170" i="1" s="1"/>
  <c r="AI1171" i="1" a="1"/>
  <c r="AI1171" i="1" s="1"/>
  <c r="AI1172" i="1" a="1"/>
  <c r="AI1172" i="1" s="1"/>
  <c r="AI1173" i="1" a="1"/>
  <c r="AI1173" i="1" s="1"/>
  <c r="AI1174" i="1" a="1"/>
  <c r="AI1174" i="1" s="1"/>
  <c r="AI1175" i="1" a="1"/>
  <c r="AI1175" i="1" s="1"/>
  <c r="AI1176" i="1" a="1"/>
  <c r="AI1176" i="1" s="1"/>
  <c r="AI1177" i="1" a="1"/>
  <c r="AI1177" i="1" s="1"/>
  <c r="AI1178" i="1" a="1"/>
  <c r="AI1178" i="1" s="1"/>
  <c r="AI1179" i="1" a="1"/>
  <c r="AI1179" i="1" s="1"/>
  <c r="AI1180" i="1" a="1"/>
  <c r="AI1180" i="1" s="1"/>
  <c r="AI1181" i="1" a="1"/>
  <c r="AI1181" i="1" s="1"/>
  <c r="AI1182" i="1" a="1"/>
  <c r="AI1182" i="1" s="1"/>
  <c r="AI1183" i="1" a="1"/>
  <c r="AI1183" i="1" s="1"/>
  <c r="AI1184" i="1" a="1"/>
  <c r="AI1184" i="1" s="1"/>
  <c r="AI1185" i="1" a="1"/>
  <c r="AI1185" i="1" s="1"/>
  <c r="AI1186" i="1" a="1"/>
  <c r="AI1186" i="1" s="1"/>
  <c r="AI1187" i="1" a="1"/>
  <c r="AI1187" i="1" s="1"/>
  <c r="AI1188" i="1" a="1"/>
  <c r="AI1188" i="1" s="1"/>
  <c r="AI1189" i="1" a="1"/>
  <c r="AI1189" i="1" s="1"/>
  <c r="AI1190" i="1" a="1"/>
  <c r="AI1190" i="1" s="1"/>
  <c r="AI1191" i="1" a="1"/>
  <c r="AI1191" i="1" s="1"/>
  <c r="AI1192" i="1" a="1"/>
  <c r="AI1192" i="1" s="1"/>
  <c r="AI1193" i="1" a="1"/>
  <c r="AI1193" i="1" s="1"/>
  <c r="AI1194" i="1" a="1"/>
  <c r="AI1194" i="1" s="1"/>
  <c r="AI1195" i="1" a="1"/>
  <c r="AI1195" i="1" s="1"/>
  <c r="AI1196" i="1" a="1"/>
  <c r="AI1196" i="1" s="1"/>
  <c r="AI1197" i="1" a="1"/>
  <c r="AI1197" i="1" s="1"/>
  <c r="AI1198" i="1" a="1"/>
  <c r="AI1198" i="1" s="1"/>
  <c r="AI1199" i="1" a="1"/>
  <c r="AI1199" i="1" s="1"/>
  <c r="AI1200" i="1" a="1"/>
  <c r="AI1200" i="1"/>
  <c r="AI1201" i="1" a="1"/>
  <c r="AI1201" i="1" s="1"/>
  <c r="AI1202" i="1" a="1"/>
  <c r="AI1202" i="1" s="1"/>
  <c r="AI1203" i="1" a="1"/>
  <c r="AI1203" i="1" s="1"/>
  <c r="AI1204" i="1" a="1"/>
  <c r="AI1204" i="1" s="1"/>
  <c r="AI1205" i="1" a="1"/>
  <c r="AI1205" i="1" s="1"/>
  <c r="AI1206" i="1" a="1"/>
  <c r="AI1206" i="1" s="1"/>
  <c r="AI1207" i="1" a="1"/>
  <c r="AI1207" i="1" s="1"/>
  <c r="AI1208" i="1" a="1"/>
  <c r="AI1208" i="1" s="1"/>
  <c r="AI1209" i="1" a="1"/>
  <c r="AI1209" i="1" s="1"/>
  <c r="AI1210" i="1" a="1"/>
  <c r="AI1210" i="1" s="1"/>
  <c r="AI1211" i="1" a="1"/>
  <c r="AI1211" i="1" s="1"/>
  <c r="AI1212" i="1" a="1"/>
  <c r="AI1212" i="1" s="1"/>
  <c r="AI1213" i="1" a="1"/>
  <c r="AI1213" i="1" s="1"/>
  <c r="AI1214" i="1" a="1"/>
  <c r="AI1214" i="1"/>
  <c r="AI1215" i="1" a="1"/>
  <c r="AI1215" i="1" s="1"/>
  <c r="AI1216" i="1" a="1"/>
  <c r="AI1216" i="1" s="1"/>
  <c r="AI1217" i="1" a="1"/>
  <c r="AI1217" i="1" s="1"/>
  <c r="AI1218" i="1" a="1"/>
  <c r="AI1218" i="1" s="1"/>
  <c r="AI1219" i="1" a="1"/>
  <c r="AI1219" i="1" s="1"/>
  <c r="AI1220" i="1" a="1"/>
  <c r="AI1220" i="1" s="1"/>
  <c r="AI1221" i="1" a="1"/>
  <c r="AI1221" i="1" s="1"/>
  <c r="AI1222" i="1" a="1"/>
  <c r="AI1222" i="1" s="1"/>
  <c r="AI1223" i="1" a="1"/>
  <c r="AI1223" i="1" s="1"/>
  <c r="AI1224" i="1" a="1"/>
  <c r="AI1224" i="1" s="1"/>
  <c r="AI1225" i="1" a="1"/>
  <c r="AI1225" i="1" s="1"/>
  <c r="AI1226" i="1" a="1"/>
  <c r="AI1226" i="1" s="1"/>
  <c r="AI1227" i="1" a="1"/>
  <c r="AI1227" i="1" s="1"/>
  <c r="AI1228" i="1" a="1"/>
  <c r="AI1228" i="1" s="1"/>
  <c r="AI1229" i="1" a="1"/>
  <c r="AI1229" i="1" s="1"/>
  <c r="AI1230" i="1" a="1"/>
  <c r="AI1230" i="1" s="1"/>
  <c r="AI1231" i="1" a="1"/>
  <c r="AI1231" i="1" s="1"/>
  <c r="AI1232" i="1" a="1"/>
  <c r="AI1232" i="1" s="1"/>
  <c r="AI1233" i="1" a="1"/>
  <c r="AI1233" i="1" s="1"/>
  <c r="AI1234" i="1" a="1"/>
  <c r="AI1234" i="1" s="1"/>
  <c r="AI1235" i="1" a="1"/>
  <c r="AI1235" i="1" s="1"/>
  <c r="AI1236" i="1" a="1"/>
  <c r="AI1236" i="1" s="1"/>
  <c r="AI1237" i="1" a="1"/>
  <c r="AI1237" i="1"/>
  <c r="AI1238" i="1" a="1"/>
  <c r="AI1238" i="1" s="1"/>
  <c r="AI1239" i="1" a="1"/>
  <c r="AI1239" i="1" s="1"/>
  <c r="AI1240" i="1" a="1"/>
  <c r="AI1240" i="1" s="1"/>
  <c r="AI1241" i="1" a="1"/>
  <c r="AI1241" i="1" s="1"/>
  <c r="AI1242" i="1" a="1"/>
  <c r="AI1242" i="1" s="1"/>
  <c r="AI1243" i="1" a="1"/>
  <c r="AI1243" i="1" s="1"/>
  <c r="AI1244" i="1" a="1"/>
  <c r="AI1244" i="1" s="1"/>
  <c r="AI1245" i="1" a="1"/>
  <c r="AI1245" i="1" s="1"/>
  <c r="AI1246" i="1" a="1"/>
  <c r="AI1246" i="1" s="1"/>
  <c r="AI1247" i="1" a="1"/>
  <c r="AI1247" i="1" s="1"/>
  <c r="AI1248" i="1" a="1"/>
  <c r="AI1248" i="1" s="1"/>
  <c r="AI1249" i="1" a="1"/>
  <c r="AI1249" i="1"/>
  <c r="AI1250" i="1" a="1"/>
  <c r="AI1250" i="1" s="1"/>
  <c r="AI1251" i="1" a="1"/>
  <c r="AI1251" i="1" s="1"/>
  <c r="AI1252" i="1" a="1"/>
  <c r="AI1252" i="1" s="1"/>
  <c r="AI1253" i="1" a="1"/>
  <c r="AI1253" i="1" s="1"/>
  <c r="AI1254" i="1" a="1"/>
  <c r="AI1254" i="1" s="1"/>
  <c r="AI1255" i="1" a="1"/>
  <c r="AI1255" i="1" s="1"/>
  <c r="AI1256" i="1" a="1"/>
  <c r="AI1256" i="1" s="1"/>
  <c r="AI1257" i="1" a="1"/>
  <c r="AI1257" i="1" s="1"/>
  <c r="AI1258" i="1" a="1"/>
  <c r="AI1258" i="1" s="1"/>
  <c r="AI1259" i="1" a="1"/>
  <c r="AI1259" i="1" s="1"/>
  <c r="AI1260" i="1" a="1"/>
  <c r="AI1260" i="1" s="1"/>
  <c r="AI1261" i="1" a="1"/>
  <c r="AI1261" i="1" s="1"/>
  <c r="AI1262" i="1" a="1"/>
  <c r="AI1262" i="1" s="1"/>
  <c r="AI1263" i="1" a="1"/>
  <c r="AI1263" i="1" s="1"/>
  <c r="AI1264" i="1" a="1"/>
  <c r="AI1264" i="1" s="1"/>
  <c r="AI1265" i="1" a="1"/>
  <c r="AI1265" i="1" s="1"/>
  <c r="AI1266" i="1" a="1"/>
  <c r="AI1266" i="1" s="1"/>
  <c r="AI1267" i="1" a="1"/>
  <c r="AI1267" i="1" s="1"/>
  <c r="AI1268" i="1" a="1"/>
  <c r="AI1268" i="1" s="1"/>
  <c r="AI1269" i="1" a="1"/>
  <c r="AI1269" i="1" s="1"/>
  <c r="AI1270" i="1" a="1"/>
  <c r="AI1270" i="1" s="1"/>
  <c r="AI1271" i="1" a="1"/>
  <c r="AI1271" i="1" s="1"/>
  <c r="AI1272" i="1" a="1"/>
  <c r="AI1272" i="1" s="1"/>
  <c r="AI1273" i="1" a="1"/>
  <c r="AI1273" i="1" s="1"/>
  <c r="AI1274" i="1" a="1"/>
  <c r="AI1274" i="1" s="1"/>
  <c r="AI1275" i="1" a="1"/>
  <c r="AI1275" i="1" s="1"/>
  <c r="AI1276" i="1" a="1"/>
  <c r="AI1276" i="1" s="1"/>
  <c r="AI1277" i="1" a="1"/>
  <c r="AI1277" i="1" s="1"/>
  <c r="AI1278" i="1" a="1"/>
  <c r="AI1278" i="1" s="1"/>
  <c r="AI1279" i="1" a="1"/>
  <c r="AI1279" i="1" s="1"/>
  <c r="AI1280" i="1" a="1"/>
  <c r="AI1280" i="1" s="1"/>
  <c r="AI1281" i="1" a="1"/>
  <c r="AI1281" i="1" s="1"/>
  <c r="AI1282" i="1" a="1"/>
  <c r="AI1282" i="1" s="1"/>
  <c r="AI1283" i="1" a="1"/>
  <c r="AI1283" i="1" s="1"/>
  <c r="AI1284" i="1" a="1"/>
  <c r="AI1284" i="1" s="1"/>
  <c r="AI1285" i="1" a="1"/>
  <c r="AI1285" i="1" s="1"/>
  <c r="AI1286" i="1" a="1"/>
  <c r="AI1286" i="1" s="1"/>
  <c r="AI1287" i="1" a="1"/>
  <c r="AI1287" i="1" s="1"/>
  <c r="AI1288" i="1" a="1"/>
  <c r="AI1288" i="1" s="1"/>
  <c r="AI1289" i="1" a="1"/>
  <c r="AI1289" i="1" s="1"/>
  <c r="AI1290" i="1" a="1"/>
  <c r="AI1290" i="1" s="1"/>
  <c r="AI1291" i="1" a="1"/>
  <c r="AI1291" i="1" s="1"/>
  <c r="AI1292" i="1" a="1"/>
  <c r="AI1292" i="1" s="1"/>
  <c r="AI1293" i="1" a="1"/>
  <c r="AI1293" i="1" s="1"/>
  <c r="AI1294" i="1" a="1"/>
  <c r="AI1294" i="1"/>
  <c r="AI1295" i="1" a="1"/>
  <c r="AI1295" i="1" s="1"/>
  <c r="AI1296" i="1" a="1"/>
  <c r="AI1296" i="1" s="1"/>
  <c r="AI1297" i="1" a="1"/>
  <c r="AI1297" i="1" s="1"/>
  <c r="AI1298" i="1" a="1"/>
  <c r="AI1298" i="1" s="1"/>
  <c r="AI1299" i="1" a="1"/>
  <c r="AI1299" i="1" s="1"/>
  <c r="AI1300" i="1" a="1"/>
  <c r="AI1300" i="1" s="1"/>
  <c r="AI1301" i="1" a="1"/>
  <c r="AI1301" i="1" s="1"/>
  <c r="AI1302" i="1" a="1"/>
  <c r="AI1302" i="1" s="1"/>
  <c r="AI1303" i="1" a="1"/>
  <c r="AI1303" i="1"/>
  <c r="AI1304" i="1" a="1"/>
  <c r="AI1304" i="1" s="1"/>
  <c r="AI1305" i="1" a="1"/>
  <c r="AI1305" i="1" s="1"/>
  <c r="AI1306" i="1" a="1"/>
  <c r="AI1306" i="1" s="1"/>
  <c r="AI1307" i="1" a="1"/>
  <c r="AI1307" i="1" s="1"/>
  <c r="AI1308" i="1" a="1"/>
  <c r="AI1308" i="1" s="1"/>
  <c r="AI1309" i="1" a="1"/>
  <c r="AI1309" i="1" s="1"/>
  <c r="AI1310" i="1" a="1"/>
  <c r="AI1310" i="1" s="1"/>
  <c r="AI1311" i="1" a="1"/>
  <c r="AI1311" i="1" s="1"/>
  <c r="AI1312" i="1" a="1"/>
  <c r="AI1312" i="1" s="1"/>
  <c r="AI1313" i="1" a="1"/>
  <c r="AI1313" i="1" s="1"/>
  <c r="AI1314" i="1" a="1"/>
  <c r="AI1314" i="1" s="1"/>
  <c r="AI1315" i="1" a="1"/>
  <c r="AI1315" i="1" s="1"/>
  <c r="AI1316" i="1" a="1"/>
  <c r="AI1316" i="1" s="1"/>
  <c r="AI1317" i="1" a="1"/>
  <c r="AI1317" i="1" s="1"/>
  <c r="AI1318" i="1" a="1"/>
  <c r="AI1318" i="1" s="1"/>
  <c r="AI1319" i="1" a="1"/>
  <c r="AI1319" i="1" s="1"/>
  <c r="AI1320" i="1" a="1"/>
  <c r="AI1320" i="1" s="1"/>
  <c r="AI1321" i="1" a="1"/>
  <c r="AI1321" i="1" s="1"/>
  <c r="AI1322" i="1" a="1"/>
  <c r="AI1322" i="1" s="1"/>
  <c r="AI1323" i="1" a="1"/>
  <c r="AI1323" i="1" s="1"/>
  <c r="AI1324" i="1" a="1"/>
  <c r="AI1324" i="1" s="1"/>
  <c r="AI1325" i="1" a="1"/>
  <c r="AI1325" i="1" s="1"/>
  <c r="AI1326" i="1" a="1"/>
  <c r="AI1326" i="1" s="1"/>
  <c r="AI1327" i="1" a="1"/>
  <c r="AI1327" i="1" s="1"/>
  <c r="AI1328" i="1" a="1"/>
  <c r="AI1328" i="1" s="1"/>
  <c r="AI1329" i="1" a="1"/>
  <c r="AI1329" i="1" s="1"/>
  <c r="AI1330" i="1" a="1"/>
  <c r="AI1330" i="1" s="1"/>
  <c r="AI1331" i="1" a="1"/>
  <c r="AI1331" i="1" s="1"/>
  <c r="AI1332" i="1" a="1"/>
  <c r="AI1332" i="1" s="1"/>
  <c r="AI1333" i="1" a="1"/>
  <c r="AI1333" i="1" s="1"/>
  <c r="AI1334" i="1" a="1"/>
  <c r="AI1334" i="1" s="1"/>
  <c r="AI1335" i="1" a="1"/>
  <c r="AI1335" i="1" s="1"/>
  <c r="AI1336" i="1" a="1"/>
  <c r="AI1336" i="1" s="1"/>
  <c r="AI1337" i="1" a="1"/>
  <c r="AI1337" i="1" s="1"/>
  <c r="AI1338" i="1" a="1"/>
  <c r="AI1338" i="1" s="1"/>
  <c r="AI1339" i="1" a="1"/>
  <c r="AI1339" i="1" s="1"/>
  <c r="AI1340" i="1" a="1"/>
  <c r="AI1340" i="1" s="1"/>
  <c r="AI1341" i="1" a="1"/>
  <c r="AI1341" i="1" s="1"/>
  <c r="AI1342" i="1" a="1"/>
  <c r="AI1342" i="1" s="1"/>
  <c r="AI1343" i="1" a="1"/>
  <c r="AI1343" i="1" s="1"/>
  <c r="AI1344" i="1" a="1"/>
  <c r="AI1344" i="1" s="1"/>
  <c r="AI1345" i="1" a="1"/>
  <c r="AI1345" i="1" s="1"/>
  <c r="AI1346" i="1" a="1"/>
  <c r="AI1346" i="1" s="1"/>
  <c r="AI1347" i="1" a="1"/>
  <c r="AI1347" i="1" s="1"/>
  <c r="AI1348" i="1" a="1"/>
  <c r="AI1348" i="1" s="1"/>
  <c r="AI1349" i="1" a="1"/>
  <c r="AI1349" i="1" s="1"/>
  <c r="AI1350" i="1" a="1"/>
  <c r="AI1350" i="1" s="1"/>
  <c r="AI1351" i="1" a="1"/>
  <c r="AI1351" i="1" s="1"/>
  <c r="AI1352" i="1" a="1"/>
  <c r="AI1352" i="1" s="1"/>
  <c r="AI1353" i="1" a="1"/>
  <c r="AI1353" i="1" s="1"/>
  <c r="AI1354" i="1" a="1"/>
  <c r="AI1354" i="1" s="1"/>
  <c r="AI1355" i="1" a="1"/>
  <c r="AI1355" i="1" s="1"/>
  <c r="AI1356" i="1" a="1"/>
  <c r="AI1356" i="1" s="1"/>
  <c r="AI1357" i="1" a="1"/>
  <c r="AI1357" i="1" s="1"/>
  <c r="AI1358" i="1" a="1"/>
  <c r="AI1358" i="1" s="1"/>
  <c r="AI1359" i="1" a="1"/>
  <c r="AI1359" i="1" s="1"/>
  <c r="AI1360" i="1" a="1"/>
  <c r="AI1360" i="1" s="1"/>
  <c r="AI1361" i="1" a="1"/>
  <c r="AI1361" i="1" s="1"/>
  <c r="AI1362" i="1" a="1"/>
  <c r="AI1362" i="1" s="1"/>
  <c r="AI1363" i="1" a="1"/>
  <c r="AI1363" i="1" s="1"/>
  <c r="AI1364" i="1" a="1"/>
  <c r="AI1364" i="1" s="1"/>
  <c r="AI1365" i="1" a="1"/>
  <c r="AI1365" i="1" s="1"/>
  <c r="AI1366" i="1" a="1"/>
  <c r="AI1366" i="1" s="1"/>
  <c r="AI1367" i="1" a="1"/>
  <c r="AI1367" i="1" s="1"/>
  <c r="AI1368" i="1" a="1"/>
  <c r="AI1368" i="1" s="1"/>
  <c r="AI1369" i="1" a="1"/>
  <c r="AI1369" i="1" s="1"/>
  <c r="AI1370" i="1" a="1"/>
  <c r="AI1370" i="1" s="1"/>
  <c r="AI1371" i="1" a="1"/>
  <c r="AI1371" i="1" s="1"/>
  <c r="AI1372" i="1" a="1"/>
  <c r="AI1372" i="1" s="1"/>
  <c r="AI1373" i="1" a="1"/>
  <c r="AI1373" i="1" s="1"/>
  <c r="AI1374" i="1" a="1"/>
  <c r="AI1374" i="1" s="1"/>
  <c r="AI1375" i="1" a="1"/>
  <c r="AI1375" i="1" s="1"/>
  <c r="AI1376" i="1" a="1"/>
  <c r="AI1376" i="1" s="1"/>
  <c r="AI1377" i="1" a="1"/>
  <c r="AI1377" i="1" s="1"/>
  <c r="AI1378" i="1" a="1"/>
  <c r="AI1378" i="1" s="1"/>
  <c r="AI1379" i="1" a="1"/>
  <c r="AI1379" i="1" s="1"/>
  <c r="AI1380" i="1" a="1"/>
  <c r="AI1380" i="1" s="1"/>
  <c r="AI1381" i="1" a="1"/>
  <c r="AI1381" i="1"/>
  <c r="AI1382" i="1" a="1"/>
  <c r="AI1382" i="1" s="1"/>
  <c r="AI1383" i="1" a="1"/>
  <c r="AI1383" i="1" s="1"/>
  <c r="AI1384" i="1" a="1"/>
  <c r="AI1384" i="1" s="1"/>
  <c r="AI1385" i="1" a="1"/>
  <c r="AI1385" i="1" s="1"/>
  <c r="AI1386" i="1" a="1"/>
  <c r="AI1386" i="1" s="1"/>
  <c r="AI1387" i="1" a="1"/>
  <c r="AI1387" i="1" s="1"/>
  <c r="AI1388" i="1" a="1"/>
  <c r="AI1388" i="1" s="1"/>
  <c r="AI1389" i="1" a="1"/>
  <c r="AI1389" i="1" s="1"/>
  <c r="AI1390" i="1" a="1"/>
  <c r="AI1390" i="1" s="1"/>
  <c r="AI1391" i="1" a="1"/>
  <c r="AI1391" i="1" s="1"/>
  <c r="AI1392" i="1" a="1"/>
  <c r="AI1392" i="1" s="1"/>
  <c r="AI1393" i="1" a="1"/>
  <c r="AI1393" i="1" s="1"/>
  <c r="AI1394" i="1" a="1"/>
  <c r="AI1394" i="1" s="1"/>
  <c r="AI1395" i="1" a="1"/>
  <c r="AI1395" i="1" s="1"/>
  <c r="AI1396" i="1" a="1"/>
  <c r="AI1396" i="1" s="1"/>
  <c r="AI1397" i="1" a="1"/>
  <c r="AI1397" i="1" s="1"/>
  <c r="AI1398" i="1" a="1"/>
  <c r="AI1398" i="1" s="1"/>
  <c r="AI1399" i="1" a="1"/>
  <c r="AI1399" i="1" s="1"/>
  <c r="AI1400" i="1" a="1"/>
  <c r="AI1400" i="1" s="1"/>
  <c r="AI1401" i="1" a="1"/>
  <c r="AI1401" i="1" s="1"/>
  <c r="AI1402" i="1" a="1"/>
  <c r="AI1402" i="1" s="1"/>
  <c r="AI1403" i="1" a="1"/>
  <c r="AI1403" i="1" s="1"/>
  <c r="AI1404" i="1" a="1"/>
  <c r="AI1404" i="1" s="1"/>
  <c r="AI1405" i="1" a="1"/>
  <c r="AI1405" i="1" s="1"/>
  <c r="AI1406" i="1" a="1"/>
  <c r="AI1406" i="1" s="1"/>
  <c r="AI1407" i="1" a="1"/>
  <c r="AI1407" i="1" s="1"/>
  <c r="AI1408" i="1" a="1"/>
  <c r="AI1408" i="1"/>
  <c r="AI1409" i="1" a="1"/>
  <c r="AI1409" i="1" s="1"/>
  <c r="AI1410" i="1" a="1"/>
  <c r="AI1410" i="1" s="1"/>
  <c r="AI1411" i="1" a="1"/>
  <c r="AI1411" i="1" s="1"/>
  <c r="AI1412" i="1" a="1"/>
  <c r="AI1412" i="1" s="1"/>
  <c r="AI1413" i="1" a="1"/>
  <c r="AI1413" i="1" s="1"/>
  <c r="AI1414" i="1" a="1"/>
  <c r="AI1414" i="1" s="1"/>
  <c r="AI1415" i="1" a="1"/>
  <c r="AI1415" i="1" s="1"/>
  <c r="AI1416" i="1" a="1"/>
  <c r="AI1416" i="1" s="1"/>
  <c r="AI1417" i="1" a="1"/>
  <c r="AI1417" i="1" s="1"/>
  <c r="AI1418" i="1" a="1"/>
  <c r="AI1418" i="1" s="1"/>
  <c r="AI1419" i="1" a="1"/>
  <c r="AI1419" i="1" s="1"/>
  <c r="AI1420" i="1" a="1"/>
  <c r="AI1420" i="1" s="1"/>
  <c r="AI1421" i="1" a="1"/>
  <c r="AI1421" i="1"/>
  <c r="AI1422" i="1" a="1"/>
  <c r="AI1422" i="1" s="1"/>
  <c r="AI1423" i="1" a="1"/>
  <c r="AI1423" i="1" s="1"/>
  <c r="AI1424" i="1" a="1"/>
  <c r="AI1424" i="1" s="1"/>
  <c r="AI1425" i="1" a="1"/>
  <c r="AI1425" i="1" s="1"/>
  <c r="AI1426" i="1" a="1"/>
  <c r="AI1426" i="1" s="1"/>
  <c r="AI1427" i="1" a="1"/>
  <c r="AI1427" i="1" s="1"/>
  <c r="AI1428" i="1" a="1"/>
  <c r="AI1428" i="1" s="1"/>
  <c r="AI1429" i="1" a="1"/>
  <c r="AI1429" i="1" s="1"/>
  <c r="AI1430" i="1" a="1"/>
  <c r="AI1430" i="1" s="1"/>
  <c r="AI1431" i="1" a="1"/>
  <c r="AI1431" i="1" s="1"/>
  <c r="AI1432" i="1" a="1"/>
  <c r="AI1432" i="1" s="1"/>
  <c r="AI1433" i="1" a="1"/>
  <c r="AI1433" i="1" s="1"/>
  <c r="AI1434" i="1" a="1"/>
  <c r="AI1434" i="1" s="1"/>
  <c r="AI1435" i="1" a="1"/>
  <c r="AI1435" i="1" s="1"/>
  <c r="AI1436" i="1" a="1"/>
  <c r="AI1436" i="1" s="1"/>
  <c r="AI1437" i="1" a="1"/>
  <c r="AI1437" i="1" s="1"/>
  <c r="AI1438" i="1" a="1"/>
  <c r="AI1438" i="1" s="1"/>
  <c r="AI1439" i="1" a="1"/>
  <c r="AI1439" i="1"/>
  <c r="AI1440" i="1" a="1"/>
  <c r="AI1440" i="1"/>
  <c r="AI1441" i="1" a="1"/>
  <c r="AI1441" i="1" s="1"/>
  <c r="AI1442" i="1" a="1"/>
  <c r="AI1442" i="1" s="1"/>
  <c r="AI1443" i="1" a="1"/>
  <c r="AI1443" i="1" s="1"/>
  <c r="AI1444" i="1" a="1"/>
  <c r="AI1444" i="1" s="1"/>
  <c r="AI1445" i="1" a="1"/>
  <c r="AI1445" i="1" s="1"/>
  <c r="AI1446" i="1" a="1"/>
  <c r="AI1446" i="1" s="1"/>
  <c r="AI1447" i="1" a="1"/>
  <c r="AI1447" i="1" s="1"/>
  <c r="AI1448" i="1" a="1"/>
  <c r="AI1448" i="1" s="1"/>
  <c r="AI1449" i="1" a="1"/>
  <c r="AI1449" i="1" s="1"/>
  <c r="AI1450" i="1" a="1"/>
  <c r="AI1450" i="1" s="1"/>
  <c r="AI1451" i="1" a="1"/>
  <c r="AI1451" i="1" s="1"/>
  <c r="AI1452" i="1" a="1"/>
  <c r="AI1452" i="1" s="1"/>
  <c r="AI1453" i="1" a="1"/>
  <c r="AI1453" i="1"/>
  <c r="AI1454" i="1" a="1"/>
  <c r="AI1454" i="1"/>
  <c r="AI1455" i="1" a="1"/>
  <c r="AI1455" i="1" s="1"/>
  <c r="AI1456" i="1" a="1"/>
  <c r="AI1456" i="1" s="1"/>
  <c r="AI1457" i="1" a="1"/>
  <c r="AI1457" i="1" s="1"/>
  <c r="AI1458" i="1" a="1"/>
  <c r="AI1458" i="1" s="1"/>
  <c r="AI1459" i="1" a="1"/>
  <c r="AI1459" i="1" s="1"/>
  <c r="AI1460" i="1" a="1"/>
  <c r="AI1460" i="1" s="1"/>
  <c r="AI1461" i="1" a="1"/>
  <c r="AI1461" i="1" s="1"/>
  <c r="AI1462" i="1" a="1"/>
  <c r="AI1462" i="1" s="1"/>
  <c r="AI1463" i="1" a="1"/>
  <c r="AI1463" i="1" s="1"/>
  <c r="AI1464" i="1" a="1"/>
  <c r="AI1464" i="1" s="1"/>
  <c r="AI1465" i="1" a="1"/>
  <c r="AI1465" i="1" s="1"/>
  <c r="AI1466" i="1" a="1"/>
  <c r="AI1466" i="1" s="1"/>
  <c r="AI1467" i="1" a="1"/>
  <c r="AI1467" i="1" s="1"/>
  <c r="AI1468" i="1" a="1"/>
  <c r="AI1468" i="1" s="1"/>
  <c r="AI1469" i="1" a="1"/>
  <c r="AI1469" i="1" s="1"/>
  <c r="AI1470" i="1" a="1"/>
  <c r="AI1470" i="1" s="1"/>
  <c r="AI1471" i="1" a="1"/>
  <c r="AI1471" i="1"/>
  <c r="AI2" i="1" a="1"/>
  <c r="AI2" i="1" s="1"/>
  <c r="AH3" i="1" a="1"/>
  <c r="AH3" i="1" s="1"/>
  <c r="AH4" i="1" a="1"/>
  <c r="AH4" i="1" s="1"/>
  <c r="AH5" i="1" a="1"/>
  <c r="AH5" i="1" s="1"/>
  <c r="AH6" i="1" a="1"/>
  <c r="AH6" i="1" s="1"/>
  <c r="AH7" i="1" a="1"/>
  <c r="AH7" i="1" s="1"/>
  <c r="AH8" i="1" a="1"/>
  <c r="AH8" i="1" s="1"/>
  <c r="AH9" i="1" a="1"/>
  <c r="AH9" i="1" s="1"/>
  <c r="AH10" i="1" a="1"/>
  <c r="AH10" i="1" s="1"/>
  <c r="AH11" i="1" a="1"/>
  <c r="AH11" i="1" s="1"/>
  <c r="AH12" i="1" a="1"/>
  <c r="AH12" i="1" s="1"/>
  <c r="AH13" i="1" a="1"/>
  <c r="AH13" i="1" s="1"/>
  <c r="AH14" i="1" a="1"/>
  <c r="AH14" i="1" s="1"/>
  <c r="AH15" i="1" a="1"/>
  <c r="AH15" i="1" s="1"/>
  <c r="AH16" i="1" a="1"/>
  <c r="AH16" i="1" s="1"/>
  <c r="AH17" i="1" a="1"/>
  <c r="AH17" i="1" s="1"/>
  <c r="AH18" i="1" a="1"/>
  <c r="AH18" i="1" s="1"/>
  <c r="AH19" i="1" a="1"/>
  <c r="AH19" i="1" s="1"/>
  <c r="AH20" i="1" a="1"/>
  <c r="AH20" i="1" s="1"/>
  <c r="AH21" i="1" a="1"/>
  <c r="AH21" i="1" s="1"/>
  <c r="AH22" i="1" a="1"/>
  <c r="AH22" i="1" s="1"/>
  <c r="AH23" i="1" a="1"/>
  <c r="AH23" i="1" s="1"/>
  <c r="AH24" i="1" a="1"/>
  <c r="AH24" i="1" s="1"/>
  <c r="AH25" i="1" a="1"/>
  <c r="AH25" i="1" s="1"/>
  <c r="AH26" i="1" a="1"/>
  <c r="AH26" i="1" s="1"/>
  <c r="AH27" i="1" a="1"/>
  <c r="AH27" i="1" s="1"/>
  <c r="AH28" i="1" a="1"/>
  <c r="AH28" i="1" s="1"/>
  <c r="AH29" i="1" a="1"/>
  <c r="AH29" i="1" s="1"/>
  <c r="AH30" i="1" a="1"/>
  <c r="AH30" i="1" s="1"/>
  <c r="AH31" i="1" a="1"/>
  <c r="AH31" i="1" s="1"/>
  <c r="AH32" i="1" a="1"/>
  <c r="AH32" i="1" s="1"/>
  <c r="AH33" i="1" a="1"/>
  <c r="AH33" i="1" s="1"/>
  <c r="AH34" i="1" a="1"/>
  <c r="AH34" i="1" s="1"/>
  <c r="AH35" i="1" a="1"/>
  <c r="AH35" i="1" s="1"/>
  <c r="AH36" i="1" a="1"/>
  <c r="AH36" i="1" s="1"/>
  <c r="AH37" i="1" a="1"/>
  <c r="AH37" i="1" s="1"/>
  <c r="AH38" i="1" a="1"/>
  <c r="AH38" i="1" s="1"/>
  <c r="AH39" i="1" a="1"/>
  <c r="AH39" i="1" s="1"/>
  <c r="AH40" i="1" a="1"/>
  <c r="AH40" i="1" s="1"/>
  <c r="AH41" i="1" a="1"/>
  <c r="AH41" i="1" s="1"/>
  <c r="AH42" i="1" a="1"/>
  <c r="AH42" i="1" s="1"/>
  <c r="AH43" i="1" a="1"/>
  <c r="AH43" i="1" s="1"/>
  <c r="AH44" i="1" a="1"/>
  <c r="AH44" i="1" s="1"/>
  <c r="AH45" i="1" a="1"/>
  <c r="AH45" i="1" s="1"/>
  <c r="AH46" i="1" a="1"/>
  <c r="AH46" i="1" s="1"/>
  <c r="AH47" i="1" a="1"/>
  <c r="AH47" i="1" s="1"/>
  <c r="AH48" i="1" a="1"/>
  <c r="AH48" i="1" s="1"/>
  <c r="AH49" i="1" a="1"/>
  <c r="AH49" i="1" s="1"/>
  <c r="AH50" i="1" a="1"/>
  <c r="AH50" i="1" s="1"/>
  <c r="AH51" i="1" a="1"/>
  <c r="AH51" i="1" s="1"/>
  <c r="AH52" i="1" a="1"/>
  <c r="AH52" i="1" s="1"/>
  <c r="AH53" i="1" a="1"/>
  <c r="AH53" i="1" s="1"/>
  <c r="AH54" i="1" a="1"/>
  <c r="AH54" i="1" s="1"/>
  <c r="AH55" i="1" a="1"/>
  <c r="AH55" i="1" s="1"/>
  <c r="AH56" i="1" a="1"/>
  <c r="AH56" i="1" s="1"/>
  <c r="AH57" i="1" a="1"/>
  <c r="AH57" i="1" s="1"/>
  <c r="AH58" i="1" a="1"/>
  <c r="AH58" i="1" s="1"/>
  <c r="AH59" i="1" a="1"/>
  <c r="AH59" i="1" s="1"/>
  <c r="AH60" i="1" a="1"/>
  <c r="AH60" i="1" s="1"/>
  <c r="AH61" i="1" a="1"/>
  <c r="AH61" i="1" s="1"/>
  <c r="AH62" i="1" a="1"/>
  <c r="AH62" i="1" s="1"/>
  <c r="AH63" i="1" a="1"/>
  <c r="AH63" i="1" s="1"/>
  <c r="AH64" i="1" a="1"/>
  <c r="AH64" i="1" s="1"/>
  <c r="AH65" i="1" a="1"/>
  <c r="AH65" i="1" s="1"/>
  <c r="AH66" i="1" a="1"/>
  <c r="AH66" i="1" s="1"/>
  <c r="AH67" i="1" a="1"/>
  <c r="AH67" i="1" s="1"/>
  <c r="AH68" i="1" a="1"/>
  <c r="AH68" i="1" s="1"/>
  <c r="AH69" i="1" a="1"/>
  <c r="AH69" i="1" s="1"/>
  <c r="AH70" i="1" a="1"/>
  <c r="AH70" i="1" s="1"/>
  <c r="AH71" i="1" a="1"/>
  <c r="AH71" i="1" s="1"/>
  <c r="AH72" i="1" a="1"/>
  <c r="AH72" i="1" s="1"/>
  <c r="AH73" i="1" a="1"/>
  <c r="AH73" i="1" s="1"/>
  <c r="AH74" i="1" a="1"/>
  <c r="AH74" i="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c r="AH123" i="1" a="1"/>
  <c r="AH123" i="1" s="1"/>
  <c r="AH124" i="1" a="1"/>
  <c r="AH124" i="1" s="1"/>
  <c r="AH125" i="1" a="1"/>
  <c r="AH125" i="1" s="1"/>
  <c r="AH126" i="1" a="1"/>
  <c r="AH126" i="1" s="1"/>
  <c r="AH127" i="1" a="1"/>
  <c r="AH127" i="1" s="1"/>
  <c r="AH128" i="1" a="1"/>
  <c r="AH128" i="1" s="1"/>
  <c r="AH129" i="1" a="1"/>
  <c r="AH129" i="1" s="1"/>
  <c r="AH130" i="1" a="1"/>
  <c r="AH130" i="1" s="1"/>
  <c r="AH131" i="1" a="1"/>
  <c r="AH131" i="1" s="1"/>
  <c r="AH132" i="1" a="1"/>
  <c r="AH132" i="1" s="1"/>
  <c r="AH133" i="1" a="1"/>
  <c r="AH133" i="1" s="1"/>
  <c r="AH134" i="1" a="1"/>
  <c r="AH134" i="1" s="1"/>
  <c r="AH135" i="1" a="1"/>
  <c r="AH135" i="1" s="1"/>
  <c r="AH136" i="1" a="1"/>
  <c r="AH136" i="1" s="1"/>
  <c r="AH137" i="1" a="1"/>
  <c r="AH137" i="1" s="1"/>
  <c r="AH138" i="1" a="1"/>
  <c r="AH138" i="1" s="1"/>
  <c r="AH139" i="1" a="1"/>
  <c r="AH139" i="1" s="1"/>
  <c r="AH140" i="1" a="1"/>
  <c r="AH140" i="1" s="1"/>
  <c r="AH141" i="1" a="1"/>
  <c r="AH141" i="1" s="1"/>
  <c r="AH142" i="1" a="1"/>
  <c r="AH142" i="1" s="1"/>
  <c r="AH143" i="1" a="1"/>
  <c r="AH143" i="1" s="1"/>
  <c r="AH144" i="1" a="1"/>
  <c r="AH144" i="1" s="1"/>
  <c r="AH145" i="1" a="1"/>
  <c r="AH145" i="1" s="1"/>
  <c r="AH146" i="1" a="1"/>
  <c r="AH146" i="1" s="1"/>
  <c r="AH147" i="1" a="1"/>
  <c r="AH147" i="1" s="1"/>
  <c r="AH148" i="1" a="1"/>
  <c r="AH148" i="1" s="1"/>
  <c r="AH149" i="1" a="1"/>
  <c r="AH149" i="1" s="1"/>
  <c r="AH150" i="1" a="1"/>
  <c r="AH150" i="1" s="1"/>
  <c r="AH151" i="1" a="1"/>
  <c r="AH151" i="1" s="1"/>
  <c r="AH152" i="1" a="1"/>
  <c r="AH152" i="1" s="1"/>
  <c r="AH153" i="1" a="1"/>
  <c r="AH153" i="1" s="1"/>
  <c r="AH154" i="1" a="1"/>
  <c r="AH154" i="1" s="1"/>
  <c r="AH155" i="1" a="1"/>
  <c r="AH155" i="1" s="1"/>
  <c r="AH156" i="1" a="1"/>
  <c r="AH156" i="1" s="1"/>
  <c r="AH157" i="1" a="1"/>
  <c r="AH157" i="1" s="1"/>
  <c r="AH158" i="1" a="1"/>
  <c r="AH158" i="1" s="1"/>
  <c r="AH159" i="1" a="1"/>
  <c r="AH159" i="1" s="1"/>
  <c r="AH160" i="1" a="1"/>
  <c r="AH160" i="1" s="1"/>
  <c r="AH161" i="1" a="1"/>
  <c r="AH161" i="1" s="1"/>
  <c r="AH162" i="1" a="1"/>
  <c r="AH162" i="1" s="1"/>
  <c r="AH163" i="1" a="1"/>
  <c r="AH163" i="1" s="1"/>
  <c r="AH164" i="1" a="1"/>
  <c r="AH164" i="1" s="1"/>
  <c r="AH165" i="1" a="1"/>
  <c r="AH165" i="1" s="1"/>
  <c r="AH166" i="1" a="1"/>
  <c r="AH166" i="1" s="1"/>
  <c r="AH167" i="1" a="1"/>
  <c r="AH167" i="1" s="1"/>
  <c r="AH168" i="1" a="1"/>
  <c r="AH168" i="1" s="1"/>
  <c r="AH169" i="1" a="1"/>
  <c r="AH169" i="1" s="1"/>
  <c r="AH170" i="1" a="1"/>
  <c r="AH170" i="1" s="1"/>
  <c r="AH171" i="1" a="1"/>
  <c r="AH171" i="1" s="1"/>
  <c r="AH172" i="1" a="1"/>
  <c r="AH172" i="1" s="1"/>
  <c r="AH173" i="1" a="1"/>
  <c r="AH173" i="1"/>
  <c r="AH174" i="1" a="1"/>
  <c r="AH174" i="1" s="1"/>
  <c r="AH175" i="1" a="1"/>
  <c r="AH175" i="1" s="1"/>
  <c r="AH176" i="1" a="1"/>
  <c r="AH176" i="1" s="1"/>
  <c r="AH177" i="1" a="1"/>
  <c r="AH177" i="1"/>
  <c r="AH178" i="1" a="1"/>
  <c r="AH178" i="1" s="1"/>
  <c r="AH179" i="1" a="1"/>
  <c r="AH179" i="1" s="1"/>
  <c r="AH180" i="1" a="1"/>
  <c r="AH180" i="1" s="1"/>
  <c r="AH181" i="1" a="1"/>
  <c r="AH181" i="1" s="1"/>
  <c r="AH182" i="1" a="1"/>
  <c r="AH182" i="1" s="1"/>
  <c r="AH183" i="1" a="1"/>
  <c r="AH183" i="1" s="1"/>
  <c r="AH184" i="1" a="1"/>
  <c r="AH184" i="1" s="1"/>
  <c r="AH185" i="1" a="1"/>
  <c r="AH185" i="1" s="1"/>
  <c r="AH186" i="1" a="1"/>
  <c r="AH186" i="1" s="1"/>
  <c r="AH187" i="1" a="1"/>
  <c r="AH187" i="1"/>
  <c r="AH188" i="1" a="1"/>
  <c r="AH188" i="1" s="1"/>
  <c r="AH189" i="1" a="1"/>
  <c r="AH189" i="1" s="1"/>
  <c r="AH190" i="1" a="1"/>
  <c r="AH190" i="1" s="1"/>
  <c r="AH191" i="1" a="1"/>
  <c r="AH191" i="1" s="1"/>
  <c r="AH192" i="1" a="1"/>
  <c r="AH192" i="1" s="1"/>
  <c r="AH193" i="1" a="1"/>
  <c r="AH193" i="1" s="1"/>
  <c r="AH194" i="1" a="1"/>
  <c r="AH194" i="1" s="1"/>
  <c r="AH195" i="1" a="1"/>
  <c r="AH195" i="1" s="1"/>
  <c r="AH196" i="1" a="1"/>
  <c r="AH196" i="1" s="1"/>
  <c r="AH197" i="1" a="1"/>
  <c r="AH197" i="1" s="1"/>
  <c r="AH198" i="1" a="1"/>
  <c r="AH198" i="1" s="1"/>
  <c r="AH199" i="1" a="1"/>
  <c r="AH199" i="1" s="1"/>
  <c r="AH200" i="1" a="1"/>
  <c r="AH200" i="1" s="1"/>
  <c r="AH201" i="1" a="1"/>
  <c r="AH201" i="1" s="1"/>
  <c r="AH202" i="1" a="1"/>
  <c r="AH202" i="1"/>
  <c r="AH203" i="1" a="1"/>
  <c r="AH203" i="1" s="1"/>
  <c r="AH204" i="1" a="1"/>
  <c r="AH204" i="1" s="1"/>
  <c r="AH205" i="1" a="1"/>
  <c r="AH205" i="1" s="1"/>
  <c r="AH206" i="1" a="1"/>
  <c r="AH206" i="1" s="1"/>
  <c r="AH207" i="1" a="1"/>
  <c r="AH207" i="1" s="1"/>
  <c r="AH208" i="1" a="1"/>
  <c r="AH208" i="1" s="1"/>
  <c r="AH209" i="1" a="1"/>
  <c r="AH209" i="1" s="1"/>
  <c r="AH210" i="1" a="1"/>
  <c r="AH210" i="1" s="1"/>
  <c r="AH211" i="1" a="1"/>
  <c r="AH211" i="1" s="1"/>
  <c r="AH212" i="1" a="1"/>
  <c r="AH212" i="1" s="1"/>
  <c r="AH213" i="1" a="1"/>
  <c r="AH213" i="1" s="1"/>
  <c r="AH214" i="1" a="1"/>
  <c r="AH214" i="1" s="1"/>
  <c r="AH215" i="1" a="1"/>
  <c r="AH215" i="1" s="1"/>
  <c r="AH216" i="1" a="1"/>
  <c r="AH216" i="1" s="1"/>
  <c r="AH217" i="1" a="1"/>
  <c r="AH217" i="1"/>
  <c r="AH218" i="1" a="1"/>
  <c r="AH218" i="1" s="1"/>
  <c r="AH219" i="1" a="1"/>
  <c r="AH219" i="1" s="1"/>
  <c r="AH220" i="1" a="1"/>
  <c r="AH220" i="1" s="1"/>
  <c r="AH221" i="1" a="1"/>
  <c r="AH221" i="1" s="1"/>
  <c r="AH222" i="1" a="1"/>
  <c r="AH222" i="1" s="1"/>
  <c r="AH223" i="1" a="1"/>
  <c r="AH223" i="1" s="1"/>
  <c r="AH224" i="1" a="1"/>
  <c r="AH224" i="1" s="1"/>
  <c r="AH225" i="1" a="1"/>
  <c r="AH225" i="1" s="1"/>
  <c r="AH226" i="1" a="1"/>
  <c r="AH226" i="1"/>
  <c r="AH227" i="1" a="1"/>
  <c r="AH227" i="1" s="1"/>
  <c r="AH228" i="1" a="1"/>
  <c r="AH228" i="1" s="1"/>
  <c r="AH229" i="1" a="1"/>
  <c r="AH229" i="1" s="1"/>
  <c r="AH230" i="1" a="1"/>
  <c r="AH230" i="1" s="1"/>
  <c r="AH231" i="1" a="1"/>
  <c r="AH231" i="1" s="1"/>
  <c r="AH232" i="1" a="1"/>
  <c r="AH232" i="1" s="1"/>
  <c r="AH233" i="1" a="1"/>
  <c r="AH233" i="1" s="1"/>
  <c r="AH234" i="1" a="1"/>
  <c r="AH234" i="1" s="1"/>
  <c r="AH235" i="1" a="1"/>
  <c r="AH235" i="1" s="1"/>
  <c r="AH236" i="1" a="1"/>
  <c r="AH236" i="1" s="1"/>
  <c r="AH237" i="1" a="1"/>
  <c r="AH237" i="1" s="1"/>
  <c r="AH238" i="1" a="1"/>
  <c r="AH238" i="1" s="1"/>
  <c r="AH239" i="1" a="1"/>
  <c r="AH239" i="1" s="1"/>
  <c r="AH240" i="1" a="1"/>
  <c r="AH240" i="1" s="1"/>
  <c r="AH241" i="1" a="1"/>
  <c r="AH241" i="1"/>
  <c r="AH242" i="1" a="1"/>
  <c r="AH242" i="1" s="1"/>
  <c r="AH243" i="1" a="1"/>
  <c r="AH243" i="1" s="1"/>
  <c r="AH244" i="1" a="1"/>
  <c r="AH244" i="1" s="1"/>
  <c r="AH245" i="1" a="1"/>
  <c r="AH245" i="1" s="1"/>
  <c r="AH246" i="1" a="1"/>
  <c r="AH246" i="1" s="1"/>
  <c r="AH247" i="1" a="1"/>
  <c r="AH247" i="1" s="1"/>
  <c r="AH248" i="1" a="1"/>
  <c r="AH248" i="1" s="1"/>
  <c r="AH249" i="1" a="1"/>
  <c r="AH249" i="1"/>
  <c r="AH250" i="1" a="1"/>
  <c r="AH250" i="1" s="1"/>
  <c r="AH251" i="1" a="1"/>
  <c r="AH251" i="1" s="1"/>
  <c r="AH252" i="1" a="1"/>
  <c r="AH252" i="1" s="1"/>
  <c r="AH253" i="1" a="1"/>
  <c r="AH253" i="1"/>
  <c r="AH254" i="1" a="1"/>
  <c r="AH254" i="1" s="1"/>
  <c r="AH255" i="1" a="1"/>
  <c r="AH255" i="1" s="1"/>
  <c r="AH256" i="1" a="1"/>
  <c r="AH256" i="1" s="1"/>
  <c r="AH257" i="1" a="1"/>
  <c r="AH257" i="1" s="1"/>
  <c r="AH258" i="1" a="1"/>
  <c r="AH258" i="1"/>
  <c r="AH259" i="1" a="1"/>
  <c r="AH259" i="1" s="1"/>
  <c r="AH260" i="1" a="1"/>
  <c r="AH260" i="1" s="1"/>
  <c r="AH261" i="1" a="1"/>
  <c r="AH261" i="1" s="1"/>
  <c r="AH262" i="1" a="1"/>
  <c r="AH262" i="1" s="1"/>
  <c r="AH263" i="1" a="1"/>
  <c r="AH263" i="1" s="1"/>
  <c r="AH264" i="1" a="1"/>
  <c r="AH264" i="1" s="1"/>
  <c r="AH265" i="1" a="1"/>
  <c r="AH265" i="1" s="1"/>
  <c r="AH266" i="1" a="1"/>
  <c r="AH266" i="1" s="1"/>
  <c r="AH267" i="1" a="1"/>
  <c r="AH267" i="1" s="1"/>
  <c r="AH268" i="1" a="1"/>
  <c r="AH268" i="1" s="1"/>
  <c r="AH269" i="1" a="1"/>
  <c r="AH269" i="1" s="1"/>
  <c r="AH270" i="1" a="1"/>
  <c r="AH270" i="1" s="1"/>
  <c r="AH271" i="1" a="1"/>
  <c r="AH271" i="1" s="1"/>
  <c r="AH272" i="1" a="1"/>
  <c r="AH272" i="1" s="1"/>
  <c r="AH273" i="1" a="1"/>
  <c r="AH273" i="1" s="1"/>
  <c r="AH274" i="1" a="1"/>
  <c r="AH274" i="1" s="1"/>
  <c r="AH275" i="1" a="1"/>
  <c r="AH275" i="1" s="1"/>
  <c r="AH276" i="1" a="1"/>
  <c r="AH276" i="1" s="1"/>
  <c r="AH277" i="1" a="1"/>
  <c r="AH277" i="1" s="1"/>
  <c r="AH278" i="1" a="1"/>
  <c r="AH278" i="1" s="1"/>
  <c r="AH279" i="1" a="1"/>
  <c r="AH279" i="1" s="1"/>
  <c r="AH280" i="1" a="1"/>
  <c r="AH280" i="1" s="1"/>
  <c r="AH281" i="1" a="1"/>
  <c r="AH281" i="1" s="1"/>
  <c r="AH282" i="1" a="1"/>
  <c r="AH282" i="1" s="1"/>
  <c r="AH283" i="1" a="1"/>
  <c r="AH283" i="1" s="1"/>
  <c r="AH284" i="1" a="1"/>
  <c r="AH284" i="1" s="1"/>
  <c r="AH285" i="1" a="1"/>
  <c r="AH285" i="1" s="1"/>
  <c r="AH286" i="1" a="1"/>
  <c r="AH286" i="1" s="1"/>
  <c r="AH287" i="1" a="1"/>
  <c r="AH287" i="1" s="1"/>
  <c r="AH288" i="1" a="1"/>
  <c r="AH288" i="1" s="1"/>
  <c r="AH289" i="1" a="1"/>
  <c r="AH289" i="1" s="1"/>
  <c r="AH290" i="1" a="1"/>
  <c r="AH290" i="1" s="1"/>
  <c r="AH291" i="1" a="1"/>
  <c r="AH291" i="1" s="1"/>
  <c r="AH292" i="1" a="1"/>
  <c r="AH292" i="1" s="1"/>
  <c r="AH293" i="1" a="1"/>
  <c r="AH293" i="1" s="1"/>
  <c r="AH294" i="1" a="1"/>
  <c r="AH294" i="1" s="1"/>
  <c r="AH295" i="1" a="1"/>
  <c r="AH295" i="1" s="1"/>
  <c r="AH296" i="1" a="1"/>
  <c r="AH296" i="1" s="1"/>
  <c r="AH297" i="1" a="1"/>
  <c r="AH297" i="1" s="1"/>
  <c r="AH298" i="1" a="1"/>
  <c r="AH298" i="1" s="1"/>
  <c r="AH299" i="1" a="1"/>
  <c r="AH299" i="1" s="1"/>
  <c r="AH300" i="1" a="1"/>
  <c r="AH300" i="1" s="1"/>
  <c r="AH301" i="1" a="1"/>
  <c r="AH301" i="1" s="1"/>
  <c r="AH302" i="1" a="1"/>
  <c r="AH302" i="1" s="1"/>
  <c r="AH303" i="1" a="1"/>
  <c r="AH303" i="1" s="1"/>
  <c r="AH304" i="1" a="1"/>
  <c r="AH304" i="1" s="1"/>
  <c r="AH305" i="1" a="1"/>
  <c r="AH305" i="1" s="1"/>
  <c r="AH306" i="1" a="1"/>
  <c r="AH306" i="1" s="1"/>
  <c r="AH307" i="1" a="1"/>
  <c r="AH307" i="1" s="1"/>
  <c r="AH308" i="1" a="1"/>
  <c r="AH308" i="1" s="1"/>
  <c r="AH309" i="1" a="1"/>
  <c r="AH309" i="1" s="1"/>
  <c r="AH310" i="1" a="1"/>
  <c r="AH310" i="1" s="1"/>
  <c r="AH311" i="1" a="1"/>
  <c r="AH311" i="1" s="1"/>
  <c r="AH312" i="1" a="1"/>
  <c r="AH312" i="1" s="1"/>
  <c r="AH313" i="1" a="1"/>
  <c r="AH313" i="1" s="1"/>
  <c r="AH314" i="1" a="1"/>
  <c r="AH314" i="1" s="1"/>
  <c r="AH315" i="1" a="1"/>
  <c r="AH315" i="1" s="1"/>
  <c r="AH316" i="1" a="1"/>
  <c r="AH316" i="1" s="1"/>
  <c r="AH317" i="1" a="1"/>
  <c r="AH317" i="1" s="1"/>
  <c r="AH318" i="1" a="1"/>
  <c r="AH318" i="1" s="1"/>
  <c r="AH319" i="1" a="1"/>
  <c r="AH319" i="1" s="1"/>
  <c r="AH320" i="1" a="1"/>
  <c r="AH320" i="1" s="1"/>
  <c r="AH321" i="1" a="1"/>
  <c r="AH321" i="1" s="1"/>
  <c r="AH322" i="1" a="1"/>
  <c r="AH322" i="1" s="1"/>
  <c r="AH323" i="1" a="1"/>
  <c r="AH323" i="1" s="1"/>
  <c r="AH324" i="1" a="1"/>
  <c r="AH324" i="1" s="1"/>
  <c r="AH325" i="1" a="1"/>
  <c r="AH325" i="1" s="1"/>
  <c r="AH326" i="1" a="1"/>
  <c r="AH326" i="1" s="1"/>
  <c r="AH327" i="1" a="1"/>
  <c r="AH327" i="1" s="1"/>
  <c r="AH328" i="1" a="1"/>
  <c r="AH328" i="1" s="1"/>
  <c r="AH329" i="1" a="1"/>
  <c r="AH329" i="1" s="1"/>
  <c r="AH330" i="1" a="1"/>
  <c r="AH330" i="1" s="1"/>
  <c r="AH331" i="1" a="1"/>
  <c r="AH331" i="1" s="1"/>
  <c r="AH332" i="1" a="1"/>
  <c r="AH332" i="1" s="1"/>
  <c r="AH333" i="1" a="1"/>
  <c r="AH333" i="1" s="1"/>
  <c r="AH334" i="1" a="1"/>
  <c r="AH334" i="1" s="1"/>
  <c r="AH335" i="1" a="1"/>
  <c r="AH335" i="1" s="1"/>
  <c r="AH336" i="1" a="1"/>
  <c r="AH336" i="1" s="1"/>
  <c r="AH337" i="1" a="1"/>
  <c r="AH337" i="1"/>
  <c r="AH338" i="1" a="1"/>
  <c r="AH338" i="1"/>
  <c r="AH339" i="1" a="1"/>
  <c r="AH339" i="1" s="1"/>
  <c r="AH340" i="1" a="1"/>
  <c r="AH340" i="1" s="1"/>
  <c r="AH341" i="1" a="1"/>
  <c r="AH341" i="1" s="1"/>
  <c r="AH342" i="1" a="1"/>
  <c r="AH342" i="1" s="1"/>
  <c r="AH343" i="1" a="1"/>
  <c r="AH343" i="1" s="1"/>
  <c r="AH344" i="1" a="1"/>
  <c r="AH344" i="1" s="1"/>
  <c r="AH345" i="1" a="1"/>
  <c r="AH345" i="1" s="1"/>
  <c r="AH346" i="1" a="1"/>
  <c r="AH346" i="1" s="1"/>
  <c r="AH347" i="1" a="1"/>
  <c r="AH347" i="1" s="1"/>
  <c r="AH348" i="1" a="1"/>
  <c r="AH348" i="1" s="1"/>
  <c r="AH349" i="1" a="1"/>
  <c r="AH349" i="1" s="1"/>
  <c r="AH350" i="1" a="1"/>
  <c r="AH350" i="1" s="1"/>
  <c r="AH351" i="1" a="1"/>
  <c r="AH351" i="1" s="1"/>
  <c r="AH352" i="1" a="1"/>
  <c r="AH352" i="1" s="1"/>
  <c r="AH353" i="1" a="1"/>
  <c r="AH353" i="1" s="1"/>
  <c r="AH354" i="1" a="1"/>
  <c r="AH354" i="1" s="1"/>
  <c r="AH355" i="1" a="1"/>
  <c r="AH355" i="1" s="1"/>
  <c r="AH356" i="1" a="1"/>
  <c r="AH356" i="1" s="1"/>
  <c r="AH357" i="1" a="1"/>
  <c r="AH357" i="1" s="1"/>
  <c r="AH358" i="1" a="1"/>
  <c r="AH358" i="1" s="1"/>
  <c r="AH359" i="1" a="1"/>
  <c r="AH359" i="1" s="1"/>
  <c r="AH360" i="1" a="1"/>
  <c r="AH360" i="1" s="1"/>
  <c r="AH361" i="1" a="1"/>
  <c r="AH361" i="1" s="1"/>
  <c r="AH362" i="1" a="1"/>
  <c r="AH362" i="1" s="1"/>
  <c r="AH363" i="1" a="1"/>
  <c r="AH363" i="1" s="1"/>
  <c r="AH364" i="1" a="1"/>
  <c r="AH364" i="1" s="1"/>
  <c r="AH365" i="1" a="1"/>
  <c r="AH365" i="1" s="1"/>
  <c r="AH366" i="1" a="1"/>
  <c r="AH366" i="1" s="1"/>
  <c r="AH367" i="1" a="1"/>
  <c r="AH367" i="1" s="1"/>
  <c r="AH368" i="1" a="1"/>
  <c r="AH368" i="1" s="1"/>
  <c r="AH369" i="1" a="1"/>
  <c r="AH369" i="1" s="1"/>
  <c r="AH370" i="1" a="1"/>
  <c r="AH370" i="1" s="1"/>
  <c r="AH371" i="1" a="1"/>
  <c r="AH371" i="1" s="1"/>
  <c r="AH372" i="1" a="1"/>
  <c r="AH372" i="1" s="1"/>
  <c r="AH373" i="1" a="1"/>
  <c r="AH373" i="1" s="1"/>
  <c r="AH374" i="1" a="1"/>
  <c r="AH374" i="1" s="1"/>
  <c r="AH375" i="1" a="1"/>
  <c r="AH375" i="1" s="1"/>
  <c r="AH376" i="1" a="1"/>
  <c r="AH376" i="1" s="1"/>
  <c r="AH377" i="1" a="1"/>
  <c r="AH377" i="1" s="1"/>
  <c r="AH378" i="1" a="1"/>
  <c r="AH378" i="1" s="1"/>
  <c r="AH379" i="1" a="1"/>
  <c r="AH379" i="1" s="1"/>
  <c r="AH380" i="1" a="1"/>
  <c r="AH380" i="1" s="1"/>
  <c r="AH381" i="1" a="1"/>
  <c r="AH381" i="1" s="1"/>
  <c r="AH382" i="1" a="1"/>
  <c r="AH382" i="1" s="1"/>
  <c r="AH383" i="1" a="1"/>
  <c r="AH383" i="1" s="1"/>
  <c r="AH384" i="1" a="1"/>
  <c r="AH384" i="1" s="1"/>
  <c r="AH385" i="1" a="1"/>
  <c r="AH385" i="1" s="1"/>
  <c r="AH386" i="1" a="1"/>
  <c r="AH386" i="1" s="1"/>
  <c r="AH387" i="1" a="1"/>
  <c r="AH387" i="1" s="1"/>
  <c r="AH388" i="1" a="1"/>
  <c r="AH388" i="1" s="1"/>
  <c r="AH389" i="1" a="1"/>
  <c r="AH389" i="1"/>
  <c r="AH390" i="1" a="1"/>
  <c r="AH390" i="1" s="1"/>
  <c r="AH391" i="1" a="1"/>
  <c r="AH391" i="1" s="1"/>
  <c r="AH392" i="1" a="1"/>
  <c r="AH392" i="1" s="1"/>
  <c r="AH393" i="1" a="1"/>
  <c r="AH393" i="1" s="1"/>
  <c r="AH394" i="1" a="1"/>
  <c r="AH394" i="1" s="1"/>
  <c r="AH395" i="1" a="1"/>
  <c r="AH395" i="1" s="1"/>
  <c r="AH396" i="1" a="1"/>
  <c r="AH396" i="1" s="1"/>
  <c r="AH397" i="1" a="1"/>
  <c r="AH397" i="1" s="1"/>
  <c r="AH398" i="1" a="1"/>
  <c r="AH398" i="1" s="1"/>
  <c r="AH399" i="1" a="1"/>
  <c r="AH399" i="1" s="1"/>
  <c r="AH400" i="1" a="1"/>
  <c r="AH400" i="1" s="1"/>
  <c r="AH401" i="1" a="1"/>
  <c r="AH401" i="1" s="1"/>
  <c r="AH402" i="1" a="1"/>
  <c r="AH402" i="1" s="1"/>
  <c r="AH403" i="1" a="1"/>
  <c r="AH403" i="1" s="1"/>
  <c r="AH404" i="1" a="1"/>
  <c r="AH404" i="1" s="1"/>
  <c r="AH405" i="1" a="1"/>
  <c r="AH405" i="1" s="1"/>
  <c r="AH406" i="1" a="1"/>
  <c r="AH406" i="1" s="1"/>
  <c r="AH407" i="1" a="1"/>
  <c r="AH407" i="1" s="1"/>
  <c r="AH408" i="1" a="1"/>
  <c r="AH408" i="1" s="1"/>
  <c r="AH409" i="1" a="1"/>
  <c r="AH409" i="1" s="1"/>
  <c r="AH410" i="1" a="1"/>
  <c r="AH410" i="1" s="1"/>
  <c r="AH411" i="1" a="1"/>
  <c r="AH411" i="1" s="1"/>
  <c r="AH412" i="1" a="1"/>
  <c r="AH412" i="1" s="1"/>
  <c r="AH413" i="1" a="1"/>
  <c r="AH413" i="1" s="1"/>
  <c r="AH414" i="1" a="1"/>
  <c r="AH414" i="1" s="1"/>
  <c r="AH415" i="1" a="1"/>
  <c r="AH415" i="1" s="1"/>
  <c r="AH416" i="1" a="1"/>
  <c r="AH416" i="1" s="1"/>
  <c r="AH417" i="1" a="1"/>
  <c r="AH417" i="1" s="1"/>
  <c r="AH418" i="1" a="1"/>
  <c r="AH418" i="1"/>
  <c r="AH419" i="1" a="1"/>
  <c r="AH419" i="1" s="1"/>
  <c r="AH420" i="1" a="1"/>
  <c r="AH420" i="1" s="1"/>
  <c r="AH421" i="1" a="1"/>
  <c r="AH421" i="1" s="1"/>
  <c r="AH422" i="1" a="1"/>
  <c r="AH422" i="1" s="1"/>
  <c r="AH423" i="1" a="1"/>
  <c r="AH423" i="1" s="1"/>
  <c r="AH424" i="1" a="1"/>
  <c r="AH424" i="1" s="1"/>
  <c r="AH425" i="1" a="1"/>
  <c r="AH425" i="1" s="1"/>
  <c r="AH426" i="1" a="1"/>
  <c r="AH426" i="1" s="1"/>
  <c r="AH427" i="1" a="1"/>
  <c r="AH427" i="1" s="1"/>
  <c r="AH428" i="1" a="1"/>
  <c r="AH428" i="1" s="1"/>
  <c r="AH429" i="1" a="1"/>
  <c r="AH429" i="1" s="1"/>
  <c r="AH430" i="1" a="1"/>
  <c r="AH430" i="1" s="1"/>
  <c r="AH431" i="1" a="1"/>
  <c r="AH431" i="1" s="1"/>
  <c r="AH432" i="1" a="1"/>
  <c r="AH432" i="1" s="1"/>
  <c r="AH433" i="1" a="1"/>
  <c r="AH433" i="1" s="1"/>
  <c r="AH434" i="1" a="1"/>
  <c r="AH434" i="1" s="1"/>
  <c r="AH435" i="1" a="1"/>
  <c r="AH435" i="1"/>
  <c r="AH436" i="1" a="1"/>
  <c r="AH436" i="1" s="1"/>
  <c r="AH437" i="1" a="1"/>
  <c r="AH437" i="1" s="1"/>
  <c r="AH438" i="1" a="1"/>
  <c r="AH438" i="1" s="1"/>
  <c r="AH439" i="1" a="1"/>
  <c r="AH439" i="1" s="1"/>
  <c r="AH440" i="1" a="1"/>
  <c r="AH440" i="1" s="1"/>
  <c r="AH441" i="1" a="1"/>
  <c r="AH441" i="1" s="1"/>
  <c r="AH442" i="1" a="1"/>
  <c r="AH442" i="1" s="1"/>
  <c r="AH443" i="1" a="1"/>
  <c r="AH443" i="1" s="1"/>
  <c r="AH444" i="1" a="1"/>
  <c r="AH444" i="1" s="1"/>
  <c r="AH445" i="1" a="1"/>
  <c r="AH445" i="1" s="1"/>
  <c r="AH446" i="1" a="1"/>
  <c r="AH446" i="1" s="1"/>
  <c r="AH447" i="1" a="1"/>
  <c r="AH447" i="1" s="1"/>
  <c r="AH448" i="1" a="1"/>
  <c r="AH448" i="1" s="1"/>
  <c r="AH449" i="1" a="1"/>
  <c r="AH449" i="1" s="1"/>
  <c r="AH450" i="1" a="1"/>
  <c r="AH450" i="1"/>
  <c r="AH451" i="1" a="1"/>
  <c r="AH451" i="1" s="1"/>
  <c r="AH452" i="1" a="1"/>
  <c r="AH452" i="1" s="1"/>
  <c r="AH453" i="1" a="1"/>
  <c r="AH453" i="1" s="1"/>
  <c r="AH454" i="1" a="1"/>
  <c r="AH454" i="1" s="1"/>
  <c r="AH455" i="1" a="1"/>
  <c r="AH455" i="1" s="1"/>
  <c r="AH456" i="1" a="1"/>
  <c r="AH456" i="1" s="1"/>
  <c r="AH457" i="1" a="1"/>
  <c r="AH457" i="1" s="1"/>
  <c r="AH458" i="1" a="1"/>
  <c r="AH458" i="1" s="1"/>
  <c r="AH459" i="1" a="1"/>
  <c r="AH459" i="1" s="1"/>
  <c r="AH460" i="1" a="1"/>
  <c r="AH460" i="1" s="1"/>
  <c r="AH461" i="1" a="1"/>
  <c r="AH461" i="1" s="1"/>
  <c r="AH462" i="1" a="1"/>
  <c r="AH462" i="1" s="1"/>
  <c r="AH463" i="1" a="1"/>
  <c r="AH463" i="1" s="1"/>
  <c r="AH464" i="1" a="1"/>
  <c r="AH464" i="1" s="1"/>
  <c r="AH465" i="1" a="1"/>
  <c r="AH465" i="1" s="1"/>
  <c r="AH466" i="1" a="1"/>
  <c r="AH466" i="1" s="1"/>
  <c r="AH467" i="1" a="1"/>
  <c r="AH467" i="1" s="1"/>
  <c r="AH468" i="1" a="1"/>
  <c r="AH468" i="1" s="1"/>
  <c r="AH469" i="1" a="1"/>
  <c r="AH469" i="1" s="1"/>
  <c r="AH470" i="1" a="1"/>
  <c r="AH470" i="1" s="1"/>
  <c r="AH471" i="1" a="1"/>
  <c r="AH471" i="1" s="1"/>
  <c r="AH472" i="1" a="1"/>
  <c r="AH472" i="1" s="1"/>
  <c r="AH473" i="1" a="1"/>
  <c r="AH473" i="1" s="1"/>
  <c r="AH474" i="1" a="1"/>
  <c r="AH474" i="1" s="1"/>
  <c r="AH475" i="1" a="1"/>
  <c r="AH475" i="1" s="1"/>
  <c r="AH476" i="1" a="1"/>
  <c r="AH476" i="1" s="1"/>
  <c r="AH477" i="1" a="1"/>
  <c r="AH477" i="1" s="1"/>
  <c r="AH478" i="1" a="1"/>
  <c r="AH478" i="1" s="1"/>
  <c r="AH479" i="1" a="1"/>
  <c r="AH479" i="1" s="1"/>
  <c r="AH480" i="1" a="1"/>
  <c r="AH480" i="1" s="1"/>
  <c r="AH481" i="1" a="1"/>
  <c r="AH481" i="1" s="1"/>
  <c r="AH482" i="1" a="1"/>
  <c r="AH482" i="1" s="1"/>
  <c r="AH483" i="1" a="1"/>
  <c r="AH483" i="1" s="1"/>
  <c r="AH484" i="1" a="1"/>
  <c r="AH484" i="1" s="1"/>
  <c r="AH485" i="1" a="1"/>
  <c r="AH485" i="1" s="1"/>
  <c r="AH486" i="1" a="1"/>
  <c r="AH486" i="1" s="1"/>
  <c r="AH487" i="1" a="1"/>
  <c r="AH487" i="1" s="1"/>
  <c r="AH488" i="1" a="1"/>
  <c r="AH488" i="1" s="1"/>
  <c r="AH489" i="1" a="1"/>
  <c r="AH489" i="1" s="1"/>
  <c r="AH490" i="1" a="1"/>
  <c r="AH490" i="1" s="1"/>
  <c r="AH491" i="1" a="1"/>
  <c r="AH491" i="1" s="1"/>
  <c r="AH492" i="1" a="1"/>
  <c r="AH492" i="1" s="1"/>
  <c r="AH493" i="1" a="1"/>
  <c r="AH493" i="1" s="1"/>
  <c r="AH494" i="1" a="1"/>
  <c r="AH494" i="1" s="1"/>
  <c r="AH495" i="1" a="1"/>
  <c r="AH495" i="1" s="1"/>
  <c r="AH496" i="1" a="1"/>
  <c r="AH496" i="1" s="1"/>
  <c r="AH497" i="1" a="1"/>
  <c r="AH497" i="1" s="1"/>
  <c r="AH498" i="1" a="1"/>
  <c r="AH498" i="1" s="1"/>
  <c r="AH499" i="1" a="1"/>
  <c r="AH499" i="1" s="1"/>
  <c r="AH500" i="1" a="1"/>
  <c r="AH500" i="1" s="1"/>
  <c r="AH501" i="1" a="1"/>
  <c r="AH501" i="1" s="1"/>
  <c r="AH502" i="1" a="1"/>
  <c r="AH502" i="1" s="1"/>
  <c r="AH503" i="1" a="1"/>
  <c r="AH503" i="1" s="1"/>
  <c r="AH504" i="1" a="1"/>
  <c r="AH504" i="1" s="1"/>
  <c r="AH505" i="1" a="1"/>
  <c r="AH505" i="1" s="1"/>
  <c r="AH506" i="1" a="1"/>
  <c r="AH506" i="1" s="1"/>
  <c r="AH507" i="1" a="1"/>
  <c r="AH507" i="1" s="1"/>
  <c r="AH508" i="1" a="1"/>
  <c r="AH508" i="1" s="1"/>
  <c r="AH509" i="1" a="1"/>
  <c r="AH509" i="1" s="1"/>
  <c r="AH510" i="1" a="1"/>
  <c r="AH510" i="1" s="1"/>
  <c r="AH511" i="1" a="1"/>
  <c r="AH511" i="1" s="1"/>
  <c r="AH512" i="1" a="1"/>
  <c r="AH512" i="1" s="1"/>
  <c r="AH513" i="1" a="1"/>
  <c r="AH513" i="1" s="1"/>
  <c r="AH514" i="1" a="1"/>
  <c r="AH514" i="1" s="1"/>
  <c r="AH515" i="1" a="1"/>
  <c r="AH515" i="1" s="1"/>
  <c r="AH516" i="1" a="1"/>
  <c r="AH516" i="1" s="1"/>
  <c r="AH517" i="1" a="1"/>
  <c r="AH517" i="1" s="1"/>
  <c r="AH518" i="1" a="1"/>
  <c r="AH518" i="1" s="1"/>
  <c r="AH519" i="1" a="1"/>
  <c r="AH519" i="1" s="1"/>
  <c r="AH520" i="1" a="1"/>
  <c r="AH520" i="1" s="1"/>
  <c r="AH521" i="1" a="1"/>
  <c r="AH521" i="1" s="1"/>
  <c r="AH522" i="1" a="1"/>
  <c r="AH522" i="1" s="1"/>
  <c r="AH523" i="1" a="1"/>
  <c r="AH523" i="1" s="1"/>
  <c r="AH524" i="1" a="1"/>
  <c r="AH524" i="1" s="1"/>
  <c r="AH525" i="1" a="1"/>
  <c r="AH525" i="1" s="1"/>
  <c r="AH526" i="1" a="1"/>
  <c r="AH526" i="1" s="1"/>
  <c r="AH527" i="1" a="1"/>
  <c r="AH527" i="1" s="1"/>
  <c r="AH528" i="1" a="1"/>
  <c r="AH528" i="1" s="1"/>
  <c r="AH529" i="1" a="1"/>
  <c r="AH529" i="1" s="1"/>
  <c r="AH530" i="1" a="1"/>
  <c r="AH530" i="1" s="1"/>
  <c r="AH531" i="1" a="1"/>
  <c r="AH531" i="1" s="1"/>
  <c r="AH532" i="1" a="1"/>
  <c r="AH532" i="1" s="1"/>
  <c r="AH533" i="1" a="1"/>
  <c r="AH533" i="1"/>
  <c r="AH534" i="1" a="1"/>
  <c r="AH534" i="1" s="1"/>
  <c r="AH535" i="1" a="1"/>
  <c r="AH535" i="1" s="1"/>
  <c r="AH536" i="1" a="1"/>
  <c r="AH536" i="1" s="1"/>
  <c r="AH537" i="1" a="1"/>
  <c r="AH537" i="1" s="1"/>
  <c r="AH538" i="1" a="1"/>
  <c r="AH538" i="1" s="1"/>
  <c r="AH539" i="1" a="1"/>
  <c r="AH539" i="1" s="1"/>
  <c r="AH540" i="1" a="1"/>
  <c r="AH540" i="1" s="1"/>
  <c r="AH541" i="1" a="1"/>
  <c r="AH541" i="1" s="1"/>
  <c r="AH542" i="1" a="1"/>
  <c r="AH542" i="1" s="1"/>
  <c r="AH543" i="1" a="1"/>
  <c r="AH543" i="1" s="1"/>
  <c r="AH544" i="1" a="1"/>
  <c r="AH544" i="1" s="1"/>
  <c r="AH545" i="1" a="1"/>
  <c r="AH545" i="1" s="1"/>
  <c r="AH546" i="1" a="1"/>
  <c r="AH546" i="1" s="1"/>
  <c r="AH547" i="1" a="1"/>
  <c r="AH547" i="1" s="1"/>
  <c r="AH548" i="1" a="1"/>
  <c r="AH548" i="1" s="1"/>
  <c r="AH549" i="1" a="1"/>
  <c r="AH549" i="1" s="1"/>
  <c r="AH550" i="1" a="1"/>
  <c r="AH550" i="1" s="1"/>
  <c r="AH551" i="1" a="1"/>
  <c r="AH551" i="1" s="1"/>
  <c r="AH552" i="1" a="1"/>
  <c r="AH552" i="1" s="1"/>
  <c r="AH553" i="1" a="1"/>
  <c r="AH553" i="1" s="1"/>
  <c r="AH554" i="1" a="1"/>
  <c r="AH554" i="1" s="1"/>
  <c r="AH555" i="1" a="1"/>
  <c r="AH555" i="1" s="1"/>
  <c r="AH556" i="1" a="1"/>
  <c r="AH556" i="1" s="1"/>
  <c r="AH557" i="1" a="1"/>
  <c r="AH557" i="1" s="1"/>
  <c r="AH558" i="1" a="1"/>
  <c r="AH558" i="1" s="1"/>
  <c r="AH559" i="1" a="1"/>
  <c r="AH559" i="1" s="1"/>
  <c r="AH560" i="1" a="1"/>
  <c r="AH560" i="1" s="1"/>
  <c r="AH561" i="1" a="1"/>
  <c r="AH561" i="1" s="1"/>
  <c r="AH562" i="1" a="1"/>
  <c r="AH562" i="1" s="1"/>
  <c r="AH563" i="1" a="1"/>
  <c r="AH563" i="1" s="1"/>
  <c r="AH564" i="1" a="1"/>
  <c r="AH564" i="1" s="1"/>
  <c r="AH565" i="1" a="1"/>
  <c r="AH565" i="1"/>
  <c r="AH566" i="1" a="1"/>
  <c r="AH566" i="1" s="1"/>
  <c r="AH567" i="1" a="1"/>
  <c r="AH567" i="1" s="1"/>
  <c r="AH568" i="1" a="1"/>
  <c r="AH568" i="1" s="1"/>
  <c r="AH569" i="1" a="1"/>
  <c r="AH569" i="1" s="1"/>
  <c r="AH570" i="1" a="1"/>
  <c r="AH570" i="1" s="1"/>
  <c r="AH571" i="1" a="1"/>
  <c r="AH571" i="1"/>
  <c r="AH572" i="1" a="1"/>
  <c r="AH572" i="1" s="1"/>
  <c r="AH573" i="1" a="1"/>
  <c r="AH573" i="1" s="1"/>
  <c r="AH574" i="1" a="1"/>
  <c r="AH574" i="1" s="1"/>
  <c r="AH575" i="1" a="1"/>
  <c r="AH575" i="1" s="1"/>
  <c r="AH576" i="1" a="1"/>
  <c r="AH576" i="1" s="1"/>
  <c r="AH577" i="1" a="1"/>
  <c r="AH577" i="1" s="1"/>
  <c r="AH578" i="1" a="1"/>
  <c r="AH578" i="1" s="1"/>
  <c r="AH579" i="1" a="1"/>
  <c r="AH579" i="1" s="1"/>
  <c r="AH580" i="1" a="1"/>
  <c r="AH580" i="1" s="1"/>
  <c r="AH581" i="1" a="1"/>
  <c r="AH581" i="1" s="1"/>
  <c r="AH582" i="1" a="1"/>
  <c r="AH582" i="1" s="1"/>
  <c r="AH583" i="1" a="1"/>
  <c r="AH583" i="1" s="1"/>
  <c r="AH584" i="1" a="1"/>
  <c r="AH584" i="1" s="1"/>
  <c r="AH585" i="1" a="1"/>
  <c r="AH585" i="1" s="1"/>
  <c r="AH586" i="1" a="1"/>
  <c r="AH586" i="1" s="1"/>
  <c r="AH587" i="1" a="1"/>
  <c r="AH587" i="1" s="1"/>
  <c r="AH588" i="1" a="1"/>
  <c r="AH588" i="1" s="1"/>
  <c r="AH589" i="1" a="1"/>
  <c r="AH589" i="1" s="1"/>
  <c r="AH590" i="1" a="1"/>
  <c r="AH590" i="1" s="1"/>
  <c r="AH591" i="1" a="1"/>
  <c r="AH591" i="1" s="1"/>
  <c r="AH592" i="1" a="1"/>
  <c r="AH592" i="1" s="1"/>
  <c r="AH593" i="1" a="1"/>
  <c r="AH593" i="1"/>
  <c r="AH594" i="1" a="1"/>
  <c r="AH594" i="1" s="1"/>
  <c r="AH595" i="1" a="1"/>
  <c r="AH595" i="1" s="1"/>
  <c r="AH596" i="1" a="1"/>
  <c r="AH596" i="1" s="1"/>
  <c r="AH597" i="1" a="1"/>
  <c r="AH597" i="1" s="1"/>
  <c r="AH598" i="1" a="1"/>
  <c r="AH598" i="1" s="1"/>
  <c r="AH599" i="1" a="1"/>
  <c r="AH599" i="1" s="1"/>
  <c r="AH600" i="1" a="1"/>
  <c r="AH600" i="1" s="1"/>
  <c r="AH601" i="1" a="1"/>
  <c r="AH601" i="1" s="1"/>
  <c r="AH602" i="1" a="1"/>
  <c r="AH602" i="1" s="1"/>
  <c r="AH603" i="1" a="1"/>
  <c r="AH603" i="1" s="1"/>
  <c r="AH604" i="1" a="1"/>
  <c r="AH604" i="1" s="1"/>
  <c r="AH605" i="1" a="1"/>
  <c r="AH605" i="1" s="1"/>
  <c r="AH606" i="1" a="1"/>
  <c r="AH606" i="1" s="1"/>
  <c r="AH607" i="1" a="1"/>
  <c r="AH607" i="1" s="1"/>
  <c r="AH608" i="1" a="1"/>
  <c r="AH608" i="1" s="1"/>
  <c r="AH609" i="1" a="1"/>
  <c r="AH609" i="1" s="1"/>
  <c r="AH610" i="1" a="1"/>
  <c r="AH610" i="1" s="1"/>
  <c r="AH611" i="1" a="1"/>
  <c r="AH611" i="1" s="1"/>
  <c r="AH612" i="1" a="1"/>
  <c r="AH612" i="1" s="1"/>
  <c r="AH613" i="1" a="1"/>
  <c r="AH613" i="1" s="1"/>
  <c r="AH614" i="1" a="1"/>
  <c r="AH614" i="1" s="1"/>
  <c r="AH615" i="1" a="1"/>
  <c r="AH615" i="1" s="1"/>
  <c r="AH616" i="1" a="1"/>
  <c r="AH616" i="1" s="1"/>
  <c r="AH617" i="1" a="1"/>
  <c r="AH617" i="1" s="1"/>
  <c r="AH618" i="1" a="1"/>
  <c r="AH618" i="1" s="1"/>
  <c r="AH619" i="1" a="1"/>
  <c r="AH619" i="1" s="1"/>
  <c r="AH620" i="1" a="1"/>
  <c r="AH620" i="1" s="1"/>
  <c r="AH621" i="1" a="1"/>
  <c r="AH621" i="1" s="1"/>
  <c r="AH622" i="1" a="1"/>
  <c r="AH622" i="1" s="1"/>
  <c r="AH623" i="1" a="1"/>
  <c r="AH623" i="1" s="1"/>
  <c r="AH624" i="1" a="1"/>
  <c r="AH624" i="1" s="1"/>
  <c r="AH625" i="1" a="1"/>
  <c r="AH625" i="1" s="1"/>
  <c r="AH626" i="1" a="1"/>
  <c r="AH626" i="1" s="1"/>
  <c r="AH627" i="1" a="1"/>
  <c r="AH627" i="1"/>
  <c r="AH628" i="1" a="1"/>
  <c r="AH628" i="1" s="1"/>
  <c r="AH629" i="1" a="1"/>
  <c r="AH629" i="1" s="1"/>
  <c r="AH630" i="1" a="1"/>
  <c r="AH630" i="1" s="1"/>
  <c r="AH631" i="1" a="1"/>
  <c r="AH631" i="1" s="1"/>
  <c r="AH632" i="1" a="1"/>
  <c r="AH632" i="1" s="1"/>
  <c r="AH633" i="1" a="1"/>
  <c r="AH633" i="1" s="1"/>
  <c r="AH634" i="1" a="1"/>
  <c r="AH634" i="1" s="1"/>
  <c r="AH635" i="1" a="1"/>
  <c r="AH635" i="1" s="1"/>
  <c r="AH636" i="1" a="1"/>
  <c r="AH636" i="1" s="1"/>
  <c r="AH637" i="1" a="1"/>
  <c r="AH637" i="1" s="1"/>
  <c r="AH638" i="1" a="1"/>
  <c r="AH638" i="1" s="1"/>
  <c r="AH639" i="1" a="1"/>
  <c r="AH639" i="1" s="1"/>
  <c r="AH640" i="1" a="1"/>
  <c r="AH640" i="1" s="1"/>
  <c r="AH641" i="1" a="1"/>
  <c r="AH641" i="1" s="1"/>
  <c r="AH642" i="1" a="1"/>
  <c r="AH642" i="1" s="1"/>
  <c r="AH643" i="1" a="1"/>
  <c r="AH643" i="1" s="1"/>
  <c r="AH644" i="1" a="1"/>
  <c r="AH644" i="1" s="1"/>
  <c r="AH645" i="1" a="1"/>
  <c r="AH645" i="1" s="1"/>
  <c r="AH646" i="1" a="1"/>
  <c r="AH646" i="1" s="1"/>
  <c r="AH647" i="1" a="1"/>
  <c r="AH647" i="1" s="1"/>
  <c r="AH648" i="1" a="1"/>
  <c r="AH648" i="1" s="1"/>
  <c r="AH649" i="1" a="1"/>
  <c r="AH649" i="1" s="1"/>
  <c r="AH650" i="1" a="1"/>
  <c r="AH650" i="1" s="1"/>
  <c r="AH651" i="1" a="1"/>
  <c r="AH651" i="1" s="1"/>
  <c r="AH652" i="1" a="1"/>
  <c r="AH652" i="1" s="1"/>
  <c r="AH653" i="1" a="1"/>
  <c r="AH653" i="1" s="1"/>
  <c r="AH654" i="1" a="1"/>
  <c r="AH654" i="1" s="1"/>
  <c r="AH655" i="1" a="1"/>
  <c r="AH655" i="1" s="1"/>
  <c r="AH656" i="1" a="1"/>
  <c r="AH656" i="1" s="1"/>
  <c r="AH657" i="1" a="1"/>
  <c r="AH657" i="1" s="1"/>
  <c r="AH658" i="1" a="1"/>
  <c r="AH658" i="1" s="1"/>
  <c r="AH659" i="1" a="1"/>
  <c r="AH659" i="1" s="1"/>
  <c r="AH660" i="1" a="1"/>
  <c r="AH660" i="1" s="1"/>
  <c r="AH661" i="1" a="1"/>
  <c r="AH661" i="1" s="1"/>
  <c r="AH662" i="1" a="1"/>
  <c r="AH662" i="1" s="1"/>
  <c r="AH663" i="1" a="1"/>
  <c r="AH663" i="1" s="1"/>
  <c r="AH664" i="1" a="1"/>
  <c r="AH664" i="1" s="1"/>
  <c r="AH665" i="1" a="1"/>
  <c r="AH665" i="1" s="1"/>
  <c r="AH666" i="1" a="1"/>
  <c r="AH666" i="1" s="1"/>
  <c r="AH667" i="1" a="1"/>
  <c r="AH667" i="1" s="1"/>
  <c r="AH668" i="1" a="1"/>
  <c r="AH668" i="1" s="1"/>
  <c r="AH669" i="1" a="1"/>
  <c r="AH669" i="1" s="1"/>
  <c r="AH670" i="1" a="1"/>
  <c r="AH670" i="1" s="1"/>
  <c r="AH671" i="1" a="1"/>
  <c r="AH671" i="1" s="1"/>
  <c r="AH672" i="1" a="1"/>
  <c r="AH672" i="1" s="1"/>
  <c r="AH673" i="1" a="1"/>
  <c r="AH673" i="1" s="1"/>
  <c r="AH674" i="1" a="1"/>
  <c r="AH674" i="1" s="1"/>
  <c r="AH675" i="1" a="1"/>
  <c r="AH675" i="1" s="1"/>
  <c r="AH676" i="1" a="1"/>
  <c r="AH676" i="1" s="1"/>
  <c r="AH677" i="1" a="1"/>
  <c r="AH677" i="1" s="1"/>
  <c r="AH678" i="1" a="1"/>
  <c r="AH678" i="1" s="1"/>
  <c r="AH679" i="1" a="1"/>
  <c r="AH679" i="1" s="1"/>
  <c r="AH680" i="1" a="1"/>
  <c r="AH680" i="1" s="1"/>
  <c r="AH681" i="1" a="1"/>
  <c r="AH681" i="1" s="1"/>
  <c r="AH682" i="1" a="1"/>
  <c r="AH682" i="1" s="1"/>
  <c r="AH683" i="1" a="1"/>
  <c r="AH683" i="1" s="1"/>
  <c r="AH684" i="1" a="1"/>
  <c r="AH684" i="1" s="1"/>
  <c r="AH685" i="1" a="1"/>
  <c r="AH685" i="1" s="1"/>
  <c r="AH686" i="1" a="1"/>
  <c r="AH686" i="1" s="1"/>
  <c r="AH687" i="1" a="1"/>
  <c r="AH687" i="1" s="1"/>
  <c r="AH688" i="1" a="1"/>
  <c r="AH688" i="1" s="1"/>
  <c r="AH689" i="1" a="1"/>
  <c r="AH689" i="1" s="1"/>
  <c r="AH690" i="1" a="1"/>
  <c r="AH690" i="1" s="1"/>
  <c r="AH691" i="1" a="1"/>
  <c r="AH691" i="1" s="1"/>
  <c r="AH692" i="1" a="1"/>
  <c r="AH692" i="1" s="1"/>
  <c r="AH693" i="1" a="1"/>
  <c r="AH693" i="1"/>
  <c r="AH694" i="1" a="1"/>
  <c r="AH694" i="1" s="1"/>
  <c r="AH695" i="1" a="1"/>
  <c r="AH695" i="1" s="1"/>
  <c r="AH696" i="1" a="1"/>
  <c r="AH696" i="1" s="1"/>
  <c r="AH697" i="1" a="1"/>
  <c r="AH697" i="1" s="1"/>
  <c r="AH698" i="1" a="1"/>
  <c r="AH698" i="1" s="1"/>
  <c r="AH699" i="1" a="1"/>
  <c r="AH699" i="1" s="1"/>
  <c r="AH700" i="1" a="1"/>
  <c r="AH700" i="1" s="1"/>
  <c r="AH701" i="1" a="1"/>
  <c r="AH701" i="1" s="1"/>
  <c r="AH702" i="1" a="1"/>
  <c r="AH702" i="1" s="1"/>
  <c r="AH703" i="1" a="1"/>
  <c r="AH703" i="1" s="1"/>
  <c r="AH704" i="1" a="1"/>
  <c r="AH704" i="1"/>
  <c r="AH705" i="1" a="1"/>
  <c r="AH705" i="1" s="1"/>
  <c r="AH706" i="1" a="1"/>
  <c r="AH706" i="1" s="1"/>
  <c r="AH707" i="1" a="1"/>
  <c r="AH707" i="1" s="1"/>
  <c r="AH708" i="1" a="1"/>
  <c r="AH708" i="1" s="1"/>
  <c r="AH709" i="1" a="1"/>
  <c r="AH709" i="1" s="1"/>
  <c r="AH710" i="1" a="1"/>
  <c r="AH710" i="1" s="1"/>
  <c r="AH711" i="1" a="1"/>
  <c r="AH711" i="1" s="1"/>
  <c r="AH712" i="1" a="1"/>
  <c r="AH712" i="1" s="1"/>
  <c r="AH713" i="1" a="1"/>
  <c r="AH713" i="1" s="1"/>
  <c r="AH714" i="1" a="1"/>
  <c r="AH714" i="1" s="1"/>
  <c r="AH715" i="1" a="1"/>
  <c r="AH715" i="1" s="1"/>
  <c r="AH716" i="1" a="1"/>
  <c r="AH716" i="1" s="1"/>
  <c r="AH717" i="1" a="1"/>
  <c r="AH717" i="1" s="1"/>
  <c r="AH718" i="1" a="1"/>
  <c r="AH718" i="1" s="1"/>
  <c r="AH719" i="1" a="1"/>
  <c r="AH719" i="1" s="1"/>
  <c r="AH720" i="1" a="1"/>
  <c r="AH720" i="1" s="1"/>
  <c r="AH721" i="1" a="1"/>
  <c r="AH721" i="1" s="1"/>
  <c r="AH722" i="1" a="1"/>
  <c r="AH722" i="1" s="1"/>
  <c r="AH723" i="1" a="1"/>
  <c r="AH723" i="1" s="1"/>
  <c r="AH724" i="1" a="1"/>
  <c r="AH724" i="1" s="1"/>
  <c r="AH725" i="1" a="1"/>
  <c r="AH725" i="1" s="1"/>
  <c r="AH726" i="1" a="1"/>
  <c r="AH726" i="1" s="1"/>
  <c r="AH727" i="1" a="1"/>
  <c r="AH727" i="1" s="1"/>
  <c r="AH728" i="1" a="1"/>
  <c r="AH728" i="1" s="1"/>
  <c r="AH729" i="1" a="1"/>
  <c r="AH729" i="1" s="1"/>
  <c r="AH730" i="1" a="1"/>
  <c r="AH730" i="1" s="1"/>
  <c r="AH731" i="1" a="1"/>
  <c r="AH731" i="1" s="1"/>
  <c r="AH732" i="1" a="1"/>
  <c r="AH732" i="1" s="1"/>
  <c r="AH733" i="1" a="1"/>
  <c r="AH733" i="1" s="1"/>
  <c r="AH734" i="1" a="1"/>
  <c r="AH734" i="1" s="1"/>
  <c r="AH735" i="1" a="1"/>
  <c r="AH735" i="1" s="1"/>
  <c r="AH736" i="1" a="1"/>
  <c r="AH736" i="1" s="1"/>
  <c r="AH737" i="1" a="1"/>
  <c r="AH737" i="1" s="1"/>
  <c r="AH738" i="1" a="1"/>
  <c r="AH738" i="1" s="1"/>
  <c r="AH739" i="1" a="1"/>
  <c r="AH739" i="1" s="1"/>
  <c r="AH740" i="1" a="1"/>
  <c r="AH740" i="1" s="1"/>
  <c r="AH741" i="1" a="1"/>
  <c r="AH741" i="1" s="1"/>
  <c r="AH742" i="1" a="1"/>
  <c r="AH742" i="1"/>
  <c r="AH743" i="1" a="1"/>
  <c r="AH743" i="1"/>
  <c r="AH744" i="1" a="1"/>
  <c r="AH744" i="1" s="1"/>
  <c r="AH745" i="1" a="1"/>
  <c r="AH745" i="1" s="1"/>
  <c r="AH746" i="1" a="1"/>
  <c r="AH746" i="1" s="1"/>
  <c r="AH747" i="1" a="1"/>
  <c r="AH747" i="1" s="1"/>
  <c r="AH748" i="1" a="1"/>
  <c r="AH748" i="1" s="1"/>
  <c r="AH749" i="1" a="1"/>
  <c r="AH749" i="1" s="1"/>
  <c r="AH750" i="1" a="1"/>
  <c r="AH750" i="1" s="1"/>
  <c r="AH751" i="1" a="1"/>
  <c r="AH751" i="1" s="1"/>
  <c r="AH752" i="1" a="1"/>
  <c r="AH752" i="1" s="1"/>
  <c r="AH753" i="1" a="1"/>
  <c r="AH753" i="1"/>
  <c r="AH754" i="1" a="1"/>
  <c r="AH754" i="1" s="1"/>
  <c r="AH755" i="1" a="1"/>
  <c r="AH755" i="1" s="1"/>
  <c r="AH756" i="1" a="1"/>
  <c r="AH756" i="1" s="1"/>
  <c r="AH757" i="1" a="1"/>
  <c r="AH757" i="1" s="1"/>
  <c r="AH758" i="1" a="1"/>
  <c r="AH758" i="1" s="1"/>
  <c r="AH759" i="1" a="1"/>
  <c r="AH759" i="1" s="1"/>
  <c r="AH760" i="1" a="1"/>
  <c r="AH760" i="1" s="1"/>
  <c r="AH761" i="1" a="1"/>
  <c r="AH761" i="1" s="1"/>
  <c r="AH762" i="1" a="1"/>
  <c r="AH762" i="1"/>
  <c r="AH763" i="1" a="1"/>
  <c r="AH763" i="1" s="1"/>
  <c r="AH764" i="1" a="1"/>
  <c r="AH764" i="1" s="1"/>
  <c r="AH765" i="1" a="1"/>
  <c r="AH765" i="1" s="1"/>
  <c r="AH766" i="1" a="1"/>
  <c r="AH766" i="1" s="1"/>
  <c r="AH767" i="1" a="1"/>
  <c r="AH767" i="1" s="1"/>
  <c r="AH768" i="1" a="1"/>
  <c r="AH768" i="1"/>
  <c r="AH769" i="1" a="1"/>
  <c r="AH769" i="1" s="1"/>
  <c r="AH770" i="1" a="1"/>
  <c r="AH770" i="1" s="1"/>
  <c r="AH771" i="1" a="1"/>
  <c r="AH771" i="1" s="1"/>
  <c r="AH772" i="1" a="1"/>
  <c r="AH772" i="1" s="1"/>
  <c r="AH773" i="1" a="1"/>
  <c r="AH773" i="1" s="1"/>
  <c r="AH774" i="1" a="1"/>
  <c r="AH774" i="1" s="1"/>
  <c r="AH775" i="1" a="1"/>
  <c r="AH775" i="1" s="1"/>
  <c r="AH776" i="1" a="1"/>
  <c r="AH776" i="1" s="1"/>
  <c r="AH777" i="1" a="1"/>
  <c r="AH777" i="1" s="1"/>
  <c r="AH778" i="1" a="1"/>
  <c r="AH778" i="1"/>
  <c r="AH779" i="1" a="1"/>
  <c r="AH779" i="1" s="1"/>
  <c r="AH780" i="1" a="1"/>
  <c r="AH780" i="1" s="1"/>
  <c r="AH781" i="1" a="1"/>
  <c r="AH781" i="1" s="1"/>
  <c r="AH782" i="1" a="1"/>
  <c r="AH782" i="1" s="1"/>
  <c r="AH783" i="1" a="1"/>
  <c r="AH783" i="1" s="1"/>
  <c r="AH784" i="1" a="1"/>
  <c r="AH784" i="1" s="1"/>
  <c r="AH785" i="1" a="1"/>
  <c r="AH785" i="1" s="1"/>
  <c r="AH786" i="1" a="1"/>
  <c r="AH786" i="1" s="1"/>
  <c r="AH787" i="1" a="1"/>
  <c r="AH787" i="1" s="1"/>
  <c r="AH788" i="1" a="1"/>
  <c r="AH788" i="1" s="1"/>
  <c r="AH789" i="1" a="1"/>
  <c r="AH789" i="1" s="1"/>
  <c r="AH790" i="1" a="1"/>
  <c r="AH790" i="1" s="1"/>
  <c r="AH791" i="1" a="1"/>
  <c r="AH791" i="1" s="1"/>
  <c r="AH792" i="1" a="1"/>
  <c r="AH792" i="1" s="1"/>
  <c r="AH793" i="1" a="1"/>
  <c r="AH793" i="1" s="1"/>
  <c r="AH794" i="1" a="1"/>
  <c r="AH794" i="1" s="1"/>
  <c r="AH795" i="1" a="1"/>
  <c r="AH795" i="1" s="1"/>
  <c r="AH796" i="1" a="1"/>
  <c r="AH796" i="1"/>
  <c r="AH797" i="1" a="1"/>
  <c r="AH797" i="1" s="1"/>
  <c r="AH798" i="1" a="1"/>
  <c r="AH798" i="1" s="1"/>
  <c r="AH799" i="1" a="1"/>
  <c r="AH799" i="1" s="1"/>
  <c r="AH800" i="1" a="1"/>
  <c r="AH800" i="1" s="1"/>
  <c r="AH801" i="1" a="1"/>
  <c r="AH801" i="1" s="1"/>
  <c r="AH802" i="1" a="1"/>
  <c r="AH802" i="1" s="1"/>
  <c r="AH803" i="1" a="1"/>
  <c r="AH803" i="1" s="1"/>
  <c r="AH804" i="1" a="1"/>
  <c r="AH804" i="1" s="1"/>
  <c r="AH805" i="1" a="1"/>
  <c r="AH805" i="1"/>
  <c r="AH806" i="1" a="1"/>
  <c r="AH806" i="1" s="1"/>
  <c r="AH807" i="1" a="1"/>
  <c r="AH807" i="1" s="1"/>
  <c r="AH808" i="1" a="1"/>
  <c r="AH808" i="1" s="1"/>
  <c r="AH809" i="1" a="1"/>
  <c r="AH809" i="1"/>
  <c r="AH810" i="1" a="1"/>
  <c r="AH810" i="1" s="1"/>
  <c r="AH811" i="1" a="1"/>
  <c r="AH811" i="1" s="1"/>
  <c r="AH812" i="1" a="1"/>
  <c r="AH812" i="1" s="1"/>
  <c r="AH813" i="1" a="1"/>
  <c r="AH813" i="1" s="1"/>
  <c r="AH814" i="1" a="1"/>
  <c r="AH814" i="1" s="1"/>
  <c r="AH815" i="1" a="1"/>
  <c r="AH815" i="1" s="1"/>
  <c r="AH816" i="1" a="1"/>
  <c r="AH816" i="1" s="1"/>
  <c r="AH817" i="1" a="1"/>
  <c r="AH817" i="1" s="1"/>
  <c r="AH818" i="1" a="1"/>
  <c r="AH818" i="1" s="1"/>
  <c r="AH819" i="1" a="1"/>
  <c r="AH819" i="1" s="1"/>
  <c r="AH820" i="1" a="1"/>
  <c r="AH820" i="1" s="1"/>
  <c r="AH821" i="1" a="1"/>
  <c r="AH821" i="1" s="1"/>
  <c r="AH822" i="1" a="1"/>
  <c r="AH822" i="1" s="1"/>
  <c r="AH823" i="1" a="1"/>
  <c r="AH823" i="1" s="1"/>
  <c r="AH824" i="1" a="1"/>
  <c r="AH824" i="1" s="1"/>
  <c r="AH825" i="1" a="1"/>
  <c r="AH825" i="1" s="1"/>
  <c r="AH826" i="1" a="1"/>
  <c r="AH826" i="1" s="1"/>
  <c r="AH827" i="1" a="1"/>
  <c r="AH827" i="1" s="1"/>
  <c r="AH828" i="1" a="1"/>
  <c r="AH828" i="1"/>
  <c r="AH829" i="1" a="1"/>
  <c r="AH829" i="1" s="1"/>
  <c r="AH830" i="1" a="1"/>
  <c r="AH830" i="1" s="1"/>
  <c r="AH831" i="1" a="1"/>
  <c r="AH831" i="1" s="1"/>
  <c r="AH832" i="1" a="1"/>
  <c r="AH832" i="1"/>
  <c r="AH833" i="1" a="1"/>
  <c r="AH833" i="1" s="1"/>
  <c r="AH834" i="1" a="1"/>
  <c r="AH834" i="1" s="1"/>
  <c r="AH835" i="1" a="1"/>
  <c r="AH835" i="1" s="1"/>
  <c r="AH836" i="1" a="1"/>
  <c r="AH836" i="1"/>
  <c r="AH837" i="1" a="1"/>
  <c r="AH837" i="1" s="1"/>
  <c r="AH838" i="1" a="1"/>
  <c r="AH838" i="1" s="1"/>
  <c r="AH839" i="1" a="1"/>
  <c r="AH839" i="1" s="1"/>
  <c r="AH840" i="1" a="1"/>
  <c r="AH840" i="1" s="1"/>
  <c r="AH841" i="1" a="1"/>
  <c r="AH841" i="1" s="1"/>
  <c r="AH842" i="1" a="1"/>
  <c r="AH842" i="1" s="1"/>
  <c r="AH843" i="1" a="1"/>
  <c r="AH843" i="1" s="1"/>
  <c r="AH844" i="1" a="1"/>
  <c r="AH844" i="1" s="1"/>
  <c r="AH845" i="1" a="1"/>
  <c r="AH845" i="1" s="1"/>
  <c r="AH846" i="1" a="1"/>
  <c r="AH846" i="1" s="1"/>
  <c r="AH847" i="1" a="1"/>
  <c r="AH847" i="1" s="1"/>
  <c r="AH848" i="1" a="1"/>
  <c r="AH848" i="1" s="1"/>
  <c r="AH849" i="1" a="1"/>
  <c r="AH849" i="1" s="1"/>
  <c r="AH850" i="1" a="1"/>
  <c r="AH850" i="1" s="1"/>
  <c r="AH851" i="1" a="1"/>
  <c r="AH851" i="1" s="1"/>
  <c r="AH852" i="1" a="1"/>
  <c r="AH852" i="1" s="1"/>
  <c r="AH853" i="1" a="1"/>
  <c r="AH853" i="1" s="1"/>
  <c r="AH854" i="1" a="1"/>
  <c r="AH854" i="1"/>
  <c r="AH855" i="1" a="1"/>
  <c r="AH855" i="1" s="1"/>
  <c r="AH856" i="1" a="1"/>
  <c r="AH856" i="1" s="1"/>
  <c r="AH857" i="1" a="1"/>
  <c r="AH857" i="1" s="1"/>
  <c r="AH858" i="1" a="1"/>
  <c r="AH858" i="1" s="1"/>
  <c r="AH859" i="1" a="1"/>
  <c r="AH859" i="1" s="1"/>
  <c r="AH860" i="1" a="1"/>
  <c r="AH860" i="1" s="1"/>
  <c r="AH861" i="1" a="1"/>
  <c r="AH861" i="1" s="1"/>
  <c r="AH862" i="1" a="1"/>
  <c r="AH862" i="1" s="1"/>
  <c r="AH863" i="1" a="1"/>
  <c r="AH863" i="1" s="1"/>
  <c r="AH864" i="1" a="1"/>
  <c r="AH864" i="1" s="1"/>
  <c r="AH865" i="1" a="1"/>
  <c r="AH865" i="1" s="1"/>
  <c r="AH866" i="1" a="1"/>
  <c r="AH866" i="1" s="1"/>
  <c r="AH867" i="1" a="1"/>
  <c r="AH867" i="1" s="1"/>
  <c r="AH868" i="1" a="1"/>
  <c r="AH868" i="1" s="1"/>
  <c r="AH869" i="1" a="1"/>
  <c r="AH869" i="1" s="1"/>
  <c r="AH870" i="1" a="1"/>
  <c r="AH870" i="1"/>
  <c r="AH871" i="1" a="1"/>
  <c r="AH871" i="1"/>
  <c r="AH872" i="1" a="1"/>
  <c r="AH872" i="1" s="1"/>
  <c r="AH873" i="1" a="1"/>
  <c r="AH873" i="1" s="1"/>
  <c r="AH874" i="1" a="1"/>
  <c r="AH874" i="1" s="1"/>
  <c r="AH875" i="1" a="1"/>
  <c r="AH875" i="1" s="1"/>
  <c r="AH876" i="1" a="1"/>
  <c r="AH876" i="1" s="1"/>
  <c r="AH877" i="1" a="1"/>
  <c r="AH877" i="1" s="1"/>
  <c r="AH878" i="1" a="1"/>
  <c r="AH878" i="1" s="1"/>
  <c r="AH879" i="1" a="1"/>
  <c r="AH879" i="1" s="1"/>
  <c r="AH880" i="1" a="1"/>
  <c r="AH880" i="1" s="1"/>
  <c r="AH881" i="1" a="1"/>
  <c r="AH881" i="1" s="1"/>
  <c r="AH882" i="1" a="1"/>
  <c r="AH882" i="1" s="1"/>
  <c r="AH883" i="1" a="1"/>
  <c r="AH883" i="1" s="1"/>
  <c r="AH884" i="1" a="1"/>
  <c r="AH884" i="1" s="1"/>
  <c r="AH885" i="1" a="1"/>
  <c r="AH885" i="1" s="1"/>
  <c r="AH886" i="1" a="1"/>
  <c r="AH886" i="1" s="1"/>
  <c r="AH887" i="1" a="1"/>
  <c r="AH887" i="1" s="1"/>
  <c r="AH888" i="1" a="1"/>
  <c r="AH888" i="1" s="1"/>
  <c r="AH889" i="1" a="1"/>
  <c r="AH889" i="1"/>
  <c r="AH890" i="1" a="1"/>
  <c r="AH890" i="1" s="1"/>
  <c r="AH891" i="1" a="1"/>
  <c r="AH891" i="1" s="1"/>
  <c r="AH892" i="1" a="1"/>
  <c r="AH892" i="1" s="1"/>
  <c r="AH893" i="1" a="1"/>
  <c r="AH893" i="1" s="1"/>
  <c r="AH894" i="1" a="1"/>
  <c r="AH894" i="1" s="1"/>
  <c r="AH895" i="1" a="1"/>
  <c r="AH895" i="1" s="1"/>
  <c r="AH896" i="1" a="1"/>
  <c r="AH896" i="1" s="1"/>
  <c r="AH897" i="1" a="1"/>
  <c r="AH897" i="1" s="1"/>
  <c r="AH898" i="1" a="1"/>
  <c r="AH898" i="1" s="1"/>
  <c r="AH899" i="1" a="1"/>
  <c r="AH899" i="1" s="1"/>
  <c r="AH900" i="1" a="1"/>
  <c r="AH900" i="1" s="1"/>
  <c r="AH901" i="1" a="1"/>
  <c r="AH901" i="1" s="1"/>
  <c r="AH902" i="1" a="1"/>
  <c r="AH902" i="1" s="1"/>
  <c r="AH903" i="1" a="1"/>
  <c r="AH903" i="1"/>
  <c r="AH904" i="1" a="1"/>
  <c r="AH904" i="1" s="1"/>
  <c r="AH905" i="1" a="1"/>
  <c r="AH905" i="1"/>
  <c r="AH906" i="1" a="1"/>
  <c r="AH906" i="1" s="1"/>
  <c r="AH907" i="1" a="1"/>
  <c r="AH907" i="1" s="1"/>
  <c r="AH908" i="1" a="1"/>
  <c r="AH908" i="1" s="1"/>
  <c r="AH909" i="1" a="1"/>
  <c r="AH909" i="1" s="1"/>
  <c r="AH910" i="1" a="1"/>
  <c r="AH910" i="1" s="1"/>
  <c r="AH911" i="1" a="1"/>
  <c r="AH911" i="1" s="1"/>
  <c r="AH912" i="1" a="1"/>
  <c r="AH912" i="1" s="1"/>
  <c r="AH913" i="1" a="1"/>
  <c r="AH913" i="1" s="1"/>
  <c r="AH914" i="1" a="1"/>
  <c r="AH914" i="1" s="1"/>
  <c r="AH915" i="1" a="1"/>
  <c r="AH915" i="1" s="1"/>
  <c r="AH916" i="1" a="1"/>
  <c r="AH916" i="1" s="1"/>
  <c r="AH917" i="1" a="1"/>
  <c r="AH917" i="1" s="1"/>
  <c r="AH918" i="1" a="1"/>
  <c r="AH918" i="1" s="1"/>
  <c r="AH919" i="1" a="1"/>
  <c r="AH919" i="1" s="1"/>
  <c r="AH920" i="1" a="1"/>
  <c r="AH920" i="1" s="1"/>
  <c r="AH921" i="1" a="1"/>
  <c r="AH921" i="1" s="1"/>
  <c r="AH922" i="1" a="1"/>
  <c r="AH922" i="1" s="1"/>
  <c r="AH923" i="1" a="1"/>
  <c r="AH923" i="1" s="1"/>
  <c r="AH924" i="1" a="1"/>
  <c r="AH924" i="1" s="1"/>
  <c r="AH925" i="1" a="1"/>
  <c r="AH925" i="1" s="1"/>
  <c r="AH926" i="1" a="1"/>
  <c r="AH926" i="1" s="1"/>
  <c r="AH927" i="1" a="1"/>
  <c r="AH927" i="1" s="1"/>
  <c r="AH928" i="1" a="1"/>
  <c r="AH928" i="1" s="1"/>
  <c r="AH929" i="1" a="1"/>
  <c r="AH929" i="1" s="1"/>
  <c r="AH930" i="1" a="1"/>
  <c r="AH930" i="1" s="1"/>
  <c r="AH931" i="1" a="1"/>
  <c r="AH931" i="1" s="1"/>
  <c r="AH932" i="1" a="1"/>
  <c r="AH932" i="1" s="1"/>
  <c r="AH933" i="1" a="1"/>
  <c r="AH933" i="1" s="1"/>
  <c r="AH934" i="1" a="1"/>
  <c r="AH934" i="1" s="1"/>
  <c r="AH935" i="1" a="1"/>
  <c r="AH935" i="1" s="1"/>
  <c r="AH936" i="1" a="1"/>
  <c r="AH936" i="1" s="1"/>
  <c r="AH937" i="1" a="1"/>
  <c r="AH937" i="1" s="1"/>
  <c r="AH938" i="1" a="1"/>
  <c r="AH938" i="1" s="1"/>
  <c r="AH939" i="1" a="1"/>
  <c r="AH939" i="1" s="1"/>
  <c r="AH940" i="1" a="1"/>
  <c r="AH940" i="1" s="1"/>
  <c r="AH941" i="1" a="1"/>
  <c r="AH941" i="1"/>
  <c r="AH942" i="1" a="1"/>
  <c r="AH942" i="1" s="1"/>
  <c r="AH943" i="1" a="1"/>
  <c r="AH943" i="1"/>
  <c r="AH944" i="1" a="1"/>
  <c r="AH944" i="1" s="1"/>
  <c r="AH945" i="1" a="1"/>
  <c r="AH945" i="1" s="1"/>
  <c r="AH946" i="1" a="1"/>
  <c r="AH946" i="1" s="1"/>
  <c r="AH947" i="1" a="1"/>
  <c r="AH947" i="1" s="1"/>
  <c r="AH948" i="1" a="1"/>
  <c r="AH948" i="1" s="1"/>
  <c r="AH949" i="1" a="1"/>
  <c r="AH949" i="1" s="1"/>
  <c r="AH950" i="1" a="1"/>
  <c r="AH950" i="1" s="1"/>
  <c r="AH951" i="1" a="1"/>
  <c r="AH951" i="1" s="1"/>
  <c r="AH952" i="1" a="1"/>
  <c r="AH952" i="1" s="1"/>
  <c r="AH953" i="1" a="1"/>
  <c r="AH953" i="1" s="1"/>
  <c r="AH954" i="1" a="1"/>
  <c r="AH954" i="1" s="1"/>
  <c r="AH955" i="1" a="1"/>
  <c r="AH955" i="1" s="1"/>
  <c r="AH956" i="1" a="1"/>
  <c r="AH956" i="1" s="1"/>
  <c r="AH957" i="1" a="1"/>
  <c r="AH957" i="1" s="1"/>
  <c r="AH958" i="1" a="1"/>
  <c r="AH958" i="1" s="1"/>
  <c r="AH959" i="1" a="1"/>
  <c r="AH959" i="1" s="1"/>
  <c r="AH960" i="1" a="1"/>
  <c r="AH960" i="1" s="1"/>
  <c r="AH961" i="1" a="1"/>
  <c r="AH961" i="1" s="1"/>
  <c r="AH962" i="1" a="1"/>
  <c r="AH962" i="1" s="1"/>
  <c r="AH963" i="1" a="1"/>
  <c r="AH963" i="1" s="1"/>
  <c r="AH964" i="1" a="1"/>
  <c r="AH964" i="1" s="1"/>
  <c r="AH965" i="1" a="1"/>
  <c r="AH965" i="1" s="1"/>
  <c r="AH966" i="1" a="1"/>
  <c r="AH966" i="1" s="1"/>
  <c r="AH967" i="1" a="1"/>
  <c r="AH967" i="1" s="1"/>
  <c r="AH968" i="1" a="1"/>
  <c r="AH968" i="1" s="1"/>
  <c r="AH969" i="1" a="1"/>
  <c r="AH969" i="1" s="1"/>
  <c r="AH970" i="1" a="1"/>
  <c r="AH970" i="1" s="1"/>
  <c r="AH971" i="1" a="1"/>
  <c r="AH971" i="1" s="1"/>
  <c r="AH972" i="1" a="1"/>
  <c r="AH972" i="1" s="1"/>
  <c r="AH973" i="1" a="1"/>
  <c r="AH973" i="1" s="1"/>
  <c r="AH974" i="1" a="1"/>
  <c r="AH974" i="1" s="1"/>
  <c r="AH975" i="1" a="1"/>
  <c r="AH975" i="1" s="1"/>
  <c r="AH976" i="1" a="1"/>
  <c r="AH976" i="1" s="1"/>
  <c r="AH977" i="1" a="1"/>
  <c r="AH977" i="1" s="1"/>
  <c r="AH978" i="1" a="1"/>
  <c r="AH978" i="1" s="1"/>
  <c r="AH979" i="1" a="1"/>
  <c r="AH979" i="1" s="1"/>
  <c r="AH980" i="1" a="1"/>
  <c r="AH980" i="1"/>
  <c r="AH981" i="1" a="1"/>
  <c r="AH981" i="1" s="1"/>
  <c r="AH982" i="1" a="1"/>
  <c r="AH982" i="1" s="1"/>
  <c r="AH983" i="1" a="1"/>
  <c r="AH983" i="1" s="1"/>
  <c r="AH984" i="1" a="1"/>
  <c r="AH984" i="1"/>
  <c r="AH985" i="1" a="1"/>
  <c r="AH985" i="1" s="1"/>
  <c r="AH986" i="1" a="1"/>
  <c r="AH986" i="1" s="1"/>
  <c r="AH987" i="1" a="1"/>
  <c r="AH987" i="1" s="1"/>
  <c r="AH988" i="1" a="1"/>
  <c r="AH988" i="1" s="1"/>
  <c r="AH989" i="1" a="1"/>
  <c r="AH989" i="1" s="1"/>
  <c r="AH990" i="1" a="1"/>
  <c r="AH990" i="1" s="1"/>
  <c r="AH991" i="1" a="1"/>
  <c r="AH991" i="1" s="1"/>
  <c r="AH992" i="1" a="1"/>
  <c r="AH992" i="1" s="1"/>
  <c r="AH993" i="1" a="1"/>
  <c r="AH993" i="1" s="1"/>
  <c r="AH994" i="1" a="1"/>
  <c r="AH994" i="1" s="1"/>
  <c r="AH995" i="1" a="1"/>
  <c r="AH995" i="1" s="1"/>
  <c r="AH996" i="1" a="1"/>
  <c r="AH996" i="1" s="1"/>
  <c r="AH997" i="1" a="1"/>
  <c r="AH997" i="1" s="1"/>
  <c r="AH998" i="1" a="1"/>
  <c r="AH998" i="1"/>
  <c r="AH999" i="1" a="1"/>
  <c r="AH999" i="1" s="1"/>
  <c r="AH1000" i="1" a="1"/>
  <c r="AH1000" i="1" s="1"/>
  <c r="AH1001" i="1" a="1"/>
  <c r="AH1001" i="1" s="1"/>
  <c r="AH1002" i="1" a="1"/>
  <c r="AH1002" i="1" s="1"/>
  <c r="AH1003" i="1" a="1"/>
  <c r="AH1003" i="1" s="1"/>
  <c r="AH1004" i="1" a="1"/>
  <c r="AH1004" i="1" s="1"/>
  <c r="AH1005" i="1" a="1"/>
  <c r="AH1005" i="1" s="1"/>
  <c r="AH1006" i="1" a="1"/>
  <c r="AH1006" i="1" s="1"/>
  <c r="AH1007" i="1" a="1"/>
  <c r="AH1007" i="1" s="1"/>
  <c r="AH1008" i="1" a="1"/>
  <c r="AH1008" i="1" s="1"/>
  <c r="AH1009" i="1" a="1"/>
  <c r="AH1009" i="1" s="1"/>
  <c r="AH1010" i="1" a="1"/>
  <c r="AH1010" i="1" s="1"/>
  <c r="AH1011" i="1" a="1"/>
  <c r="AH1011" i="1" s="1"/>
  <c r="AH1012" i="1" a="1"/>
  <c r="AH1012" i="1" s="1"/>
  <c r="AH1013" i="1" a="1"/>
  <c r="AH1013" i="1" s="1"/>
  <c r="AH1014" i="1" a="1"/>
  <c r="AH1014" i="1" s="1"/>
  <c r="AH1015" i="1" a="1"/>
  <c r="AH1015" i="1" s="1"/>
  <c r="AH1016" i="1" a="1"/>
  <c r="AH1016" i="1"/>
  <c r="AH1017" i="1" a="1"/>
  <c r="AH1017" i="1" s="1"/>
  <c r="AH1018" i="1" a="1"/>
  <c r="AH1018" i="1" s="1"/>
  <c r="AH1019" i="1" a="1"/>
  <c r="AH1019" i="1" s="1"/>
  <c r="AH1020" i="1" a="1"/>
  <c r="AH1020" i="1" s="1"/>
  <c r="AH1021" i="1" a="1"/>
  <c r="AH1021" i="1" s="1"/>
  <c r="AH1022" i="1" a="1"/>
  <c r="AH1022" i="1" s="1"/>
  <c r="AH1023" i="1" a="1"/>
  <c r="AH1023" i="1" s="1"/>
  <c r="AH1024" i="1" a="1"/>
  <c r="AH1024" i="1" s="1"/>
  <c r="AH1025" i="1" a="1"/>
  <c r="AH1025" i="1" s="1"/>
  <c r="AH1026" i="1" a="1"/>
  <c r="AH1026" i="1" s="1"/>
  <c r="AH1027" i="1" a="1"/>
  <c r="AH1027" i="1" s="1"/>
  <c r="AH1028" i="1" a="1"/>
  <c r="AH1028" i="1" s="1"/>
  <c r="AH1029" i="1" a="1"/>
  <c r="AH1029" i="1" s="1"/>
  <c r="AH1030" i="1" a="1"/>
  <c r="AH1030" i="1" s="1"/>
  <c r="AH1031" i="1" a="1"/>
  <c r="AH1031" i="1" s="1"/>
  <c r="AH1032" i="1" a="1"/>
  <c r="AH1032" i="1"/>
  <c r="AH1033" i="1" a="1"/>
  <c r="AH1033" i="1" s="1"/>
  <c r="AH1034" i="1" a="1"/>
  <c r="AH1034" i="1"/>
  <c r="AH1035" i="1" a="1"/>
  <c r="AH1035" i="1" s="1"/>
  <c r="AH1036" i="1" a="1"/>
  <c r="AH1036" i="1" s="1"/>
  <c r="AH1037" i="1" a="1"/>
  <c r="AH1037" i="1" s="1"/>
  <c r="AH1038" i="1" a="1"/>
  <c r="AH1038" i="1"/>
  <c r="AH1039" i="1" a="1"/>
  <c r="AH1039" i="1" s="1"/>
  <c r="AH1040" i="1" a="1"/>
  <c r="AH1040" i="1" s="1"/>
  <c r="AH1041" i="1" a="1"/>
  <c r="AH1041" i="1" s="1"/>
  <c r="AH1042" i="1" a="1"/>
  <c r="AH1042" i="1" s="1"/>
  <c r="AH1043" i="1" a="1"/>
  <c r="AH1043" i="1" s="1"/>
  <c r="AH1044" i="1" a="1"/>
  <c r="AH1044" i="1" s="1"/>
  <c r="AH1045" i="1" a="1"/>
  <c r="AH1045" i="1" s="1"/>
  <c r="AH1046" i="1" a="1"/>
  <c r="AH1046" i="1" s="1"/>
  <c r="AH1047" i="1" a="1"/>
  <c r="AH1047" i="1" s="1"/>
  <c r="AH1048" i="1" a="1"/>
  <c r="AH1048" i="1" s="1"/>
  <c r="AH1049" i="1" a="1"/>
  <c r="AH1049" i="1" s="1"/>
  <c r="AH1050" i="1" a="1"/>
  <c r="AH1050" i="1"/>
  <c r="AH1051" i="1" a="1"/>
  <c r="AH1051" i="1" s="1"/>
  <c r="AH1052" i="1" a="1"/>
  <c r="AH1052" i="1" s="1"/>
  <c r="AH1053" i="1" a="1"/>
  <c r="AH1053" i="1" s="1"/>
  <c r="AH1054" i="1" a="1"/>
  <c r="AH1054" i="1"/>
  <c r="AH1055" i="1" a="1"/>
  <c r="AH1055" i="1" s="1"/>
  <c r="AH1056" i="1" a="1"/>
  <c r="AH1056" i="1" s="1"/>
  <c r="AH1057" i="1" a="1"/>
  <c r="AH1057" i="1" s="1"/>
  <c r="AH1058" i="1" a="1"/>
  <c r="AH1058" i="1" s="1"/>
  <c r="AH1059" i="1" a="1"/>
  <c r="AH1059" i="1" s="1"/>
  <c r="AH1060" i="1" a="1"/>
  <c r="AH1060" i="1"/>
  <c r="AH1061" i="1" a="1"/>
  <c r="AH1061" i="1" s="1"/>
  <c r="AH1062" i="1" a="1"/>
  <c r="AH1062" i="1" s="1"/>
  <c r="AH1063" i="1" a="1"/>
  <c r="AH1063" i="1" s="1"/>
  <c r="AH1064" i="1" a="1"/>
  <c r="AH1064" i="1" s="1"/>
  <c r="AH1065" i="1" a="1"/>
  <c r="AH1065" i="1" s="1"/>
  <c r="AH1066" i="1" a="1"/>
  <c r="AH1066" i="1" s="1"/>
  <c r="AH1067" i="1" a="1"/>
  <c r="AH1067" i="1" s="1"/>
  <c r="AH1068" i="1" a="1"/>
  <c r="AH1068" i="1" s="1"/>
  <c r="AH1069" i="1" a="1"/>
  <c r="AH1069" i="1" s="1"/>
  <c r="AH1070" i="1" a="1"/>
  <c r="AH1070" i="1"/>
  <c r="AH1071" i="1" a="1"/>
  <c r="AH1071" i="1"/>
  <c r="AH1072" i="1" a="1"/>
  <c r="AH1072" i="1" s="1"/>
  <c r="AH1073" i="1" a="1"/>
  <c r="AH1073" i="1" s="1"/>
  <c r="AH1074" i="1" a="1"/>
  <c r="AH1074" i="1" s="1"/>
  <c r="AH1075" i="1" a="1"/>
  <c r="AH1075" i="1" s="1"/>
  <c r="AH1076" i="1" a="1"/>
  <c r="AH1076" i="1"/>
  <c r="AH1077" i="1" a="1"/>
  <c r="AH1077" i="1" s="1"/>
  <c r="AH1078" i="1" a="1"/>
  <c r="AH1078" i="1" s="1"/>
  <c r="AH1079" i="1" a="1"/>
  <c r="AH1079" i="1" s="1"/>
  <c r="AH1080" i="1" a="1"/>
  <c r="AH1080" i="1" s="1"/>
  <c r="AH1081" i="1" a="1"/>
  <c r="AH1081" i="1" s="1"/>
  <c r="AH1082" i="1" a="1"/>
  <c r="AH1082" i="1" s="1"/>
  <c r="AH1083" i="1" a="1"/>
  <c r="AH1083" i="1" s="1"/>
  <c r="AH1084" i="1" a="1"/>
  <c r="AH1084" i="1"/>
  <c r="AH1085" i="1" a="1"/>
  <c r="AH1085" i="1" s="1"/>
  <c r="AH1086" i="1" a="1"/>
  <c r="AH1086" i="1" s="1"/>
  <c r="AH1087" i="1" a="1"/>
  <c r="AH1087" i="1" s="1"/>
  <c r="AH1088" i="1" a="1"/>
  <c r="AH1088" i="1" s="1"/>
  <c r="AH1089" i="1" a="1"/>
  <c r="AH1089" i="1" s="1"/>
  <c r="AH1090" i="1" a="1"/>
  <c r="AH1090" i="1"/>
  <c r="AH1091" i="1" a="1"/>
  <c r="AH1091" i="1"/>
  <c r="AH1092" i="1" a="1"/>
  <c r="AH1092" i="1" s="1"/>
  <c r="AH1093" i="1" a="1"/>
  <c r="AH1093" i="1" s="1"/>
  <c r="AH1094" i="1" a="1"/>
  <c r="AH1094" i="1"/>
  <c r="AH1095" i="1" a="1"/>
  <c r="AH1095" i="1" s="1"/>
  <c r="AH1096" i="1" a="1"/>
  <c r="AH1096" i="1" s="1"/>
  <c r="AH1097" i="1" a="1"/>
  <c r="AH1097" i="1" s="1"/>
  <c r="AH1098" i="1" a="1"/>
  <c r="AH1098" i="1" s="1"/>
  <c r="AH1099" i="1" a="1"/>
  <c r="AH1099" i="1" s="1"/>
  <c r="AH1100" i="1" a="1"/>
  <c r="AH1100" i="1"/>
  <c r="AH1101" i="1" a="1"/>
  <c r="AH1101" i="1"/>
  <c r="AH1102" i="1" a="1"/>
  <c r="AH1102" i="1"/>
  <c r="AH1103" i="1" a="1"/>
  <c r="AH1103" i="1" s="1"/>
  <c r="AH1104" i="1" a="1"/>
  <c r="AH1104" i="1" s="1"/>
  <c r="AH1105" i="1" a="1"/>
  <c r="AH1105" i="1" s="1"/>
  <c r="AH1106" i="1" a="1"/>
  <c r="AH1106" i="1" s="1"/>
  <c r="AH1107" i="1" a="1"/>
  <c r="AH1107" i="1" s="1"/>
  <c r="AH1108" i="1" a="1"/>
  <c r="AH1108" i="1" s="1"/>
  <c r="AH1109" i="1" a="1"/>
  <c r="AH1109" i="1" s="1"/>
  <c r="AH1110" i="1" a="1"/>
  <c r="AH1110" i="1"/>
  <c r="AH1111" i="1" a="1"/>
  <c r="AH1111" i="1" s="1"/>
  <c r="AH1112" i="1" a="1"/>
  <c r="AH1112" i="1" s="1"/>
  <c r="AH1113" i="1" a="1"/>
  <c r="AH1113" i="1" s="1"/>
  <c r="AH1114" i="1" a="1"/>
  <c r="AH1114" i="1" s="1"/>
  <c r="AH1115" i="1" a="1"/>
  <c r="AH1115" i="1" s="1"/>
  <c r="AH1116" i="1" a="1"/>
  <c r="AH1116" i="1"/>
  <c r="AH1117" i="1" a="1"/>
  <c r="AH1117" i="1" s="1"/>
  <c r="AH1118" i="1" a="1"/>
  <c r="AH1118" i="1" s="1"/>
  <c r="AH1119" i="1" a="1"/>
  <c r="AH1119" i="1" s="1"/>
  <c r="AH1120" i="1" a="1"/>
  <c r="AH1120" i="1" s="1"/>
  <c r="AH1121" i="1" a="1"/>
  <c r="AH1121" i="1" s="1"/>
  <c r="AH1122" i="1" a="1"/>
  <c r="AH1122" i="1" s="1"/>
  <c r="AH1123" i="1" a="1"/>
  <c r="AH1123" i="1" s="1"/>
  <c r="AH1124" i="1" a="1"/>
  <c r="AH1124" i="1"/>
  <c r="AH1125" i="1" a="1"/>
  <c r="AH1125" i="1" s="1"/>
  <c r="AH1126" i="1" a="1"/>
  <c r="AH1126" i="1" s="1"/>
  <c r="AH1127" i="1" a="1"/>
  <c r="AH1127" i="1" s="1"/>
  <c r="AH1128" i="1" a="1"/>
  <c r="AH1128" i="1" s="1"/>
  <c r="AH1129" i="1" a="1"/>
  <c r="AH1129" i="1" s="1"/>
  <c r="AH1130" i="1" a="1"/>
  <c r="AH1130" i="1" s="1"/>
  <c r="AH1131" i="1" a="1"/>
  <c r="AH1131" i="1" s="1"/>
  <c r="AH1132" i="1" a="1"/>
  <c r="AH1132" i="1" s="1"/>
  <c r="AH1133" i="1" a="1"/>
  <c r="AH1133" i="1" s="1"/>
  <c r="AH1134" i="1" a="1"/>
  <c r="AH1134" i="1"/>
  <c r="AH1135" i="1" a="1"/>
  <c r="AH1135" i="1" s="1"/>
  <c r="AH1136" i="1" a="1"/>
  <c r="AH1136" i="1" s="1"/>
  <c r="AH1137" i="1" a="1"/>
  <c r="AH1137" i="1" s="1"/>
  <c r="AH1138" i="1" a="1"/>
  <c r="AH1138" i="1" s="1"/>
  <c r="AH1139" i="1" a="1"/>
  <c r="AH1139" i="1" s="1"/>
  <c r="AH1140" i="1" a="1"/>
  <c r="AH1140" i="1"/>
  <c r="AH1141" i="1" a="1"/>
  <c r="AH1141" i="1" s="1"/>
  <c r="AH1142" i="1" a="1"/>
  <c r="AH1142" i="1" s="1"/>
  <c r="AH1143" i="1" a="1"/>
  <c r="AH1143" i="1" s="1"/>
  <c r="AH1144" i="1" a="1"/>
  <c r="AH1144" i="1" s="1"/>
  <c r="AH1145" i="1" a="1"/>
  <c r="AH1145" i="1" s="1"/>
  <c r="AH1146" i="1" a="1"/>
  <c r="AH1146" i="1" s="1"/>
  <c r="AH1147" i="1" a="1"/>
  <c r="AH1147" i="1"/>
  <c r="AH1148" i="1" a="1"/>
  <c r="AH1148" i="1" s="1"/>
  <c r="AH1149" i="1" a="1"/>
  <c r="AH1149" i="1"/>
  <c r="AH1150" i="1" a="1"/>
  <c r="AH1150" i="1" s="1"/>
  <c r="AH1151" i="1" a="1"/>
  <c r="AH1151" i="1" s="1"/>
  <c r="AH1152" i="1" a="1"/>
  <c r="AH1152" i="1" s="1"/>
  <c r="AH1153" i="1" a="1"/>
  <c r="AH1153" i="1" s="1"/>
  <c r="AH1154" i="1" a="1"/>
  <c r="AH1154" i="1" s="1"/>
  <c r="AH1155" i="1" a="1"/>
  <c r="AH1155" i="1" s="1"/>
  <c r="AH1156" i="1" a="1"/>
  <c r="AH1156" i="1" s="1"/>
  <c r="AH1157" i="1" a="1"/>
  <c r="AH1157" i="1" s="1"/>
  <c r="AH1158" i="1" a="1"/>
  <c r="AH1158" i="1" s="1"/>
  <c r="AH1159" i="1" a="1"/>
  <c r="AH1159" i="1" s="1"/>
  <c r="AH1160" i="1" a="1"/>
  <c r="AH1160" i="1" s="1"/>
  <c r="AH1161" i="1" a="1"/>
  <c r="AH1161" i="1" s="1"/>
  <c r="AH1162" i="1" a="1"/>
  <c r="AH1162" i="1"/>
  <c r="AH1163" i="1" a="1"/>
  <c r="AH1163" i="1" s="1"/>
  <c r="AH1164" i="1" a="1"/>
  <c r="AH1164" i="1" s="1"/>
  <c r="AH1165" i="1" a="1"/>
  <c r="AH1165" i="1" s="1"/>
  <c r="AH1166" i="1" a="1"/>
  <c r="AH1166" i="1" s="1"/>
  <c r="AH1167" i="1" a="1"/>
  <c r="AH1167" i="1" s="1"/>
  <c r="AH1168" i="1" a="1"/>
  <c r="AH1168" i="1" s="1"/>
  <c r="AH1169" i="1" a="1"/>
  <c r="AH1169" i="1" s="1"/>
  <c r="AH1170" i="1" a="1"/>
  <c r="AH1170" i="1" s="1"/>
  <c r="AH1171" i="1" a="1"/>
  <c r="AH1171" i="1" s="1"/>
  <c r="AH1172" i="1" a="1"/>
  <c r="AH1172" i="1" s="1"/>
  <c r="AH1173" i="1" a="1"/>
  <c r="AH1173" i="1" s="1"/>
  <c r="AH1174" i="1" a="1"/>
  <c r="AH1174" i="1" s="1"/>
  <c r="AH1175" i="1" a="1"/>
  <c r="AH1175" i="1" s="1"/>
  <c r="AH1176" i="1" a="1"/>
  <c r="AH1176" i="1" s="1"/>
  <c r="AH1177" i="1" a="1"/>
  <c r="AH1177" i="1" s="1"/>
  <c r="AH1178" i="1" a="1"/>
  <c r="AH1178" i="1" s="1"/>
  <c r="AH1179" i="1" a="1"/>
  <c r="AH1179" i="1" s="1"/>
  <c r="AH1180" i="1" a="1"/>
  <c r="AH1180" i="1" s="1"/>
  <c r="AH1181" i="1" a="1"/>
  <c r="AH1181" i="1" s="1"/>
  <c r="AH1182" i="1" a="1"/>
  <c r="AH1182" i="1"/>
  <c r="AH1183" i="1" a="1"/>
  <c r="AH1183" i="1" s="1"/>
  <c r="AH1184" i="1" a="1"/>
  <c r="AH1184" i="1" s="1"/>
  <c r="AH1185" i="1" a="1"/>
  <c r="AH1185" i="1" s="1"/>
  <c r="AH1186" i="1" a="1"/>
  <c r="AH1186" i="1" s="1"/>
  <c r="AH1187" i="1" a="1"/>
  <c r="AH1187" i="1" s="1"/>
  <c r="AH1188" i="1" a="1"/>
  <c r="AH1188" i="1"/>
  <c r="AH1189" i="1" a="1"/>
  <c r="AH1189" i="1" s="1"/>
  <c r="AH1190" i="1" a="1"/>
  <c r="AH1190" i="1"/>
  <c r="AH1191" i="1" a="1"/>
  <c r="AH1191" i="1" s="1"/>
  <c r="AH1192" i="1" a="1"/>
  <c r="AH1192" i="1" s="1"/>
  <c r="AH1193" i="1" a="1"/>
  <c r="AH1193" i="1" s="1"/>
  <c r="AH1194" i="1" a="1"/>
  <c r="AH1194" i="1" s="1"/>
  <c r="AH1195" i="1" a="1"/>
  <c r="AH1195" i="1"/>
  <c r="AH1196" i="1" a="1"/>
  <c r="AH1196" i="1"/>
  <c r="AH1197" i="1" a="1"/>
  <c r="AH1197" i="1" s="1"/>
  <c r="AH1198" i="1" a="1"/>
  <c r="AH1198" i="1" s="1"/>
  <c r="AH1199" i="1" a="1"/>
  <c r="AH1199" i="1" s="1"/>
  <c r="AH1200" i="1" a="1"/>
  <c r="AH1200" i="1" s="1"/>
  <c r="AH1201" i="1" a="1"/>
  <c r="AH1201" i="1" s="1"/>
  <c r="AH1202" i="1" a="1"/>
  <c r="AH1202" i="1" s="1"/>
  <c r="AH1203" i="1" a="1"/>
  <c r="AH1203" i="1" s="1"/>
  <c r="AH1204" i="1" a="1"/>
  <c r="AH1204" i="1" s="1"/>
  <c r="AH1205" i="1" a="1"/>
  <c r="AH1205" i="1" s="1"/>
  <c r="AH1206" i="1" a="1"/>
  <c r="AH1206" i="1" s="1"/>
  <c r="AH1207" i="1" a="1"/>
  <c r="AH1207" i="1" s="1"/>
  <c r="AH1208" i="1" a="1"/>
  <c r="AH1208" i="1" s="1"/>
  <c r="AH1209" i="1" a="1"/>
  <c r="AH1209" i="1" s="1"/>
  <c r="AH1210" i="1" a="1"/>
  <c r="AH1210" i="1" s="1"/>
  <c r="AH1211" i="1" a="1"/>
  <c r="AH1211" i="1" s="1"/>
  <c r="AH1212" i="1" a="1"/>
  <c r="AH1212" i="1"/>
  <c r="AH1213" i="1" a="1"/>
  <c r="AH1213" i="1" s="1"/>
  <c r="AH1214" i="1" a="1"/>
  <c r="AH1214" i="1" s="1"/>
  <c r="AH1215" i="1" a="1"/>
  <c r="AH1215" i="1" s="1"/>
  <c r="AH1216" i="1" a="1"/>
  <c r="AH1216" i="1" s="1"/>
  <c r="AH1217" i="1" a="1"/>
  <c r="AH1217" i="1" s="1"/>
  <c r="AH1218" i="1" a="1"/>
  <c r="AH1218" i="1" s="1"/>
  <c r="AH1219" i="1" a="1"/>
  <c r="AH1219" i="1" s="1"/>
  <c r="AH1220" i="1" a="1"/>
  <c r="AH1220" i="1" s="1"/>
  <c r="AH1221" i="1" a="1"/>
  <c r="AH1221" i="1" s="1"/>
  <c r="AH1222" i="1" a="1"/>
  <c r="AH1222" i="1" s="1"/>
  <c r="AH1223" i="1" a="1"/>
  <c r="AH1223" i="1" s="1"/>
  <c r="AH1224" i="1" a="1"/>
  <c r="AH1224" i="1" s="1"/>
  <c r="AH1225" i="1" a="1"/>
  <c r="AH1225" i="1" s="1"/>
  <c r="AH1226" i="1" a="1"/>
  <c r="AH1226" i="1" s="1"/>
  <c r="AH1227" i="1" a="1"/>
  <c r="AH1227" i="1" s="1"/>
  <c r="AH1228" i="1" a="1"/>
  <c r="AH1228" i="1" s="1"/>
  <c r="AH1229" i="1" a="1"/>
  <c r="AH1229" i="1"/>
  <c r="AH1230" i="1" a="1"/>
  <c r="AH1230" i="1" s="1"/>
  <c r="AH1231" i="1" a="1"/>
  <c r="AH1231" i="1" s="1"/>
  <c r="AH1232" i="1" a="1"/>
  <c r="AH1232" i="1" s="1"/>
  <c r="AH1233" i="1" a="1"/>
  <c r="AH1233" i="1" s="1"/>
  <c r="AH1234" i="1" a="1"/>
  <c r="AH1234" i="1" s="1"/>
  <c r="AH1235" i="1" a="1"/>
  <c r="AH1235" i="1"/>
  <c r="AH1236" i="1" a="1"/>
  <c r="AH1236" i="1" s="1"/>
  <c r="AH1237" i="1" a="1"/>
  <c r="AH1237" i="1"/>
  <c r="AH1238" i="1" a="1"/>
  <c r="AH1238" i="1" s="1"/>
  <c r="AH1239" i="1" a="1"/>
  <c r="AH1239" i="1" s="1"/>
  <c r="AH1240" i="1" a="1"/>
  <c r="AH1240" i="1" s="1"/>
  <c r="AH1241" i="1" a="1"/>
  <c r="AH1241" i="1" s="1"/>
  <c r="AH1242" i="1" a="1"/>
  <c r="AH1242" i="1" s="1"/>
  <c r="AH1243" i="1" a="1"/>
  <c r="AH1243" i="1" s="1"/>
  <c r="AH1244" i="1" a="1"/>
  <c r="AH1244" i="1" s="1"/>
  <c r="AH1245" i="1" a="1"/>
  <c r="AH1245" i="1" s="1"/>
  <c r="AH1246" i="1" a="1"/>
  <c r="AH1246" i="1" s="1"/>
  <c r="AH1247" i="1" a="1"/>
  <c r="AH1247" i="1" s="1"/>
  <c r="AH1248" i="1" a="1"/>
  <c r="AH1248" i="1" s="1"/>
  <c r="AH1249" i="1" a="1"/>
  <c r="AH1249" i="1" s="1"/>
  <c r="AH1250" i="1" a="1"/>
  <c r="AH1250" i="1" s="1"/>
  <c r="AH1251" i="1" a="1"/>
  <c r="AH1251" i="1" s="1"/>
  <c r="AH1252" i="1" a="1"/>
  <c r="AH1252" i="1"/>
  <c r="AH1253" i="1" a="1"/>
  <c r="AH1253" i="1" s="1"/>
  <c r="AH1254" i="1" a="1"/>
  <c r="AH1254" i="1"/>
  <c r="AH1255" i="1" a="1"/>
  <c r="AH1255" i="1" s="1"/>
  <c r="AH1256" i="1" a="1"/>
  <c r="AH1256" i="1" s="1"/>
  <c r="AH1257" i="1" a="1"/>
  <c r="AH1257" i="1" s="1"/>
  <c r="AH1258" i="1" a="1"/>
  <c r="AH1258" i="1" s="1"/>
  <c r="AH1259" i="1" a="1"/>
  <c r="AH1259" i="1" s="1"/>
  <c r="AH1260" i="1" a="1"/>
  <c r="AH1260" i="1" s="1"/>
  <c r="AH1261" i="1" a="1"/>
  <c r="AH1261" i="1" s="1"/>
  <c r="AH1262" i="1" a="1"/>
  <c r="AH1262" i="1" s="1"/>
  <c r="AH1263" i="1" a="1"/>
  <c r="AH1263" i="1" s="1"/>
  <c r="AH1264" i="1" a="1"/>
  <c r="AH1264" i="1" s="1"/>
  <c r="AH1265" i="1" a="1"/>
  <c r="AH1265" i="1" s="1"/>
  <c r="AH1266" i="1" a="1"/>
  <c r="AH1266" i="1" s="1"/>
  <c r="AH1267" i="1" a="1"/>
  <c r="AH1267" i="1" s="1"/>
  <c r="AH1268" i="1" a="1"/>
  <c r="AH1268" i="1" s="1"/>
  <c r="AH1269" i="1" a="1"/>
  <c r="AH1269" i="1" s="1"/>
  <c r="AH1270" i="1" a="1"/>
  <c r="AH1270" i="1" s="1"/>
  <c r="AH1271" i="1" a="1"/>
  <c r="AH1271" i="1" s="1"/>
  <c r="AH1272" i="1" a="1"/>
  <c r="AH1272" i="1" s="1"/>
  <c r="AH1273" i="1" a="1"/>
  <c r="AH1273" i="1" s="1"/>
  <c r="AH1274" i="1" a="1"/>
  <c r="AH1274" i="1" s="1"/>
  <c r="AH1275" i="1" a="1"/>
  <c r="AH1275" i="1" s="1"/>
  <c r="AH1276" i="1" a="1"/>
  <c r="AH1276" i="1" s="1"/>
  <c r="AH1277" i="1" a="1"/>
  <c r="AH1277" i="1"/>
  <c r="AH1278" i="1" a="1"/>
  <c r="AH1278" i="1"/>
  <c r="AH1279" i="1" a="1"/>
  <c r="AH1279" i="1" s="1"/>
  <c r="AH1280" i="1" a="1"/>
  <c r="AH1280" i="1" s="1"/>
  <c r="AH1281" i="1" a="1"/>
  <c r="AH1281" i="1" s="1"/>
  <c r="AH1282" i="1" a="1"/>
  <c r="AH1282" i="1" s="1"/>
  <c r="AH1283" i="1" a="1"/>
  <c r="AH1283" i="1"/>
  <c r="AH1284" i="1" a="1"/>
  <c r="AH1284" i="1" s="1"/>
  <c r="AH1285" i="1" a="1"/>
  <c r="AH1285" i="1" s="1"/>
  <c r="AH1286" i="1" a="1"/>
  <c r="AH1286" i="1"/>
  <c r="AH1287" i="1" a="1"/>
  <c r="AH1287" i="1" s="1"/>
  <c r="AH1288" i="1" a="1"/>
  <c r="AH1288" i="1" s="1"/>
  <c r="AH1289" i="1" a="1"/>
  <c r="AH1289" i="1" s="1"/>
  <c r="AH1290" i="1" a="1"/>
  <c r="AH1290" i="1" s="1"/>
  <c r="AH1291" i="1" a="1"/>
  <c r="AH1291" i="1" s="1"/>
  <c r="AH1292" i="1" a="1"/>
  <c r="AH1292" i="1" s="1"/>
  <c r="AH1293" i="1" a="1"/>
  <c r="AH1293" i="1" s="1"/>
  <c r="AH1294" i="1" a="1"/>
  <c r="AH1294" i="1" s="1"/>
  <c r="AH1295" i="1" a="1"/>
  <c r="AH1295" i="1" s="1"/>
  <c r="AH1296" i="1" a="1"/>
  <c r="AH1296" i="1" s="1"/>
  <c r="AH1297" i="1" a="1"/>
  <c r="AH1297" i="1" s="1"/>
  <c r="AH1298" i="1" a="1"/>
  <c r="AH1298" i="1" s="1"/>
  <c r="AH1299" i="1" a="1"/>
  <c r="AH1299" i="1"/>
  <c r="AH1300" i="1" a="1"/>
  <c r="AH1300" i="1" s="1"/>
  <c r="AH1301" i="1" a="1"/>
  <c r="AH1301" i="1" s="1"/>
  <c r="AH1302" i="1" a="1"/>
  <c r="AH1302" i="1"/>
  <c r="AH1303" i="1" a="1"/>
  <c r="AH1303" i="1" s="1"/>
  <c r="AH1304" i="1" a="1"/>
  <c r="AH1304" i="1" s="1"/>
  <c r="AH1305" i="1" a="1"/>
  <c r="AH1305" i="1" s="1"/>
  <c r="AH1306" i="1" a="1"/>
  <c r="AH1306" i="1" s="1"/>
  <c r="AH1307" i="1" a="1"/>
  <c r="AH1307" i="1" s="1"/>
  <c r="AH1308" i="1" a="1"/>
  <c r="AH1308" i="1" s="1"/>
  <c r="AH1309" i="1" a="1"/>
  <c r="AH1309" i="1" s="1"/>
  <c r="AH1310" i="1" a="1"/>
  <c r="AH1310" i="1" s="1"/>
  <c r="AH1311" i="1" a="1"/>
  <c r="AH1311" i="1" s="1"/>
  <c r="AH1312" i="1" a="1"/>
  <c r="AH1312" i="1" s="1"/>
  <c r="AH1313" i="1" a="1"/>
  <c r="AH1313" i="1" s="1"/>
  <c r="AH1314" i="1" a="1"/>
  <c r="AH1314" i="1" s="1"/>
  <c r="AH1315" i="1" a="1"/>
  <c r="AH1315" i="1" s="1"/>
  <c r="AH1316" i="1" a="1"/>
  <c r="AH1316" i="1"/>
  <c r="AH1317" i="1" a="1"/>
  <c r="AH1317" i="1" s="1"/>
  <c r="AH1318" i="1" a="1"/>
  <c r="AH1318" i="1" s="1"/>
  <c r="AH1319" i="1" a="1"/>
  <c r="AH1319" i="1" s="1"/>
  <c r="AH1320" i="1" a="1"/>
  <c r="AH1320" i="1" s="1"/>
  <c r="AH1321" i="1" a="1"/>
  <c r="AH1321" i="1" s="1"/>
  <c r="AH1322" i="1" a="1"/>
  <c r="AH1322" i="1" s="1"/>
  <c r="AH1323" i="1" a="1"/>
  <c r="AH1323" i="1" s="1"/>
  <c r="AH1324" i="1" a="1"/>
  <c r="AH1324" i="1" s="1"/>
  <c r="AH1325" i="1" a="1"/>
  <c r="AH1325" i="1" s="1"/>
  <c r="AH1326" i="1" a="1"/>
  <c r="AH1326" i="1" s="1"/>
  <c r="AH1327" i="1" a="1"/>
  <c r="AH1327" i="1" s="1"/>
  <c r="AH1328" i="1" a="1"/>
  <c r="AH1328" i="1" s="1"/>
  <c r="AH1329" i="1" a="1"/>
  <c r="AH1329" i="1" s="1"/>
  <c r="AH1330" i="1" a="1"/>
  <c r="AH1330" i="1" s="1"/>
  <c r="AH1331" i="1" a="1"/>
  <c r="AH1331" i="1" s="1"/>
  <c r="AH1332" i="1" a="1"/>
  <c r="AH1332" i="1" s="1"/>
  <c r="AH1333" i="1" a="1"/>
  <c r="AH1333" i="1" s="1"/>
  <c r="AH1334" i="1" a="1"/>
  <c r="AH1334" i="1"/>
  <c r="AH1335" i="1" a="1"/>
  <c r="AH1335" i="1" s="1"/>
  <c r="AH1336" i="1" a="1"/>
  <c r="AH1336" i="1" s="1"/>
  <c r="AH1337" i="1" a="1"/>
  <c r="AH1337" i="1" s="1"/>
  <c r="AH1338" i="1" a="1"/>
  <c r="AH1338" i="1" s="1"/>
  <c r="AH1339" i="1" a="1"/>
  <c r="AH1339" i="1" s="1"/>
  <c r="AH1340" i="1" a="1"/>
  <c r="AH1340" i="1"/>
  <c r="AH1341" i="1" a="1"/>
  <c r="AH1341" i="1" s="1"/>
  <c r="AH1342" i="1" a="1"/>
  <c r="AH1342" i="1" s="1"/>
  <c r="AH1343" i="1" a="1"/>
  <c r="AH1343" i="1" s="1"/>
  <c r="AH1344" i="1" a="1"/>
  <c r="AH1344" i="1" s="1"/>
  <c r="AH1345" i="1" a="1"/>
  <c r="AH1345" i="1" s="1"/>
  <c r="AH1346" i="1" a="1"/>
  <c r="AH1346" i="1" s="1"/>
  <c r="AH1347" i="1" a="1"/>
  <c r="AH1347" i="1" s="1"/>
  <c r="AH1348" i="1" a="1"/>
  <c r="AH1348" i="1" s="1"/>
  <c r="AH1349" i="1" a="1"/>
  <c r="AH1349" i="1" s="1"/>
  <c r="AH1350" i="1" a="1"/>
  <c r="AH1350" i="1" s="1"/>
  <c r="AH1351" i="1" a="1"/>
  <c r="AH1351" i="1" s="1"/>
  <c r="AH1352" i="1" a="1"/>
  <c r="AH1352" i="1" s="1"/>
  <c r="AH1353" i="1" a="1"/>
  <c r="AH1353" i="1" s="1"/>
  <c r="AH1354" i="1" a="1"/>
  <c r="AH1354" i="1" s="1"/>
  <c r="AH1355" i="1" a="1"/>
  <c r="AH1355" i="1" s="1"/>
  <c r="AH1356" i="1" a="1"/>
  <c r="AH1356" i="1" s="1"/>
  <c r="AH1357" i="1" a="1"/>
  <c r="AH1357" i="1" s="1"/>
  <c r="AH1358" i="1" a="1"/>
  <c r="AH1358" i="1" s="1"/>
  <c r="AH1359" i="1" a="1"/>
  <c r="AH1359" i="1" s="1"/>
  <c r="AH1360" i="1" a="1"/>
  <c r="AH1360" i="1" s="1"/>
  <c r="AH1361" i="1" a="1"/>
  <c r="AH1361" i="1" s="1"/>
  <c r="AH1362" i="1" a="1"/>
  <c r="AH1362" i="1" s="1"/>
  <c r="AH1363" i="1" a="1"/>
  <c r="AH1363" i="1" s="1"/>
  <c r="AH1364" i="1" a="1"/>
  <c r="AH1364" i="1" s="1"/>
  <c r="AH1365" i="1" a="1"/>
  <c r="AH1365" i="1" s="1"/>
  <c r="AH1366" i="1" a="1"/>
  <c r="AH1366" i="1" s="1"/>
  <c r="AH1367" i="1" a="1"/>
  <c r="AH1367" i="1" s="1"/>
  <c r="AH1368" i="1" a="1"/>
  <c r="AH1368" i="1" s="1"/>
  <c r="AH1369" i="1" a="1"/>
  <c r="AH1369" i="1" s="1"/>
  <c r="AH1370" i="1" a="1"/>
  <c r="AH1370" i="1" s="1"/>
  <c r="AH1371" i="1" a="1"/>
  <c r="AH1371" i="1" s="1"/>
  <c r="AH1372" i="1" a="1"/>
  <c r="AH1372" i="1" s="1"/>
  <c r="AH1373" i="1" a="1"/>
  <c r="AH1373" i="1" s="1"/>
  <c r="AH1374" i="1" a="1"/>
  <c r="AH1374" i="1" s="1"/>
  <c r="AH1375" i="1" a="1"/>
  <c r="AH1375" i="1" s="1"/>
  <c r="AH1376" i="1" a="1"/>
  <c r="AH1376" i="1" s="1"/>
  <c r="AH1377" i="1" a="1"/>
  <c r="AH1377" i="1" s="1"/>
  <c r="AH1378" i="1" a="1"/>
  <c r="AH1378" i="1" s="1"/>
  <c r="AH1379" i="1" a="1"/>
  <c r="AH1379" i="1" s="1"/>
  <c r="AH1380" i="1" a="1"/>
  <c r="AH1380" i="1" s="1"/>
  <c r="AH1381" i="1" a="1"/>
  <c r="AH1381" i="1" s="1"/>
  <c r="AH1382" i="1" a="1"/>
  <c r="AH1382" i="1" s="1"/>
  <c r="AH1383" i="1" a="1"/>
  <c r="AH1383" i="1" s="1"/>
  <c r="AH1384" i="1" a="1"/>
  <c r="AH1384" i="1" s="1"/>
  <c r="AH1385" i="1" a="1"/>
  <c r="AH1385" i="1" s="1"/>
  <c r="AH1386" i="1" a="1"/>
  <c r="AH1386" i="1" s="1"/>
  <c r="AH1387" i="1" a="1"/>
  <c r="AH1387" i="1" s="1"/>
  <c r="AH1388" i="1" a="1"/>
  <c r="AH1388" i="1" s="1"/>
  <c r="AH1389" i="1" a="1"/>
  <c r="AH1389" i="1" s="1"/>
  <c r="AH1390" i="1" a="1"/>
  <c r="AH1390" i="1"/>
  <c r="AH1391" i="1" a="1"/>
  <c r="AH1391" i="1" s="1"/>
  <c r="AH1392" i="1" a="1"/>
  <c r="AH1392" i="1" s="1"/>
  <c r="AH1393" i="1" a="1"/>
  <c r="AH1393" i="1" s="1"/>
  <c r="AH1394" i="1" a="1"/>
  <c r="AH1394" i="1" s="1"/>
  <c r="AH1395" i="1" a="1"/>
  <c r="AH1395" i="1" s="1"/>
  <c r="AH1396" i="1" a="1"/>
  <c r="AH1396" i="1" s="1"/>
  <c r="AH1397" i="1" a="1"/>
  <c r="AH1397" i="1" s="1"/>
  <c r="AH1398" i="1" a="1"/>
  <c r="AH1398" i="1" s="1"/>
  <c r="AH1399" i="1" a="1"/>
  <c r="AH1399" i="1" s="1"/>
  <c r="AH1400" i="1" a="1"/>
  <c r="AH1400" i="1" s="1"/>
  <c r="AH1401" i="1" a="1"/>
  <c r="AH1401" i="1" s="1"/>
  <c r="AH1402" i="1" a="1"/>
  <c r="AH1402" i="1" s="1"/>
  <c r="AH1403" i="1" a="1"/>
  <c r="AH1403" i="1" s="1"/>
  <c r="AH1404" i="1" a="1"/>
  <c r="AH1404" i="1"/>
  <c r="AH1405" i="1" a="1"/>
  <c r="AH1405" i="1" s="1"/>
  <c r="AH1406" i="1" a="1"/>
  <c r="AH1406" i="1" s="1"/>
  <c r="AH1407" i="1" a="1"/>
  <c r="AH1407" i="1" s="1"/>
  <c r="AH1408" i="1" a="1"/>
  <c r="AH1408" i="1" s="1"/>
  <c r="AH1409" i="1" a="1"/>
  <c r="AH1409" i="1" s="1"/>
  <c r="AH1410" i="1" a="1"/>
  <c r="AH1410" i="1" s="1"/>
  <c r="AH1411" i="1" a="1"/>
  <c r="AH1411" i="1" s="1"/>
  <c r="AH1412" i="1" a="1"/>
  <c r="AH1412" i="1" s="1"/>
  <c r="AH1413" i="1" a="1"/>
  <c r="AH1413" i="1" s="1"/>
  <c r="AH1414" i="1" a="1"/>
  <c r="AH1414" i="1" s="1"/>
  <c r="AH1415" i="1" a="1"/>
  <c r="AH1415" i="1" s="1"/>
  <c r="AH1416" i="1" a="1"/>
  <c r="AH1416" i="1" s="1"/>
  <c r="AH1417" i="1" a="1"/>
  <c r="AH1417" i="1" s="1"/>
  <c r="AH1418" i="1" a="1"/>
  <c r="AH1418" i="1" s="1"/>
  <c r="AH1419" i="1" a="1"/>
  <c r="AH1419" i="1"/>
  <c r="AH1420" i="1" a="1"/>
  <c r="AH1420" i="1" s="1"/>
  <c r="AH1421" i="1" a="1"/>
  <c r="AH1421" i="1" s="1"/>
  <c r="AH1422" i="1" a="1"/>
  <c r="AH1422" i="1" s="1"/>
  <c r="AH1423" i="1" a="1"/>
  <c r="AH1423" i="1" s="1"/>
  <c r="AH1424" i="1" a="1"/>
  <c r="AH1424" i="1" s="1"/>
  <c r="AH1425" i="1" a="1"/>
  <c r="AH1425" i="1" s="1"/>
  <c r="AH1426" i="1" a="1"/>
  <c r="AH1426" i="1" s="1"/>
  <c r="AH1427" i="1" a="1"/>
  <c r="AH1427" i="1" s="1"/>
  <c r="AH1428" i="1" a="1"/>
  <c r="AH1428" i="1" s="1"/>
  <c r="AH1429" i="1" a="1"/>
  <c r="AH1429" i="1" s="1"/>
  <c r="AH1430" i="1" a="1"/>
  <c r="AH1430" i="1" s="1"/>
  <c r="AH1431" i="1" a="1"/>
  <c r="AH1431" i="1" s="1"/>
  <c r="AH1432" i="1" a="1"/>
  <c r="AH1432" i="1" s="1"/>
  <c r="AH1433" i="1" a="1"/>
  <c r="AH1433" i="1" s="1"/>
  <c r="AH1434" i="1" a="1"/>
  <c r="AH1434" i="1" s="1"/>
  <c r="AH1435" i="1" a="1"/>
  <c r="AH1435" i="1"/>
  <c r="AH1436" i="1" a="1"/>
  <c r="AH1436" i="1" s="1"/>
  <c r="AH1437" i="1" a="1"/>
  <c r="AH1437" i="1" s="1"/>
  <c r="AH1438" i="1" a="1"/>
  <c r="AH1438" i="1" s="1"/>
  <c r="AH1439" i="1" a="1"/>
  <c r="AH1439" i="1" s="1"/>
  <c r="AH1440" i="1" a="1"/>
  <c r="AH1440" i="1" s="1"/>
  <c r="AH1441" i="1" a="1"/>
  <c r="AH1441" i="1" s="1"/>
  <c r="AH1442" i="1" a="1"/>
  <c r="AH1442" i="1" s="1"/>
  <c r="AH1443" i="1" a="1"/>
  <c r="AH1443" i="1" s="1"/>
  <c r="AH1444" i="1" a="1"/>
  <c r="AH1444" i="1"/>
  <c r="AH1445" i="1" a="1"/>
  <c r="AH1445" i="1" s="1"/>
  <c r="AH1446" i="1" a="1"/>
  <c r="AH1446" i="1" s="1"/>
  <c r="AH1447" i="1" a="1"/>
  <c r="AH1447" i="1" s="1"/>
  <c r="AH1448" i="1" a="1"/>
  <c r="AH1448" i="1" s="1"/>
  <c r="AH1449" i="1" a="1"/>
  <c r="AH1449" i="1" s="1"/>
  <c r="AH1450" i="1" a="1"/>
  <c r="AH1450" i="1" s="1"/>
  <c r="AH1451" i="1" a="1"/>
  <c r="AH1451" i="1" s="1"/>
  <c r="AH1452" i="1" a="1"/>
  <c r="AH1452" i="1" s="1"/>
  <c r="AH1453" i="1" a="1"/>
  <c r="AH1453" i="1" s="1"/>
  <c r="AH1454" i="1" a="1"/>
  <c r="AH1454" i="1" s="1"/>
  <c r="AH1455" i="1" a="1"/>
  <c r="AH1455" i="1" s="1"/>
  <c r="AH1456" i="1" a="1"/>
  <c r="AH1456" i="1" s="1"/>
  <c r="AH1457" i="1" a="1"/>
  <c r="AH1457" i="1" s="1"/>
  <c r="AH1458" i="1" a="1"/>
  <c r="AH1458" i="1" s="1"/>
  <c r="AH1459" i="1" a="1"/>
  <c r="AH1459" i="1" s="1"/>
  <c r="AH1460" i="1" a="1"/>
  <c r="AH1460" i="1" s="1"/>
  <c r="AH1461" i="1" a="1"/>
  <c r="AH1461" i="1" s="1"/>
  <c r="AH1462" i="1" a="1"/>
  <c r="AH1462" i="1" s="1"/>
  <c r="AH1463" i="1" a="1"/>
  <c r="AH1463" i="1" s="1"/>
  <c r="AH1464" i="1" a="1"/>
  <c r="AH1464" i="1" s="1"/>
  <c r="AH1465" i="1" a="1"/>
  <c r="AH1465" i="1" s="1"/>
  <c r="AH1466" i="1" a="1"/>
  <c r="AH1466" i="1" s="1"/>
  <c r="AH1467" i="1" a="1"/>
  <c r="AH1467" i="1"/>
  <c r="AH1468" i="1" a="1"/>
  <c r="AH1468" i="1" s="1"/>
  <c r="AH1469" i="1" a="1"/>
  <c r="AH1469" i="1" s="1"/>
  <c r="AH1470" i="1" a="1"/>
  <c r="AH1470" i="1" s="1"/>
  <c r="AH1471" i="1" a="1"/>
  <c r="AH1471" i="1" s="1"/>
  <c r="AH2" i="1" a="1"/>
  <c r="AH2" i="1" s="1"/>
  <c r="AG3" i="1" a="1"/>
  <c r="AG3" i="1" s="1"/>
  <c r="AG4" i="1" a="1"/>
  <c r="AG4" i="1" s="1"/>
  <c r="AG5" i="1" a="1"/>
  <c r="AG5" i="1" s="1"/>
  <c r="AG6" i="1" a="1"/>
  <c r="AG6" i="1" s="1"/>
  <c r="AG7" i="1" a="1"/>
  <c r="AG7" i="1" s="1"/>
  <c r="AG8" i="1" a="1"/>
  <c r="AG8" i="1" s="1"/>
  <c r="AG9" i="1" a="1"/>
  <c r="AG9" i="1" s="1"/>
  <c r="AG10" i="1" a="1"/>
  <c r="AG10" i="1" s="1"/>
  <c r="AG11" i="1" a="1"/>
  <c r="AG11" i="1" s="1"/>
  <c r="AG12" i="1" a="1"/>
  <c r="AG12" i="1" s="1"/>
  <c r="AG13" i="1" a="1"/>
  <c r="AG13" i="1" s="1"/>
  <c r="AG14" i="1" a="1"/>
  <c r="AG14" i="1" s="1"/>
  <c r="AG15" i="1" a="1"/>
  <c r="AG15" i="1" s="1"/>
  <c r="AG16" i="1" a="1"/>
  <c r="AG16" i="1" s="1"/>
  <c r="AG17" i="1" a="1"/>
  <c r="AG17" i="1" s="1"/>
  <c r="AG18" i="1" a="1"/>
  <c r="AG18" i="1" s="1"/>
  <c r="AG19" i="1" a="1"/>
  <c r="AG19" i="1" s="1"/>
  <c r="AG20" i="1" a="1"/>
  <c r="AG20" i="1" s="1"/>
  <c r="AG21" i="1" a="1"/>
  <c r="AG21" i="1" s="1"/>
  <c r="AG22" i="1" a="1"/>
  <c r="AG22" i="1" s="1"/>
  <c r="AG23" i="1" a="1"/>
  <c r="AG23" i="1" s="1"/>
  <c r="AG24" i="1" a="1"/>
  <c r="AG24" i="1" s="1"/>
  <c r="AG25" i="1" a="1"/>
  <c r="AG25" i="1" s="1"/>
  <c r="AG26" i="1" a="1"/>
  <c r="AG26" i="1" s="1"/>
  <c r="AG27" i="1" a="1"/>
  <c r="AG27" i="1" s="1"/>
  <c r="AG28" i="1" a="1"/>
  <c r="AG28" i="1" s="1"/>
  <c r="AG29" i="1" a="1"/>
  <c r="AG29" i="1" s="1"/>
  <c r="AG30" i="1" a="1"/>
  <c r="AG30" i="1" s="1"/>
  <c r="AG31" i="1" a="1"/>
  <c r="AG31" i="1" s="1"/>
  <c r="AG32" i="1" a="1"/>
  <c r="AG32" i="1" s="1"/>
  <c r="AG33" i="1" a="1"/>
  <c r="AG33" i="1" s="1"/>
  <c r="AG34" i="1" a="1"/>
  <c r="AG34" i="1"/>
  <c r="AG35" i="1" a="1"/>
  <c r="AG35" i="1" s="1"/>
  <c r="AG36" i="1" a="1"/>
  <c r="AG36" i="1" s="1"/>
  <c r="AG37" i="1" a="1"/>
  <c r="AG37" i="1" s="1"/>
  <c r="AG38" i="1" a="1"/>
  <c r="AG38" i="1" s="1"/>
  <c r="AG39" i="1" a="1"/>
  <c r="AG39" i="1" s="1"/>
  <c r="AG40" i="1" a="1"/>
  <c r="AG40" i="1" s="1"/>
  <c r="AG41" i="1" a="1"/>
  <c r="AG41" i="1" s="1"/>
  <c r="AG42" i="1" a="1"/>
  <c r="AG42" i="1" s="1"/>
  <c r="AG43" i="1" a="1"/>
  <c r="AG43" i="1" s="1"/>
  <c r="AG44" i="1" a="1"/>
  <c r="AG44" i="1" s="1"/>
  <c r="AG45" i="1" a="1"/>
  <c r="AG45" i="1" s="1"/>
  <c r="AG46" i="1" a="1"/>
  <c r="AG46" i="1" s="1"/>
  <c r="AG47" i="1" a="1"/>
  <c r="AG47" i="1" s="1"/>
  <c r="AG48" i="1" a="1"/>
  <c r="AG48" i="1" s="1"/>
  <c r="AG49" i="1" a="1"/>
  <c r="AG49" i="1" s="1"/>
  <c r="AG50" i="1" a="1"/>
  <c r="AG50" i="1" s="1"/>
  <c r="AG51" i="1" a="1"/>
  <c r="AG51" i="1" s="1"/>
  <c r="AG52" i="1" a="1"/>
  <c r="AG52" i="1" s="1"/>
  <c r="AG53" i="1" a="1"/>
  <c r="AG53" i="1" s="1"/>
  <c r="AG54" i="1" a="1"/>
  <c r="AG54" i="1" s="1"/>
  <c r="AG55" i="1" a="1"/>
  <c r="AG55" i="1" s="1"/>
  <c r="AG56" i="1" a="1"/>
  <c r="AG56" i="1" s="1"/>
  <c r="AG57" i="1" a="1"/>
  <c r="AG57" i="1" s="1"/>
  <c r="AG58" i="1" a="1"/>
  <c r="AG58" i="1" s="1"/>
  <c r="AG59" i="1" a="1"/>
  <c r="AG59" i="1" s="1"/>
  <c r="AG60" i="1" a="1"/>
  <c r="AG60" i="1" s="1"/>
  <c r="AG61" i="1" a="1"/>
  <c r="AG61" i="1" s="1"/>
  <c r="AG62" i="1" a="1"/>
  <c r="AG62" i="1" s="1"/>
  <c r="AG63" i="1" a="1"/>
  <c r="AG63" i="1" s="1"/>
  <c r="AG64" i="1" a="1"/>
  <c r="AG64" i="1" s="1"/>
  <c r="AG65" i="1" a="1"/>
  <c r="AG65" i="1" s="1"/>
  <c r="AG66" i="1" a="1"/>
  <c r="AG66" i="1" s="1"/>
  <c r="AG67" i="1" a="1"/>
  <c r="AG67" i="1" s="1"/>
  <c r="AG68" i="1" a="1"/>
  <c r="AG68" i="1"/>
  <c r="AG69" i="1" a="1"/>
  <c r="AG69" i="1" s="1"/>
  <c r="AG70" i="1" a="1"/>
  <c r="AG70" i="1" s="1"/>
  <c r="AG71" i="1" a="1"/>
  <c r="AG71" i="1" s="1"/>
  <c r="AG72" i="1" a="1"/>
  <c r="AG72" i="1" s="1"/>
  <c r="AG73" i="1" a="1"/>
  <c r="AG73" i="1" s="1"/>
  <c r="AG74" i="1" a="1"/>
  <c r="AG74" i="1" s="1"/>
  <c r="AG75" i="1" a="1"/>
  <c r="AG75" i="1" s="1"/>
  <c r="AG76" i="1" a="1"/>
  <c r="AG76" i="1" s="1"/>
  <c r="AG77" i="1" a="1"/>
  <c r="AG77" i="1" s="1"/>
  <c r="AG78" i="1" a="1"/>
  <c r="AG78" i="1" s="1"/>
  <c r="AG79" i="1" a="1"/>
  <c r="AG79" i="1" s="1"/>
  <c r="AG80" i="1" a="1"/>
  <c r="AG80" i="1" s="1"/>
  <c r="AG81" i="1" a="1"/>
  <c r="AG81" i="1" s="1"/>
  <c r="AG82" i="1" a="1"/>
  <c r="AG82" i="1"/>
  <c r="AG83" i="1" a="1"/>
  <c r="AG83" i="1" s="1"/>
  <c r="AG84" i="1" a="1"/>
  <c r="AG84" i="1" s="1"/>
  <c r="AG85" i="1" a="1"/>
  <c r="AG85" i="1" s="1"/>
  <c r="AG86" i="1" a="1"/>
  <c r="AG86" i="1" s="1"/>
  <c r="AG87" i="1" a="1"/>
  <c r="AG87" i="1" s="1"/>
  <c r="AG88" i="1" a="1"/>
  <c r="AG88" i="1" s="1"/>
  <c r="AG89" i="1" a="1"/>
  <c r="AG89" i="1" s="1"/>
  <c r="AG90" i="1" a="1"/>
  <c r="AG90" i="1" s="1"/>
  <c r="AG91" i="1" a="1"/>
  <c r="AG91" i="1" s="1"/>
  <c r="AG92" i="1" a="1"/>
  <c r="AG92" i="1" s="1"/>
  <c r="AG93" i="1" a="1"/>
  <c r="AG93" i="1" s="1"/>
  <c r="AG94" i="1" a="1"/>
  <c r="AG94" i="1" s="1"/>
  <c r="AG95" i="1" a="1"/>
  <c r="AG95" i="1" s="1"/>
  <c r="AG96" i="1" a="1"/>
  <c r="AG96" i="1" s="1"/>
  <c r="AG97" i="1" a="1"/>
  <c r="AG97" i="1" s="1"/>
  <c r="AG98" i="1" a="1"/>
  <c r="AG98" i="1" s="1"/>
  <c r="AG99" i="1" a="1"/>
  <c r="AG99" i="1" s="1"/>
  <c r="AG100" i="1" a="1"/>
  <c r="AG100" i="1" s="1"/>
  <c r="AG101" i="1" a="1"/>
  <c r="AG101" i="1" s="1"/>
  <c r="AG102" i="1" a="1"/>
  <c r="AG102" i="1" s="1"/>
  <c r="AG103" i="1" a="1"/>
  <c r="AG103" i="1" s="1"/>
  <c r="AG104" i="1" a="1"/>
  <c r="AG104" i="1" s="1"/>
  <c r="AG105" i="1" a="1"/>
  <c r="AG105" i="1" s="1"/>
  <c r="AG106" i="1" a="1"/>
  <c r="AG106" i="1" s="1"/>
  <c r="AG107" i="1" a="1"/>
  <c r="AG107" i="1" s="1"/>
  <c r="AG108" i="1" a="1"/>
  <c r="AG108" i="1" s="1"/>
  <c r="AG109" i="1" a="1"/>
  <c r="AG109" i="1" s="1"/>
  <c r="AG110" i="1" a="1"/>
  <c r="AG110" i="1" s="1"/>
  <c r="AG111" i="1" a="1"/>
  <c r="AG111" i="1" s="1"/>
  <c r="AG112" i="1" a="1"/>
  <c r="AG112" i="1" s="1"/>
  <c r="AG113" i="1" a="1"/>
  <c r="AG113" i="1" s="1"/>
  <c r="AG114" i="1" a="1"/>
  <c r="AG114" i="1" s="1"/>
  <c r="AG115" i="1" a="1"/>
  <c r="AG115" i="1" s="1"/>
  <c r="AG116" i="1" a="1"/>
  <c r="AG116" i="1" s="1"/>
  <c r="AG117" i="1" a="1"/>
  <c r="AG117" i="1" s="1"/>
  <c r="AG118" i="1" a="1"/>
  <c r="AG118" i="1" s="1"/>
  <c r="AG119" i="1" a="1"/>
  <c r="AG119" i="1" s="1"/>
  <c r="AG120" i="1" a="1"/>
  <c r="AG120" i="1" s="1"/>
  <c r="AG121" i="1" a="1"/>
  <c r="AG121" i="1" s="1"/>
  <c r="AG122" i="1" a="1"/>
  <c r="AG122" i="1" s="1"/>
  <c r="AG123" i="1" a="1"/>
  <c r="AG123" i="1" s="1"/>
  <c r="AG124" i="1" a="1"/>
  <c r="AG124" i="1" s="1"/>
  <c r="AG125" i="1" a="1"/>
  <c r="AG125" i="1" s="1"/>
  <c r="AG126" i="1" a="1"/>
  <c r="AG126" i="1" s="1"/>
  <c r="AG127" i="1" a="1"/>
  <c r="AG127" i="1" s="1"/>
  <c r="AG128" i="1" a="1"/>
  <c r="AG128" i="1" s="1"/>
  <c r="AG129" i="1" a="1"/>
  <c r="AG129" i="1" s="1"/>
  <c r="AG130" i="1" a="1"/>
  <c r="AG130" i="1" s="1"/>
  <c r="AG131" i="1" a="1"/>
  <c r="AG131" i="1" s="1"/>
  <c r="AG132" i="1" a="1"/>
  <c r="AG132" i="1" s="1"/>
  <c r="AG133" i="1" a="1"/>
  <c r="AG133" i="1" s="1"/>
  <c r="AG134" i="1" a="1"/>
  <c r="AG134" i="1" s="1"/>
  <c r="AG135" i="1" a="1"/>
  <c r="AG135" i="1" s="1"/>
  <c r="AG136" i="1" a="1"/>
  <c r="AG136" i="1" s="1"/>
  <c r="AG137" i="1" a="1"/>
  <c r="AG137" i="1" s="1"/>
  <c r="AG138" i="1" a="1"/>
  <c r="AG138" i="1"/>
  <c r="AG139" i="1" a="1"/>
  <c r="AG139" i="1" s="1"/>
  <c r="AG140" i="1" a="1"/>
  <c r="AG140" i="1" s="1"/>
  <c r="AG141" i="1" a="1"/>
  <c r="AG141" i="1" s="1"/>
  <c r="AG142" i="1" a="1"/>
  <c r="AG142" i="1" s="1"/>
  <c r="AG143" i="1" a="1"/>
  <c r="AG143" i="1" s="1"/>
  <c r="AG144" i="1" a="1"/>
  <c r="AG144" i="1" s="1"/>
  <c r="AG145" i="1" a="1"/>
  <c r="AG145" i="1" s="1"/>
  <c r="AG146" i="1" a="1"/>
  <c r="AG146" i="1" s="1"/>
  <c r="AG147" i="1" a="1"/>
  <c r="AG147" i="1" s="1"/>
  <c r="AG148" i="1" a="1"/>
  <c r="AG148" i="1" s="1"/>
  <c r="AG149" i="1" a="1"/>
  <c r="AG149" i="1" s="1"/>
  <c r="AG150" i="1" a="1"/>
  <c r="AG150" i="1" s="1"/>
  <c r="AG151" i="1" a="1"/>
  <c r="AG151" i="1" s="1"/>
  <c r="AG152" i="1" a="1"/>
  <c r="AG152" i="1" s="1"/>
  <c r="AG153" i="1" a="1"/>
  <c r="AG153" i="1" s="1"/>
  <c r="AG154" i="1" a="1"/>
  <c r="AG154" i="1" s="1"/>
  <c r="AG155" i="1" a="1"/>
  <c r="AG155" i="1" s="1"/>
  <c r="AG156" i="1" a="1"/>
  <c r="AG156" i="1" s="1"/>
  <c r="AG157" i="1" a="1"/>
  <c r="AG157" i="1" s="1"/>
  <c r="AG158" i="1" a="1"/>
  <c r="AG158" i="1" s="1"/>
  <c r="AG159" i="1" a="1"/>
  <c r="AG159" i="1" s="1"/>
  <c r="AG160" i="1" a="1"/>
  <c r="AG160" i="1" s="1"/>
  <c r="AG161" i="1" a="1"/>
  <c r="AG161" i="1" s="1"/>
  <c r="AG162" i="1" a="1"/>
  <c r="AG162" i="1" s="1"/>
  <c r="AG163" i="1" a="1"/>
  <c r="AG163" i="1" s="1"/>
  <c r="AG164" i="1" a="1"/>
  <c r="AG164" i="1" s="1"/>
  <c r="AG165" i="1" a="1"/>
  <c r="AG165" i="1" s="1"/>
  <c r="AG166" i="1" a="1"/>
  <c r="AG166" i="1" s="1"/>
  <c r="AG167" i="1" a="1"/>
  <c r="AG167" i="1" s="1"/>
  <c r="AG168" i="1" a="1"/>
  <c r="AG168" i="1" s="1"/>
  <c r="AG169" i="1" a="1"/>
  <c r="AG169" i="1" s="1"/>
  <c r="AG170" i="1" a="1"/>
  <c r="AG170" i="1" s="1"/>
  <c r="AG171" i="1" a="1"/>
  <c r="AG171" i="1" s="1"/>
  <c r="AG172" i="1" a="1"/>
  <c r="AG172" i="1" s="1"/>
  <c r="AG173" i="1" a="1"/>
  <c r="AG173" i="1" s="1"/>
  <c r="AG174" i="1" a="1"/>
  <c r="AG174" i="1" s="1"/>
  <c r="AG175" i="1" a="1"/>
  <c r="AG175" i="1" s="1"/>
  <c r="AG176" i="1" a="1"/>
  <c r="AG176" i="1" s="1"/>
  <c r="AG177" i="1" a="1"/>
  <c r="AG177" i="1" s="1"/>
  <c r="AG178" i="1" a="1"/>
  <c r="AG178" i="1" s="1"/>
  <c r="AG179" i="1" a="1"/>
  <c r="AG179" i="1" s="1"/>
  <c r="AG180" i="1" a="1"/>
  <c r="AG180" i="1" s="1"/>
  <c r="AG181" i="1" a="1"/>
  <c r="AG181" i="1" s="1"/>
  <c r="AG182" i="1" a="1"/>
  <c r="AG182" i="1" s="1"/>
  <c r="AG183" i="1" a="1"/>
  <c r="AG183" i="1" s="1"/>
  <c r="AG184" i="1" a="1"/>
  <c r="AG184" i="1" s="1"/>
  <c r="AG185" i="1" a="1"/>
  <c r="AG185" i="1" s="1"/>
  <c r="AG186" i="1" a="1"/>
  <c r="AG186" i="1" s="1"/>
  <c r="AG187" i="1" a="1"/>
  <c r="AG187" i="1" s="1"/>
  <c r="AG188" i="1" a="1"/>
  <c r="AG188" i="1" s="1"/>
  <c r="AG189" i="1" a="1"/>
  <c r="AG189" i="1" s="1"/>
  <c r="AG190" i="1" a="1"/>
  <c r="AG190" i="1" s="1"/>
  <c r="AG191" i="1" a="1"/>
  <c r="AG191" i="1" s="1"/>
  <c r="AG192" i="1" a="1"/>
  <c r="AG192" i="1" s="1"/>
  <c r="AG193" i="1" a="1"/>
  <c r="AG193" i="1" s="1"/>
  <c r="AG194" i="1" a="1"/>
  <c r="AG194" i="1" s="1"/>
  <c r="AG195" i="1" a="1"/>
  <c r="AG195" i="1" s="1"/>
  <c r="AG196" i="1" a="1"/>
  <c r="AG196" i="1" s="1"/>
  <c r="AG197" i="1" a="1"/>
  <c r="AG197" i="1" s="1"/>
  <c r="AG198" i="1" a="1"/>
  <c r="AG198" i="1" s="1"/>
  <c r="AG199" i="1" a="1"/>
  <c r="AG199" i="1" s="1"/>
  <c r="AG200" i="1" a="1"/>
  <c r="AG200" i="1" s="1"/>
  <c r="AG201" i="1" a="1"/>
  <c r="AG201" i="1" s="1"/>
  <c r="AG202" i="1" a="1"/>
  <c r="AG202" i="1" s="1"/>
  <c r="AG203" i="1" a="1"/>
  <c r="AG203" i="1" s="1"/>
  <c r="AG204" i="1" a="1"/>
  <c r="AG204" i="1" s="1"/>
  <c r="AG205" i="1" a="1"/>
  <c r="AG205" i="1" s="1"/>
  <c r="AG206" i="1" a="1"/>
  <c r="AG206" i="1" s="1"/>
  <c r="AG207" i="1" a="1"/>
  <c r="AG207" i="1" s="1"/>
  <c r="AG208" i="1" a="1"/>
  <c r="AG208" i="1" s="1"/>
  <c r="AG209" i="1" a="1"/>
  <c r="AG209" i="1" s="1"/>
  <c r="AG210" i="1" a="1"/>
  <c r="AG210" i="1" s="1"/>
  <c r="AG211" i="1" a="1"/>
  <c r="AG211" i="1" s="1"/>
  <c r="AG212" i="1" a="1"/>
  <c r="AG212" i="1" s="1"/>
  <c r="AG213" i="1" a="1"/>
  <c r="AG213" i="1" s="1"/>
  <c r="AG214" i="1" a="1"/>
  <c r="AG214" i="1" s="1"/>
  <c r="AG215" i="1" a="1"/>
  <c r="AG215" i="1" s="1"/>
  <c r="AG216" i="1" a="1"/>
  <c r="AG216" i="1" s="1"/>
  <c r="AG217" i="1" a="1"/>
  <c r="AG217" i="1" s="1"/>
  <c r="AG218" i="1" a="1"/>
  <c r="AG218" i="1" s="1"/>
  <c r="AG219" i="1" a="1"/>
  <c r="AG219" i="1" s="1"/>
  <c r="AG220" i="1" a="1"/>
  <c r="AG220" i="1" s="1"/>
  <c r="AG221" i="1" a="1"/>
  <c r="AG221" i="1" s="1"/>
  <c r="AG222" i="1" a="1"/>
  <c r="AG222" i="1" s="1"/>
  <c r="AG223" i="1" a="1"/>
  <c r="AG223" i="1" s="1"/>
  <c r="AG224" i="1" a="1"/>
  <c r="AG224" i="1" s="1"/>
  <c r="AG225" i="1" a="1"/>
  <c r="AG225" i="1" s="1"/>
  <c r="AG226" i="1" a="1"/>
  <c r="AG226" i="1" s="1"/>
  <c r="AG227" i="1" a="1"/>
  <c r="AG227" i="1" s="1"/>
  <c r="AG228" i="1" a="1"/>
  <c r="AG228" i="1" s="1"/>
  <c r="AG229" i="1" a="1"/>
  <c r="AG229" i="1" s="1"/>
  <c r="AG230" i="1" a="1"/>
  <c r="AG230" i="1" s="1"/>
  <c r="AG231" i="1" a="1"/>
  <c r="AG231" i="1" s="1"/>
  <c r="AG232" i="1" a="1"/>
  <c r="AG232" i="1" s="1"/>
  <c r="AG233" i="1" a="1"/>
  <c r="AG233" i="1" s="1"/>
  <c r="AG234" i="1" a="1"/>
  <c r="AG234" i="1"/>
  <c r="AG235" i="1" a="1"/>
  <c r="AG235" i="1" s="1"/>
  <c r="AG236" i="1" a="1"/>
  <c r="AG236" i="1" s="1"/>
  <c r="AG237" i="1" a="1"/>
  <c r="AG237" i="1" s="1"/>
  <c r="AG238" i="1" a="1"/>
  <c r="AG238" i="1" s="1"/>
  <c r="AG239" i="1" a="1"/>
  <c r="AG239" i="1" s="1"/>
  <c r="AG240" i="1" a="1"/>
  <c r="AG240" i="1" s="1"/>
  <c r="AG241" i="1" a="1"/>
  <c r="AG241" i="1" s="1"/>
  <c r="AG242" i="1" a="1"/>
  <c r="AG242" i="1" s="1"/>
  <c r="AG243" i="1" a="1"/>
  <c r="AG243" i="1" s="1"/>
  <c r="AG244" i="1" a="1"/>
  <c r="AG244" i="1" s="1"/>
  <c r="AG245" i="1" a="1"/>
  <c r="AG245" i="1" s="1"/>
  <c r="AG246" i="1" a="1"/>
  <c r="AG246" i="1" s="1"/>
  <c r="AG247" i="1" a="1"/>
  <c r="AG247" i="1" s="1"/>
  <c r="AG248" i="1" a="1"/>
  <c r="AG248" i="1" s="1"/>
  <c r="AG249" i="1" a="1"/>
  <c r="AG249" i="1" s="1"/>
  <c r="AG250" i="1" a="1"/>
  <c r="AG250" i="1" s="1"/>
  <c r="AG251" i="1" a="1"/>
  <c r="AG251" i="1" s="1"/>
  <c r="AG252" i="1" a="1"/>
  <c r="AG252" i="1" s="1"/>
  <c r="AG253" i="1" a="1"/>
  <c r="AG253" i="1"/>
  <c r="AG254" i="1" a="1"/>
  <c r="AG254" i="1" s="1"/>
  <c r="AG255" i="1" a="1"/>
  <c r="AG255" i="1" s="1"/>
  <c r="AG256" i="1" a="1"/>
  <c r="AG256" i="1" s="1"/>
  <c r="AG257" i="1" a="1"/>
  <c r="AG257" i="1" s="1"/>
  <c r="AG258" i="1" a="1"/>
  <c r="AG258" i="1" s="1"/>
  <c r="AG259" i="1" a="1"/>
  <c r="AG259" i="1" s="1"/>
  <c r="AG260" i="1" a="1"/>
  <c r="AG260" i="1" s="1"/>
  <c r="AG261" i="1" a="1"/>
  <c r="AG261" i="1" s="1"/>
  <c r="AG262" i="1" a="1"/>
  <c r="AG262" i="1" s="1"/>
  <c r="AG263" i="1" a="1"/>
  <c r="AG263" i="1" s="1"/>
  <c r="AG264" i="1" a="1"/>
  <c r="AG264" i="1" s="1"/>
  <c r="AG265" i="1" a="1"/>
  <c r="AG265" i="1" s="1"/>
  <c r="AG266" i="1" a="1"/>
  <c r="AG266" i="1" s="1"/>
  <c r="AG267" i="1" a="1"/>
  <c r="AG267" i="1" s="1"/>
  <c r="AG268" i="1" a="1"/>
  <c r="AG268" i="1" s="1"/>
  <c r="AG269" i="1" a="1"/>
  <c r="AG269" i="1"/>
  <c r="AG270" i="1" a="1"/>
  <c r="AG270" i="1" s="1"/>
  <c r="AG271" i="1" a="1"/>
  <c r="AG271" i="1" s="1"/>
  <c r="AG272" i="1" a="1"/>
  <c r="AG272" i="1" s="1"/>
  <c r="AG273" i="1" a="1"/>
  <c r="AG273" i="1" s="1"/>
  <c r="AG274" i="1" a="1"/>
  <c r="AG274" i="1" s="1"/>
  <c r="AG275" i="1" a="1"/>
  <c r="AG275" i="1" s="1"/>
  <c r="AG276" i="1" a="1"/>
  <c r="AG276" i="1" s="1"/>
  <c r="AG277" i="1" a="1"/>
  <c r="AG277" i="1" s="1"/>
  <c r="AG278" i="1" a="1"/>
  <c r="AG278" i="1" s="1"/>
  <c r="AG279" i="1" a="1"/>
  <c r="AG279" i="1" s="1"/>
  <c r="AG280" i="1" a="1"/>
  <c r="AG280" i="1" s="1"/>
  <c r="AG281" i="1" a="1"/>
  <c r="AG281" i="1" s="1"/>
  <c r="AG282" i="1" a="1"/>
  <c r="AG282" i="1" s="1"/>
  <c r="AG283" i="1" a="1"/>
  <c r="AG283" i="1" s="1"/>
  <c r="AG284" i="1" a="1"/>
  <c r="AG284" i="1"/>
  <c r="AG285" i="1" a="1"/>
  <c r="AG285" i="1" s="1"/>
  <c r="AG286" i="1" a="1"/>
  <c r="AG286" i="1" s="1"/>
  <c r="AG287" i="1" a="1"/>
  <c r="AG287" i="1" s="1"/>
  <c r="AG288" i="1" a="1"/>
  <c r="AG288" i="1" s="1"/>
  <c r="AG289" i="1" a="1"/>
  <c r="AG289" i="1" s="1"/>
  <c r="AG290" i="1" a="1"/>
  <c r="AG290" i="1"/>
  <c r="AG291" i="1" a="1"/>
  <c r="AG291" i="1" s="1"/>
  <c r="AG292" i="1" a="1"/>
  <c r="AG292" i="1"/>
  <c r="AG293" i="1" a="1"/>
  <c r="AG293" i="1" s="1"/>
  <c r="AG294" i="1" a="1"/>
  <c r="AG294" i="1" s="1"/>
  <c r="AG295" i="1" a="1"/>
  <c r="AG295" i="1" s="1"/>
  <c r="AG296" i="1" a="1"/>
  <c r="AG296" i="1" s="1"/>
  <c r="AG297" i="1" a="1"/>
  <c r="AG297" i="1" s="1"/>
  <c r="AG298" i="1" a="1"/>
  <c r="AG298" i="1" s="1"/>
  <c r="AG299" i="1" a="1"/>
  <c r="AG299" i="1" s="1"/>
  <c r="AG300" i="1" a="1"/>
  <c r="AG300" i="1" s="1"/>
  <c r="AG301" i="1" a="1"/>
  <c r="AG301" i="1" s="1"/>
  <c r="AG302" i="1" a="1"/>
  <c r="AG302" i="1" s="1"/>
  <c r="AG303" i="1" a="1"/>
  <c r="AG303" i="1" s="1"/>
  <c r="AG304" i="1" a="1"/>
  <c r="AG304" i="1" s="1"/>
  <c r="AG305" i="1" a="1"/>
  <c r="AG305" i="1" s="1"/>
  <c r="AG306" i="1" a="1"/>
  <c r="AG306" i="1" s="1"/>
  <c r="AG307" i="1" a="1"/>
  <c r="AG307" i="1" s="1"/>
  <c r="AG308" i="1" a="1"/>
  <c r="AG308" i="1" s="1"/>
  <c r="AG309" i="1" a="1"/>
  <c r="AG309" i="1"/>
  <c r="AG310" i="1" a="1"/>
  <c r="AG310" i="1" s="1"/>
  <c r="AG311" i="1" a="1"/>
  <c r="AG311" i="1" s="1"/>
  <c r="AG312" i="1" a="1"/>
  <c r="AG312" i="1" s="1"/>
  <c r="AG313" i="1" a="1"/>
  <c r="AG313" i="1" s="1"/>
  <c r="AG314" i="1" a="1"/>
  <c r="AG314" i="1" s="1"/>
  <c r="AG315" i="1" a="1"/>
  <c r="AG315" i="1" s="1"/>
  <c r="AG316" i="1" a="1"/>
  <c r="AG316" i="1" s="1"/>
  <c r="AG317" i="1" a="1"/>
  <c r="AG317" i="1" s="1"/>
  <c r="AG318" i="1" a="1"/>
  <c r="AG318" i="1" s="1"/>
  <c r="AG319" i="1" a="1"/>
  <c r="AG319" i="1" s="1"/>
  <c r="AG320" i="1" a="1"/>
  <c r="AG320" i="1" s="1"/>
  <c r="AG321" i="1" a="1"/>
  <c r="AG321" i="1" s="1"/>
  <c r="AG322" i="1" a="1"/>
  <c r="AG322" i="1" s="1"/>
  <c r="AG323" i="1" a="1"/>
  <c r="AG323" i="1" s="1"/>
  <c r="AG324" i="1" a="1"/>
  <c r="AG324" i="1" s="1"/>
  <c r="AG325" i="1" a="1"/>
  <c r="AG325" i="1" s="1"/>
  <c r="AG326" i="1" a="1"/>
  <c r="AG326" i="1" s="1"/>
  <c r="AG327" i="1" a="1"/>
  <c r="AG327" i="1" s="1"/>
  <c r="AG328" i="1" a="1"/>
  <c r="AG328" i="1" s="1"/>
  <c r="AG329" i="1" a="1"/>
  <c r="AG329" i="1" s="1"/>
  <c r="AG330" i="1" a="1"/>
  <c r="AG330" i="1" s="1"/>
  <c r="AG331" i="1" a="1"/>
  <c r="AG331" i="1" s="1"/>
  <c r="AG332" i="1" a="1"/>
  <c r="AG332" i="1" s="1"/>
  <c r="AG333" i="1" a="1"/>
  <c r="AG333" i="1" s="1"/>
  <c r="AG334" i="1" a="1"/>
  <c r="AG334" i="1" s="1"/>
  <c r="AG335" i="1" a="1"/>
  <c r="AG335" i="1" s="1"/>
  <c r="AG336" i="1" a="1"/>
  <c r="AG336" i="1" s="1"/>
  <c r="AG337" i="1" a="1"/>
  <c r="AG337" i="1" s="1"/>
  <c r="AG338" i="1" a="1"/>
  <c r="AG338" i="1"/>
  <c r="AG339" i="1" a="1"/>
  <c r="AG339" i="1" s="1"/>
  <c r="AG340" i="1" a="1"/>
  <c r="AG340" i="1" s="1"/>
  <c r="AG341" i="1" a="1"/>
  <c r="AG341" i="1" s="1"/>
  <c r="AG342" i="1" a="1"/>
  <c r="AG342" i="1" s="1"/>
  <c r="AG343" i="1" a="1"/>
  <c r="AG343" i="1" s="1"/>
  <c r="AG344" i="1" a="1"/>
  <c r="AG344" i="1" s="1"/>
  <c r="AG345" i="1" a="1"/>
  <c r="AG345" i="1" s="1"/>
  <c r="AG346" i="1" a="1"/>
  <c r="AG346" i="1" s="1"/>
  <c r="AG347" i="1" a="1"/>
  <c r="AG347" i="1" s="1"/>
  <c r="AG348" i="1" a="1"/>
  <c r="AG348" i="1" s="1"/>
  <c r="AG349" i="1" a="1"/>
  <c r="AG349" i="1"/>
  <c r="AG350" i="1" a="1"/>
  <c r="AG350" i="1" s="1"/>
  <c r="AG351" i="1" a="1"/>
  <c r="AG351" i="1" s="1"/>
  <c r="AG352" i="1" a="1"/>
  <c r="AG352" i="1" s="1"/>
  <c r="AG353" i="1" a="1"/>
  <c r="AG353" i="1" s="1"/>
  <c r="AG354" i="1" a="1"/>
  <c r="AG354" i="1" s="1"/>
  <c r="AG355" i="1" a="1"/>
  <c r="AG355" i="1" s="1"/>
  <c r="AG356" i="1" a="1"/>
  <c r="AG356" i="1" s="1"/>
  <c r="AG357" i="1" a="1"/>
  <c r="AG357" i="1" s="1"/>
  <c r="AG358" i="1" a="1"/>
  <c r="AG358" i="1" s="1"/>
  <c r="AG359" i="1" a="1"/>
  <c r="AG359" i="1" s="1"/>
  <c r="AG360" i="1" a="1"/>
  <c r="AG360" i="1" s="1"/>
  <c r="AG361" i="1" a="1"/>
  <c r="AG361" i="1" s="1"/>
  <c r="AG362" i="1" a="1"/>
  <c r="AG362" i="1" s="1"/>
  <c r="AG363" i="1" a="1"/>
  <c r="AG363" i="1" s="1"/>
  <c r="AG364" i="1" a="1"/>
  <c r="AG364" i="1"/>
  <c r="AG365" i="1" a="1"/>
  <c r="AG365" i="1" s="1"/>
  <c r="AG366" i="1" a="1"/>
  <c r="AG366" i="1" s="1"/>
  <c r="AG367" i="1" a="1"/>
  <c r="AG367" i="1" s="1"/>
  <c r="AG368" i="1" a="1"/>
  <c r="AG368" i="1" s="1"/>
  <c r="AG369" i="1" a="1"/>
  <c r="AG369" i="1" s="1"/>
  <c r="AG370" i="1" a="1"/>
  <c r="AG370" i="1" s="1"/>
  <c r="AG371" i="1" a="1"/>
  <c r="AG371" i="1" s="1"/>
  <c r="AG372" i="1" a="1"/>
  <c r="AG372" i="1" s="1"/>
  <c r="AG373" i="1" a="1"/>
  <c r="AG373" i="1" s="1"/>
  <c r="AG374" i="1" a="1"/>
  <c r="AG374" i="1" s="1"/>
  <c r="AG375" i="1" a="1"/>
  <c r="AG375" i="1" s="1"/>
  <c r="AG376" i="1" a="1"/>
  <c r="AG376" i="1" s="1"/>
  <c r="AG377" i="1" a="1"/>
  <c r="AG377" i="1" s="1"/>
  <c r="AG378" i="1" a="1"/>
  <c r="AG378" i="1" s="1"/>
  <c r="AG379" i="1" a="1"/>
  <c r="AG379" i="1" s="1"/>
  <c r="AG380" i="1" a="1"/>
  <c r="AG380" i="1" s="1"/>
  <c r="AG381" i="1" a="1"/>
  <c r="AG381" i="1" s="1"/>
  <c r="AG382" i="1" a="1"/>
  <c r="AG382" i="1" s="1"/>
  <c r="AG383" i="1" a="1"/>
  <c r="AG383" i="1" s="1"/>
  <c r="AG384" i="1" a="1"/>
  <c r="AG384" i="1" s="1"/>
  <c r="AG385" i="1" a="1"/>
  <c r="AG385" i="1" s="1"/>
  <c r="AG386" i="1" a="1"/>
  <c r="AG386" i="1" s="1"/>
  <c r="AG387" i="1" a="1"/>
  <c r="AG387" i="1" s="1"/>
  <c r="AG388" i="1" a="1"/>
  <c r="AG388" i="1" s="1"/>
  <c r="AG389" i="1" a="1"/>
  <c r="AG389" i="1" s="1"/>
  <c r="AG390" i="1" a="1"/>
  <c r="AG390" i="1" s="1"/>
  <c r="AG391" i="1" a="1"/>
  <c r="AG391" i="1" s="1"/>
  <c r="AG392" i="1" a="1"/>
  <c r="AG392" i="1" s="1"/>
  <c r="AG393" i="1" a="1"/>
  <c r="AG393" i="1" s="1"/>
  <c r="AG394" i="1" a="1"/>
  <c r="AG394" i="1" s="1"/>
  <c r="AG395" i="1" a="1"/>
  <c r="AG395" i="1" s="1"/>
  <c r="AG396" i="1" a="1"/>
  <c r="AG396" i="1" s="1"/>
  <c r="AG397" i="1" a="1"/>
  <c r="AG397" i="1" s="1"/>
  <c r="AG398" i="1" a="1"/>
  <c r="AG398" i="1" s="1"/>
  <c r="AG399" i="1" a="1"/>
  <c r="AG399" i="1" s="1"/>
  <c r="AG400" i="1" a="1"/>
  <c r="AG400" i="1" s="1"/>
  <c r="AG401" i="1" a="1"/>
  <c r="AG401" i="1" s="1"/>
  <c r="AG402" i="1" a="1"/>
  <c r="AG402" i="1" s="1"/>
  <c r="AG403" i="1" a="1"/>
  <c r="AG403" i="1" s="1"/>
  <c r="AG404" i="1" a="1"/>
  <c r="AG404" i="1" s="1"/>
  <c r="AG405" i="1" a="1"/>
  <c r="AG405" i="1" s="1"/>
  <c r="AG406" i="1" a="1"/>
  <c r="AG406" i="1" s="1"/>
  <c r="AG407" i="1" a="1"/>
  <c r="AG407" i="1" s="1"/>
  <c r="AG408" i="1" a="1"/>
  <c r="AG408" i="1" s="1"/>
  <c r="AG409" i="1" a="1"/>
  <c r="AG409" i="1" s="1"/>
  <c r="AG410" i="1" a="1"/>
  <c r="AG410" i="1" s="1"/>
  <c r="AG411" i="1" a="1"/>
  <c r="AG411" i="1" s="1"/>
  <c r="AG412" i="1" a="1"/>
  <c r="AG412" i="1" s="1"/>
  <c r="AG413" i="1" a="1"/>
  <c r="AG413" i="1" s="1"/>
  <c r="AG414" i="1" a="1"/>
  <c r="AG414" i="1" s="1"/>
  <c r="AG415" i="1" a="1"/>
  <c r="AG415" i="1" s="1"/>
  <c r="AG416" i="1" a="1"/>
  <c r="AG416" i="1" s="1"/>
  <c r="AG417" i="1" a="1"/>
  <c r="AG417" i="1" s="1"/>
  <c r="AG418" i="1" a="1"/>
  <c r="AG418" i="1" s="1"/>
  <c r="AG419" i="1" a="1"/>
  <c r="AG419" i="1" s="1"/>
  <c r="AG420" i="1" a="1"/>
  <c r="AG420" i="1" s="1"/>
  <c r="AG421" i="1" a="1"/>
  <c r="AG421" i="1" s="1"/>
  <c r="AG422" i="1" a="1"/>
  <c r="AG422" i="1" s="1"/>
  <c r="AG423" i="1" a="1"/>
  <c r="AG423" i="1" s="1"/>
  <c r="AG424" i="1" a="1"/>
  <c r="AG424" i="1" s="1"/>
  <c r="AG425" i="1" a="1"/>
  <c r="AG425" i="1" s="1"/>
  <c r="AG426" i="1" a="1"/>
  <c r="AG426" i="1" s="1"/>
  <c r="AG427" i="1" a="1"/>
  <c r="AG427" i="1" s="1"/>
  <c r="AG428" i="1" a="1"/>
  <c r="AG428" i="1" s="1"/>
  <c r="AG429" i="1" a="1"/>
  <c r="AG429" i="1" s="1"/>
  <c r="AG430" i="1" a="1"/>
  <c r="AG430" i="1" s="1"/>
  <c r="AG431" i="1" a="1"/>
  <c r="AG431" i="1" s="1"/>
  <c r="AG432" i="1" a="1"/>
  <c r="AG432" i="1" s="1"/>
  <c r="AG433" i="1" a="1"/>
  <c r="AG433" i="1" s="1"/>
  <c r="AG434" i="1" a="1"/>
  <c r="AG434" i="1" s="1"/>
  <c r="AG435" i="1" a="1"/>
  <c r="AG435" i="1" s="1"/>
  <c r="AG436" i="1" a="1"/>
  <c r="AG436" i="1"/>
  <c r="AG437" i="1" a="1"/>
  <c r="AG437" i="1" s="1"/>
  <c r="AG438" i="1" a="1"/>
  <c r="AG438" i="1" s="1"/>
  <c r="AG439" i="1" a="1"/>
  <c r="AG439" i="1" s="1"/>
  <c r="AG440" i="1" a="1"/>
  <c r="AG440" i="1" s="1"/>
  <c r="AG441" i="1" a="1"/>
  <c r="AG441" i="1" s="1"/>
  <c r="AG442" i="1" a="1"/>
  <c r="AG442" i="1" s="1"/>
  <c r="AG443" i="1" a="1"/>
  <c r="AG443" i="1" s="1"/>
  <c r="AG444" i="1" a="1"/>
  <c r="AG444" i="1" s="1"/>
  <c r="AG445" i="1" a="1"/>
  <c r="AG445" i="1" s="1"/>
  <c r="AG446" i="1" a="1"/>
  <c r="AG446" i="1" s="1"/>
  <c r="AG447" i="1" a="1"/>
  <c r="AG447" i="1" s="1"/>
  <c r="AG448" i="1" a="1"/>
  <c r="AG448" i="1" s="1"/>
  <c r="AG449" i="1" a="1"/>
  <c r="AG449" i="1" s="1"/>
  <c r="AG450" i="1" a="1"/>
  <c r="AG450" i="1" s="1"/>
  <c r="AG451" i="1" a="1"/>
  <c r="AG451" i="1" s="1"/>
  <c r="AG452" i="1" a="1"/>
  <c r="AG452" i="1" s="1"/>
  <c r="AG453" i="1" a="1"/>
  <c r="AG453" i="1" s="1"/>
  <c r="AG454" i="1" a="1"/>
  <c r="AG454" i="1" s="1"/>
  <c r="AG455" i="1" a="1"/>
  <c r="AG455" i="1" s="1"/>
  <c r="AG456" i="1" a="1"/>
  <c r="AG456" i="1" s="1"/>
  <c r="AG457" i="1" a="1"/>
  <c r="AG457" i="1" s="1"/>
  <c r="AG458" i="1" a="1"/>
  <c r="AG458" i="1" s="1"/>
  <c r="AG459" i="1" a="1"/>
  <c r="AG459" i="1" s="1"/>
  <c r="AG460" i="1" a="1"/>
  <c r="AG460" i="1" s="1"/>
  <c r="AG461" i="1" a="1"/>
  <c r="AG461" i="1" s="1"/>
  <c r="AG462" i="1" a="1"/>
  <c r="AG462" i="1" s="1"/>
  <c r="AG463" i="1" a="1"/>
  <c r="AG463" i="1" s="1"/>
  <c r="AG464" i="1" a="1"/>
  <c r="AG464" i="1" s="1"/>
  <c r="AG465" i="1" a="1"/>
  <c r="AG465" i="1" s="1"/>
  <c r="AG466" i="1" a="1"/>
  <c r="AG466" i="1" s="1"/>
  <c r="AG467" i="1" a="1"/>
  <c r="AG467" i="1" s="1"/>
  <c r="AG468" i="1" a="1"/>
  <c r="AG468" i="1" s="1"/>
  <c r="AG469" i="1" a="1"/>
  <c r="AG469" i="1" s="1"/>
  <c r="AG470" i="1" a="1"/>
  <c r="AG470" i="1" s="1"/>
  <c r="AG471" i="1" a="1"/>
  <c r="AG471" i="1" s="1"/>
  <c r="AG472" i="1" a="1"/>
  <c r="AG472" i="1" s="1"/>
  <c r="AG473" i="1" a="1"/>
  <c r="AG473" i="1" s="1"/>
  <c r="AG474" i="1" a="1"/>
  <c r="AG474" i="1" s="1"/>
  <c r="AG475" i="1" a="1"/>
  <c r="AG475" i="1" s="1"/>
  <c r="AG476" i="1" a="1"/>
  <c r="AG476" i="1" s="1"/>
  <c r="AG477" i="1" a="1"/>
  <c r="AG477" i="1" s="1"/>
  <c r="AG478" i="1" a="1"/>
  <c r="AG478" i="1" s="1"/>
  <c r="AG479" i="1" a="1"/>
  <c r="AG479" i="1" s="1"/>
  <c r="AG480" i="1" a="1"/>
  <c r="AG480" i="1" s="1"/>
  <c r="AG481" i="1" a="1"/>
  <c r="AG481" i="1" s="1"/>
  <c r="AG482" i="1" a="1"/>
  <c r="AG482" i="1" s="1"/>
  <c r="AG483" i="1" a="1"/>
  <c r="AG483" i="1" s="1"/>
  <c r="AG484" i="1" a="1"/>
  <c r="AG484" i="1" s="1"/>
  <c r="AG485" i="1" a="1"/>
  <c r="AG485" i="1" s="1"/>
  <c r="AG486" i="1" a="1"/>
  <c r="AG486" i="1" s="1"/>
  <c r="AG487" i="1" a="1"/>
  <c r="AG487" i="1" s="1"/>
  <c r="AG488" i="1" a="1"/>
  <c r="AG488" i="1" s="1"/>
  <c r="AG489" i="1" a="1"/>
  <c r="AG489" i="1" s="1"/>
  <c r="AG490" i="1" a="1"/>
  <c r="AG490" i="1"/>
  <c r="AG491" i="1" a="1"/>
  <c r="AG491" i="1" s="1"/>
  <c r="AG492" i="1" a="1"/>
  <c r="AG492" i="1"/>
  <c r="AG493" i="1" a="1"/>
  <c r="AG493" i="1" s="1"/>
  <c r="AG494" i="1" a="1"/>
  <c r="AG494" i="1" s="1"/>
  <c r="AG495" i="1" a="1"/>
  <c r="AG495" i="1" s="1"/>
  <c r="AG496" i="1" a="1"/>
  <c r="AG496" i="1" s="1"/>
  <c r="AG497" i="1" a="1"/>
  <c r="AG497" i="1" s="1"/>
  <c r="AG498" i="1" a="1"/>
  <c r="AG498" i="1" s="1"/>
  <c r="AG499" i="1" a="1"/>
  <c r="AG499" i="1" s="1"/>
  <c r="AG500" i="1" a="1"/>
  <c r="AG500" i="1" s="1"/>
  <c r="AG501" i="1" a="1"/>
  <c r="AG501" i="1" s="1"/>
  <c r="AG502" i="1" a="1"/>
  <c r="AG502" i="1" s="1"/>
  <c r="AG503" i="1" a="1"/>
  <c r="AG503" i="1" s="1"/>
  <c r="AG504" i="1" a="1"/>
  <c r="AG504" i="1" s="1"/>
  <c r="AG505" i="1" a="1"/>
  <c r="AG505" i="1" s="1"/>
  <c r="AG506" i="1" a="1"/>
  <c r="AG506" i="1" s="1"/>
  <c r="AG507" i="1" a="1"/>
  <c r="AG507" i="1" s="1"/>
  <c r="AG508" i="1" a="1"/>
  <c r="AG508" i="1" s="1"/>
  <c r="AG509" i="1" a="1"/>
  <c r="AG509" i="1" s="1"/>
  <c r="AG510" i="1" a="1"/>
  <c r="AG510" i="1" s="1"/>
  <c r="AG511" i="1" a="1"/>
  <c r="AG511" i="1" s="1"/>
  <c r="AG512" i="1" a="1"/>
  <c r="AG512" i="1" s="1"/>
  <c r="AG513" i="1" a="1"/>
  <c r="AG513" i="1" s="1"/>
  <c r="AG514" i="1" a="1"/>
  <c r="AG514" i="1" s="1"/>
  <c r="AG515" i="1" a="1"/>
  <c r="AG515" i="1" s="1"/>
  <c r="AG516" i="1" a="1"/>
  <c r="AG516" i="1" s="1"/>
  <c r="AG517" i="1" a="1"/>
  <c r="AG517" i="1" s="1"/>
  <c r="AG518" i="1" a="1"/>
  <c r="AG518" i="1" s="1"/>
  <c r="AG519" i="1" a="1"/>
  <c r="AG519" i="1" s="1"/>
  <c r="AG520" i="1" a="1"/>
  <c r="AG520" i="1" s="1"/>
  <c r="AG521" i="1" a="1"/>
  <c r="AG521" i="1" s="1"/>
  <c r="AG522" i="1" a="1"/>
  <c r="AG522" i="1" s="1"/>
  <c r="AG523" i="1" a="1"/>
  <c r="AG523" i="1" s="1"/>
  <c r="AG524" i="1" a="1"/>
  <c r="AG524" i="1" s="1"/>
  <c r="AG525" i="1" a="1"/>
  <c r="AG525" i="1" s="1"/>
  <c r="AG526" i="1" a="1"/>
  <c r="AG526" i="1" s="1"/>
  <c r="AG527" i="1" a="1"/>
  <c r="AG527" i="1" s="1"/>
  <c r="AG528" i="1" a="1"/>
  <c r="AG528" i="1" s="1"/>
  <c r="AG529" i="1" a="1"/>
  <c r="AG529" i="1" s="1"/>
  <c r="AG530" i="1" a="1"/>
  <c r="AG530" i="1" s="1"/>
  <c r="AG531" i="1" a="1"/>
  <c r="AG531" i="1" s="1"/>
  <c r="AG532" i="1" a="1"/>
  <c r="AG532" i="1" s="1"/>
  <c r="AG533" i="1" a="1"/>
  <c r="AG533" i="1"/>
  <c r="AG534" i="1" a="1"/>
  <c r="AG534" i="1" s="1"/>
  <c r="AG535" i="1" a="1"/>
  <c r="AG535" i="1" s="1"/>
  <c r="AG536" i="1" a="1"/>
  <c r="AG536" i="1" s="1"/>
  <c r="AG537" i="1" a="1"/>
  <c r="AG537" i="1" s="1"/>
  <c r="AG538" i="1" a="1"/>
  <c r="AG538" i="1" s="1"/>
  <c r="AG539" i="1" a="1"/>
  <c r="AG539" i="1" s="1"/>
  <c r="AG540" i="1" a="1"/>
  <c r="AG540" i="1" s="1"/>
  <c r="AG541" i="1" a="1"/>
  <c r="AG541" i="1"/>
  <c r="AG542" i="1" a="1"/>
  <c r="AG542" i="1" s="1"/>
  <c r="AG543" i="1" a="1"/>
  <c r="AG543" i="1" s="1"/>
  <c r="AG544" i="1" a="1"/>
  <c r="AG544" i="1" s="1"/>
  <c r="AG545" i="1" a="1"/>
  <c r="AG545" i="1" s="1"/>
  <c r="AG546" i="1" a="1"/>
  <c r="AG546" i="1" s="1"/>
  <c r="AG547" i="1" a="1"/>
  <c r="AG547" i="1" s="1"/>
  <c r="AG548" i="1" a="1"/>
  <c r="AG548" i="1"/>
  <c r="AG549" i="1" a="1"/>
  <c r="AG549" i="1" s="1"/>
  <c r="AG550" i="1" a="1"/>
  <c r="AG550" i="1" s="1"/>
  <c r="AG551" i="1" a="1"/>
  <c r="AG551" i="1" s="1"/>
  <c r="AG552" i="1" a="1"/>
  <c r="AG552" i="1" s="1"/>
  <c r="AG553" i="1" a="1"/>
  <c r="AG553" i="1" s="1"/>
  <c r="AG554" i="1" a="1"/>
  <c r="AG554" i="1"/>
  <c r="AG555" i="1" a="1"/>
  <c r="AG555" i="1" s="1"/>
  <c r="AG556" i="1" a="1"/>
  <c r="AG556" i="1" s="1"/>
  <c r="AG557" i="1" a="1"/>
  <c r="AG557" i="1" s="1"/>
  <c r="AG558" i="1" a="1"/>
  <c r="AG558" i="1" s="1"/>
  <c r="AG559" i="1" a="1"/>
  <c r="AG559" i="1" s="1"/>
  <c r="AG560" i="1" a="1"/>
  <c r="AG560" i="1" s="1"/>
  <c r="AG561" i="1" a="1"/>
  <c r="AG561" i="1" s="1"/>
  <c r="AG562" i="1" a="1"/>
  <c r="AG562" i="1" s="1"/>
  <c r="AG563" i="1" a="1"/>
  <c r="AG563" i="1" s="1"/>
  <c r="AG564" i="1" a="1"/>
  <c r="AG564" i="1" s="1"/>
  <c r="AG565" i="1" a="1"/>
  <c r="AG565" i="1" s="1"/>
  <c r="AG566" i="1" a="1"/>
  <c r="AG566" i="1" s="1"/>
  <c r="AG567" i="1" a="1"/>
  <c r="AG567" i="1" s="1"/>
  <c r="AG568" i="1" a="1"/>
  <c r="AG568" i="1" s="1"/>
  <c r="AG569" i="1" a="1"/>
  <c r="AG569" i="1" s="1"/>
  <c r="AG570" i="1" a="1"/>
  <c r="AG570" i="1" s="1"/>
  <c r="AG571" i="1" a="1"/>
  <c r="AG571" i="1" s="1"/>
  <c r="AG572" i="1" a="1"/>
  <c r="AG572" i="1" s="1"/>
  <c r="AG573" i="1" a="1"/>
  <c r="AG573" i="1" s="1"/>
  <c r="AG574" i="1" a="1"/>
  <c r="AG574" i="1" s="1"/>
  <c r="AG575" i="1" a="1"/>
  <c r="AG575" i="1" s="1"/>
  <c r="AG576" i="1" a="1"/>
  <c r="AG576" i="1" s="1"/>
  <c r="AG577" i="1" a="1"/>
  <c r="AG577" i="1" s="1"/>
  <c r="AG578" i="1" a="1"/>
  <c r="AG578" i="1"/>
  <c r="AG579" i="1" a="1"/>
  <c r="AG579" i="1" s="1"/>
  <c r="AG580" i="1" a="1"/>
  <c r="AG580" i="1" s="1"/>
  <c r="AG581" i="1" a="1"/>
  <c r="AG581" i="1" s="1"/>
  <c r="AG582" i="1" a="1"/>
  <c r="AG582" i="1" s="1"/>
  <c r="AG583" i="1" a="1"/>
  <c r="AG583" i="1" s="1"/>
  <c r="AG584" i="1" a="1"/>
  <c r="AG584" i="1" s="1"/>
  <c r="AG585" i="1" a="1"/>
  <c r="AG585" i="1" s="1"/>
  <c r="AG586" i="1" a="1"/>
  <c r="AG586" i="1" s="1"/>
  <c r="AG587" i="1" a="1"/>
  <c r="AG587" i="1" s="1"/>
  <c r="AG588" i="1" a="1"/>
  <c r="AG588" i="1" s="1"/>
  <c r="AG589" i="1" a="1"/>
  <c r="AG589" i="1" s="1"/>
  <c r="AG590" i="1" a="1"/>
  <c r="AG590" i="1" s="1"/>
  <c r="AG591" i="1" a="1"/>
  <c r="AG591" i="1" s="1"/>
  <c r="AG592" i="1" a="1"/>
  <c r="AG592" i="1" s="1"/>
  <c r="AG593" i="1" a="1"/>
  <c r="AG593" i="1" s="1"/>
  <c r="AG594" i="1" a="1"/>
  <c r="AG594" i="1" s="1"/>
  <c r="AG595" i="1" a="1"/>
  <c r="AG595" i="1" s="1"/>
  <c r="AG596" i="1" a="1"/>
  <c r="AG596" i="1"/>
  <c r="AG597" i="1" a="1"/>
  <c r="AG597" i="1" s="1"/>
  <c r="AG598" i="1" a="1"/>
  <c r="AG598" i="1" s="1"/>
  <c r="AG599" i="1" a="1"/>
  <c r="AG599" i="1" s="1"/>
  <c r="AG600" i="1" a="1"/>
  <c r="AG600" i="1" s="1"/>
  <c r="AG601" i="1" a="1"/>
  <c r="AG601" i="1" s="1"/>
  <c r="AG602" i="1" a="1"/>
  <c r="AG602" i="1" s="1"/>
  <c r="AG603" i="1" a="1"/>
  <c r="AG603" i="1" s="1"/>
  <c r="AG604" i="1" a="1"/>
  <c r="AG604" i="1" s="1"/>
  <c r="AG605" i="1" a="1"/>
  <c r="AG605" i="1" s="1"/>
  <c r="AG606" i="1" a="1"/>
  <c r="AG606" i="1" s="1"/>
  <c r="AG607" i="1" a="1"/>
  <c r="AG607" i="1" s="1"/>
  <c r="AG608" i="1" a="1"/>
  <c r="AG608" i="1" s="1"/>
  <c r="AG609" i="1" a="1"/>
  <c r="AG609" i="1" s="1"/>
  <c r="AG610" i="1" a="1"/>
  <c r="AG610" i="1" s="1"/>
  <c r="AG611" i="1" a="1"/>
  <c r="AG611" i="1" s="1"/>
  <c r="AG612" i="1" a="1"/>
  <c r="AG612" i="1" s="1"/>
  <c r="AG613" i="1" a="1"/>
  <c r="AG613" i="1" s="1"/>
  <c r="AG614" i="1" a="1"/>
  <c r="AG614" i="1" s="1"/>
  <c r="AG615" i="1" a="1"/>
  <c r="AG615" i="1" s="1"/>
  <c r="AG616" i="1" a="1"/>
  <c r="AG616" i="1" s="1"/>
  <c r="AG617" i="1" a="1"/>
  <c r="AG617" i="1" s="1"/>
  <c r="AG618" i="1" a="1"/>
  <c r="AG618" i="1" s="1"/>
  <c r="AG619" i="1" a="1"/>
  <c r="AG619" i="1" s="1"/>
  <c r="AG620" i="1" a="1"/>
  <c r="AG620" i="1" s="1"/>
  <c r="AG621" i="1" a="1"/>
  <c r="AG621" i="1"/>
  <c r="AG622" i="1" a="1"/>
  <c r="AG622" i="1" s="1"/>
  <c r="AG623" i="1" a="1"/>
  <c r="AG623" i="1" s="1"/>
  <c r="AG624" i="1" a="1"/>
  <c r="AG624" i="1" s="1"/>
  <c r="AG625" i="1" a="1"/>
  <c r="AG625" i="1" s="1"/>
  <c r="AG626" i="1" a="1"/>
  <c r="AG626" i="1" s="1"/>
  <c r="AG627" i="1" a="1"/>
  <c r="AG627" i="1" s="1"/>
  <c r="AG628" i="1" a="1"/>
  <c r="AG628" i="1" s="1"/>
  <c r="AG629" i="1" a="1"/>
  <c r="AG629" i="1" s="1"/>
  <c r="AG630" i="1" a="1"/>
  <c r="AG630" i="1" s="1"/>
  <c r="AG631" i="1" a="1"/>
  <c r="AG631" i="1" s="1"/>
  <c r="AG632" i="1" a="1"/>
  <c r="AG632" i="1" s="1"/>
  <c r="AG633" i="1" a="1"/>
  <c r="AG633" i="1" s="1"/>
  <c r="AG634" i="1" a="1"/>
  <c r="AG634" i="1" s="1"/>
  <c r="AG635" i="1" a="1"/>
  <c r="AG635" i="1" s="1"/>
  <c r="AG636" i="1" a="1"/>
  <c r="AG636" i="1" s="1"/>
  <c r="AG637" i="1" a="1"/>
  <c r="AG637" i="1" s="1"/>
  <c r="AG638" i="1" a="1"/>
  <c r="AG638" i="1" s="1"/>
  <c r="AG639" i="1" a="1"/>
  <c r="AG639" i="1" s="1"/>
  <c r="AG640" i="1" a="1"/>
  <c r="AG640" i="1" s="1"/>
  <c r="AG641" i="1" a="1"/>
  <c r="AG641" i="1" s="1"/>
  <c r="AG642" i="1" a="1"/>
  <c r="AG642" i="1"/>
  <c r="AG643" i="1" a="1"/>
  <c r="AG643" i="1" s="1"/>
  <c r="AG644" i="1" a="1"/>
  <c r="AG644" i="1" s="1"/>
  <c r="AG645" i="1" a="1"/>
  <c r="AG645" i="1" s="1"/>
  <c r="AG646" i="1" a="1"/>
  <c r="AG646" i="1" s="1"/>
  <c r="AG647" i="1" a="1"/>
  <c r="AG647" i="1" s="1"/>
  <c r="AG648" i="1" a="1"/>
  <c r="AG648" i="1" s="1"/>
  <c r="AG649" i="1" a="1"/>
  <c r="AG649" i="1" s="1"/>
  <c r="AG650" i="1" a="1"/>
  <c r="AG650" i="1" s="1"/>
  <c r="AG651" i="1" a="1"/>
  <c r="AG651" i="1" s="1"/>
  <c r="AG652" i="1" a="1"/>
  <c r="AG652" i="1"/>
  <c r="AG653" i="1" a="1"/>
  <c r="AG653" i="1"/>
  <c r="AG654" i="1" a="1"/>
  <c r="AG654" i="1" s="1"/>
  <c r="AG655" i="1" a="1"/>
  <c r="AG655" i="1" s="1"/>
  <c r="AG656" i="1" a="1"/>
  <c r="AG656" i="1" s="1"/>
  <c r="AG657" i="1" a="1"/>
  <c r="AG657" i="1" s="1"/>
  <c r="AG658" i="1" a="1"/>
  <c r="AG658" i="1" s="1"/>
  <c r="AG659" i="1" a="1"/>
  <c r="AG659" i="1" s="1"/>
  <c r="AG660" i="1" a="1"/>
  <c r="AG660" i="1" s="1"/>
  <c r="AG661" i="1" a="1"/>
  <c r="AG661" i="1" s="1"/>
  <c r="AG662" i="1" a="1"/>
  <c r="AG662" i="1" s="1"/>
  <c r="AG663" i="1" a="1"/>
  <c r="AG663" i="1" s="1"/>
  <c r="AG664" i="1" a="1"/>
  <c r="AG664" i="1" s="1"/>
  <c r="AG665" i="1" a="1"/>
  <c r="AG665" i="1" s="1"/>
  <c r="AG666" i="1" a="1"/>
  <c r="AG666" i="1"/>
  <c r="AG667" i="1" a="1"/>
  <c r="AG667" i="1" s="1"/>
  <c r="AG668" i="1" a="1"/>
  <c r="AG668" i="1" s="1"/>
  <c r="AG669" i="1" a="1"/>
  <c r="AG669" i="1"/>
  <c r="AG670" i="1" a="1"/>
  <c r="AG670" i="1" s="1"/>
  <c r="AG671" i="1" a="1"/>
  <c r="AG671" i="1" s="1"/>
  <c r="AG672" i="1" a="1"/>
  <c r="AG672" i="1" s="1"/>
  <c r="AG673" i="1" a="1"/>
  <c r="AG673" i="1" s="1"/>
  <c r="AG674" i="1" a="1"/>
  <c r="AG674" i="1" s="1"/>
  <c r="AG675" i="1" a="1"/>
  <c r="AG675" i="1" s="1"/>
  <c r="AG676" i="1" a="1"/>
  <c r="AG676" i="1" s="1"/>
  <c r="AG677" i="1" a="1"/>
  <c r="AG677" i="1"/>
  <c r="AG678" i="1" a="1"/>
  <c r="AG678" i="1" s="1"/>
  <c r="AG679" i="1" a="1"/>
  <c r="AG679" i="1" s="1"/>
  <c r="AG680" i="1" a="1"/>
  <c r="AG680" i="1" s="1"/>
  <c r="AG681" i="1" a="1"/>
  <c r="AG681" i="1" s="1"/>
  <c r="AG682" i="1" a="1"/>
  <c r="AG682" i="1" s="1"/>
  <c r="AG683" i="1" a="1"/>
  <c r="AG683" i="1" s="1"/>
  <c r="AG684" i="1" a="1"/>
  <c r="AG684" i="1" s="1"/>
  <c r="AG685" i="1" a="1"/>
  <c r="AG685" i="1" s="1"/>
  <c r="AG686" i="1" a="1"/>
  <c r="AG686" i="1" s="1"/>
  <c r="AG687" i="1" a="1"/>
  <c r="AG687" i="1" s="1"/>
  <c r="AG688" i="1" a="1"/>
  <c r="AG688" i="1" s="1"/>
  <c r="AG689" i="1" a="1"/>
  <c r="AG689" i="1" s="1"/>
  <c r="AG690" i="1" a="1"/>
  <c r="AG690" i="1" s="1"/>
  <c r="AG691" i="1" a="1"/>
  <c r="AG691" i="1" s="1"/>
  <c r="AG692" i="1" a="1"/>
  <c r="AG692" i="1" s="1"/>
  <c r="AG693" i="1" a="1"/>
  <c r="AG693" i="1" s="1"/>
  <c r="AG694" i="1" a="1"/>
  <c r="AG694" i="1" s="1"/>
  <c r="AG695" i="1" a="1"/>
  <c r="AG695" i="1" s="1"/>
  <c r="AG696" i="1" a="1"/>
  <c r="AG696" i="1" s="1"/>
  <c r="AG697" i="1" a="1"/>
  <c r="AG697" i="1"/>
  <c r="AG698" i="1" a="1"/>
  <c r="AG698" i="1" s="1"/>
  <c r="AG699" i="1" a="1"/>
  <c r="AG699" i="1" s="1"/>
  <c r="AG700" i="1" a="1"/>
  <c r="AG700" i="1" s="1"/>
  <c r="AG701" i="1" a="1"/>
  <c r="AG701" i="1" s="1"/>
  <c r="AG702" i="1" a="1"/>
  <c r="AG702" i="1"/>
  <c r="AG703" i="1" a="1"/>
  <c r="AG703" i="1" s="1"/>
  <c r="AG704" i="1" a="1"/>
  <c r="AG704" i="1" s="1"/>
  <c r="AG705" i="1" a="1"/>
  <c r="AG705" i="1" s="1"/>
  <c r="AG706" i="1" a="1"/>
  <c r="AG706" i="1" s="1"/>
  <c r="AG707" i="1" a="1"/>
  <c r="AG707" i="1" s="1"/>
  <c r="AG708" i="1" a="1"/>
  <c r="AG708" i="1" s="1"/>
  <c r="AG709" i="1" a="1"/>
  <c r="AG709" i="1" s="1"/>
  <c r="AG710" i="1" a="1"/>
  <c r="AG710" i="1" s="1"/>
  <c r="AG711" i="1" a="1"/>
  <c r="AG711" i="1" s="1"/>
  <c r="AG712" i="1" a="1"/>
  <c r="AG712" i="1" s="1"/>
  <c r="AG713" i="1" a="1"/>
  <c r="AG713" i="1"/>
  <c r="AG714" i="1" a="1"/>
  <c r="AG714" i="1" s="1"/>
  <c r="AG715" i="1" a="1"/>
  <c r="AG715" i="1" s="1"/>
  <c r="AG716" i="1" a="1"/>
  <c r="AG716" i="1" s="1"/>
  <c r="AG717" i="1" a="1"/>
  <c r="AG717" i="1" s="1"/>
  <c r="AG718" i="1" a="1"/>
  <c r="AG718" i="1" s="1"/>
  <c r="AG719" i="1" a="1"/>
  <c r="AG719" i="1" s="1"/>
  <c r="AG720" i="1" a="1"/>
  <c r="AG720" i="1" s="1"/>
  <c r="AG721" i="1" a="1"/>
  <c r="AG721" i="1"/>
  <c r="AG722" i="1" a="1"/>
  <c r="AG722" i="1" s="1"/>
  <c r="AG723" i="1" a="1"/>
  <c r="AG723" i="1" s="1"/>
  <c r="AG724" i="1" a="1"/>
  <c r="AG724" i="1" s="1"/>
  <c r="AG725" i="1" a="1"/>
  <c r="AG725" i="1" s="1"/>
  <c r="AG726" i="1" a="1"/>
  <c r="AG726" i="1" s="1"/>
  <c r="AG727" i="1" a="1"/>
  <c r="AG727" i="1"/>
  <c r="AG728" i="1" a="1"/>
  <c r="AG728" i="1" s="1"/>
  <c r="AG729" i="1" a="1"/>
  <c r="AG729" i="1" s="1"/>
  <c r="AG730" i="1" a="1"/>
  <c r="AG730" i="1" s="1"/>
  <c r="AG731" i="1" a="1"/>
  <c r="AG731" i="1" s="1"/>
  <c r="AG732" i="1" a="1"/>
  <c r="AG732" i="1" s="1"/>
  <c r="AG733" i="1" a="1"/>
  <c r="AG733" i="1" s="1"/>
  <c r="AG734" i="1" a="1"/>
  <c r="AG734" i="1" s="1"/>
  <c r="AG735" i="1" a="1"/>
  <c r="AG735" i="1" s="1"/>
  <c r="AG736" i="1" a="1"/>
  <c r="AG736" i="1" s="1"/>
  <c r="AG737" i="1" a="1"/>
  <c r="AG737" i="1" s="1"/>
  <c r="AG738" i="1" a="1"/>
  <c r="AG738" i="1"/>
  <c r="AG739" i="1" a="1"/>
  <c r="AG739" i="1" s="1"/>
  <c r="AG740" i="1" a="1"/>
  <c r="AG740" i="1" s="1"/>
  <c r="AG741" i="1" a="1"/>
  <c r="AG741" i="1" s="1"/>
  <c r="AG742" i="1" a="1"/>
  <c r="AG742" i="1" s="1"/>
  <c r="AG743" i="1" a="1"/>
  <c r="AG743" i="1" s="1"/>
  <c r="AG744" i="1" a="1"/>
  <c r="AG744" i="1" s="1"/>
  <c r="AG745" i="1" a="1"/>
  <c r="AG745" i="1" s="1"/>
  <c r="AG746" i="1" a="1"/>
  <c r="AG746" i="1" s="1"/>
  <c r="AG747" i="1" a="1"/>
  <c r="AG747" i="1" s="1"/>
  <c r="AG748" i="1" a="1"/>
  <c r="AG748" i="1" s="1"/>
  <c r="AG749" i="1" a="1"/>
  <c r="AG749" i="1" s="1"/>
  <c r="AG750" i="1" a="1"/>
  <c r="AG750" i="1" s="1"/>
  <c r="AG751" i="1" a="1"/>
  <c r="AG751" i="1" s="1"/>
  <c r="AG752" i="1" a="1"/>
  <c r="AG752" i="1" s="1"/>
  <c r="AG753" i="1" a="1"/>
  <c r="AG753" i="1" s="1"/>
  <c r="AG754" i="1" a="1"/>
  <c r="AG754" i="1" s="1"/>
  <c r="AG755" i="1" a="1"/>
  <c r="AG755" i="1" s="1"/>
  <c r="AG756" i="1" a="1"/>
  <c r="AG756" i="1" s="1"/>
  <c r="AG757" i="1" a="1"/>
  <c r="AG757" i="1" s="1"/>
  <c r="AG758" i="1" a="1"/>
  <c r="AG758" i="1" s="1"/>
  <c r="AG759" i="1" a="1"/>
  <c r="AG759" i="1" s="1"/>
  <c r="AG760" i="1" a="1"/>
  <c r="AG760" i="1" s="1"/>
  <c r="AG761" i="1" a="1"/>
  <c r="AG761" i="1" s="1"/>
  <c r="AG762" i="1" a="1"/>
  <c r="AG762" i="1" s="1"/>
  <c r="AG763" i="1" a="1"/>
  <c r="AG763" i="1" s="1"/>
  <c r="AG764" i="1" a="1"/>
  <c r="AG764" i="1" s="1"/>
  <c r="AG765" i="1" a="1"/>
  <c r="AG765" i="1" s="1"/>
  <c r="AG766" i="1" a="1"/>
  <c r="AG766" i="1" s="1"/>
  <c r="AG767" i="1" a="1"/>
  <c r="AG767" i="1" s="1"/>
  <c r="AG768" i="1" a="1"/>
  <c r="AG768" i="1" s="1"/>
  <c r="AG769" i="1" a="1"/>
  <c r="AG769" i="1" s="1"/>
  <c r="AG770" i="1" a="1"/>
  <c r="AG770" i="1" s="1"/>
  <c r="AG771" i="1" a="1"/>
  <c r="AG771" i="1" s="1"/>
  <c r="AG772" i="1" a="1"/>
  <c r="AG772" i="1" s="1"/>
  <c r="AG773" i="1" a="1"/>
  <c r="AG773" i="1" s="1"/>
  <c r="AG774" i="1" a="1"/>
  <c r="AG774" i="1" s="1"/>
  <c r="AG775" i="1" a="1"/>
  <c r="AG775" i="1" s="1"/>
  <c r="AG776" i="1" a="1"/>
  <c r="AG776" i="1" s="1"/>
  <c r="AG777" i="1" a="1"/>
  <c r="AG777" i="1" s="1"/>
  <c r="AG778" i="1" a="1"/>
  <c r="AG778" i="1" s="1"/>
  <c r="AG779" i="1" a="1"/>
  <c r="AG779" i="1" s="1"/>
  <c r="AG780" i="1" a="1"/>
  <c r="AG780" i="1" s="1"/>
  <c r="AG781" i="1" a="1"/>
  <c r="AG781" i="1" s="1"/>
  <c r="AG782" i="1" a="1"/>
  <c r="AG782" i="1" s="1"/>
  <c r="AG783" i="1" a="1"/>
  <c r="AG783" i="1" s="1"/>
  <c r="AG784" i="1" a="1"/>
  <c r="AG784" i="1" s="1"/>
  <c r="AG785" i="1" a="1"/>
  <c r="AG785" i="1" s="1"/>
  <c r="AG786" i="1" a="1"/>
  <c r="AG786" i="1" s="1"/>
  <c r="AG787" i="1" a="1"/>
  <c r="AG787" i="1" s="1"/>
  <c r="AG788" i="1" a="1"/>
  <c r="AG788" i="1" s="1"/>
  <c r="AG789" i="1" a="1"/>
  <c r="AG789" i="1" s="1"/>
  <c r="AG790" i="1" a="1"/>
  <c r="AG790" i="1" s="1"/>
  <c r="AG791" i="1" a="1"/>
  <c r="AG791" i="1" s="1"/>
  <c r="AG792" i="1" a="1"/>
  <c r="AG792" i="1" s="1"/>
  <c r="AG793" i="1" a="1"/>
  <c r="AG793" i="1" s="1"/>
  <c r="AG794" i="1" a="1"/>
  <c r="AG794" i="1" s="1"/>
  <c r="AG795" i="1" a="1"/>
  <c r="AG795" i="1" s="1"/>
  <c r="AG796" i="1" a="1"/>
  <c r="AG796" i="1" s="1"/>
  <c r="AG797" i="1" a="1"/>
  <c r="AG797" i="1" s="1"/>
  <c r="AG798" i="1" a="1"/>
  <c r="AG798" i="1" s="1"/>
  <c r="AG799" i="1" a="1"/>
  <c r="AG799" i="1"/>
  <c r="AG800" i="1" a="1"/>
  <c r="AG800" i="1" s="1"/>
  <c r="AG801" i="1" a="1"/>
  <c r="AG801" i="1" s="1"/>
  <c r="AG802" i="1" a="1"/>
  <c r="AG802" i="1" s="1"/>
  <c r="AG803" i="1" a="1"/>
  <c r="AG803" i="1" s="1"/>
  <c r="AG804" i="1" a="1"/>
  <c r="AG804" i="1" s="1"/>
  <c r="AG805" i="1" a="1"/>
  <c r="AG805" i="1" s="1"/>
  <c r="AG806" i="1" a="1"/>
  <c r="AG806" i="1" s="1"/>
  <c r="AG807" i="1" a="1"/>
  <c r="AG807" i="1" s="1"/>
  <c r="AG808" i="1" a="1"/>
  <c r="AG808" i="1" s="1"/>
  <c r="AG809" i="1" a="1"/>
  <c r="AG809" i="1" s="1"/>
  <c r="AG810" i="1" a="1"/>
  <c r="AG810" i="1" s="1"/>
  <c r="AG811" i="1" a="1"/>
  <c r="AG811" i="1" s="1"/>
  <c r="AG812" i="1" a="1"/>
  <c r="AG812" i="1" s="1"/>
  <c r="AG813" i="1" a="1"/>
  <c r="AG813" i="1" s="1"/>
  <c r="AG814" i="1" a="1"/>
  <c r="AG814" i="1" s="1"/>
  <c r="AG815" i="1" a="1"/>
  <c r="AG815" i="1" s="1"/>
  <c r="AG816" i="1" a="1"/>
  <c r="AG816" i="1" s="1"/>
  <c r="AG817" i="1" a="1"/>
  <c r="AG817" i="1"/>
  <c r="AG818" i="1" a="1"/>
  <c r="AG818" i="1" s="1"/>
  <c r="AG819" i="1" a="1"/>
  <c r="AG819" i="1" s="1"/>
  <c r="AG820" i="1" a="1"/>
  <c r="AG820" i="1" s="1"/>
  <c r="AG821" i="1" a="1"/>
  <c r="AG821" i="1" s="1"/>
  <c r="AG822" i="1" a="1"/>
  <c r="AG822" i="1" s="1"/>
  <c r="AG823" i="1" a="1"/>
  <c r="AG823" i="1" s="1"/>
  <c r="AG824" i="1" a="1"/>
  <c r="AG824" i="1" s="1"/>
  <c r="AG825" i="1" a="1"/>
  <c r="AG825" i="1" s="1"/>
  <c r="AG826" i="1" a="1"/>
  <c r="AG826" i="1" s="1"/>
  <c r="AG827" i="1" a="1"/>
  <c r="AG827" i="1" s="1"/>
  <c r="AG828" i="1" a="1"/>
  <c r="AG828" i="1" s="1"/>
  <c r="AG829" i="1" a="1"/>
  <c r="AG829" i="1" s="1"/>
  <c r="AG830" i="1" a="1"/>
  <c r="AG830" i="1" s="1"/>
  <c r="AG831" i="1" a="1"/>
  <c r="AG831" i="1" s="1"/>
  <c r="AG832" i="1" a="1"/>
  <c r="AG832" i="1" s="1"/>
  <c r="AG833" i="1" a="1"/>
  <c r="AG833" i="1" s="1"/>
  <c r="AG834" i="1" a="1"/>
  <c r="AG834" i="1"/>
  <c r="AG835" i="1" a="1"/>
  <c r="AG835" i="1" s="1"/>
  <c r="AG836" i="1" a="1"/>
  <c r="AG836" i="1" s="1"/>
  <c r="AG837" i="1" a="1"/>
  <c r="AG837" i="1" s="1"/>
  <c r="AG838" i="1" a="1"/>
  <c r="AG838" i="1" s="1"/>
  <c r="AG839" i="1" a="1"/>
  <c r="AG839" i="1" s="1"/>
  <c r="AG840" i="1" a="1"/>
  <c r="AG840" i="1" s="1"/>
  <c r="AG841" i="1" a="1"/>
  <c r="AG841" i="1" s="1"/>
  <c r="AG842" i="1" a="1"/>
  <c r="AG842" i="1" s="1"/>
  <c r="AG843" i="1" a="1"/>
  <c r="AG843" i="1" s="1"/>
  <c r="AG844" i="1" a="1"/>
  <c r="AG844" i="1" s="1"/>
  <c r="AG845" i="1" a="1"/>
  <c r="AG845" i="1" s="1"/>
  <c r="AG846" i="1" a="1"/>
  <c r="AG846" i="1" s="1"/>
  <c r="AG847" i="1" a="1"/>
  <c r="AG847" i="1" s="1"/>
  <c r="AG848" i="1" a="1"/>
  <c r="AG848" i="1" s="1"/>
  <c r="AG849" i="1" a="1"/>
  <c r="AG849" i="1" s="1"/>
  <c r="AG850" i="1" a="1"/>
  <c r="AG850" i="1" s="1"/>
  <c r="AG851" i="1" a="1"/>
  <c r="AG851" i="1" s="1"/>
  <c r="AG852" i="1" a="1"/>
  <c r="AG852" i="1" s="1"/>
  <c r="AG853" i="1" a="1"/>
  <c r="AG853" i="1" s="1"/>
  <c r="AG854" i="1" a="1"/>
  <c r="AG854" i="1" s="1"/>
  <c r="AG855" i="1" a="1"/>
  <c r="AG855" i="1" s="1"/>
  <c r="AG856" i="1" a="1"/>
  <c r="AG856" i="1" s="1"/>
  <c r="AG857" i="1" a="1"/>
  <c r="AG857" i="1" s="1"/>
  <c r="AG858" i="1" a="1"/>
  <c r="AG858" i="1" s="1"/>
  <c r="AG859" i="1" a="1"/>
  <c r="AG859" i="1" s="1"/>
  <c r="AG860" i="1" a="1"/>
  <c r="AG860" i="1" s="1"/>
  <c r="AG861" i="1" a="1"/>
  <c r="AG861" i="1" s="1"/>
  <c r="AG862" i="1" a="1"/>
  <c r="AG862" i="1" s="1"/>
  <c r="AG863" i="1" a="1"/>
  <c r="AG863" i="1" s="1"/>
  <c r="AG864" i="1" a="1"/>
  <c r="AG864" i="1" s="1"/>
  <c r="AG865" i="1" a="1"/>
  <c r="AG865" i="1" s="1"/>
  <c r="AG866" i="1" a="1"/>
  <c r="AG866" i="1" s="1"/>
  <c r="AG867" i="1" a="1"/>
  <c r="AG867" i="1" s="1"/>
  <c r="AG868" i="1" a="1"/>
  <c r="AG868" i="1" s="1"/>
  <c r="AG869" i="1" a="1"/>
  <c r="AG869" i="1" s="1"/>
  <c r="AG870" i="1" a="1"/>
  <c r="AG870" i="1" s="1"/>
  <c r="AG871" i="1" a="1"/>
  <c r="AG871" i="1" s="1"/>
  <c r="AG872" i="1" a="1"/>
  <c r="AG872" i="1" s="1"/>
  <c r="AG873" i="1" a="1"/>
  <c r="AG873" i="1" s="1"/>
  <c r="AG874" i="1" a="1"/>
  <c r="AG874" i="1" s="1"/>
  <c r="AG875" i="1" a="1"/>
  <c r="AG875" i="1" s="1"/>
  <c r="AG876" i="1" a="1"/>
  <c r="AG876" i="1" s="1"/>
  <c r="AG877" i="1" a="1"/>
  <c r="AG877" i="1" s="1"/>
  <c r="AG878" i="1" a="1"/>
  <c r="AG878" i="1" s="1"/>
  <c r="AG879" i="1" a="1"/>
  <c r="AG879" i="1" s="1"/>
  <c r="AG880" i="1" a="1"/>
  <c r="AG880" i="1" s="1"/>
  <c r="AG881" i="1" a="1"/>
  <c r="AG881" i="1" s="1"/>
  <c r="AG882" i="1" a="1"/>
  <c r="AG882" i="1" s="1"/>
  <c r="AG883" i="1" a="1"/>
  <c r="AG883" i="1" s="1"/>
  <c r="AG884" i="1" a="1"/>
  <c r="AG884" i="1" s="1"/>
  <c r="AG885" i="1" a="1"/>
  <c r="AG885" i="1" s="1"/>
  <c r="AG886" i="1" a="1"/>
  <c r="AG886" i="1" s="1"/>
  <c r="AG887" i="1" a="1"/>
  <c r="AG887" i="1" s="1"/>
  <c r="AG888" i="1" a="1"/>
  <c r="AG888" i="1" s="1"/>
  <c r="AG889" i="1" a="1"/>
  <c r="AG889" i="1" s="1"/>
  <c r="AG890" i="1" a="1"/>
  <c r="AG890" i="1" s="1"/>
  <c r="AG891" i="1" a="1"/>
  <c r="AG891" i="1" s="1"/>
  <c r="AG892" i="1" a="1"/>
  <c r="AG892" i="1" s="1"/>
  <c r="AG893" i="1" a="1"/>
  <c r="AG893" i="1" s="1"/>
  <c r="AG894" i="1" a="1"/>
  <c r="AG894" i="1"/>
  <c r="AG895" i="1" a="1"/>
  <c r="AG895" i="1" s="1"/>
  <c r="AG896" i="1" a="1"/>
  <c r="AG896" i="1" s="1"/>
  <c r="AG897" i="1" a="1"/>
  <c r="AG897" i="1" s="1"/>
  <c r="AG898" i="1" a="1"/>
  <c r="AG898" i="1" s="1"/>
  <c r="AG899" i="1" a="1"/>
  <c r="AG899" i="1" s="1"/>
  <c r="AG900" i="1" a="1"/>
  <c r="AG900" i="1" s="1"/>
  <c r="AG901" i="1" a="1"/>
  <c r="AG901" i="1" s="1"/>
  <c r="AG902" i="1" a="1"/>
  <c r="AG902" i="1" s="1"/>
  <c r="AG903" i="1" a="1"/>
  <c r="AG903" i="1" s="1"/>
  <c r="AG904" i="1" a="1"/>
  <c r="AG904" i="1" s="1"/>
  <c r="AG905" i="1" a="1"/>
  <c r="AG905" i="1" s="1"/>
  <c r="AG906" i="1" a="1"/>
  <c r="AG906" i="1" s="1"/>
  <c r="AG907" i="1" a="1"/>
  <c r="AG907" i="1" s="1"/>
  <c r="AG908" i="1" a="1"/>
  <c r="AG908" i="1" s="1"/>
  <c r="AG909" i="1" a="1"/>
  <c r="AG909" i="1" s="1"/>
  <c r="AG910" i="1" a="1"/>
  <c r="AG910" i="1" s="1"/>
  <c r="AG911" i="1" a="1"/>
  <c r="AG911" i="1" s="1"/>
  <c r="AG912" i="1" a="1"/>
  <c r="AG912" i="1" s="1"/>
  <c r="AG913" i="1" a="1"/>
  <c r="AG913" i="1" s="1"/>
  <c r="AG914" i="1" a="1"/>
  <c r="AG914" i="1" s="1"/>
  <c r="AG915" i="1" a="1"/>
  <c r="AG915" i="1" s="1"/>
  <c r="AG916" i="1" a="1"/>
  <c r="AG916" i="1" s="1"/>
  <c r="AG917" i="1" a="1"/>
  <c r="AG917" i="1" s="1"/>
  <c r="AG918" i="1" a="1"/>
  <c r="AG918" i="1" s="1"/>
  <c r="AG919" i="1" a="1"/>
  <c r="AG919" i="1" s="1"/>
  <c r="AG920" i="1" a="1"/>
  <c r="AG920" i="1" s="1"/>
  <c r="AG921" i="1" a="1"/>
  <c r="AG921" i="1" s="1"/>
  <c r="AG922" i="1" a="1"/>
  <c r="AG922" i="1" s="1"/>
  <c r="AG923" i="1" a="1"/>
  <c r="AG923" i="1" s="1"/>
  <c r="AG924" i="1" a="1"/>
  <c r="AG924" i="1" s="1"/>
  <c r="AG925" i="1" a="1"/>
  <c r="AG925" i="1" s="1"/>
  <c r="AG926" i="1" a="1"/>
  <c r="AG926" i="1"/>
  <c r="AG927" i="1" a="1"/>
  <c r="AG927" i="1" s="1"/>
  <c r="AG928" i="1" a="1"/>
  <c r="AG928" i="1" s="1"/>
  <c r="AG929" i="1" a="1"/>
  <c r="AG929" i="1" s="1"/>
  <c r="AG930" i="1" a="1"/>
  <c r="AG930" i="1" s="1"/>
  <c r="AG931" i="1" a="1"/>
  <c r="AG931" i="1" s="1"/>
  <c r="AG932" i="1" a="1"/>
  <c r="AG932" i="1" s="1"/>
  <c r="AG933" i="1" a="1"/>
  <c r="AG933" i="1" s="1"/>
  <c r="AG934" i="1" a="1"/>
  <c r="AG934" i="1"/>
  <c r="AG935" i="1" a="1"/>
  <c r="AG935" i="1" s="1"/>
  <c r="AG936" i="1" a="1"/>
  <c r="AG936" i="1" s="1"/>
  <c r="AG937" i="1" a="1"/>
  <c r="AG937" i="1" s="1"/>
  <c r="AG938" i="1" a="1"/>
  <c r="AG938" i="1" s="1"/>
  <c r="AG939" i="1" a="1"/>
  <c r="AG939" i="1" s="1"/>
  <c r="AG940" i="1" a="1"/>
  <c r="AG940" i="1" s="1"/>
  <c r="AG941" i="1" a="1"/>
  <c r="AG941" i="1" s="1"/>
  <c r="AG942" i="1" a="1"/>
  <c r="AG942" i="1" s="1"/>
  <c r="AG943" i="1" a="1"/>
  <c r="AG943" i="1" s="1"/>
  <c r="AG944" i="1" a="1"/>
  <c r="AG944" i="1" s="1"/>
  <c r="AG945" i="1" a="1"/>
  <c r="AG945" i="1" s="1"/>
  <c r="AG946" i="1" a="1"/>
  <c r="AG946" i="1" s="1"/>
  <c r="AG947" i="1" a="1"/>
  <c r="AG947" i="1" s="1"/>
  <c r="AG948" i="1" a="1"/>
  <c r="AG948" i="1" s="1"/>
  <c r="AG949" i="1" a="1"/>
  <c r="AG949" i="1" s="1"/>
  <c r="AG950" i="1" a="1"/>
  <c r="AG950" i="1"/>
  <c r="AG951" i="1" a="1"/>
  <c r="AG951" i="1" s="1"/>
  <c r="AG952" i="1" a="1"/>
  <c r="AG952" i="1" s="1"/>
  <c r="AG953" i="1" a="1"/>
  <c r="AG953" i="1" s="1"/>
  <c r="AG954" i="1" a="1"/>
  <c r="AG954" i="1" s="1"/>
  <c r="AG955" i="1" a="1"/>
  <c r="AG955" i="1" s="1"/>
  <c r="AG956" i="1" a="1"/>
  <c r="AG956" i="1" s="1"/>
  <c r="AG957" i="1" a="1"/>
  <c r="AG957" i="1" s="1"/>
  <c r="AG958" i="1" a="1"/>
  <c r="AG958" i="1" s="1"/>
  <c r="AG959" i="1" a="1"/>
  <c r="AG959" i="1" s="1"/>
  <c r="AG960" i="1" a="1"/>
  <c r="AG960" i="1" s="1"/>
  <c r="AG961" i="1" a="1"/>
  <c r="AG961" i="1" s="1"/>
  <c r="AG962" i="1" a="1"/>
  <c r="AG962" i="1" s="1"/>
  <c r="AG963" i="1" a="1"/>
  <c r="AG963" i="1" s="1"/>
  <c r="AG964" i="1" a="1"/>
  <c r="AG964" i="1" s="1"/>
  <c r="AG965" i="1" a="1"/>
  <c r="AG965" i="1" s="1"/>
  <c r="AG966" i="1" a="1"/>
  <c r="AG966" i="1" s="1"/>
  <c r="AG967" i="1" a="1"/>
  <c r="AG967" i="1" s="1"/>
  <c r="AG968" i="1" a="1"/>
  <c r="AG968" i="1" s="1"/>
  <c r="AG969" i="1" a="1"/>
  <c r="AG969" i="1"/>
  <c r="AG970" i="1" a="1"/>
  <c r="AG970" i="1" s="1"/>
  <c r="AG971" i="1" a="1"/>
  <c r="AG971" i="1" s="1"/>
  <c r="AG972" i="1" a="1"/>
  <c r="AG972" i="1" s="1"/>
  <c r="AG973" i="1" a="1"/>
  <c r="AG973" i="1" s="1"/>
  <c r="AG974" i="1" a="1"/>
  <c r="AG974" i="1" s="1"/>
  <c r="AG975" i="1" a="1"/>
  <c r="AG975" i="1" s="1"/>
  <c r="AG976" i="1" a="1"/>
  <c r="AG976" i="1"/>
  <c r="AG977" i="1" a="1"/>
  <c r="AG977" i="1" s="1"/>
  <c r="AG978" i="1" a="1"/>
  <c r="AG978" i="1" s="1"/>
  <c r="AG979" i="1" a="1"/>
  <c r="AG979" i="1" s="1"/>
  <c r="AG980" i="1" a="1"/>
  <c r="AG980" i="1" s="1"/>
  <c r="AG981" i="1" a="1"/>
  <c r="AG981" i="1" s="1"/>
  <c r="AG982" i="1" a="1"/>
  <c r="AG982" i="1" s="1"/>
  <c r="AG983" i="1" a="1"/>
  <c r="AG983" i="1"/>
  <c r="AG984" i="1" a="1"/>
  <c r="AG984" i="1" s="1"/>
  <c r="AG985" i="1" a="1"/>
  <c r="AG985" i="1" s="1"/>
  <c r="AG986" i="1" a="1"/>
  <c r="AG986" i="1" s="1"/>
  <c r="AG987" i="1" a="1"/>
  <c r="AG987" i="1" s="1"/>
  <c r="AG988" i="1" a="1"/>
  <c r="AG988" i="1" s="1"/>
  <c r="AG989" i="1" a="1"/>
  <c r="AG989" i="1" s="1"/>
  <c r="AG990" i="1" a="1"/>
  <c r="AG990" i="1" s="1"/>
  <c r="AG991" i="1" a="1"/>
  <c r="AG991" i="1" s="1"/>
  <c r="AG992" i="1" a="1"/>
  <c r="AG992" i="1" s="1"/>
  <c r="AG993" i="1" a="1"/>
  <c r="AG993" i="1" s="1"/>
  <c r="AG994" i="1" a="1"/>
  <c r="AG994" i="1" s="1"/>
  <c r="AG995" i="1" a="1"/>
  <c r="AG995" i="1" s="1"/>
  <c r="AG996" i="1" a="1"/>
  <c r="AG996" i="1" s="1"/>
  <c r="AG997" i="1" a="1"/>
  <c r="AG997" i="1" s="1"/>
  <c r="AG998" i="1" a="1"/>
  <c r="AG998" i="1" s="1"/>
  <c r="AG999" i="1" a="1"/>
  <c r="AG999" i="1" s="1"/>
  <c r="AG1000" i="1" a="1"/>
  <c r="AG1000" i="1" s="1"/>
  <c r="AG1001" i="1" a="1"/>
  <c r="AG1001" i="1" s="1"/>
  <c r="AG1002" i="1" a="1"/>
  <c r="AG1002" i="1" s="1"/>
  <c r="AG1003" i="1" a="1"/>
  <c r="AG1003" i="1" s="1"/>
  <c r="AG1004" i="1" a="1"/>
  <c r="AG1004" i="1" s="1"/>
  <c r="AG1005" i="1" a="1"/>
  <c r="AG1005" i="1" s="1"/>
  <c r="AG1006" i="1" a="1"/>
  <c r="AG1006" i="1" s="1"/>
  <c r="AG1007" i="1" a="1"/>
  <c r="AG1007" i="1"/>
  <c r="AG1008" i="1" a="1"/>
  <c r="AG1008" i="1" s="1"/>
  <c r="AG1009" i="1" a="1"/>
  <c r="AG1009" i="1" s="1"/>
  <c r="AG1010" i="1" a="1"/>
  <c r="AG1010" i="1" s="1"/>
  <c r="AG1011" i="1" a="1"/>
  <c r="AG1011" i="1" s="1"/>
  <c r="AG1012" i="1" a="1"/>
  <c r="AG1012" i="1" s="1"/>
  <c r="AG1013" i="1" a="1"/>
  <c r="AG1013" i="1" s="1"/>
  <c r="AG1014" i="1" a="1"/>
  <c r="AG1014" i="1" s="1"/>
  <c r="AG1015" i="1" a="1"/>
  <c r="AG1015" i="1" s="1"/>
  <c r="AG1016" i="1" a="1"/>
  <c r="AG1016" i="1" s="1"/>
  <c r="AG1017" i="1" a="1"/>
  <c r="AG1017" i="1"/>
  <c r="AG1018" i="1" a="1"/>
  <c r="AG1018" i="1"/>
  <c r="AG1019" i="1" a="1"/>
  <c r="AG1019" i="1" s="1"/>
  <c r="AG1020" i="1" a="1"/>
  <c r="AG1020" i="1" s="1"/>
  <c r="AG1021" i="1" a="1"/>
  <c r="AG1021" i="1" s="1"/>
  <c r="AG1022" i="1" a="1"/>
  <c r="AG1022" i="1" s="1"/>
  <c r="AG1023" i="1" a="1"/>
  <c r="AG1023" i="1" s="1"/>
  <c r="AG1024" i="1" a="1"/>
  <c r="AG1024" i="1" s="1"/>
  <c r="AG1025" i="1" a="1"/>
  <c r="AG1025" i="1" s="1"/>
  <c r="AG1026" i="1" a="1"/>
  <c r="AG1026" i="1" s="1"/>
  <c r="AG1027" i="1" a="1"/>
  <c r="AG1027" i="1" s="1"/>
  <c r="AG1028" i="1" a="1"/>
  <c r="AG1028" i="1" s="1"/>
  <c r="AG1029" i="1" a="1"/>
  <c r="AG1029" i="1" s="1"/>
  <c r="AG1030" i="1" a="1"/>
  <c r="AG1030" i="1" s="1"/>
  <c r="AG1031" i="1" a="1"/>
  <c r="AG1031" i="1" s="1"/>
  <c r="AG1032" i="1" a="1"/>
  <c r="AG1032" i="1" s="1"/>
  <c r="AG1033" i="1" a="1"/>
  <c r="AG1033" i="1" s="1"/>
  <c r="AG1034" i="1" a="1"/>
  <c r="AG1034" i="1" s="1"/>
  <c r="AG1035" i="1" a="1"/>
  <c r="AG1035" i="1" s="1"/>
  <c r="AG1036" i="1" a="1"/>
  <c r="AG1036" i="1" s="1"/>
  <c r="AG1037" i="1" a="1"/>
  <c r="AG1037" i="1" s="1"/>
  <c r="AG1038" i="1" a="1"/>
  <c r="AG1038" i="1" s="1"/>
  <c r="AG1039" i="1" a="1"/>
  <c r="AG1039" i="1" s="1"/>
  <c r="AG1040" i="1" a="1"/>
  <c r="AG1040" i="1" s="1"/>
  <c r="AG1041" i="1" a="1"/>
  <c r="AG1041" i="1" s="1"/>
  <c r="AG1042" i="1" a="1"/>
  <c r="AG1042" i="1" s="1"/>
  <c r="AG1043" i="1" a="1"/>
  <c r="AG1043" i="1" s="1"/>
  <c r="AG1044" i="1" a="1"/>
  <c r="AG1044" i="1" s="1"/>
  <c r="AG1045" i="1" a="1"/>
  <c r="AG1045" i="1" s="1"/>
  <c r="AG1046" i="1" a="1"/>
  <c r="AG1046" i="1" s="1"/>
  <c r="AG1047" i="1" a="1"/>
  <c r="AG1047" i="1" s="1"/>
  <c r="AG1048" i="1" a="1"/>
  <c r="AG1048" i="1" s="1"/>
  <c r="AG1049" i="1" a="1"/>
  <c r="AG1049" i="1" s="1"/>
  <c r="AG1050" i="1" a="1"/>
  <c r="AG1050" i="1" s="1"/>
  <c r="AG1051" i="1" a="1"/>
  <c r="AG1051" i="1" s="1"/>
  <c r="AG1052" i="1" a="1"/>
  <c r="AG1052" i="1" s="1"/>
  <c r="AG1053" i="1" a="1"/>
  <c r="AG1053" i="1" s="1"/>
  <c r="AG1054" i="1" a="1"/>
  <c r="AG1054" i="1" s="1"/>
  <c r="AG1055" i="1" a="1"/>
  <c r="AG1055" i="1"/>
  <c r="AG1056" i="1" a="1"/>
  <c r="AG1056" i="1" s="1"/>
  <c r="AG1057" i="1" a="1"/>
  <c r="AG1057" i="1" s="1"/>
  <c r="AG1058" i="1" a="1"/>
  <c r="AG1058" i="1" s="1"/>
  <c r="AG1059" i="1" a="1"/>
  <c r="AG1059" i="1" s="1"/>
  <c r="AG1060" i="1" a="1"/>
  <c r="AG1060" i="1" s="1"/>
  <c r="AG1061" i="1" a="1"/>
  <c r="AG1061" i="1" s="1"/>
  <c r="AG1062" i="1" a="1"/>
  <c r="AG1062" i="1" s="1"/>
  <c r="AG1063" i="1" a="1"/>
  <c r="AG1063" i="1" s="1"/>
  <c r="AG1064" i="1" a="1"/>
  <c r="AG1064" i="1" s="1"/>
  <c r="AG1065" i="1" a="1"/>
  <c r="AG1065" i="1" s="1"/>
  <c r="AG1066" i="1" a="1"/>
  <c r="AG1066" i="1"/>
  <c r="AG1067" i="1" a="1"/>
  <c r="AG1067" i="1" s="1"/>
  <c r="AG1068" i="1" a="1"/>
  <c r="AG1068" i="1" s="1"/>
  <c r="AG1069" i="1" a="1"/>
  <c r="AG1069" i="1" s="1"/>
  <c r="AG1070" i="1" a="1"/>
  <c r="AG1070" i="1" s="1"/>
  <c r="AG1071" i="1" a="1"/>
  <c r="AG1071" i="1" s="1"/>
  <c r="AG1072" i="1" a="1"/>
  <c r="AG1072" i="1" s="1"/>
  <c r="AG1073" i="1" a="1"/>
  <c r="AG1073" i="1" s="1"/>
  <c r="AG1074" i="1" a="1"/>
  <c r="AG1074" i="1" s="1"/>
  <c r="AG1075" i="1" a="1"/>
  <c r="AG1075" i="1" s="1"/>
  <c r="AG1076" i="1" a="1"/>
  <c r="AG1076" i="1" s="1"/>
  <c r="AG1077" i="1" a="1"/>
  <c r="AG1077" i="1" s="1"/>
  <c r="AG1078" i="1" a="1"/>
  <c r="AG1078" i="1" s="1"/>
  <c r="AG1079" i="1" a="1"/>
  <c r="AG1079" i="1" s="1"/>
  <c r="AG1080" i="1" a="1"/>
  <c r="AG1080" i="1" s="1"/>
  <c r="AG1081" i="1" a="1"/>
  <c r="AG1081" i="1" s="1"/>
  <c r="AG1082" i="1" a="1"/>
  <c r="AG1082" i="1" s="1"/>
  <c r="AG1083" i="1" a="1"/>
  <c r="AG1083" i="1" s="1"/>
  <c r="AG1084" i="1" a="1"/>
  <c r="AG1084" i="1" s="1"/>
  <c r="AG1085" i="1" a="1"/>
  <c r="AG1085" i="1" s="1"/>
  <c r="AG1086" i="1" a="1"/>
  <c r="AG1086" i="1" s="1"/>
  <c r="AG1087" i="1" a="1"/>
  <c r="AG1087" i="1" s="1"/>
  <c r="AG1088" i="1" a="1"/>
  <c r="AG1088" i="1" s="1"/>
  <c r="AG1089" i="1" a="1"/>
  <c r="AG1089" i="1" s="1"/>
  <c r="AG1090" i="1" a="1"/>
  <c r="AG1090" i="1"/>
  <c r="AG1091" i="1" a="1"/>
  <c r="AG1091" i="1" s="1"/>
  <c r="AG1092" i="1" a="1"/>
  <c r="AG1092" i="1" s="1"/>
  <c r="AG1093" i="1" a="1"/>
  <c r="AG1093" i="1" s="1"/>
  <c r="AG1094" i="1" a="1"/>
  <c r="AG1094" i="1" s="1"/>
  <c r="AG1095" i="1" a="1"/>
  <c r="AG1095" i="1" s="1"/>
  <c r="AG1096" i="1" a="1"/>
  <c r="AG1096" i="1" s="1"/>
  <c r="AG1097" i="1" a="1"/>
  <c r="AG1097" i="1"/>
  <c r="AG1098" i="1" a="1"/>
  <c r="AG1098" i="1" s="1"/>
  <c r="AG1099" i="1" a="1"/>
  <c r="AG1099" i="1" s="1"/>
  <c r="AG1100" i="1" a="1"/>
  <c r="AG1100" i="1" s="1"/>
  <c r="AG1101" i="1" a="1"/>
  <c r="AG1101" i="1" s="1"/>
  <c r="AG1102" i="1" a="1"/>
  <c r="AG1102" i="1" s="1"/>
  <c r="AG1103" i="1" a="1"/>
  <c r="AG1103" i="1" s="1"/>
  <c r="AG1104" i="1" a="1"/>
  <c r="AG1104" i="1" s="1"/>
  <c r="AG1105" i="1" a="1"/>
  <c r="AG1105" i="1" s="1"/>
  <c r="AG1106" i="1" a="1"/>
  <c r="AG1106" i="1" s="1"/>
  <c r="AG1107" i="1" a="1"/>
  <c r="AG1107" i="1" s="1"/>
  <c r="AG1108" i="1" a="1"/>
  <c r="AG1108" i="1" s="1"/>
  <c r="AG1109" i="1" a="1"/>
  <c r="AG1109" i="1" s="1"/>
  <c r="AG1110" i="1" a="1"/>
  <c r="AG1110" i="1" s="1"/>
  <c r="AG1111" i="1" a="1"/>
  <c r="AG1111" i="1"/>
  <c r="AG1112" i="1" a="1"/>
  <c r="AG1112" i="1" s="1"/>
  <c r="AG1113" i="1" a="1"/>
  <c r="AG1113" i="1" s="1"/>
  <c r="AG1114" i="1" a="1"/>
  <c r="AG1114" i="1" s="1"/>
  <c r="AG1115" i="1" a="1"/>
  <c r="AG1115" i="1" s="1"/>
  <c r="AG1116" i="1" a="1"/>
  <c r="AG1116" i="1" s="1"/>
  <c r="AG1117" i="1" a="1"/>
  <c r="AG1117" i="1" s="1"/>
  <c r="AG1118" i="1" a="1"/>
  <c r="AG1118" i="1" s="1"/>
  <c r="AG1119" i="1" a="1"/>
  <c r="AG1119" i="1" s="1"/>
  <c r="AG1120" i="1" a="1"/>
  <c r="AG1120" i="1"/>
  <c r="AG1121" i="1" a="1"/>
  <c r="AG1121" i="1"/>
  <c r="AG1122" i="1" a="1"/>
  <c r="AG1122" i="1" s="1"/>
  <c r="AG1123" i="1" a="1"/>
  <c r="AG1123" i="1" s="1"/>
  <c r="AG1124" i="1" a="1"/>
  <c r="AG1124" i="1" s="1"/>
  <c r="AG1125" i="1" a="1"/>
  <c r="AG1125" i="1" s="1"/>
  <c r="AG1126" i="1" a="1"/>
  <c r="AG1126" i="1" s="1"/>
  <c r="AG1127" i="1" a="1"/>
  <c r="AG1127" i="1" s="1"/>
  <c r="AG1128" i="1" a="1"/>
  <c r="AG1128" i="1" s="1"/>
  <c r="AG1129" i="1" a="1"/>
  <c r="AG1129" i="1" s="1"/>
  <c r="AG1130" i="1" a="1"/>
  <c r="AG1130" i="1" s="1"/>
  <c r="AG1131" i="1" a="1"/>
  <c r="AG1131" i="1" s="1"/>
  <c r="AG1132" i="1" a="1"/>
  <c r="AG1132" i="1" s="1"/>
  <c r="AG1133" i="1" a="1"/>
  <c r="AG1133" i="1" s="1"/>
  <c r="AG1134" i="1" a="1"/>
  <c r="AG1134" i="1"/>
  <c r="AG1135" i="1" a="1"/>
  <c r="AG1135" i="1"/>
  <c r="AG1136" i="1" a="1"/>
  <c r="AG1136" i="1" s="1"/>
  <c r="AG1137" i="1" a="1"/>
  <c r="AG1137" i="1" s="1"/>
  <c r="AG1138" i="1" a="1"/>
  <c r="AG1138" i="1" s="1"/>
  <c r="AG1139" i="1" a="1"/>
  <c r="AG1139" i="1" s="1"/>
  <c r="AG1140" i="1" a="1"/>
  <c r="AG1140" i="1" s="1"/>
  <c r="AG1141" i="1" a="1"/>
  <c r="AG1141" i="1" s="1"/>
  <c r="AG1142" i="1" a="1"/>
  <c r="AG1142" i="1" s="1"/>
  <c r="AG1143" i="1" a="1"/>
  <c r="AG1143" i="1" s="1"/>
  <c r="AG1144" i="1" a="1"/>
  <c r="AG1144" i="1" s="1"/>
  <c r="AG1145" i="1" a="1"/>
  <c r="AG1145" i="1" s="1"/>
  <c r="AG1146" i="1" a="1"/>
  <c r="AG1146" i="1" s="1"/>
  <c r="AG1147" i="1" a="1"/>
  <c r="AG1147" i="1" s="1"/>
  <c r="AG1148" i="1" a="1"/>
  <c r="AG1148" i="1" s="1"/>
  <c r="AG1149" i="1" a="1"/>
  <c r="AG1149" i="1" s="1"/>
  <c r="AG1150" i="1" a="1"/>
  <c r="AG1150" i="1" s="1"/>
  <c r="AG1151" i="1" a="1"/>
  <c r="AG1151" i="1" s="1"/>
  <c r="AG1152" i="1" a="1"/>
  <c r="AG1152" i="1"/>
  <c r="AG1153" i="1" a="1"/>
  <c r="AG1153" i="1" s="1"/>
  <c r="AG1154" i="1" a="1"/>
  <c r="AG1154" i="1" s="1"/>
  <c r="AG1155" i="1" a="1"/>
  <c r="AG1155" i="1" s="1"/>
  <c r="AG1156" i="1" a="1"/>
  <c r="AG1156" i="1" s="1"/>
  <c r="AG1157" i="1" a="1"/>
  <c r="AG1157" i="1" s="1"/>
  <c r="AG1158" i="1" a="1"/>
  <c r="AG1158" i="1"/>
  <c r="AG1159" i="1" a="1"/>
  <c r="AG1159" i="1" s="1"/>
  <c r="AG1160" i="1" a="1"/>
  <c r="AG1160" i="1" s="1"/>
  <c r="AG1161" i="1" a="1"/>
  <c r="AG1161" i="1" s="1"/>
  <c r="AG1162" i="1" a="1"/>
  <c r="AG1162" i="1" s="1"/>
  <c r="AG1163" i="1" a="1"/>
  <c r="AG1163" i="1" s="1"/>
  <c r="AG1164" i="1" a="1"/>
  <c r="AG1164" i="1" s="1"/>
  <c r="AG1165" i="1" a="1"/>
  <c r="AG1165" i="1" s="1"/>
  <c r="AG1166" i="1" a="1"/>
  <c r="AG1166" i="1" s="1"/>
  <c r="AG1167" i="1" a="1"/>
  <c r="AG1167" i="1" s="1"/>
  <c r="AG1168" i="1" a="1"/>
  <c r="AG1168" i="1" s="1"/>
  <c r="AG1169" i="1" a="1"/>
  <c r="AG1169" i="1" s="1"/>
  <c r="AG1170" i="1" a="1"/>
  <c r="AG1170" i="1"/>
  <c r="AG1171" i="1" a="1"/>
  <c r="AG1171" i="1" s="1"/>
  <c r="AG1172" i="1" a="1"/>
  <c r="AG1172" i="1" s="1"/>
  <c r="AG1173" i="1" a="1"/>
  <c r="AG1173" i="1" s="1"/>
  <c r="AG1174" i="1" a="1"/>
  <c r="AG1174" i="1" s="1"/>
  <c r="AG1175" i="1" a="1"/>
  <c r="AG1175" i="1" s="1"/>
  <c r="AG1176" i="1" a="1"/>
  <c r="AG1176" i="1"/>
  <c r="AG1177" i="1" a="1"/>
  <c r="AG1177" i="1"/>
  <c r="AG1178" i="1" a="1"/>
  <c r="AG1178" i="1" s="1"/>
  <c r="AG1179" i="1" a="1"/>
  <c r="AG1179" i="1" s="1"/>
  <c r="AG1180" i="1" a="1"/>
  <c r="AG1180" i="1" s="1"/>
  <c r="AG1181" i="1" a="1"/>
  <c r="AG1181" i="1" s="1"/>
  <c r="AG1182" i="1" a="1"/>
  <c r="AG1182" i="1" s="1"/>
  <c r="AG1183" i="1" a="1"/>
  <c r="AG1183" i="1" s="1"/>
  <c r="AG1184" i="1" a="1"/>
  <c r="AG1184" i="1" s="1"/>
  <c r="AG1185" i="1" a="1"/>
  <c r="AG1185" i="1" s="1"/>
  <c r="AG1186" i="1" a="1"/>
  <c r="AG1186" i="1" s="1"/>
  <c r="AG1187" i="1" a="1"/>
  <c r="AG1187" i="1" s="1"/>
  <c r="AG1188" i="1" a="1"/>
  <c r="AG1188" i="1" s="1"/>
  <c r="AG1189" i="1" a="1"/>
  <c r="AG1189" i="1" s="1"/>
  <c r="AG1190" i="1" a="1"/>
  <c r="AG1190" i="1"/>
  <c r="AG1191" i="1" a="1"/>
  <c r="AG1191" i="1" s="1"/>
  <c r="AG1192" i="1" a="1"/>
  <c r="AG1192" i="1" s="1"/>
  <c r="AG1193" i="1" a="1"/>
  <c r="AG1193" i="1" s="1"/>
  <c r="AG1194" i="1" a="1"/>
  <c r="AG1194" i="1" s="1"/>
  <c r="AG1195" i="1" a="1"/>
  <c r="AG1195" i="1" s="1"/>
  <c r="AG1196" i="1" a="1"/>
  <c r="AG1196" i="1" s="1"/>
  <c r="AG1197" i="1" a="1"/>
  <c r="AG1197" i="1" s="1"/>
  <c r="AG1198" i="1" a="1"/>
  <c r="AG1198" i="1" s="1"/>
  <c r="AG1199" i="1" a="1"/>
  <c r="AG1199" i="1" s="1"/>
  <c r="AG1200" i="1" a="1"/>
  <c r="AG1200" i="1" s="1"/>
  <c r="AG1201" i="1" a="1"/>
  <c r="AG1201" i="1"/>
  <c r="AG1202" i="1" a="1"/>
  <c r="AG1202" i="1" s="1"/>
  <c r="AG1203" i="1" a="1"/>
  <c r="AG1203" i="1" s="1"/>
  <c r="AG1204" i="1" a="1"/>
  <c r="AG1204" i="1" s="1"/>
  <c r="AG1205" i="1" a="1"/>
  <c r="AG1205" i="1" s="1"/>
  <c r="AG1206" i="1" a="1"/>
  <c r="AG1206" i="1" s="1"/>
  <c r="AG1207" i="1" a="1"/>
  <c r="AG1207" i="1" s="1"/>
  <c r="AG1208" i="1" a="1"/>
  <c r="AG1208" i="1" s="1"/>
  <c r="AG1209" i="1" a="1"/>
  <c r="AG1209" i="1" s="1"/>
  <c r="AG1210" i="1" a="1"/>
  <c r="AG1210" i="1" s="1"/>
  <c r="AG1211" i="1" a="1"/>
  <c r="AG1211" i="1" s="1"/>
  <c r="AG1212" i="1" a="1"/>
  <c r="AG1212" i="1" s="1"/>
  <c r="AG1213" i="1" a="1"/>
  <c r="AG1213" i="1" s="1"/>
  <c r="AG1214" i="1" a="1"/>
  <c r="AG1214" i="1" s="1"/>
  <c r="AG1215" i="1" a="1"/>
  <c r="AG1215" i="1" s="1"/>
  <c r="AG1216" i="1" a="1"/>
  <c r="AG1216" i="1" s="1"/>
  <c r="AG1217" i="1" a="1"/>
  <c r="AG1217" i="1" s="1"/>
  <c r="AG1218" i="1" a="1"/>
  <c r="AG1218" i="1" s="1"/>
  <c r="AG1219" i="1" a="1"/>
  <c r="AG1219" i="1" s="1"/>
  <c r="AG1220" i="1" a="1"/>
  <c r="AG1220" i="1" s="1"/>
  <c r="AG1221" i="1" a="1"/>
  <c r="AG1221" i="1" s="1"/>
  <c r="AG1222" i="1" a="1"/>
  <c r="AG1222" i="1" s="1"/>
  <c r="AG1223" i="1" a="1"/>
  <c r="AG1223" i="1" s="1"/>
  <c r="AG1224" i="1" a="1"/>
  <c r="AG1224" i="1" s="1"/>
  <c r="AG1225" i="1" a="1"/>
  <c r="AG1225" i="1" s="1"/>
  <c r="AG1226" i="1" a="1"/>
  <c r="AG1226" i="1" s="1"/>
  <c r="AG1227" i="1" a="1"/>
  <c r="AG1227" i="1" s="1"/>
  <c r="AG1228" i="1" a="1"/>
  <c r="AG1228" i="1" s="1"/>
  <c r="AG1229" i="1" a="1"/>
  <c r="AG1229" i="1" s="1"/>
  <c r="AG1230" i="1" a="1"/>
  <c r="AG1230" i="1"/>
  <c r="AG1231" i="1" a="1"/>
  <c r="AG1231" i="1"/>
  <c r="AG1232" i="1" a="1"/>
  <c r="AG1232" i="1" s="1"/>
  <c r="AG1233" i="1" a="1"/>
  <c r="AG1233" i="1" s="1"/>
  <c r="AG1234" i="1" a="1"/>
  <c r="AG1234" i="1" s="1"/>
  <c r="AG1235" i="1" a="1"/>
  <c r="AG1235" i="1" s="1"/>
  <c r="AG1236" i="1" a="1"/>
  <c r="AG1236" i="1" s="1"/>
  <c r="AG1237" i="1" a="1"/>
  <c r="AG1237" i="1" s="1"/>
  <c r="AG1238" i="1" a="1"/>
  <c r="AG1238" i="1" s="1"/>
  <c r="AG1239" i="1" a="1"/>
  <c r="AG1239" i="1" s="1"/>
  <c r="AG1240" i="1" a="1"/>
  <c r="AG1240" i="1" s="1"/>
  <c r="AG1241" i="1" a="1"/>
  <c r="AG1241" i="1" s="1"/>
  <c r="AG1242" i="1" a="1"/>
  <c r="AG1242" i="1" s="1"/>
  <c r="AG1243" i="1" a="1"/>
  <c r="AG1243" i="1" s="1"/>
  <c r="AG1244" i="1" a="1"/>
  <c r="AG1244" i="1" s="1"/>
  <c r="AG1245" i="1" a="1"/>
  <c r="AG1245" i="1" s="1"/>
  <c r="AG1246" i="1" a="1"/>
  <c r="AG1246" i="1"/>
  <c r="AG1247" i="1" a="1"/>
  <c r="AG1247" i="1" s="1"/>
  <c r="AG1248" i="1" a="1"/>
  <c r="AG1248" i="1" s="1"/>
  <c r="AG1249" i="1" a="1"/>
  <c r="AG1249" i="1" s="1"/>
  <c r="AG1250" i="1" a="1"/>
  <c r="AG1250" i="1" s="1"/>
  <c r="AG1251" i="1" a="1"/>
  <c r="AG1251" i="1" s="1"/>
  <c r="AG1252" i="1" a="1"/>
  <c r="AG1252" i="1" s="1"/>
  <c r="AG1253" i="1" a="1"/>
  <c r="AG1253" i="1" s="1"/>
  <c r="AG1254" i="1" a="1"/>
  <c r="AG1254" i="1" s="1"/>
  <c r="AG1255" i="1" a="1"/>
  <c r="AG1255" i="1" s="1"/>
  <c r="AG1256" i="1" a="1"/>
  <c r="AG1256" i="1" s="1"/>
  <c r="AG1257" i="1" a="1"/>
  <c r="AG1257" i="1" s="1"/>
  <c r="AG1258" i="1" a="1"/>
  <c r="AG1258" i="1" s="1"/>
  <c r="AG1259" i="1" a="1"/>
  <c r="AG1259" i="1" s="1"/>
  <c r="AG1260" i="1" a="1"/>
  <c r="AG1260" i="1" s="1"/>
  <c r="AG1261" i="1" a="1"/>
  <c r="AG1261" i="1" s="1"/>
  <c r="AG1262" i="1" a="1"/>
  <c r="AG1262" i="1" s="1"/>
  <c r="AG1263" i="1" a="1"/>
  <c r="AG1263" i="1" s="1"/>
  <c r="AG1264" i="1" a="1"/>
  <c r="AG1264" i="1" s="1"/>
  <c r="AG1265" i="1" a="1"/>
  <c r="AG1265" i="1" s="1"/>
  <c r="AG1266" i="1" a="1"/>
  <c r="AG1266" i="1" s="1"/>
  <c r="AG1267" i="1" a="1"/>
  <c r="AG1267" i="1" s="1"/>
  <c r="AG1268" i="1" a="1"/>
  <c r="AG1268" i="1" s="1"/>
  <c r="AG1269" i="1" a="1"/>
  <c r="AG1269" i="1" s="1"/>
  <c r="AG1270" i="1" a="1"/>
  <c r="AG1270" i="1" s="1"/>
  <c r="AG1271" i="1" a="1"/>
  <c r="AG1271" i="1" s="1"/>
  <c r="AG1272" i="1" a="1"/>
  <c r="AG1272" i="1" s="1"/>
  <c r="AG1273" i="1" a="1"/>
  <c r="AG1273" i="1"/>
  <c r="AG1274" i="1" a="1"/>
  <c r="AG1274" i="1" s="1"/>
  <c r="AG1275" i="1" a="1"/>
  <c r="AG1275" i="1" s="1"/>
  <c r="AG1276" i="1" a="1"/>
  <c r="AG1276" i="1" s="1"/>
  <c r="AG1277" i="1" a="1"/>
  <c r="AG1277" i="1" s="1"/>
  <c r="AG1278" i="1" a="1"/>
  <c r="AG1278" i="1" s="1"/>
  <c r="AG1279" i="1" a="1"/>
  <c r="AG1279" i="1" s="1"/>
  <c r="AG1280" i="1" a="1"/>
  <c r="AG1280" i="1" s="1"/>
  <c r="AG1281" i="1" a="1"/>
  <c r="AG1281" i="1" s="1"/>
  <c r="AG1282" i="1" a="1"/>
  <c r="AG1282" i="1" s="1"/>
  <c r="AG1283" i="1" a="1"/>
  <c r="AG1283" i="1" s="1"/>
  <c r="AG1284" i="1" a="1"/>
  <c r="AG1284" i="1" s="1"/>
  <c r="AG1285" i="1" a="1"/>
  <c r="AG1285" i="1" s="1"/>
  <c r="AG1286" i="1" a="1"/>
  <c r="AG1286" i="1" s="1"/>
  <c r="AG1287" i="1" a="1"/>
  <c r="AG1287" i="1" s="1"/>
  <c r="AG1288" i="1" a="1"/>
  <c r="AG1288" i="1" s="1"/>
  <c r="AG1289" i="1" a="1"/>
  <c r="AG1289" i="1" s="1"/>
  <c r="AG1290" i="1" a="1"/>
  <c r="AG1290" i="1" s="1"/>
  <c r="AG1291" i="1" a="1"/>
  <c r="AG1291" i="1" s="1"/>
  <c r="AG1292" i="1" a="1"/>
  <c r="AG1292" i="1" s="1"/>
  <c r="AG1293" i="1" a="1"/>
  <c r="AG1293" i="1" s="1"/>
  <c r="AG1294" i="1" a="1"/>
  <c r="AG1294" i="1" s="1"/>
  <c r="AG1295" i="1" a="1"/>
  <c r="AG1295" i="1" s="1"/>
  <c r="AG1296" i="1" a="1"/>
  <c r="AG1296" i="1" s="1"/>
  <c r="AG1297" i="1" a="1"/>
  <c r="AG1297" i="1" s="1"/>
  <c r="AG1298" i="1" a="1"/>
  <c r="AG1298" i="1" s="1"/>
  <c r="AG1299" i="1" a="1"/>
  <c r="AG1299" i="1" s="1"/>
  <c r="AG1300" i="1" a="1"/>
  <c r="AG1300" i="1" s="1"/>
  <c r="AG1301" i="1" a="1"/>
  <c r="AG1301" i="1"/>
  <c r="AG1302" i="1" a="1"/>
  <c r="AG1302" i="1" s="1"/>
  <c r="AG1303" i="1" a="1"/>
  <c r="AG1303" i="1"/>
  <c r="AG1304" i="1" a="1"/>
  <c r="AG1304" i="1" s="1"/>
  <c r="AG1305" i="1" a="1"/>
  <c r="AG1305" i="1" s="1"/>
  <c r="AG1306" i="1" a="1"/>
  <c r="AG1306" i="1" s="1"/>
  <c r="AG1307" i="1" a="1"/>
  <c r="AG1307" i="1" s="1"/>
  <c r="AG1308" i="1" a="1"/>
  <c r="AG1308" i="1" s="1"/>
  <c r="AG1309" i="1" a="1"/>
  <c r="AG1309" i="1" s="1"/>
  <c r="AG1310" i="1" a="1"/>
  <c r="AG1310" i="1" s="1"/>
  <c r="AG1311" i="1" a="1"/>
  <c r="AG1311" i="1" s="1"/>
  <c r="AG1312" i="1" a="1"/>
  <c r="AG1312" i="1" s="1"/>
  <c r="AG1313" i="1" a="1"/>
  <c r="AG1313" i="1"/>
  <c r="AG1314" i="1" a="1"/>
  <c r="AG1314" i="1" s="1"/>
  <c r="AG1315" i="1" a="1"/>
  <c r="AG1315" i="1" s="1"/>
  <c r="AG1316" i="1" a="1"/>
  <c r="AG1316" i="1" s="1"/>
  <c r="AG1317" i="1" a="1"/>
  <c r="AG1317" i="1" s="1"/>
  <c r="AG1318" i="1" a="1"/>
  <c r="AG1318" i="1"/>
  <c r="AG1319" i="1" a="1"/>
  <c r="AG1319" i="1" s="1"/>
  <c r="AG1320" i="1" a="1"/>
  <c r="AG1320" i="1" s="1"/>
  <c r="AG1321" i="1" a="1"/>
  <c r="AG1321" i="1" s="1"/>
  <c r="AG1322" i="1" a="1"/>
  <c r="AG1322" i="1" s="1"/>
  <c r="AG1323" i="1" a="1"/>
  <c r="AG1323" i="1" s="1"/>
  <c r="AG1324" i="1" a="1"/>
  <c r="AG1324" i="1" s="1"/>
  <c r="AG1325" i="1" a="1"/>
  <c r="AG1325" i="1" s="1"/>
  <c r="AG1326" i="1" a="1"/>
  <c r="AG1326" i="1"/>
  <c r="AG1327" i="1" a="1"/>
  <c r="AG1327" i="1" s="1"/>
  <c r="AG1328" i="1" a="1"/>
  <c r="AG1328" i="1"/>
  <c r="AG1329" i="1" a="1"/>
  <c r="AG1329" i="1" s="1"/>
  <c r="AG1330" i="1" a="1"/>
  <c r="AG1330" i="1" s="1"/>
  <c r="AG1331" i="1" a="1"/>
  <c r="AG1331" i="1" s="1"/>
  <c r="AG1332" i="1" a="1"/>
  <c r="AG1332" i="1" s="1"/>
  <c r="AG1333" i="1" a="1"/>
  <c r="AG1333" i="1"/>
  <c r="AG1334" i="1" a="1"/>
  <c r="AG1334" i="1" s="1"/>
  <c r="AG1335" i="1" a="1"/>
  <c r="AG1335" i="1"/>
  <c r="AG1336" i="1" a="1"/>
  <c r="AG1336" i="1" s="1"/>
  <c r="AG1337" i="1" a="1"/>
  <c r="AG1337" i="1" s="1"/>
  <c r="AG1338" i="1" a="1"/>
  <c r="AG1338" i="1" s="1"/>
  <c r="AG1339" i="1" a="1"/>
  <c r="AG1339" i="1" s="1"/>
  <c r="AG1340" i="1" a="1"/>
  <c r="AG1340" i="1" s="1"/>
  <c r="AG1341" i="1" a="1"/>
  <c r="AG1341" i="1" s="1"/>
  <c r="AG1342" i="1" a="1"/>
  <c r="AG1342" i="1" s="1"/>
  <c r="AG1343" i="1" a="1"/>
  <c r="AG1343" i="1"/>
  <c r="AG1344" i="1" a="1"/>
  <c r="AG1344" i="1" s="1"/>
  <c r="AG1345" i="1" a="1"/>
  <c r="AG1345" i="1" s="1"/>
  <c r="AG1346" i="1" a="1"/>
  <c r="AG1346" i="1" s="1"/>
  <c r="AG1347" i="1" a="1"/>
  <c r="AG1347" i="1" s="1"/>
  <c r="AG1348" i="1" a="1"/>
  <c r="AG1348" i="1" s="1"/>
  <c r="AG1349" i="1" a="1"/>
  <c r="AG1349" i="1" s="1"/>
  <c r="AG1350" i="1" a="1"/>
  <c r="AG1350" i="1" s="1"/>
  <c r="AG1351" i="1" a="1"/>
  <c r="AG1351" i="1" s="1"/>
  <c r="AG1352" i="1" a="1"/>
  <c r="AG1352" i="1" s="1"/>
  <c r="AG1353" i="1" a="1"/>
  <c r="AG1353" i="1" s="1"/>
  <c r="AG1354" i="1" a="1"/>
  <c r="AG1354" i="1" s="1"/>
  <c r="AG1355" i="1" a="1"/>
  <c r="AG1355" i="1" s="1"/>
  <c r="AG1356" i="1" a="1"/>
  <c r="AG1356" i="1" s="1"/>
  <c r="AG1357" i="1" a="1"/>
  <c r="AG1357" i="1" s="1"/>
  <c r="AG1358" i="1" a="1"/>
  <c r="AG1358" i="1" s="1"/>
  <c r="AG1359" i="1" a="1"/>
  <c r="AG1359" i="1" s="1"/>
  <c r="AG1360" i="1" a="1"/>
  <c r="AG1360" i="1" s="1"/>
  <c r="AG1361" i="1" a="1"/>
  <c r="AG1361" i="1" s="1"/>
  <c r="AG1362" i="1" a="1"/>
  <c r="AG1362" i="1" s="1"/>
  <c r="AG1363" i="1" a="1"/>
  <c r="AG1363" i="1" s="1"/>
  <c r="AG1364" i="1" a="1"/>
  <c r="AG1364" i="1" s="1"/>
  <c r="AG1365" i="1" a="1"/>
  <c r="AG1365" i="1"/>
  <c r="AG1366" i="1" a="1"/>
  <c r="AG1366" i="1" s="1"/>
  <c r="AG1367" i="1" a="1"/>
  <c r="AG1367" i="1"/>
  <c r="AG1368" i="1" a="1"/>
  <c r="AG1368" i="1" s="1"/>
  <c r="AG1369" i="1" a="1"/>
  <c r="AG1369" i="1" s="1"/>
  <c r="AG1370" i="1" a="1"/>
  <c r="AG1370" i="1" s="1"/>
  <c r="AG1371" i="1" a="1"/>
  <c r="AG1371" i="1" s="1"/>
  <c r="AG1372" i="1" a="1"/>
  <c r="AG1372" i="1" s="1"/>
  <c r="AG1373" i="1" a="1"/>
  <c r="AG1373" i="1" s="1"/>
  <c r="AG1374" i="1" a="1"/>
  <c r="AG1374" i="1" s="1"/>
  <c r="AG1375" i="1" a="1"/>
  <c r="AG1375" i="1" s="1"/>
  <c r="AG1376" i="1" a="1"/>
  <c r="AG1376" i="1" s="1"/>
  <c r="AG1377" i="1" a="1"/>
  <c r="AG1377" i="1" s="1"/>
  <c r="AG1378" i="1" a="1"/>
  <c r="AG1378" i="1" s="1"/>
  <c r="AG1379" i="1" a="1"/>
  <c r="AG1379" i="1" s="1"/>
  <c r="AG1380" i="1" a="1"/>
  <c r="AG1380" i="1" s="1"/>
  <c r="AG1381" i="1" a="1"/>
  <c r="AG1381" i="1" s="1"/>
  <c r="AG1382" i="1" a="1"/>
  <c r="AG1382" i="1"/>
  <c r="AG1383" i="1" a="1"/>
  <c r="AG1383" i="1" s="1"/>
  <c r="AG1384" i="1" a="1"/>
  <c r="AG1384" i="1" s="1"/>
  <c r="AG1385" i="1" a="1"/>
  <c r="AG1385" i="1" s="1"/>
  <c r="AG1386" i="1" a="1"/>
  <c r="AG1386" i="1" s="1"/>
  <c r="AG1387" i="1" a="1"/>
  <c r="AG1387" i="1" s="1"/>
  <c r="AG1388" i="1" a="1"/>
  <c r="AG1388" i="1" s="1"/>
  <c r="AG1389" i="1" a="1"/>
  <c r="AG1389" i="1" s="1"/>
  <c r="AG1390" i="1" a="1"/>
  <c r="AG1390" i="1" s="1"/>
  <c r="AG1391" i="1" a="1"/>
  <c r="AG1391" i="1" s="1"/>
  <c r="AG1392" i="1" a="1"/>
  <c r="AG1392" i="1"/>
  <c r="AG1393" i="1" a="1"/>
  <c r="AG1393" i="1" s="1"/>
  <c r="AG1394" i="1" a="1"/>
  <c r="AG1394" i="1" s="1"/>
  <c r="AG1395" i="1" a="1"/>
  <c r="AG1395" i="1" s="1"/>
  <c r="AG1396" i="1" a="1"/>
  <c r="AG1396" i="1" s="1"/>
  <c r="AG1397" i="1" a="1"/>
  <c r="AG1397" i="1" s="1"/>
  <c r="AG1398" i="1" a="1"/>
  <c r="AG1398" i="1" s="1"/>
  <c r="AG1399" i="1" a="1"/>
  <c r="AG1399" i="1" s="1"/>
  <c r="AG1400" i="1" a="1"/>
  <c r="AG1400" i="1" s="1"/>
  <c r="AG1401" i="1" a="1"/>
  <c r="AG1401" i="1" s="1"/>
  <c r="AG1402" i="1" a="1"/>
  <c r="AG1402" i="1" s="1"/>
  <c r="AG1403" i="1" a="1"/>
  <c r="AG1403" i="1" s="1"/>
  <c r="AG1404" i="1" a="1"/>
  <c r="AG1404" i="1" s="1"/>
  <c r="AG1405" i="1" a="1"/>
  <c r="AG1405" i="1" s="1"/>
  <c r="AG1406" i="1" a="1"/>
  <c r="AG1406" i="1"/>
  <c r="AG1407" i="1" a="1"/>
  <c r="AG1407" i="1" s="1"/>
  <c r="AG1408" i="1" a="1"/>
  <c r="AG1408" i="1" s="1"/>
  <c r="AG1409" i="1" a="1"/>
  <c r="AG1409" i="1" s="1"/>
  <c r="AG1410" i="1" a="1"/>
  <c r="AG1410" i="1" s="1"/>
  <c r="AG1411" i="1" a="1"/>
  <c r="AG1411" i="1" s="1"/>
  <c r="AG1412" i="1" a="1"/>
  <c r="AG1412" i="1" s="1"/>
  <c r="AG1413" i="1" a="1"/>
  <c r="AG1413" i="1"/>
  <c r="AG1414" i="1" a="1"/>
  <c r="AG1414" i="1" s="1"/>
  <c r="AG1415" i="1" a="1"/>
  <c r="AG1415" i="1" s="1"/>
  <c r="AG1416" i="1" a="1"/>
  <c r="AG1416" i="1" s="1"/>
  <c r="AG1417" i="1" a="1"/>
  <c r="AG1417" i="1" s="1"/>
  <c r="AG1418" i="1" a="1"/>
  <c r="AG1418" i="1" s="1"/>
  <c r="AG1419" i="1" a="1"/>
  <c r="AG1419" i="1" s="1"/>
  <c r="AG1420" i="1" a="1"/>
  <c r="AG1420" i="1" s="1"/>
  <c r="AG1421" i="1" a="1"/>
  <c r="AG1421" i="1" s="1"/>
  <c r="AG1422" i="1" a="1"/>
  <c r="AG1422" i="1" s="1"/>
  <c r="AG1423" i="1" a="1"/>
  <c r="AG1423" i="1" s="1"/>
  <c r="AG1424" i="1" a="1"/>
  <c r="AG1424" i="1"/>
  <c r="AG1425" i="1" a="1"/>
  <c r="AG1425" i="1" s="1"/>
  <c r="AG1426" i="1" a="1"/>
  <c r="AG1426" i="1" s="1"/>
  <c r="AG1427" i="1" a="1"/>
  <c r="AG1427" i="1" s="1"/>
  <c r="AG1428" i="1" a="1"/>
  <c r="AG1428" i="1" s="1"/>
  <c r="AG1429" i="1" a="1"/>
  <c r="AG1429" i="1" s="1"/>
  <c r="AG1430" i="1" a="1"/>
  <c r="AG1430" i="1" s="1"/>
  <c r="AG1431" i="1" a="1"/>
  <c r="AG1431" i="1" s="1"/>
  <c r="AG1432" i="1" a="1"/>
  <c r="AG1432" i="1" s="1"/>
  <c r="AG1433" i="1" a="1"/>
  <c r="AG1433" i="1" s="1"/>
  <c r="AG1434" i="1" a="1"/>
  <c r="AG1434" i="1" s="1"/>
  <c r="AG1435" i="1" a="1"/>
  <c r="AG1435" i="1" s="1"/>
  <c r="AG1436" i="1" a="1"/>
  <c r="AG1436" i="1" s="1"/>
  <c r="AG1437" i="1" a="1"/>
  <c r="AG1437" i="1"/>
  <c r="AG1438" i="1" a="1"/>
  <c r="AG1438" i="1" s="1"/>
  <c r="AG1439" i="1" a="1"/>
  <c r="AG1439" i="1" s="1"/>
  <c r="AG1440" i="1" a="1"/>
  <c r="AG1440" i="1" s="1"/>
  <c r="AG1441" i="1" a="1"/>
  <c r="AG1441" i="1" s="1"/>
  <c r="AG1442" i="1" a="1"/>
  <c r="AG1442" i="1" s="1"/>
  <c r="AG1443" i="1" a="1"/>
  <c r="AG1443" i="1" s="1"/>
  <c r="AG1444" i="1" a="1"/>
  <c r="AG1444" i="1" s="1"/>
  <c r="AG1445" i="1" a="1"/>
  <c r="AG1445" i="1" s="1"/>
  <c r="AG1446" i="1" a="1"/>
  <c r="AG1446" i="1" s="1"/>
  <c r="AG1447" i="1" a="1"/>
  <c r="AG1447" i="1"/>
  <c r="AG1448" i="1" a="1"/>
  <c r="AG1448" i="1" s="1"/>
  <c r="AG1449" i="1" a="1"/>
  <c r="AG1449" i="1" s="1"/>
  <c r="AG1450" i="1" a="1"/>
  <c r="AG1450" i="1" s="1"/>
  <c r="AG1451" i="1" a="1"/>
  <c r="AG1451" i="1" s="1"/>
  <c r="AG1452" i="1" a="1"/>
  <c r="AG1452" i="1" s="1"/>
  <c r="AG1453" i="1" a="1"/>
  <c r="AG1453" i="1" s="1"/>
  <c r="AG1454" i="1" a="1"/>
  <c r="AG1454" i="1" s="1"/>
  <c r="AG1455" i="1" a="1"/>
  <c r="AG1455" i="1" s="1"/>
  <c r="AG1456" i="1" a="1"/>
  <c r="AG1456" i="1" s="1"/>
  <c r="AG1457" i="1" a="1"/>
  <c r="AG1457" i="1" s="1"/>
  <c r="AG1458" i="1" a="1"/>
  <c r="AG1458" i="1" s="1"/>
  <c r="AG1459" i="1" a="1"/>
  <c r="AG1459" i="1" s="1"/>
  <c r="AG1460" i="1" a="1"/>
  <c r="AG1460" i="1" s="1"/>
  <c r="AG1461" i="1" a="1"/>
  <c r="AG1461" i="1" s="1"/>
  <c r="AG1462" i="1" a="1"/>
  <c r="AG1462" i="1" s="1"/>
  <c r="AG1463" i="1" a="1"/>
  <c r="AG1463" i="1" s="1"/>
  <c r="AG1464" i="1" a="1"/>
  <c r="AG1464" i="1" s="1"/>
  <c r="AG1465" i="1" a="1"/>
  <c r="AG1465" i="1" s="1"/>
  <c r="AG1466" i="1" a="1"/>
  <c r="AG1466" i="1" s="1"/>
  <c r="AG1467" i="1" a="1"/>
  <c r="AG1467" i="1" s="1"/>
  <c r="AG1468" i="1" a="1"/>
  <c r="AG1468" i="1" s="1"/>
  <c r="AG1469" i="1" a="1"/>
  <c r="AG1469" i="1" s="1"/>
  <c r="AG1470" i="1" a="1"/>
  <c r="AG1470" i="1"/>
  <c r="AG1471" i="1" a="1"/>
  <c r="AG1471" i="1" s="1"/>
  <c r="AG2" i="1" a="1"/>
  <c r="AG2" i="1" s="1"/>
  <c r="AF3" i="1" a="1"/>
  <c r="AF3" i="1" s="1"/>
  <c r="AF4" i="1" a="1"/>
  <c r="AF4" i="1" s="1"/>
  <c r="AF5" i="1" a="1"/>
  <c r="AF5" i="1" s="1"/>
  <c r="AF6" i="1" a="1"/>
  <c r="AF6" i="1" s="1"/>
  <c r="AF7" i="1" a="1"/>
  <c r="AF7" i="1" s="1"/>
  <c r="AF8" i="1" a="1"/>
  <c r="AF8" i="1" s="1"/>
  <c r="AF9" i="1" a="1"/>
  <c r="AF9" i="1" s="1"/>
  <c r="AF10" i="1" a="1"/>
  <c r="AF10" i="1" s="1"/>
  <c r="AF11" i="1" a="1"/>
  <c r="AF11" i="1" s="1"/>
  <c r="AF12" i="1" a="1"/>
  <c r="AF12" i="1" s="1"/>
  <c r="AF13" i="1" a="1"/>
  <c r="AF13" i="1"/>
  <c r="AF14" i="1" a="1"/>
  <c r="AF14" i="1" s="1"/>
  <c r="AF15" i="1" a="1"/>
  <c r="AF15" i="1" s="1"/>
  <c r="AF16" i="1" a="1"/>
  <c r="AF16" i="1" s="1"/>
  <c r="AF17" i="1" a="1"/>
  <c r="AF17" i="1" s="1"/>
  <c r="AF18" i="1" a="1"/>
  <c r="AF18" i="1" s="1"/>
  <c r="AF19" i="1" a="1"/>
  <c r="AF19" i="1" s="1"/>
  <c r="AF20" i="1" a="1"/>
  <c r="AF20" i="1" s="1"/>
  <c r="AF21" i="1" a="1"/>
  <c r="AF21" i="1" s="1"/>
  <c r="AF22" i="1" a="1"/>
  <c r="AF22" i="1" s="1"/>
  <c r="AF23" i="1" a="1"/>
  <c r="AF23" i="1" s="1"/>
  <c r="AF24" i="1" a="1"/>
  <c r="AF24" i="1" s="1"/>
  <c r="AF25" i="1" a="1"/>
  <c r="AF25" i="1" s="1"/>
  <c r="AF26" i="1" a="1"/>
  <c r="AF26" i="1" s="1"/>
  <c r="AF27" i="1" a="1"/>
  <c r="AF27" i="1" s="1"/>
  <c r="AF28" i="1" a="1"/>
  <c r="AF28" i="1" s="1"/>
  <c r="AF29" i="1" a="1"/>
  <c r="AF29" i="1" s="1"/>
  <c r="AF30" i="1" a="1"/>
  <c r="AF30" i="1" s="1"/>
  <c r="AF31" i="1" a="1"/>
  <c r="AF31" i="1" s="1"/>
  <c r="AF32" i="1" a="1"/>
  <c r="AF32" i="1" s="1"/>
  <c r="AF33" i="1" a="1"/>
  <c r="AF33" i="1" s="1"/>
  <c r="AF34" i="1" a="1"/>
  <c r="AF34" i="1" s="1"/>
  <c r="AF35" i="1" a="1"/>
  <c r="AF35" i="1" s="1"/>
  <c r="AF36" i="1" a="1"/>
  <c r="AF36" i="1" s="1"/>
  <c r="AF37" i="1" a="1"/>
  <c r="AF37" i="1" s="1"/>
  <c r="AF38" i="1" a="1"/>
  <c r="AF38" i="1" s="1"/>
  <c r="AF39" i="1" a="1"/>
  <c r="AF39" i="1" s="1"/>
  <c r="AF40" i="1" a="1"/>
  <c r="AF40" i="1" s="1"/>
  <c r="AF41" i="1" a="1"/>
  <c r="AF41" i="1" s="1"/>
  <c r="AF42" i="1" a="1"/>
  <c r="AF42" i="1" s="1"/>
  <c r="AF43" i="1" a="1"/>
  <c r="AF43" i="1" s="1"/>
  <c r="AF44" i="1" a="1"/>
  <c r="AF44" i="1" s="1"/>
  <c r="AF45" i="1" a="1"/>
  <c r="AF45" i="1" s="1"/>
  <c r="AF46" i="1" a="1"/>
  <c r="AF46" i="1" s="1"/>
  <c r="AF47" i="1" a="1"/>
  <c r="AF47" i="1" s="1"/>
  <c r="AF48" i="1" a="1"/>
  <c r="AF48" i="1" s="1"/>
  <c r="AF49" i="1" a="1"/>
  <c r="AF49" i="1" s="1"/>
  <c r="AF50" i="1" a="1"/>
  <c r="AF50" i="1" s="1"/>
  <c r="AF51" i="1" a="1"/>
  <c r="AF51" i="1" s="1"/>
  <c r="AF52" i="1" a="1"/>
  <c r="AF52" i="1" s="1"/>
  <c r="AF53" i="1" a="1"/>
  <c r="AF53" i="1" s="1"/>
  <c r="AF54" i="1" a="1"/>
  <c r="AF54" i="1" s="1"/>
  <c r="AF55" i="1" a="1"/>
  <c r="AF55" i="1" s="1"/>
  <c r="AF56" i="1" a="1"/>
  <c r="AF56" i="1" s="1"/>
  <c r="AF57" i="1" a="1"/>
  <c r="AF57" i="1" s="1"/>
  <c r="AF58" i="1" a="1"/>
  <c r="AF58" i="1" s="1"/>
  <c r="AF59" i="1" a="1"/>
  <c r="AF59" i="1" s="1"/>
  <c r="AF60" i="1" a="1"/>
  <c r="AF60" i="1" s="1"/>
  <c r="AF61" i="1" a="1"/>
  <c r="AF61" i="1" s="1"/>
  <c r="AF62" i="1" a="1"/>
  <c r="AF62" i="1" s="1"/>
  <c r="AF63" i="1" a="1"/>
  <c r="AF63" i="1" s="1"/>
  <c r="AF64" i="1" a="1"/>
  <c r="AF64" i="1" s="1"/>
  <c r="AF65" i="1" a="1"/>
  <c r="AF65" i="1" s="1"/>
  <c r="AF66" i="1" a="1"/>
  <c r="AF66" i="1" s="1"/>
  <c r="AF67" i="1" a="1"/>
  <c r="AF67" i="1" s="1"/>
  <c r="AF68" i="1" a="1"/>
  <c r="AF68" i="1" s="1"/>
  <c r="AF69" i="1" a="1"/>
  <c r="AF69" i="1" s="1"/>
  <c r="AF70" i="1" a="1"/>
  <c r="AF70" i="1" s="1"/>
  <c r="AF71" i="1" a="1"/>
  <c r="AF71" i="1" s="1"/>
  <c r="AF72" i="1" a="1"/>
  <c r="AF72" i="1" s="1"/>
  <c r="AF73" i="1" a="1"/>
  <c r="AF73" i="1" s="1"/>
  <c r="AF74" i="1" a="1"/>
  <c r="AF74" i="1" s="1"/>
  <c r="AF75" i="1" a="1"/>
  <c r="AF75" i="1" s="1"/>
  <c r="AF76" i="1" a="1"/>
  <c r="AF76" i="1" s="1"/>
  <c r="AF77" i="1" a="1"/>
  <c r="AF77" i="1"/>
  <c r="AF78" i="1" a="1"/>
  <c r="AF78" i="1" s="1"/>
  <c r="AF79" i="1" a="1"/>
  <c r="AF79" i="1" s="1"/>
  <c r="AF80" i="1" a="1"/>
  <c r="AF80" i="1" s="1"/>
  <c r="AF81" i="1" a="1"/>
  <c r="AF81" i="1" s="1"/>
  <c r="AF82" i="1" a="1"/>
  <c r="AF82" i="1" s="1"/>
  <c r="AF83" i="1" a="1"/>
  <c r="AF83" i="1"/>
  <c r="AF84" i="1" a="1"/>
  <c r="AF84" i="1"/>
  <c r="AF85" i="1" a="1"/>
  <c r="AF85" i="1" s="1"/>
  <c r="AF86" i="1" a="1"/>
  <c r="AF86" i="1" s="1"/>
  <c r="AF87" i="1" a="1"/>
  <c r="AF87" i="1" s="1"/>
  <c r="AF88" i="1" a="1"/>
  <c r="AF88" i="1" s="1"/>
  <c r="AF89" i="1" a="1"/>
  <c r="AF89" i="1" s="1"/>
  <c r="AF90" i="1" a="1"/>
  <c r="AF90" i="1" s="1"/>
  <c r="AF91" i="1" a="1"/>
  <c r="AF91" i="1" s="1"/>
  <c r="AF92" i="1" a="1"/>
  <c r="AF92" i="1" s="1"/>
  <c r="AF93" i="1" a="1"/>
  <c r="AF93" i="1" s="1"/>
  <c r="AF94" i="1" a="1"/>
  <c r="AF94" i="1" s="1"/>
  <c r="AF95" i="1" a="1"/>
  <c r="AF95" i="1" s="1"/>
  <c r="AF96" i="1" a="1"/>
  <c r="AF96" i="1" s="1"/>
  <c r="AF97" i="1" a="1"/>
  <c r="AF97" i="1" s="1"/>
  <c r="AF98" i="1" a="1"/>
  <c r="AF98" i="1" s="1"/>
  <c r="AF99" i="1" a="1"/>
  <c r="AF99" i="1" s="1"/>
  <c r="AF100" i="1" a="1"/>
  <c r="AF100" i="1" s="1"/>
  <c r="AF101" i="1" a="1"/>
  <c r="AF101" i="1" s="1"/>
  <c r="AF102" i="1" a="1"/>
  <c r="AF102" i="1" s="1"/>
  <c r="AF103" i="1" a="1"/>
  <c r="AF103" i="1" s="1"/>
  <c r="AF104" i="1" a="1"/>
  <c r="AF104" i="1" s="1"/>
  <c r="AF105" i="1" a="1"/>
  <c r="AF105" i="1" s="1"/>
  <c r="AF106" i="1" a="1"/>
  <c r="AF106" i="1" s="1"/>
  <c r="AF107" i="1" a="1"/>
  <c r="AF107" i="1" s="1"/>
  <c r="AF108" i="1" a="1"/>
  <c r="AF108" i="1" s="1"/>
  <c r="AF109" i="1" a="1"/>
  <c r="AF109" i="1"/>
  <c r="AF110" i="1" a="1"/>
  <c r="AF110" i="1" s="1"/>
  <c r="AF111" i="1" a="1"/>
  <c r="AF111" i="1" s="1"/>
  <c r="AF112" i="1" a="1"/>
  <c r="AF112" i="1" s="1"/>
  <c r="AF113" i="1" a="1"/>
  <c r="AF113" i="1" s="1"/>
  <c r="AF114" i="1" a="1"/>
  <c r="AF114" i="1" s="1"/>
  <c r="AF115" i="1" a="1"/>
  <c r="AF115" i="1" s="1"/>
  <c r="AF116" i="1" a="1"/>
  <c r="AF116" i="1" s="1"/>
  <c r="AF117" i="1" a="1"/>
  <c r="AF117" i="1" s="1"/>
  <c r="AF118" i="1" a="1"/>
  <c r="AF118" i="1" s="1"/>
  <c r="AF119" i="1" a="1"/>
  <c r="AF119" i="1" s="1"/>
  <c r="AF120" i="1" a="1"/>
  <c r="AF120" i="1" s="1"/>
  <c r="AF121" i="1" a="1"/>
  <c r="AF121" i="1" s="1"/>
  <c r="AF122" i="1" a="1"/>
  <c r="AF122" i="1" s="1"/>
  <c r="AF123" i="1" a="1"/>
  <c r="AF123" i="1" s="1"/>
  <c r="AF124" i="1" a="1"/>
  <c r="AF124" i="1" s="1"/>
  <c r="AF125" i="1" a="1"/>
  <c r="AF125" i="1"/>
  <c r="AF126" i="1" a="1"/>
  <c r="AF126" i="1" s="1"/>
  <c r="AF127" i="1" a="1"/>
  <c r="AF127" i="1" s="1"/>
  <c r="AF128" i="1" a="1"/>
  <c r="AF128" i="1" s="1"/>
  <c r="AF129" i="1" a="1"/>
  <c r="AF129" i="1" s="1"/>
  <c r="AF130" i="1" a="1"/>
  <c r="AF130" i="1" s="1"/>
  <c r="AF131" i="1" a="1"/>
  <c r="AF131" i="1" s="1"/>
  <c r="AF132" i="1" a="1"/>
  <c r="AF132" i="1" s="1"/>
  <c r="AF133" i="1" a="1"/>
  <c r="AF133" i="1" s="1"/>
  <c r="AF134" i="1" a="1"/>
  <c r="AF134" i="1" s="1"/>
  <c r="AF135" i="1" a="1"/>
  <c r="AF135" i="1" s="1"/>
  <c r="AF136" i="1" a="1"/>
  <c r="AF136" i="1" s="1"/>
  <c r="AF137" i="1" a="1"/>
  <c r="AF137" i="1" s="1"/>
  <c r="AF138" i="1" a="1"/>
  <c r="AF138" i="1" s="1"/>
  <c r="AF139" i="1" a="1"/>
  <c r="AF139" i="1" s="1"/>
  <c r="AF140" i="1" a="1"/>
  <c r="AF140" i="1" s="1"/>
  <c r="AF141" i="1" a="1"/>
  <c r="AF141" i="1" s="1"/>
  <c r="AF142" i="1" a="1"/>
  <c r="AF142" i="1" s="1"/>
  <c r="AF143" i="1" a="1"/>
  <c r="AF143" i="1" s="1"/>
  <c r="AF144" i="1" a="1"/>
  <c r="AF144" i="1" s="1"/>
  <c r="AF145" i="1" a="1"/>
  <c r="AF145" i="1" s="1"/>
  <c r="AF146" i="1" a="1"/>
  <c r="AF146" i="1" s="1"/>
  <c r="AF147" i="1" a="1"/>
  <c r="AF147" i="1" s="1"/>
  <c r="AF148" i="1" a="1"/>
  <c r="AF148" i="1" s="1"/>
  <c r="AF149" i="1" a="1"/>
  <c r="AF149" i="1"/>
  <c r="AF150" i="1" a="1"/>
  <c r="AF150" i="1" s="1"/>
  <c r="AF151" i="1" a="1"/>
  <c r="AF151" i="1" s="1"/>
  <c r="AF152" i="1" a="1"/>
  <c r="AF152" i="1" s="1"/>
  <c r="AF153" i="1" a="1"/>
  <c r="AF153" i="1" s="1"/>
  <c r="AF154" i="1" a="1"/>
  <c r="AF154" i="1" s="1"/>
  <c r="AF155" i="1" a="1"/>
  <c r="AF155" i="1" s="1"/>
  <c r="AF156" i="1" a="1"/>
  <c r="AF156" i="1" s="1"/>
  <c r="AF157" i="1" a="1"/>
  <c r="AF157" i="1" s="1"/>
  <c r="AF158" i="1" a="1"/>
  <c r="AF158" i="1" s="1"/>
  <c r="AF159" i="1" a="1"/>
  <c r="AF159" i="1" s="1"/>
  <c r="AF160" i="1" a="1"/>
  <c r="AF160" i="1" s="1"/>
  <c r="AF161" i="1" a="1"/>
  <c r="AF161" i="1" s="1"/>
  <c r="AF162" i="1" a="1"/>
  <c r="AF162" i="1" s="1"/>
  <c r="AF163" i="1" a="1"/>
  <c r="AF163" i="1"/>
  <c r="AF164" i="1" a="1"/>
  <c r="AF164" i="1" s="1"/>
  <c r="AF165" i="1" a="1"/>
  <c r="AF165" i="1" s="1"/>
  <c r="AF166" i="1" a="1"/>
  <c r="AF166" i="1" s="1"/>
  <c r="AF167" i="1" a="1"/>
  <c r="AF167" i="1" s="1"/>
  <c r="AF168" i="1" a="1"/>
  <c r="AF168" i="1" s="1"/>
  <c r="AF169" i="1" a="1"/>
  <c r="AF169" i="1" s="1"/>
  <c r="AF170" i="1" a="1"/>
  <c r="AF170" i="1" s="1"/>
  <c r="AF171" i="1" a="1"/>
  <c r="AF171" i="1" s="1"/>
  <c r="AF172" i="1" a="1"/>
  <c r="AF172" i="1" s="1"/>
  <c r="AF173" i="1" a="1"/>
  <c r="AF173" i="1" s="1"/>
  <c r="AF174" i="1" a="1"/>
  <c r="AF174" i="1" s="1"/>
  <c r="AF175" i="1" a="1"/>
  <c r="AF175" i="1" s="1"/>
  <c r="AF176" i="1" a="1"/>
  <c r="AF176" i="1" s="1"/>
  <c r="AF177" i="1" a="1"/>
  <c r="AF177" i="1" s="1"/>
  <c r="AF178" i="1" a="1"/>
  <c r="AF178" i="1" s="1"/>
  <c r="AF179" i="1" a="1"/>
  <c r="AF179" i="1" s="1"/>
  <c r="AF180" i="1" a="1"/>
  <c r="AF180" i="1" s="1"/>
  <c r="AF181" i="1" a="1"/>
  <c r="AF181" i="1" s="1"/>
  <c r="AF182" i="1" a="1"/>
  <c r="AF182" i="1" s="1"/>
  <c r="AF183" i="1" a="1"/>
  <c r="AF183" i="1" s="1"/>
  <c r="AF184" i="1" a="1"/>
  <c r="AF184" i="1" s="1"/>
  <c r="AF185" i="1" a="1"/>
  <c r="AF185" i="1" s="1"/>
  <c r="AF186" i="1" a="1"/>
  <c r="AF186" i="1" s="1"/>
  <c r="AF187" i="1" a="1"/>
  <c r="AF187" i="1" s="1"/>
  <c r="AF188" i="1" a="1"/>
  <c r="AF188" i="1" s="1"/>
  <c r="AF189" i="1" a="1"/>
  <c r="AF189" i="1" s="1"/>
  <c r="AF190" i="1" a="1"/>
  <c r="AF190" i="1" s="1"/>
  <c r="AF191" i="1" a="1"/>
  <c r="AF191" i="1" s="1"/>
  <c r="AF192" i="1" a="1"/>
  <c r="AF192" i="1" s="1"/>
  <c r="AF193" i="1" a="1"/>
  <c r="AF193" i="1"/>
  <c r="AF194" i="1" a="1"/>
  <c r="AF194" i="1"/>
  <c r="AF195" i="1" a="1"/>
  <c r="AF195" i="1" s="1"/>
  <c r="AF196" i="1" a="1"/>
  <c r="AF196" i="1" s="1"/>
  <c r="AF197" i="1" a="1"/>
  <c r="AF197" i="1" s="1"/>
  <c r="AF198" i="1" a="1"/>
  <c r="AF198" i="1" s="1"/>
  <c r="AF199" i="1" a="1"/>
  <c r="AF199" i="1" s="1"/>
  <c r="AF200" i="1" a="1"/>
  <c r="AF200" i="1" s="1"/>
  <c r="AF201" i="1" a="1"/>
  <c r="AF201" i="1" s="1"/>
  <c r="AF202" i="1" a="1"/>
  <c r="AF202" i="1" s="1"/>
  <c r="AF203" i="1" a="1"/>
  <c r="AF203" i="1" s="1"/>
  <c r="AF204" i="1" a="1"/>
  <c r="AF204" i="1" s="1"/>
  <c r="AF205" i="1" a="1"/>
  <c r="AF205" i="1" s="1"/>
  <c r="AF206" i="1" a="1"/>
  <c r="AF206" i="1" s="1"/>
  <c r="AF207" i="1" a="1"/>
  <c r="AF207" i="1" s="1"/>
  <c r="AF208" i="1" a="1"/>
  <c r="AF208" i="1" s="1"/>
  <c r="AF209" i="1" a="1"/>
  <c r="AF209" i="1" s="1"/>
  <c r="AF210" i="1" a="1"/>
  <c r="AF210" i="1" s="1"/>
  <c r="AF211" i="1" a="1"/>
  <c r="AF211" i="1"/>
  <c r="AF212" i="1" a="1"/>
  <c r="AF212" i="1" s="1"/>
  <c r="AF213" i="1" a="1"/>
  <c r="AF213" i="1" s="1"/>
  <c r="AF214" i="1" a="1"/>
  <c r="AF214" i="1" s="1"/>
  <c r="AF215" i="1" a="1"/>
  <c r="AF215" i="1" s="1"/>
  <c r="AF216" i="1" a="1"/>
  <c r="AF216" i="1" s="1"/>
  <c r="AF217" i="1" a="1"/>
  <c r="AF217" i="1" s="1"/>
  <c r="AF218" i="1" a="1"/>
  <c r="AF218" i="1" s="1"/>
  <c r="AF219" i="1" a="1"/>
  <c r="AF219" i="1" s="1"/>
  <c r="AF220" i="1" a="1"/>
  <c r="AF220" i="1" s="1"/>
  <c r="AF221" i="1" a="1"/>
  <c r="AF221" i="1" s="1"/>
  <c r="AF222" i="1" a="1"/>
  <c r="AF222" i="1" s="1"/>
  <c r="AF223" i="1" a="1"/>
  <c r="AF223" i="1" s="1"/>
  <c r="AF224" i="1" a="1"/>
  <c r="AF224" i="1" s="1"/>
  <c r="AF225" i="1" a="1"/>
  <c r="AF225" i="1" s="1"/>
  <c r="AF226" i="1" a="1"/>
  <c r="AF226" i="1" s="1"/>
  <c r="AF227" i="1" a="1"/>
  <c r="AF227" i="1" s="1"/>
  <c r="AF228" i="1" a="1"/>
  <c r="AF228" i="1" s="1"/>
  <c r="AF229" i="1" a="1"/>
  <c r="AF229" i="1" s="1"/>
  <c r="AF230" i="1" a="1"/>
  <c r="AF230" i="1" s="1"/>
  <c r="AF231" i="1" a="1"/>
  <c r="AF231" i="1" s="1"/>
  <c r="AF232" i="1" a="1"/>
  <c r="AF232" i="1" s="1"/>
  <c r="AF233" i="1" a="1"/>
  <c r="AF233" i="1" s="1"/>
  <c r="AF234" i="1" a="1"/>
  <c r="AF234" i="1" s="1"/>
  <c r="AF235" i="1" a="1"/>
  <c r="AF235" i="1" s="1"/>
  <c r="AF236" i="1" a="1"/>
  <c r="AF236" i="1"/>
  <c r="AF237" i="1" a="1"/>
  <c r="AF237" i="1" s="1"/>
  <c r="AF238" i="1" a="1"/>
  <c r="AF238" i="1" s="1"/>
  <c r="AF239" i="1" a="1"/>
  <c r="AF239" i="1" s="1"/>
  <c r="AF240" i="1" a="1"/>
  <c r="AF240" i="1" s="1"/>
  <c r="AF241" i="1" a="1"/>
  <c r="AF241" i="1" s="1"/>
  <c r="AF242" i="1" a="1"/>
  <c r="AF242" i="1"/>
  <c r="AF243" i="1" a="1"/>
  <c r="AF243" i="1" s="1"/>
  <c r="AF244" i="1" a="1"/>
  <c r="AF244" i="1" s="1"/>
  <c r="AF245" i="1" a="1"/>
  <c r="AF245" i="1" s="1"/>
  <c r="AF246" i="1" a="1"/>
  <c r="AF246" i="1" s="1"/>
  <c r="AF247" i="1" a="1"/>
  <c r="AF247" i="1" s="1"/>
  <c r="AF248" i="1" a="1"/>
  <c r="AF248" i="1" s="1"/>
  <c r="AF249" i="1" a="1"/>
  <c r="AF249" i="1" s="1"/>
  <c r="AF250" i="1" a="1"/>
  <c r="AF250" i="1"/>
  <c r="AF251" i="1" a="1"/>
  <c r="AF251" i="1" s="1"/>
  <c r="AF252" i="1" a="1"/>
  <c r="AF252" i="1" s="1"/>
  <c r="AF253" i="1" a="1"/>
  <c r="AF253" i="1" s="1"/>
  <c r="AF254" i="1" a="1"/>
  <c r="AF254" i="1" s="1"/>
  <c r="AF255" i="1" a="1"/>
  <c r="AF255" i="1" s="1"/>
  <c r="AF256" i="1" a="1"/>
  <c r="AF256" i="1" s="1"/>
  <c r="AF257" i="1" a="1"/>
  <c r="AF257" i="1" s="1"/>
  <c r="AF258" i="1" a="1"/>
  <c r="AF258" i="1" s="1"/>
  <c r="AF259" i="1" a="1"/>
  <c r="AF259" i="1" s="1"/>
  <c r="AF260" i="1" a="1"/>
  <c r="AF260" i="1" s="1"/>
  <c r="AF261" i="1" a="1"/>
  <c r="AF261" i="1" s="1"/>
  <c r="AF262" i="1" a="1"/>
  <c r="AF262" i="1" s="1"/>
  <c r="AF263" i="1" a="1"/>
  <c r="AF263" i="1" s="1"/>
  <c r="AF264" i="1" a="1"/>
  <c r="AF264" i="1" s="1"/>
  <c r="AF265" i="1" a="1"/>
  <c r="AF265" i="1" s="1"/>
  <c r="AF266" i="1" a="1"/>
  <c r="AF266" i="1"/>
  <c r="AF267" i="1" a="1"/>
  <c r="AF267" i="1" s="1"/>
  <c r="AF268" i="1" a="1"/>
  <c r="AF268" i="1" s="1"/>
  <c r="AF269" i="1" a="1"/>
  <c r="AF269" i="1" s="1"/>
  <c r="AF270" i="1" a="1"/>
  <c r="AF270" i="1" s="1"/>
  <c r="AF271" i="1" a="1"/>
  <c r="AF271" i="1" s="1"/>
  <c r="AF272" i="1" a="1"/>
  <c r="AF272" i="1" s="1"/>
  <c r="AF273" i="1" a="1"/>
  <c r="AF273" i="1" s="1"/>
  <c r="AF274" i="1" a="1"/>
  <c r="AF274" i="1" s="1"/>
  <c r="AF275" i="1" a="1"/>
  <c r="AF275" i="1" s="1"/>
  <c r="AF276" i="1" a="1"/>
  <c r="AF276" i="1" s="1"/>
  <c r="AF277" i="1" a="1"/>
  <c r="AF277" i="1" s="1"/>
  <c r="AF278" i="1" a="1"/>
  <c r="AF278" i="1" s="1"/>
  <c r="AF279" i="1" a="1"/>
  <c r="AF279" i="1" s="1"/>
  <c r="AF280" i="1" a="1"/>
  <c r="AF280" i="1" s="1"/>
  <c r="AF281" i="1" a="1"/>
  <c r="AF281" i="1" s="1"/>
  <c r="AF282" i="1" a="1"/>
  <c r="AF282" i="1" s="1"/>
  <c r="AF283" i="1" a="1"/>
  <c r="AF283" i="1" s="1"/>
  <c r="AF284" i="1" a="1"/>
  <c r="AF284" i="1" s="1"/>
  <c r="AF285" i="1" a="1"/>
  <c r="AF285" i="1" s="1"/>
  <c r="AF286" i="1" a="1"/>
  <c r="AF286" i="1" s="1"/>
  <c r="AF287" i="1" a="1"/>
  <c r="AF287" i="1" s="1"/>
  <c r="AF288" i="1" a="1"/>
  <c r="AF288" i="1" s="1"/>
  <c r="AF289" i="1" a="1"/>
  <c r="AF289" i="1" s="1"/>
  <c r="AF290" i="1" a="1"/>
  <c r="AF290" i="1"/>
  <c r="AF291" i="1" a="1"/>
  <c r="AF291" i="1"/>
  <c r="AF292" i="1" a="1"/>
  <c r="AF292" i="1" s="1"/>
  <c r="AF293" i="1" a="1"/>
  <c r="AF293" i="1" s="1"/>
  <c r="AF294" i="1" a="1"/>
  <c r="AF294" i="1" s="1"/>
  <c r="AF295" i="1" a="1"/>
  <c r="AF295" i="1" s="1"/>
  <c r="AF296" i="1" a="1"/>
  <c r="AF296" i="1" s="1"/>
  <c r="AF297" i="1" a="1"/>
  <c r="AF297" i="1" s="1"/>
  <c r="AF298" i="1" a="1"/>
  <c r="AF298" i="1" s="1"/>
  <c r="AF299" i="1" a="1"/>
  <c r="AF299" i="1"/>
  <c r="AF300" i="1" a="1"/>
  <c r="AF300" i="1" s="1"/>
  <c r="AF301" i="1" a="1"/>
  <c r="AF301" i="1" s="1"/>
  <c r="AF302" i="1" a="1"/>
  <c r="AF302" i="1" s="1"/>
  <c r="AF303" i="1" a="1"/>
  <c r="AF303" i="1" s="1"/>
  <c r="AF304" i="1" a="1"/>
  <c r="AF304" i="1" s="1"/>
  <c r="AF305" i="1" a="1"/>
  <c r="AF305" i="1" s="1"/>
  <c r="AF306" i="1" a="1"/>
  <c r="AF306" i="1" s="1"/>
  <c r="AF307" i="1" a="1"/>
  <c r="AF307" i="1" s="1"/>
  <c r="AF308" i="1" a="1"/>
  <c r="AF308" i="1" s="1"/>
  <c r="AF309" i="1" a="1"/>
  <c r="AF309" i="1" s="1"/>
  <c r="AF310" i="1" a="1"/>
  <c r="AF310" i="1" s="1"/>
  <c r="AF311" i="1" a="1"/>
  <c r="AF311" i="1" s="1"/>
  <c r="AF312" i="1" a="1"/>
  <c r="AF312" i="1" s="1"/>
  <c r="AF313" i="1" a="1"/>
  <c r="AF313" i="1" s="1"/>
  <c r="AF314" i="1" a="1"/>
  <c r="AF314" i="1" s="1"/>
  <c r="AF315" i="1" a="1"/>
  <c r="AF315" i="1" s="1"/>
  <c r="AF316" i="1" a="1"/>
  <c r="AF316" i="1" s="1"/>
  <c r="AF317" i="1" a="1"/>
  <c r="AF317" i="1" s="1"/>
  <c r="AF318" i="1" a="1"/>
  <c r="AF318" i="1" s="1"/>
  <c r="AF319" i="1" a="1"/>
  <c r="AF319" i="1" s="1"/>
  <c r="AF320" i="1" a="1"/>
  <c r="AF320" i="1" s="1"/>
  <c r="AF321" i="1" a="1"/>
  <c r="AF321" i="1" s="1"/>
  <c r="AF322" i="1" a="1"/>
  <c r="AF322" i="1" s="1"/>
  <c r="AF323" i="1" a="1"/>
  <c r="AF323" i="1" s="1"/>
  <c r="AF324" i="1" a="1"/>
  <c r="AF324" i="1" s="1"/>
  <c r="AF325" i="1" a="1"/>
  <c r="AF325" i="1" s="1"/>
  <c r="AF326" i="1" a="1"/>
  <c r="AF326" i="1" s="1"/>
  <c r="AF327" i="1" a="1"/>
  <c r="AF327" i="1" s="1"/>
  <c r="AF328" i="1" a="1"/>
  <c r="AF328" i="1" s="1"/>
  <c r="AF329" i="1" a="1"/>
  <c r="AF329" i="1" s="1"/>
  <c r="AF330" i="1" a="1"/>
  <c r="AF330" i="1" s="1"/>
  <c r="AF331" i="1" a="1"/>
  <c r="AF331" i="1" s="1"/>
  <c r="AF332" i="1" a="1"/>
  <c r="AF332" i="1" s="1"/>
  <c r="AF333" i="1" a="1"/>
  <c r="AF333" i="1" s="1"/>
  <c r="AF334" i="1" a="1"/>
  <c r="AF334" i="1" s="1"/>
  <c r="AF335" i="1" a="1"/>
  <c r="AF335" i="1" s="1"/>
  <c r="AF336" i="1" a="1"/>
  <c r="AF336" i="1" s="1"/>
  <c r="AF337" i="1" a="1"/>
  <c r="AF337" i="1" s="1"/>
  <c r="AF338" i="1" a="1"/>
  <c r="AF338" i="1" s="1"/>
  <c r="AF339" i="1" a="1"/>
  <c r="AF339" i="1" s="1"/>
  <c r="AF340" i="1" a="1"/>
  <c r="AF340" i="1" s="1"/>
  <c r="AF341" i="1" a="1"/>
  <c r="AF341" i="1" s="1"/>
  <c r="AF342" i="1" a="1"/>
  <c r="AF342" i="1" s="1"/>
  <c r="AF343" i="1" a="1"/>
  <c r="AF343" i="1" s="1"/>
  <c r="AF344" i="1" a="1"/>
  <c r="AF344" i="1" s="1"/>
  <c r="AF345" i="1" a="1"/>
  <c r="AF345" i="1" s="1"/>
  <c r="AF346" i="1" a="1"/>
  <c r="AF346" i="1"/>
  <c r="AF347" i="1" a="1"/>
  <c r="AF347" i="1" s="1"/>
  <c r="AF348" i="1" a="1"/>
  <c r="AF348" i="1" s="1"/>
  <c r="AF349" i="1" a="1"/>
  <c r="AF349" i="1" s="1"/>
  <c r="AF350" i="1" a="1"/>
  <c r="AF350" i="1" s="1"/>
  <c r="AF351" i="1" a="1"/>
  <c r="AF351" i="1" s="1"/>
  <c r="AF352" i="1" a="1"/>
  <c r="AF352" i="1" s="1"/>
  <c r="AF353" i="1" a="1"/>
  <c r="AF353" i="1" s="1"/>
  <c r="AF354" i="1" a="1"/>
  <c r="AF354" i="1" s="1"/>
  <c r="AF355" i="1" a="1"/>
  <c r="AF355" i="1" s="1"/>
  <c r="AF356" i="1" a="1"/>
  <c r="AF356" i="1" s="1"/>
  <c r="AF357" i="1" a="1"/>
  <c r="AF357" i="1" s="1"/>
  <c r="AF358" i="1" a="1"/>
  <c r="AF358" i="1" s="1"/>
  <c r="AF359" i="1" a="1"/>
  <c r="AF359" i="1" s="1"/>
  <c r="AF360" i="1" a="1"/>
  <c r="AF360" i="1" s="1"/>
  <c r="AF361" i="1" a="1"/>
  <c r="AF361" i="1" s="1"/>
  <c r="AF362" i="1" a="1"/>
  <c r="AF362" i="1" s="1"/>
  <c r="AF363" i="1" a="1"/>
  <c r="AF363" i="1" s="1"/>
  <c r="AF364" i="1" a="1"/>
  <c r="AF364" i="1" s="1"/>
  <c r="AF365" i="1" a="1"/>
  <c r="AF365" i="1" s="1"/>
  <c r="AF366" i="1" a="1"/>
  <c r="AF366" i="1" s="1"/>
  <c r="AF367" i="1" a="1"/>
  <c r="AF367" i="1" s="1"/>
  <c r="AF368" i="1" a="1"/>
  <c r="AF368" i="1" s="1"/>
  <c r="AF369" i="1" a="1"/>
  <c r="AF369" i="1" s="1"/>
  <c r="AF370" i="1" a="1"/>
  <c r="AF370" i="1" s="1"/>
  <c r="AF371" i="1" a="1"/>
  <c r="AF371" i="1" s="1"/>
  <c r="AF372" i="1" a="1"/>
  <c r="AF372" i="1" s="1"/>
  <c r="AF373" i="1" a="1"/>
  <c r="AF373" i="1" s="1"/>
  <c r="AF374" i="1" a="1"/>
  <c r="AF374" i="1" s="1"/>
  <c r="AF375" i="1" a="1"/>
  <c r="AF375" i="1" s="1"/>
  <c r="AF376" i="1" a="1"/>
  <c r="AF376" i="1" s="1"/>
  <c r="AF377" i="1" a="1"/>
  <c r="AF377" i="1" s="1"/>
  <c r="AF378" i="1" a="1"/>
  <c r="AF378" i="1" s="1"/>
  <c r="AF379" i="1" a="1"/>
  <c r="AF379" i="1" s="1"/>
  <c r="AF380" i="1" a="1"/>
  <c r="AF380" i="1" s="1"/>
  <c r="AF381" i="1" a="1"/>
  <c r="AF381" i="1" s="1"/>
  <c r="AF382" i="1" a="1"/>
  <c r="AF382" i="1" s="1"/>
  <c r="AF383" i="1" a="1"/>
  <c r="AF383" i="1" s="1"/>
  <c r="AF384" i="1" a="1"/>
  <c r="AF384" i="1" s="1"/>
  <c r="AF385" i="1" a="1"/>
  <c r="AF385" i="1" s="1"/>
  <c r="AF386" i="1" a="1"/>
  <c r="AF386" i="1" s="1"/>
  <c r="AF387" i="1" a="1"/>
  <c r="AF387" i="1" s="1"/>
  <c r="AF388" i="1" a="1"/>
  <c r="AF388" i="1" s="1"/>
  <c r="AF389" i="1" a="1"/>
  <c r="AF389" i="1" s="1"/>
  <c r="AF390" i="1" a="1"/>
  <c r="AF390" i="1" s="1"/>
  <c r="AF391" i="1" a="1"/>
  <c r="AF391" i="1" s="1"/>
  <c r="AF392" i="1" a="1"/>
  <c r="AF392" i="1" s="1"/>
  <c r="AF393" i="1" a="1"/>
  <c r="AF393" i="1" s="1"/>
  <c r="AF394" i="1" a="1"/>
  <c r="AF394" i="1" s="1"/>
  <c r="AF395" i="1" a="1"/>
  <c r="AF395" i="1" s="1"/>
  <c r="AF396" i="1" a="1"/>
  <c r="AF396" i="1" s="1"/>
  <c r="AF397" i="1" a="1"/>
  <c r="AF397" i="1" s="1"/>
  <c r="AF398" i="1" a="1"/>
  <c r="AF398" i="1" s="1"/>
  <c r="AF399" i="1" a="1"/>
  <c r="AF399" i="1" s="1"/>
  <c r="AF400" i="1" a="1"/>
  <c r="AF400" i="1" s="1"/>
  <c r="AF401" i="1" a="1"/>
  <c r="AF401" i="1" s="1"/>
  <c r="AF402" i="1" a="1"/>
  <c r="AF402" i="1" s="1"/>
  <c r="AF403" i="1" a="1"/>
  <c r="AF403" i="1" s="1"/>
  <c r="AF404" i="1" a="1"/>
  <c r="AF404" i="1" s="1"/>
  <c r="AF405" i="1" a="1"/>
  <c r="AF405" i="1"/>
  <c r="AF406" i="1" a="1"/>
  <c r="AF406" i="1" s="1"/>
  <c r="AF407" i="1" a="1"/>
  <c r="AF407" i="1" s="1"/>
  <c r="AF408" i="1" a="1"/>
  <c r="AF408" i="1" s="1"/>
  <c r="AF409" i="1" a="1"/>
  <c r="AF409" i="1" s="1"/>
  <c r="AF410" i="1" a="1"/>
  <c r="AF410" i="1" s="1"/>
  <c r="AF411" i="1" a="1"/>
  <c r="AF411" i="1" s="1"/>
  <c r="AF412" i="1" a="1"/>
  <c r="AF412" i="1" s="1"/>
  <c r="AF413" i="1" a="1"/>
  <c r="AF413" i="1" s="1"/>
  <c r="AF414" i="1" a="1"/>
  <c r="AF414" i="1" s="1"/>
  <c r="AF415" i="1" a="1"/>
  <c r="AF415" i="1" s="1"/>
  <c r="AF416" i="1" a="1"/>
  <c r="AF416" i="1" s="1"/>
  <c r="AF417" i="1" a="1"/>
  <c r="AF417" i="1" s="1"/>
  <c r="AF418" i="1" a="1"/>
  <c r="AF418" i="1" s="1"/>
  <c r="AF419" i="1" a="1"/>
  <c r="AF419" i="1" s="1"/>
  <c r="AF420" i="1" a="1"/>
  <c r="AF420" i="1" s="1"/>
  <c r="AF421" i="1" a="1"/>
  <c r="AF421" i="1" s="1"/>
  <c r="AF422" i="1" a="1"/>
  <c r="AF422" i="1" s="1"/>
  <c r="AF423" i="1" a="1"/>
  <c r="AF423" i="1" s="1"/>
  <c r="AF424" i="1" a="1"/>
  <c r="AF424" i="1" s="1"/>
  <c r="AF425" i="1" a="1"/>
  <c r="AF425" i="1" s="1"/>
  <c r="AF426" i="1" a="1"/>
  <c r="AF426" i="1" s="1"/>
  <c r="AF427" i="1" a="1"/>
  <c r="AF427" i="1" s="1"/>
  <c r="AF428" i="1" a="1"/>
  <c r="AF428" i="1" s="1"/>
  <c r="AF429" i="1" a="1"/>
  <c r="AF429" i="1" s="1"/>
  <c r="AF430" i="1" a="1"/>
  <c r="AF430" i="1" s="1"/>
  <c r="AF431" i="1" a="1"/>
  <c r="AF431" i="1" s="1"/>
  <c r="AF432" i="1" a="1"/>
  <c r="AF432" i="1" s="1"/>
  <c r="AF433" i="1" a="1"/>
  <c r="AF433" i="1" s="1"/>
  <c r="AF434" i="1" a="1"/>
  <c r="AF434" i="1" s="1"/>
  <c r="AF435" i="1" a="1"/>
  <c r="AF435" i="1" s="1"/>
  <c r="AF436" i="1" a="1"/>
  <c r="AF436" i="1" s="1"/>
  <c r="AF437" i="1" a="1"/>
  <c r="AF437" i="1" s="1"/>
  <c r="AF438" i="1" a="1"/>
  <c r="AF438" i="1" s="1"/>
  <c r="AF439" i="1" a="1"/>
  <c r="AF439" i="1" s="1"/>
  <c r="AF440" i="1" a="1"/>
  <c r="AF440" i="1" s="1"/>
  <c r="AF441" i="1" a="1"/>
  <c r="AF441" i="1" s="1"/>
  <c r="AF442" i="1" a="1"/>
  <c r="AF442" i="1" s="1"/>
  <c r="AF443" i="1" a="1"/>
  <c r="AF443" i="1" s="1"/>
  <c r="AF444" i="1" a="1"/>
  <c r="AF444" i="1" s="1"/>
  <c r="AF445" i="1" a="1"/>
  <c r="AF445" i="1"/>
  <c r="AF446" i="1" a="1"/>
  <c r="AF446" i="1" s="1"/>
  <c r="AF447" i="1" a="1"/>
  <c r="AF447" i="1" s="1"/>
  <c r="AF448" i="1" a="1"/>
  <c r="AF448" i="1" s="1"/>
  <c r="AF449" i="1" a="1"/>
  <c r="AF449" i="1" s="1"/>
  <c r="AF450" i="1" a="1"/>
  <c r="AF450" i="1" s="1"/>
  <c r="AF451" i="1" a="1"/>
  <c r="AF451" i="1" s="1"/>
  <c r="AF452" i="1" a="1"/>
  <c r="AF452" i="1" s="1"/>
  <c r="AF453" i="1" a="1"/>
  <c r="AF453" i="1" s="1"/>
  <c r="AF454" i="1" a="1"/>
  <c r="AF454" i="1" s="1"/>
  <c r="AF455" i="1" a="1"/>
  <c r="AF455" i="1" s="1"/>
  <c r="AF456" i="1" a="1"/>
  <c r="AF456" i="1" s="1"/>
  <c r="AF457" i="1" a="1"/>
  <c r="AF457" i="1"/>
  <c r="AF458" i="1" a="1"/>
  <c r="AF458" i="1" s="1"/>
  <c r="AF459" i="1" a="1"/>
  <c r="AF459" i="1" s="1"/>
  <c r="AF460" i="1" a="1"/>
  <c r="AF460" i="1" s="1"/>
  <c r="AF461" i="1" a="1"/>
  <c r="AF461" i="1" s="1"/>
  <c r="AF462" i="1" a="1"/>
  <c r="AF462" i="1" s="1"/>
  <c r="AF463" i="1" a="1"/>
  <c r="AF463" i="1" s="1"/>
  <c r="AF464" i="1" a="1"/>
  <c r="AF464" i="1" s="1"/>
  <c r="AF465" i="1" a="1"/>
  <c r="AF465" i="1" s="1"/>
  <c r="AF466" i="1" a="1"/>
  <c r="AF466" i="1" s="1"/>
  <c r="AF467" i="1" a="1"/>
  <c r="AF467" i="1"/>
  <c r="AF468" i="1" a="1"/>
  <c r="AF468" i="1" s="1"/>
  <c r="AF469" i="1" a="1"/>
  <c r="AF469" i="1" s="1"/>
  <c r="AF470" i="1" a="1"/>
  <c r="AF470" i="1" s="1"/>
  <c r="AF471" i="1" a="1"/>
  <c r="AF471" i="1" s="1"/>
  <c r="AF472" i="1" a="1"/>
  <c r="AF472" i="1" s="1"/>
  <c r="AF473" i="1" a="1"/>
  <c r="AF473" i="1" s="1"/>
  <c r="AF474" i="1" a="1"/>
  <c r="AF474" i="1" s="1"/>
  <c r="AF475" i="1" a="1"/>
  <c r="AF475" i="1" s="1"/>
  <c r="AF476" i="1" a="1"/>
  <c r="AF476" i="1" s="1"/>
  <c r="AF477" i="1" a="1"/>
  <c r="AF477" i="1" s="1"/>
  <c r="AF478" i="1" a="1"/>
  <c r="AF478" i="1" s="1"/>
  <c r="AF479" i="1" a="1"/>
  <c r="AF479" i="1" s="1"/>
  <c r="AF480" i="1" a="1"/>
  <c r="AF480" i="1" s="1"/>
  <c r="AF481" i="1" a="1"/>
  <c r="AF481" i="1" s="1"/>
  <c r="AF482" i="1" a="1"/>
  <c r="AF482" i="1" s="1"/>
  <c r="AF483" i="1" a="1"/>
  <c r="AF483" i="1" s="1"/>
  <c r="AF484" i="1" a="1"/>
  <c r="AF484" i="1" s="1"/>
  <c r="AF485" i="1" a="1"/>
  <c r="AF485" i="1" s="1"/>
  <c r="AF486" i="1" a="1"/>
  <c r="AF486" i="1" s="1"/>
  <c r="AF487" i="1" a="1"/>
  <c r="AF487" i="1" s="1"/>
  <c r="AF488" i="1" a="1"/>
  <c r="AF488" i="1" s="1"/>
  <c r="AF489" i="1" a="1"/>
  <c r="AF489" i="1" s="1"/>
  <c r="AF490" i="1" a="1"/>
  <c r="AF490" i="1" s="1"/>
  <c r="AF491" i="1" a="1"/>
  <c r="AF491" i="1" s="1"/>
  <c r="AF492" i="1" a="1"/>
  <c r="AF492" i="1" s="1"/>
  <c r="AF493" i="1" a="1"/>
  <c r="AF493" i="1" s="1"/>
  <c r="AF494" i="1" a="1"/>
  <c r="AF494" i="1" s="1"/>
  <c r="AF495" i="1" a="1"/>
  <c r="AF495" i="1" s="1"/>
  <c r="AF496" i="1" a="1"/>
  <c r="AF496" i="1" s="1"/>
  <c r="AF497" i="1" a="1"/>
  <c r="AF497" i="1" s="1"/>
  <c r="AF498" i="1" a="1"/>
  <c r="AF498" i="1" s="1"/>
  <c r="AF499" i="1" a="1"/>
  <c r="AF499" i="1" s="1"/>
  <c r="AF500" i="1" a="1"/>
  <c r="AF500" i="1" s="1"/>
  <c r="AF501" i="1" a="1"/>
  <c r="AF501" i="1" s="1"/>
  <c r="AF502" i="1" a="1"/>
  <c r="AF502" i="1" s="1"/>
  <c r="AF503" i="1" a="1"/>
  <c r="AF503" i="1" s="1"/>
  <c r="AF504" i="1" a="1"/>
  <c r="AF504" i="1" s="1"/>
  <c r="AF505" i="1" a="1"/>
  <c r="AF505" i="1" s="1"/>
  <c r="AF506" i="1" a="1"/>
  <c r="AF506" i="1" s="1"/>
  <c r="AF507" i="1" a="1"/>
  <c r="AF507" i="1" s="1"/>
  <c r="AF508" i="1" a="1"/>
  <c r="AF508" i="1" s="1"/>
  <c r="AF509" i="1" a="1"/>
  <c r="AF509" i="1" s="1"/>
  <c r="AF510" i="1" a="1"/>
  <c r="AF510" i="1" s="1"/>
  <c r="AF511" i="1" a="1"/>
  <c r="AF511" i="1" s="1"/>
  <c r="AF512" i="1" a="1"/>
  <c r="AF512" i="1" s="1"/>
  <c r="AF513" i="1" a="1"/>
  <c r="AF513" i="1" s="1"/>
  <c r="AF514" i="1" a="1"/>
  <c r="AF514" i="1" s="1"/>
  <c r="AF515" i="1" a="1"/>
  <c r="AF515" i="1" s="1"/>
  <c r="AF516" i="1" a="1"/>
  <c r="AF516" i="1" s="1"/>
  <c r="AF517" i="1" a="1"/>
  <c r="AF517" i="1" s="1"/>
  <c r="AF518" i="1" a="1"/>
  <c r="AF518" i="1" s="1"/>
  <c r="AF519" i="1" a="1"/>
  <c r="AF519" i="1" s="1"/>
  <c r="AF520" i="1" a="1"/>
  <c r="AF520" i="1" s="1"/>
  <c r="AF521" i="1" a="1"/>
  <c r="AF521" i="1" s="1"/>
  <c r="AF522" i="1" a="1"/>
  <c r="AF522" i="1" s="1"/>
  <c r="AF523" i="1" a="1"/>
  <c r="AF523" i="1"/>
  <c r="AF524" i="1" a="1"/>
  <c r="AF524" i="1" s="1"/>
  <c r="AF525" i="1" a="1"/>
  <c r="AF525" i="1"/>
  <c r="AF526" i="1" a="1"/>
  <c r="AF526" i="1" s="1"/>
  <c r="AF527" i="1" a="1"/>
  <c r="AF527" i="1" s="1"/>
  <c r="AF528" i="1" a="1"/>
  <c r="AF528" i="1" s="1"/>
  <c r="AF529" i="1" a="1"/>
  <c r="AF529" i="1" s="1"/>
  <c r="AF530" i="1" a="1"/>
  <c r="AF530" i="1" s="1"/>
  <c r="AF531" i="1" a="1"/>
  <c r="AF531" i="1" s="1"/>
  <c r="AF532" i="1" a="1"/>
  <c r="AF532" i="1" s="1"/>
  <c r="AF533" i="1" a="1"/>
  <c r="AF533" i="1" s="1"/>
  <c r="AF534" i="1" a="1"/>
  <c r="AF534" i="1" s="1"/>
  <c r="AF535" i="1" a="1"/>
  <c r="AF535" i="1" s="1"/>
  <c r="AF536" i="1" a="1"/>
  <c r="AF536" i="1" s="1"/>
  <c r="AF537" i="1" a="1"/>
  <c r="AF537" i="1" s="1"/>
  <c r="AF538" i="1" a="1"/>
  <c r="AF538" i="1" s="1"/>
  <c r="AF539" i="1" a="1"/>
  <c r="AF539" i="1" s="1"/>
  <c r="AF540" i="1" a="1"/>
  <c r="AF540" i="1" s="1"/>
  <c r="AF541" i="1" a="1"/>
  <c r="AF541" i="1"/>
  <c r="AF542" i="1" a="1"/>
  <c r="AF542" i="1" s="1"/>
  <c r="AF543" i="1" a="1"/>
  <c r="AF543" i="1" s="1"/>
  <c r="AF544" i="1" a="1"/>
  <c r="AF544" i="1" s="1"/>
  <c r="AF545" i="1" a="1"/>
  <c r="AF545" i="1" s="1"/>
  <c r="AF546" i="1" a="1"/>
  <c r="AF546" i="1" s="1"/>
  <c r="AF547" i="1" a="1"/>
  <c r="AF547" i="1" s="1"/>
  <c r="AF548" i="1" a="1"/>
  <c r="AF548" i="1" s="1"/>
  <c r="AF549" i="1" a="1"/>
  <c r="AF549" i="1" s="1"/>
  <c r="AF550" i="1" a="1"/>
  <c r="AF550" i="1" s="1"/>
  <c r="AF551" i="1" a="1"/>
  <c r="AF551" i="1" s="1"/>
  <c r="AF552" i="1" a="1"/>
  <c r="AF552" i="1" s="1"/>
  <c r="AF553" i="1" a="1"/>
  <c r="AF553" i="1" s="1"/>
  <c r="AF554" i="1" a="1"/>
  <c r="AF554" i="1" s="1"/>
  <c r="AF555" i="1" a="1"/>
  <c r="AF555" i="1" s="1"/>
  <c r="AF556" i="1" a="1"/>
  <c r="AF556" i="1"/>
  <c r="AF557" i="1" a="1"/>
  <c r="AF557" i="1" s="1"/>
  <c r="AF558" i="1" a="1"/>
  <c r="AF558" i="1" s="1"/>
  <c r="AF559" i="1" a="1"/>
  <c r="AF559" i="1" s="1"/>
  <c r="AF560" i="1" a="1"/>
  <c r="AF560" i="1" s="1"/>
  <c r="AF561" i="1" a="1"/>
  <c r="AF561" i="1" s="1"/>
  <c r="AF562" i="1" a="1"/>
  <c r="AF562" i="1" s="1"/>
  <c r="AF563" i="1" a="1"/>
  <c r="AF563" i="1" s="1"/>
  <c r="AF564" i="1" a="1"/>
  <c r="AF564" i="1" s="1"/>
  <c r="AF565" i="1" a="1"/>
  <c r="AF565" i="1" s="1"/>
  <c r="AF566" i="1" a="1"/>
  <c r="AF566" i="1" s="1"/>
  <c r="AF567" i="1" a="1"/>
  <c r="AF567" i="1" s="1"/>
  <c r="AF568" i="1" a="1"/>
  <c r="AF568" i="1" s="1"/>
  <c r="AF569" i="1" a="1"/>
  <c r="AF569" i="1" s="1"/>
  <c r="AF570" i="1" a="1"/>
  <c r="AF570" i="1" s="1"/>
  <c r="AF571" i="1" a="1"/>
  <c r="AF571" i="1"/>
  <c r="AF572" i="1" a="1"/>
  <c r="AF572" i="1"/>
  <c r="AF573" i="1" a="1"/>
  <c r="AF573" i="1" s="1"/>
  <c r="AF574" i="1" a="1"/>
  <c r="AF574" i="1" s="1"/>
  <c r="AF575" i="1" a="1"/>
  <c r="AF575" i="1" s="1"/>
  <c r="AF576" i="1" a="1"/>
  <c r="AF576" i="1" s="1"/>
  <c r="AF577" i="1" a="1"/>
  <c r="AF577" i="1" s="1"/>
  <c r="AF578" i="1" a="1"/>
  <c r="AF578" i="1"/>
  <c r="AF579" i="1" a="1"/>
  <c r="AF579" i="1" s="1"/>
  <c r="AF580" i="1" a="1"/>
  <c r="AF580" i="1" s="1"/>
  <c r="AF581" i="1" a="1"/>
  <c r="AF581" i="1" s="1"/>
  <c r="AF582" i="1" a="1"/>
  <c r="AF582" i="1" s="1"/>
  <c r="AF583" i="1" a="1"/>
  <c r="AF583" i="1" s="1"/>
  <c r="AF584" i="1" a="1"/>
  <c r="AF584" i="1" s="1"/>
  <c r="AF585" i="1" a="1"/>
  <c r="AF585" i="1" s="1"/>
  <c r="AF586" i="1" a="1"/>
  <c r="AF586" i="1" s="1"/>
  <c r="AF587" i="1" a="1"/>
  <c r="AF587" i="1" s="1"/>
  <c r="AF588" i="1" a="1"/>
  <c r="AF588" i="1" s="1"/>
  <c r="AF589" i="1" a="1"/>
  <c r="AF589" i="1" s="1"/>
  <c r="AF590" i="1" a="1"/>
  <c r="AF590" i="1" s="1"/>
  <c r="AF591" i="1" a="1"/>
  <c r="AF591" i="1" s="1"/>
  <c r="AF592" i="1" a="1"/>
  <c r="AF592" i="1" s="1"/>
  <c r="AF593" i="1" a="1"/>
  <c r="AF593" i="1"/>
  <c r="AF594" i="1" a="1"/>
  <c r="AF594" i="1" s="1"/>
  <c r="AF595" i="1" a="1"/>
  <c r="AF595" i="1" s="1"/>
  <c r="AF596" i="1" a="1"/>
  <c r="AF596" i="1" s="1"/>
  <c r="AF597" i="1" a="1"/>
  <c r="AF597" i="1" s="1"/>
  <c r="AF598" i="1" a="1"/>
  <c r="AF598" i="1" s="1"/>
  <c r="AF599" i="1" a="1"/>
  <c r="AF599" i="1" s="1"/>
  <c r="AF600" i="1" a="1"/>
  <c r="AF600" i="1" s="1"/>
  <c r="AF601" i="1" a="1"/>
  <c r="AF601" i="1" s="1"/>
  <c r="AF602" i="1" a="1"/>
  <c r="AF602" i="1" s="1"/>
  <c r="AF603" i="1" a="1"/>
  <c r="AF603" i="1" s="1"/>
  <c r="AF604" i="1" a="1"/>
  <c r="AF604" i="1" s="1"/>
  <c r="AF605" i="1" a="1"/>
  <c r="AF605" i="1" s="1"/>
  <c r="AF606" i="1" a="1"/>
  <c r="AF606" i="1" s="1"/>
  <c r="AF607" i="1" a="1"/>
  <c r="AF607" i="1" s="1"/>
  <c r="AF608" i="1" a="1"/>
  <c r="AF608" i="1" s="1"/>
  <c r="AF609" i="1" a="1"/>
  <c r="AF609" i="1" s="1"/>
  <c r="AF610" i="1" a="1"/>
  <c r="AF610" i="1" s="1"/>
  <c r="AF611" i="1" a="1"/>
  <c r="AF611" i="1" s="1"/>
  <c r="AF612" i="1" a="1"/>
  <c r="AF612" i="1" s="1"/>
  <c r="AF613" i="1" a="1"/>
  <c r="AF613" i="1" s="1"/>
  <c r="AF614" i="1" a="1"/>
  <c r="AF614" i="1" s="1"/>
  <c r="AF615" i="1" a="1"/>
  <c r="AF615" i="1" s="1"/>
  <c r="AF616" i="1" a="1"/>
  <c r="AF616" i="1" s="1"/>
  <c r="AF617" i="1" a="1"/>
  <c r="AF617" i="1" s="1"/>
  <c r="AF618" i="1" a="1"/>
  <c r="AF618" i="1" s="1"/>
  <c r="AF619" i="1" a="1"/>
  <c r="AF619" i="1" s="1"/>
  <c r="AF620" i="1" a="1"/>
  <c r="AF620" i="1" s="1"/>
  <c r="AF621" i="1" a="1"/>
  <c r="AF621" i="1" s="1"/>
  <c r="AF622" i="1" a="1"/>
  <c r="AF622" i="1" s="1"/>
  <c r="AF623" i="1" a="1"/>
  <c r="AF623" i="1" s="1"/>
  <c r="AF624" i="1" a="1"/>
  <c r="AF624" i="1" s="1"/>
  <c r="AF625" i="1" a="1"/>
  <c r="AF625" i="1" s="1"/>
  <c r="AF626" i="1" a="1"/>
  <c r="AF626" i="1" s="1"/>
  <c r="AF627" i="1" a="1"/>
  <c r="AF627" i="1" s="1"/>
  <c r="AF628" i="1" a="1"/>
  <c r="AF628" i="1" s="1"/>
  <c r="AF629" i="1" a="1"/>
  <c r="AF629" i="1" s="1"/>
  <c r="AF630" i="1" a="1"/>
  <c r="AF630" i="1" s="1"/>
  <c r="AF631" i="1" a="1"/>
  <c r="AF631" i="1" s="1"/>
  <c r="AF632" i="1" a="1"/>
  <c r="AF632" i="1" s="1"/>
  <c r="AF633" i="1" a="1"/>
  <c r="AF633" i="1" s="1"/>
  <c r="AF634" i="1" a="1"/>
  <c r="AF634" i="1" s="1"/>
  <c r="AF635" i="1" a="1"/>
  <c r="AF635" i="1" s="1"/>
  <c r="AF636" i="1" a="1"/>
  <c r="AF636" i="1" s="1"/>
  <c r="AF637" i="1" a="1"/>
  <c r="AF637" i="1" s="1"/>
  <c r="AF638" i="1" a="1"/>
  <c r="AF638" i="1" s="1"/>
  <c r="AF639" i="1" a="1"/>
  <c r="AF639" i="1" s="1"/>
  <c r="AF640" i="1" a="1"/>
  <c r="AF640" i="1" s="1"/>
  <c r="AF641" i="1" a="1"/>
  <c r="AF641" i="1" s="1"/>
  <c r="AF642" i="1" a="1"/>
  <c r="AF642" i="1" s="1"/>
  <c r="AF643" i="1" a="1"/>
  <c r="AF643" i="1" s="1"/>
  <c r="AF644" i="1" a="1"/>
  <c r="AF644" i="1" s="1"/>
  <c r="AF645" i="1" a="1"/>
  <c r="AF645" i="1" s="1"/>
  <c r="AF646" i="1" a="1"/>
  <c r="AF646" i="1" s="1"/>
  <c r="AF647" i="1" a="1"/>
  <c r="AF647" i="1" s="1"/>
  <c r="AF648" i="1" a="1"/>
  <c r="AF648" i="1" s="1"/>
  <c r="AF649" i="1" a="1"/>
  <c r="AF649" i="1" s="1"/>
  <c r="AF650" i="1" a="1"/>
  <c r="AF650" i="1" s="1"/>
  <c r="AF651" i="1" a="1"/>
  <c r="AF651" i="1" s="1"/>
  <c r="AF652" i="1" a="1"/>
  <c r="AF652" i="1" s="1"/>
  <c r="AF653" i="1" a="1"/>
  <c r="AF653" i="1" s="1"/>
  <c r="AF654" i="1" a="1"/>
  <c r="AF654" i="1" s="1"/>
  <c r="AF655" i="1" a="1"/>
  <c r="AF655" i="1" s="1"/>
  <c r="AF656" i="1" a="1"/>
  <c r="AF656" i="1" s="1"/>
  <c r="AF657" i="1" a="1"/>
  <c r="AF657" i="1" s="1"/>
  <c r="AF658" i="1" a="1"/>
  <c r="AF658" i="1" s="1"/>
  <c r="AF659" i="1" a="1"/>
  <c r="AF659" i="1" s="1"/>
  <c r="AF660" i="1" a="1"/>
  <c r="AF660" i="1" s="1"/>
  <c r="AF661" i="1" a="1"/>
  <c r="AF661" i="1" s="1"/>
  <c r="AF662" i="1" a="1"/>
  <c r="AF662" i="1" s="1"/>
  <c r="AF663" i="1" a="1"/>
  <c r="AF663" i="1" s="1"/>
  <c r="AF664" i="1" a="1"/>
  <c r="AF664" i="1" s="1"/>
  <c r="AF665" i="1" a="1"/>
  <c r="AF665" i="1" s="1"/>
  <c r="AF666" i="1" a="1"/>
  <c r="AF666" i="1" s="1"/>
  <c r="AF667" i="1" a="1"/>
  <c r="AF667" i="1" s="1"/>
  <c r="AF668" i="1" a="1"/>
  <c r="AF668" i="1" s="1"/>
  <c r="AF669" i="1" a="1"/>
  <c r="AF669" i="1" s="1"/>
  <c r="AF670" i="1" a="1"/>
  <c r="AF670" i="1" s="1"/>
  <c r="AF671" i="1" a="1"/>
  <c r="AF671" i="1" s="1"/>
  <c r="AF672" i="1" a="1"/>
  <c r="AF672" i="1" s="1"/>
  <c r="AF673" i="1" a="1"/>
  <c r="AF673" i="1" s="1"/>
  <c r="AF674" i="1" a="1"/>
  <c r="AF674" i="1" s="1"/>
  <c r="AF675" i="1" a="1"/>
  <c r="AF675" i="1" s="1"/>
  <c r="AF676" i="1" a="1"/>
  <c r="AF676" i="1"/>
  <c r="AF677" i="1" a="1"/>
  <c r="AF677" i="1" s="1"/>
  <c r="AF678" i="1" a="1"/>
  <c r="AF678" i="1" s="1"/>
  <c r="AF679" i="1" a="1"/>
  <c r="AF679" i="1" s="1"/>
  <c r="AF680" i="1" a="1"/>
  <c r="AF680" i="1" s="1"/>
  <c r="AF681" i="1" a="1"/>
  <c r="AF681" i="1" s="1"/>
  <c r="AF682" i="1" a="1"/>
  <c r="AF682" i="1" s="1"/>
  <c r="AF683" i="1" a="1"/>
  <c r="AF683" i="1" s="1"/>
  <c r="AF684" i="1" a="1"/>
  <c r="AF684" i="1" s="1"/>
  <c r="AF685" i="1" a="1"/>
  <c r="AF685" i="1" s="1"/>
  <c r="AF686" i="1" a="1"/>
  <c r="AF686" i="1" s="1"/>
  <c r="AF687" i="1" a="1"/>
  <c r="AF687" i="1" s="1"/>
  <c r="AF688" i="1" a="1"/>
  <c r="AF688" i="1" s="1"/>
  <c r="AF689" i="1" a="1"/>
  <c r="AF689" i="1" s="1"/>
  <c r="AF690" i="1" a="1"/>
  <c r="AF690" i="1" s="1"/>
  <c r="AF691" i="1" a="1"/>
  <c r="AF691" i="1"/>
  <c r="AF692" i="1" a="1"/>
  <c r="AF692" i="1" s="1"/>
  <c r="AF693" i="1" a="1"/>
  <c r="AF693" i="1" s="1"/>
  <c r="AF694" i="1" a="1"/>
  <c r="AF694" i="1" s="1"/>
  <c r="AF695" i="1" a="1"/>
  <c r="AF695" i="1" s="1"/>
  <c r="AF696" i="1" a="1"/>
  <c r="AF696" i="1" s="1"/>
  <c r="AF697" i="1" a="1"/>
  <c r="AF697" i="1" s="1"/>
  <c r="AF698" i="1" a="1"/>
  <c r="AF698" i="1" s="1"/>
  <c r="AF699" i="1" a="1"/>
  <c r="AF699" i="1" s="1"/>
  <c r="AF700" i="1" a="1"/>
  <c r="AF700" i="1" s="1"/>
  <c r="AF701" i="1" a="1"/>
  <c r="AF701" i="1" s="1"/>
  <c r="AF702" i="1" a="1"/>
  <c r="AF702" i="1" s="1"/>
  <c r="AF703" i="1" a="1"/>
  <c r="AF703" i="1" s="1"/>
  <c r="AF704" i="1" a="1"/>
  <c r="AF704" i="1" s="1"/>
  <c r="AF705" i="1" a="1"/>
  <c r="AF705" i="1" s="1"/>
  <c r="AF706" i="1" a="1"/>
  <c r="AF706" i="1" s="1"/>
  <c r="AF707" i="1" a="1"/>
  <c r="AF707" i="1" s="1"/>
  <c r="AF708" i="1" a="1"/>
  <c r="AF708" i="1" s="1"/>
  <c r="AF709" i="1" a="1"/>
  <c r="AF709" i="1" s="1"/>
  <c r="AF710" i="1" a="1"/>
  <c r="AF710" i="1" s="1"/>
  <c r="AF711" i="1" a="1"/>
  <c r="AF711" i="1" s="1"/>
  <c r="AF712" i="1" a="1"/>
  <c r="AF712" i="1" s="1"/>
  <c r="AF713" i="1" a="1"/>
  <c r="AF713" i="1" s="1"/>
  <c r="AF714" i="1" a="1"/>
  <c r="AF714" i="1"/>
  <c r="AF715" i="1" a="1"/>
  <c r="AF715" i="1" s="1"/>
  <c r="AF716" i="1" a="1"/>
  <c r="AF716" i="1" s="1"/>
  <c r="AF717" i="1" a="1"/>
  <c r="AF717" i="1" s="1"/>
  <c r="AF718" i="1" a="1"/>
  <c r="AF718" i="1"/>
  <c r="AF719" i="1" a="1"/>
  <c r="AF719" i="1" s="1"/>
  <c r="AF720" i="1" a="1"/>
  <c r="AF720" i="1" s="1"/>
  <c r="AF721" i="1" a="1"/>
  <c r="AF721" i="1" s="1"/>
  <c r="AF722" i="1" a="1"/>
  <c r="AF722" i="1" s="1"/>
  <c r="AF723" i="1" a="1"/>
  <c r="AF723" i="1" s="1"/>
  <c r="AF724" i="1" a="1"/>
  <c r="AF724" i="1" s="1"/>
  <c r="AF725" i="1" a="1"/>
  <c r="AF725" i="1" s="1"/>
  <c r="AF726" i="1" a="1"/>
  <c r="AF726" i="1" s="1"/>
  <c r="AF727" i="1" a="1"/>
  <c r="AF727" i="1" s="1"/>
  <c r="AF728" i="1" a="1"/>
  <c r="AF728" i="1" s="1"/>
  <c r="AF729" i="1" a="1"/>
  <c r="AF729" i="1" s="1"/>
  <c r="AF730" i="1" a="1"/>
  <c r="AF730" i="1" s="1"/>
  <c r="AF731" i="1" a="1"/>
  <c r="AF731" i="1"/>
  <c r="AF732" i="1" a="1"/>
  <c r="AF732" i="1" s="1"/>
  <c r="AF733" i="1" a="1"/>
  <c r="AF733" i="1" s="1"/>
  <c r="AF734" i="1" a="1"/>
  <c r="AF734" i="1" s="1"/>
  <c r="AF735" i="1" a="1"/>
  <c r="AF735" i="1" s="1"/>
  <c r="AF736" i="1" a="1"/>
  <c r="AF736" i="1" s="1"/>
  <c r="AF737" i="1" a="1"/>
  <c r="AF737" i="1" s="1"/>
  <c r="AF738" i="1" a="1"/>
  <c r="AF738" i="1" s="1"/>
  <c r="AF739" i="1" a="1"/>
  <c r="AF739" i="1" s="1"/>
  <c r="AF740" i="1" a="1"/>
  <c r="AF740" i="1" s="1"/>
  <c r="AF741" i="1" a="1"/>
  <c r="AF741" i="1" s="1"/>
  <c r="AF742" i="1" a="1"/>
  <c r="AF742" i="1" s="1"/>
  <c r="AF743" i="1" a="1"/>
  <c r="AF743" i="1" s="1"/>
  <c r="AF744" i="1" a="1"/>
  <c r="AF744" i="1" s="1"/>
  <c r="AF745" i="1" a="1"/>
  <c r="AF745" i="1" s="1"/>
  <c r="AF746" i="1" a="1"/>
  <c r="AF746" i="1" s="1"/>
  <c r="AF747" i="1" a="1"/>
  <c r="AF747" i="1" s="1"/>
  <c r="AF748" i="1" a="1"/>
  <c r="AF748" i="1" s="1"/>
  <c r="AF749" i="1" a="1"/>
  <c r="AF749" i="1" s="1"/>
  <c r="AF750" i="1" a="1"/>
  <c r="AF750" i="1" s="1"/>
  <c r="AF751" i="1" a="1"/>
  <c r="AF751" i="1" s="1"/>
  <c r="AF752" i="1" a="1"/>
  <c r="AF752" i="1" s="1"/>
  <c r="AF753" i="1" a="1"/>
  <c r="AF753" i="1" s="1"/>
  <c r="AF754" i="1" a="1"/>
  <c r="AF754" i="1" s="1"/>
  <c r="AF755" i="1" a="1"/>
  <c r="AF755" i="1" s="1"/>
  <c r="AF756" i="1" a="1"/>
  <c r="AF756" i="1" s="1"/>
  <c r="AF757" i="1" a="1"/>
  <c r="AF757" i="1" s="1"/>
  <c r="AF758" i="1" a="1"/>
  <c r="AF758" i="1" s="1"/>
  <c r="AF759" i="1" a="1"/>
  <c r="AF759" i="1" s="1"/>
  <c r="AF760" i="1" a="1"/>
  <c r="AF760" i="1" s="1"/>
  <c r="AF761" i="1" a="1"/>
  <c r="AF761" i="1"/>
  <c r="AF762" i="1" a="1"/>
  <c r="AF762" i="1" s="1"/>
  <c r="AF763" i="1" a="1"/>
  <c r="AF763" i="1"/>
  <c r="AF764" i="1" a="1"/>
  <c r="AF764" i="1" s="1"/>
  <c r="AF765" i="1" a="1"/>
  <c r="AF765" i="1" s="1"/>
  <c r="AF766" i="1" a="1"/>
  <c r="AF766" i="1" s="1"/>
  <c r="AF767" i="1" a="1"/>
  <c r="AF767" i="1" s="1"/>
  <c r="AF768" i="1" a="1"/>
  <c r="AF768" i="1" s="1"/>
  <c r="AF769" i="1" a="1"/>
  <c r="AF769" i="1" s="1"/>
  <c r="AF770" i="1" a="1"/>
  <c r="AF770" i="1" s="1"/>
  <c r="AF771" i="1" a="1"/>
  <c r="AF771" i="1"/>
  <c r="AF772" i="1" a="1"/>
  <c r="AF772" i="1" s="1"/>
  <c r="AF773" i="1" a="1"/>
  <c r="AF773" i="1"/>
  <c r="AF774" i="1" a="1"/>
  <c r="AF774" i="1" s="1"/>
  <c r="AF775" i="1" a="1"/>
  <c r="AF775" i="1" s="1"/>
  <c r="AF776" i="1" a="1"/>
  <c r="AF776" i="1" s="1"/>
  <c r="AF777" i="1" a="1"/>
  <c r="AF777" i="1" s="1"/>
  <c r="AF778" i="1" a="1"/>
  <c r="AF778" i="1" s="1"/>
  <c r="AF779" i="1" a="1"/>
  <c r="AF779" i="1" s="1"/>
  <c r="AF780" i="1" a="1"/>
  <c r="AF780" i="1" s="1"/>
  <c r="AF781" i="1" a="1"/>
  <c r="AF781" i="1" s="1"/>
  <c r="AF782" i="1" a="1"/>
  <c r="AF782" i="1" s="1"/>
  <c r="AF783" i="1" a="1"/>
  <c r="AF783" i="1" s="1"/>
  <c r="AF784" i="1" a="1"/>
  <c r="AF784" i="1" s="1"/>
  <c r="AF785" i="1" a="1"/>
  <c r="AF785" i="1"/>
  <c r="AF786" i="1" a="1"/>
  <c r="AF786" i="1" s="1"/>
  <c r="AF787" i="1" a="1"/>
  <c r="AF787" i="1"/>
  <c r="AF788" i="1" a="1"/>
  <c r="AF788" i="1" s="1"/>
  <c r="AF789" i="1" a="1"/>
  <c r="AF789" i="1" s="1"/>
  <c r="AF790" i="1" a="1"/>
  <c r="AF790" i="1" s="1"/>
  <c r="AF791" i="1" a="1"/>
  <c r="AF791" i="1" s="1"/>
  <c r="AF792" i="1" a="1"/>
  <c r="AF792" i="1" s="1"/>
  <c r="AF793" i="1" a="1"/>
  <c r="AF793" i="1" s="1"/>
  <c r="AF794" i="1" a="1"/>
  <c r="AF794" i="1" s="1"/>
  <c r="AF795" i="1" a="1"/>
  <c r="AF795" i="1" s="1"/>
  <c r="AF796" i="1" a="1"/>
  <c r="AF796" i="1" s="1"/>
  <c r="AF797" i="1" a="1"/>
  <c r="AF797" i="1" s="1"/>
  <c r="AF798" i="1" a="1"/>
  <c r="AF798" i="1" s="1"/>
  <c r="AF799" i="1" a="1"/>
  <c r="AF799" i="1" s="1"/>
  <c r="AF800" i="1" a="1"/>
  <c r="AF800" i="1" s="1"/>
  <c r="AF801" i="1" a="1"/>
  <c r="AF801" i="1" s="1"/>
  <c r="AF802" i="1" a="1"/>
  <c r="AF802" i="1" s="1"/>
  <c r="AF803" i="1" a="1"/>
  <c r="AF803" i="1" s="1"/>
  <c r="AF804" i="1" a="1"/>
  <c r="AF804" i="1" s="1"/>
  <c r="AF805" i="1" a="1"/>
  <c r="AF805" i="1" s="1"/>
  <c r="AF806" i="1" a="1"/>
  <c r="AF806" i="1" s="1"/>
  <c r="AF807" i="1" a="1"/>
  <c r="AF807" i="1" s="1"/>
  <c r="AF808" i="1" a="1"/>
  <c r="AF808" i="1" s="1"/>
  <c r="AF809" i="1" a="1"/>
  <c r="AF809" i="1" s="1"/>
  <c r="AF810" i="1" a="1"/>
  <c r="AF810" i="1" s="1"/>
  <c r="AF811" i="1" a="1"/>
  <c r="AF811" i="1" s="1"/>
  <c r="AF812" i="1" a="1"/>
  <c r="AF812" i="1" s="1"/>
  <c r="AF813" i="1" a="1"/>
  <c r="AF813" i="1" s="1"/>
  <c r="AF814" i="1" a="1"/>
  <c r="AF814" i="1" s="1"/>
  <c r="AF815" i="1" a="1"/>
  <c r="AF815" i="1" s="1"/>
  <c r="AF816" i="1" a="1"/>
  <c r="AF816" i="1" s="1"/>
  <c r="AF817" i="1" a="1"/>
  <c r="AF817" i="1" s="1"/>
  <c r="AF818" i="1" a="1"/>
  <c r="AF818" i="1" s="1"/>
  <c r="AF819" i="1" a="1"/>
  <c r="AF819" i="1" s="1"/>
  <c r="AF820" i="1" a="1"/>
  <c r="AF820" i="1" s="1"/>
  <c r="AF821" i="1" a="1"/>
  <c r="AF821" i="1" s="1"/>
  <c r="AF822" i="1" a="1"/>
  <c r="AF822" i="1" s="1"/>
  <c r="AF823" i="1" a="1"/>
  <c r="AF823" i="1" s="1"/>
  <c r="AF824" i="1" a="1"/>
  <c r="AF824" i="1" s="1"/>
  <c r="AF825" i="1" a="1"/>
  <c r="AF825" i="1" s="1"/>
  <c r="AF826" i="1" a="1"/>
  <c r="AF826" i="1" s="1"/>
  <c r="AF827" i="1" a="1"/>
  <c r="AF827" i="1" s="1"/>
  <c r="AF828" i="1" a="1"/>
  <c r="AF828" i="1" s="1"/>
  <c r="AF829" i="1" a="1"/>
  <c r="AF829" i="1" s="1"/>
  <c r="AF830" i="1" a="1"/>
  <c r="AF830" i="1" s="1"/>
  <c r="AF831" i="1" a="1"/>
  <c r="AF831" i="1" s="1"/>
  <c r="AF832" i="1" a="1"/>
  <c r="AF832" i="1" s="1"/>
  <c r="AF833" i="1" a="1"/>
  <c r="AF833" i="1" s="1"/>
  <c r="AF834" i="1" a="1"/>
  <c r="AF834" i="1" s="1"/>
  <c r="AF835" i="1" a="1"/>
  <c r="AF835" i="1" s="1"/>
  <c r="AF836" i="1" a="1"/>
  <c r="AF836" i="1" s="1"/>
  <c r="AF837" i="1" a="1"/>
  <c r="AF837" i="1" s="1"/>
  <c r="AF838" i="1" a="1"/>
  <c r="AF838" i="1" s="1"/>
  <c r="AF839" i="1" a="1"/>
  <c r="AF839" i="1" s="1"/>
  <c r="AF840" i="1" a="1"/>
  <c r="AF840" i="1" s="1"/>
  <c r="AF841" i="1" a="1"/>
  <c r="AF841" i="1" s="1"/>
  <c r="AF842" i="1" a="1"/>
  <c r="AF842" i="1" s="1"/>
  <c r="AF843" i="1" a="1"/>
  <c r="AF843" i="1" s="1"/>
  <c r="AF844" i="1" a="1"/>
  <c r="AF844" i="1" s="1"/>
  <c r="AF845" i="1" a="1"/>
  <c r="AF845" i="1" s="1"/>
  <c r="AF846" i="1" a="1"/>
  <c r="AF846" i="1" s="1"/>
  <c r="AF847" i="1" a="1"/>
  <c r="AF847" i="1" s="1"/>
  <c r="AF848" i="1" a="1"/>
  <c r="AF848" i="1" s="1"/>
  <c r="AF849" i="1" a="1"/>
  <c r="AF849" i="1" s="1"/>
  <c r="AF850" i="1" a="1"/>
  <c r="AF850" i="1" s="1"/>
  <c r="AF851" i="1" a="1"/>
  <c r="AF851" i="1" s="1"/>
  <c r="AF852" i="1" a="1"/>
  <c r="AF852" i="1" s="1"/>
  <c r="AF853" i="1" a="1"/>
  <c r="AF853" i="1" s="1"/>
  <c r="AF854" i="1" a="1"/>
  <c r="AF854" i="1" s="1"/>
  <c r="AF855" i="1" a="1"/>
  <c r="AF855" i="1" s="1"/>
  <c r="AF856" i="1" a="1"/>
  <c r="AF856" i="1" s="1"/>
  <c r="AF857" i="1" a="1"/>
  <c r="AF857" i="1" s="1"/>
  <c r="AF858" i="1" a="1"/>
  <c r="AF858" i="1" s="1"/>
  <c r="AF859" i="1" a="1"/>
  <c r="AF859" i="1" s="1"/>
  <c r="AF860" i="1" a="1"/>
  <c r="AF860" i="1" s="1"/>
  <c r="AF861" i="1" a="1"/>
  <c r="AF861" i="1" s="1"/>
  <c r="AF862" i="1" a="1"/>
  <c r="AF862" i="1" s="1"/>
  <c r="AF863" i="1" a="1"/>
  <c r="AF863" i="1" s="1"/>
  <c r="AF864" i="1" a="1"/>
  <c r="AF864" i="1" s="1"/>
  <c r="AF865" i="1" a="1"/>
  <c r="AF865" i="1" s="1"/>
  <c r="AF866" i="1" a="1"/>
  <c r="AF866" i="1" s="1"/>
  <c r="AF867" i="1" a="1"/>
  <c r="AF867" i="1" s="1"/>
  <c r="AF868" i="1" a="1"/>
  <c r="AF868" i="1" s="1"/>
  <c r="AF869" i="1" a="1"/>
  <c r="AF869" i="1" s="1"/>
  <c r="AF870" i="1" a="1"/>
  <c r="AF870" i="1" s="1"/>
  <c r="AF871" i="1" a="1"/>
  <c r="AF871" i="1" s="1"/>
  <c r="AF872" i="1" a="1"/>
  <c r="AF872" i="1" s="1"/>
  <c r="AF873" i="1" a="1"/>
  <c r="AF873" i="1" s="1"/>
  <c r="AF874" i="1" a="1"/>
  <c r="AF874" i="1" s="1"/>
  <c r="AF875" i="1" a="1"/>
  <c r="AF875" i="1" s="1"/>
  <c r="AF876" i="1" a="1"/>
  <c r="AF876" i="1" s="1"/>
  <c r="AF877" i="1" a="1"/>
  <c r="AF877" i="1" s="1"/>
  <c r="AF878" i="1" a="1"/>
  <c r="AF878" i="1" s="1"/>
  <c r="AF879" i="1" a="1"/>
  <c r="AF879" i="1" s="1"/>
  <c r="AF880" i="1" a="1"/>
  <c r="AF880" i="1" s="1"/>
  <c r="AF881" i="1" a="1"/>
  <c r="AF881" i="1" s="1"/>
  <c r="AF882" i="1" a="1"/>
  <c r="AF882" i="1" s="1"/>
  <c r="AF883" i="1" a="1"/>
  <c r="AF883" i="1" s="1"/>
  <c r="AF884" i="1" a="1"/>
  <c r="AF884" i="1" s="1"/>
  <c r="AF885" i="1" a="1"/>
  <c r="AF885" i="1" s="1"/>
  <c r="AF886" i="1" a="1"/>
  <c r="AF886" i="1" s="1"/>
  <c r="AF887" i="1" a="1"/>
  <c r="AF887" i="1" s="1"/>
  <c r="AF888" i="1" a="1"/>
  <c r="AF888" i="1" s="1"/>
  <c r="AF889" i="1" a="1"/>
  <c r="AF889" i="1" s="1"/>
  <c r="AF890" i="1" a="1"/>
  <c r="AF890" i="1" s="1"/>
  <c r="AF891" i="1" a="1"/>
  <c r="AF891" i="1" s="1"/>
  <c r="AF892" i="1" a="1"/>
  <c r="AF892" i="1" s="1"/>
  <c r="AF893" i="1" a="1"/>
  <c r="AF893" i="1" s="1"/>
  <c r="AF894" i="1" a="1"/>
  <c r="AF894" i="1" s="1"/>
  <c r="AF895" i="1" a="1"/>
  <c r="AF895" i="1" s="1"/>
  <c r="AF896" i="1" a="1"/>
  <c r="AF896" i="1" s="1"/>
  <c r="AF897" i="1" a="1"/>
  <c r="AF897" i="1" s="1"/>
  <c r="AF898" i="1" a="1"/>
  <c r="AF898" i="1" s="1"/>
  <c r="AF899" i="1" a="1"/>
  <c r="AF899" i="1" s="1"/>
  <c r="AF900" i="1" a="1"/>
  <c r="AF900" i="1" s="1"/>
  <c r="AF901" i="1" a="1"/>
  <c r="AF901" i="1" s="1"/>
  <c r="AF902" i="1" a="1"/>
  <c r="AF902" i="1" s="1"/>
  <c r="AF903" i="1" a="1"/>
  <c r="AF903" i="1" s="1"/>
  <c r="AF904" i="1" a="1"/>
  <c r="AF904" i="1" s="1"/>
  <c r="AF905" i="1" a="1"/>
  <c r="AF905" i="1" s="1"/>
  <c r="AF906" i="1" a="1"/>
  <c r="AF906" i="1" s="1"/>
  <c r="AF907" i="1" a="1"/>
  <c r="AF907" i="1" s="1"/>
  <c r="AF908" i="1" a="1"/>
  <c r="AF908" i="1" s="1"/>
  <c r="AF909" i="1" a="1"/>
  <c r="AF909" i="1" s="1"/>
  <c r="AF910" i="1" a="1"/>
  <c r="AF910" i="1" s="1"/>
  <c r="AF911" i="1" a="1"/>
  <c r="AF911" i="1" s="1"/>
  <c r="AF912" i="1" a="1"/>
  <c r="AF912" i="1" s="1"/>
  <c r="AF913" i="1" a="1"/>
  <c r="AF913" i="1" s="1"/>
  <c r="AF914" i="1" a="1"/>
  <c r="AF914" i="1" s="1"/>
  <c r="AF915" i="1" a="1"/>
  <c r="AF915" i="1" s="1"/>
  <c r="AF916" i="1" a="1"/>
  <c r="AF916" i="1" s="1"/>
  <c r="AF917" i="1" a="1"/>
  <c r="AF917" i="1" s="1"/>
  <c r="AF918" i="1" a="1"/>
  <c r="AF918" i="1" s="1"/>
  <c r="AF919" i="1" a="1"/>
  <c r="AF919" i="1" s="1"/>
  <c r="AF920" i="1" a="1"/>
  <c r="AF920" i="1" s="1"/>
  <c r="AF921" i="1" a="1"/>
  <c r="AF921" i="1" s="1"/>
  <c r="AF922" i="1" a="1"/>
  <c r="AF922" i="1" s="1"/>
  <c r="AF923" i="1" a="1"/>
  <c r="AF923" i="1" s="1"/>
  <c r="AF924" i="1" a="1"/>
  <c r="AF924" i="1" s="1"/>
  <c r="AF925" i="1" a="1"/>
  <c r="AF925" i="1" s="1"/>
  <c r="AF926" i="1" a="1"/>
  <c r="AF926" i="1" s="1"/>
  <c r="AF927" i="1" a="1"/>
  <c r="AF927" i="1" s="1"/>
  <c r="AF928" i="1" a="1"/>
  <c r="AF928" i="1" s="1"/>
  <c r="AF929" i="1" a="1"/>
  <c r="AF929" i="1" s="1"/>
  <c r="AF930" i="1" a="1"/>
  <c r="AF930" i="1" s="1"/>
  <c r="AF931" i="1" a="1"/>
  <c r="AF931" i="1" s="1"/>
  <c r="AF932" i="1" a="1"/>
  <c r="AF932" i="1" s="1"/>
  <c r="AF933" i="1" a="1"/>
  <c r="AF933" i="1" s="1"/>
  <c r="AF934" i="1" a="1"/>
  <c r="AF934" i="1" s="1"/>
  <c r="AF935" i="1" a="1"/>
  <c r="AF935" i="1" s="1"/>
  <c r="AF936" i="1" a="1"/>
  <c r="AF936" i="1" s="1"/>
  <c r="AF937" i="1" a="1"/>
  <c r="AF937" i="1" s="1"/>
  <c r="AF938" i="1" a="1"/>
  <c r="AF938" i="1" s="1"/>
  <c r="AF939" i="1" a="1"/>
  <c r="AF939" i="1" s="1"/>
  <c r="AF940" i="1" a="1"/>
  <c r="AF940" i="1" s="1"/>
  <c r="AF941" i="1" a="1"/>
  <c r="AF941" i="1" s="1"/>
  <c r="AF942" i="1" a="1"/>
  <c r="AF942" i="1" s="1"/>
  <c r="AF943" i="1" a="1"/>
  <c r="AF943" i="1" s="1"/>
  <c r="AF944" i="1" a="1"/>
  <c r="AF944" i="1" s="1"/>
  <c r="AF945" i="1" a="1"/>
  <c r="AF945" i="1" s="1"/>
  <c r="AF946" i="1" a="1"/>
  <c r="AF946" i="1" s="1"/>
  <c r="AF947" i="1" a="1"/>
  <c r="AF947" i="1" s="1"/>
  <c r="AF948" i="1" a="1"/>
  <c r="AF948" i="1" s="1"/>
  <c r="AF949" i="1" a="1"/>
  <c r="AF949" i="1" s="1"/>
  <c r="AF950" i="1" a="1"/>
  <c r="AF950" i="1" s="1"/>
  <c r="AF951" i="1" a="1"/>
  <c r="AF951" i="1" s="1"/>
  <c r="AF952" i="1" a="1"/>
  <c r="AF952" i="1" s="1"/>
  <c r="AF953" i="1" a="1"/>
  <c r="AF953" i="1" s="1"/>
  <c r="AF954" i="1" a="1"/>
  <c r="AF954" i="1" s="1"/>
  <c r="AF955" i="1" a="1"/>
  <c r="AF955" i="1" s="1"/>
  <c r="AF956" i="1" a="1"/>
  <c r="AF956" i="1" s="1"/>
  <c r="AF957" i="1" a="1"/>
  <c r="AF957" i="1" s="1"/>
  <c r="AF958" i="1" a="1"/>
  <c r="AF958" i="1" s="1"/>
  <c r="AF959" i="1" a="1"/>
  <c r="AF959" i="1" s="1"/>
  <c r="AF960" i="1" a="1"/>
  <c r="AF960" i="1" s="1"/>
  <c r="AF961" i="1" a="1"/>
  <c r="AF961" i="1" s="1"/>
  <c r="AF962" i="1" a="1"/>
  <c r="AF962" i="1" s="1"/>
  <c r="AF963" i="1" a="1"/>
  <c r="AF963" i="1" s="1"/>
  <c r="AF964" i="1" a="1"/>
  <c r="AF964" i="1" s="1"/>
  <c r="AF965" i="1" a="1"/>
  <c r="AF965" i="1" s="1"/>
  <c r="AF966" i="1" a="1"/>
  <c r="AF966" i="1" s="1"/>
  <c r="AF967" i="1" a="1"/>
  <c r="AF967" i="1" s="1"/>
  <c r="AF968" i="1" a="1"/>
  <c r="AF968" i="1" s="1"/>
  <c r="AF969" i="1" a="1"/>
  <c r="AF969" i="1" s="1"/>
  <c r="AF970" i="1" a="1"/>
  <c r="AF970" i="1" s="1"/>
  <c r="AF971" i="1" a="1"/>
  <c r="AF971" i="1" s="1"/>
  <c r="AF972" i="1" a="1"/>
  <c r="AF972" i="1" s="1"/>
  <c r="AF973" i="1" a="1"/>
  <c r="AF973" i="1" s="1"/>
  <c r="AF974" i="1" a="1"/>
  <c r="AF974" i="1" s="1"/>
  <c r="AF975" i="1" a="1"/>
  <c r="AF975" i="1" s="1"/>
  <c r="AF976" i="1" a="1"/>
  <c r="AF976" i="1" s="1"/>
  <c r="AF977" i="1" a="1"/>
  <c r="AF977" i="1" s="1"/>
  <c r="AF978" i="1" a="1"/>
  <c r="AF978" i="1" s="1"/>
  <c r="AF979" i="1" a="1"/>
  <c r="AF979" i="1" s="1"/>
  <c r="AF980" i="1" a="1"/>
  <c r="AF980" i="1" s="1"/>
  <c r="AF981" i="1" a="1"/>
  <c r="AF981" i="1" s="1"/>
  <c r="AF982" i="1" a="1"/>
  <c r="AF982" i="1" s="1"/>
  <c r="AF983" i="1" a="1"/>
  <c r="AF983" i="1" s="1"/>
  <c r="AF984" i="1" a="1"/>
  <c r="AF984" i="1" s="1"/>
  <c r="AF985" i="1" a="1"/>
  <c r="AF985" i="1" s="1"/>
  <c r="AF986" i="1" a="1"/>
  <c r="AF986" i="1"/>
  <c r="AF987" i="1" a="1"/>
  <c r="AF987" i="1" s="1"/>
  <c r="AF988" i="1" a="1"/>
  <c r="AF988" i="1" s="1"/>
  <c r="AF989" i="1" a="1"/>
  <c r="AF989" i="1" s="1"/>
  <c r="AF990" i="1" a="1"/>
  <c r="AF990" i="1" s="1"/>
  <c r="AF991" i="1" a="1"/>
  <c r="AF991" i="1" s="1"/>
  <c r="AF992" i="1" a="1"/>
  <c r="AF992" i="1" s="1"/>
  <c r="AF993" i="1" a="1"/>
  <c r="AF993" i="1" s="1"/>
  <c r="AF994" i="1" a="1"/>
  <c r="AF994" i="1" s="1"/>
  <c r="AF995" i="1" a="1"/>
  <c r="AF995" i="1" s="1"/>
  <c r="AF996" i="1" a="1"/>
  <c r="AF996" i="1" s="1"/>
  <c r="AF997" i="1" a="1"/>
  <c r="AF997" i="1" s="1"/>
  <c r="AF998" i="1" a="1"/>
  <c r="AF998" i="1" s="1"/>
  <c r="AF999" i="1" a="1"/>
  <c r="AF999" i="1" s="1"/>
  <c r="AF1000" i="1" a="1"/>
  <c r="AF1000" i="1" s="1"/>
  <c r="AF1001" i="1" a="1"/>
  <c r="AF1001" i="1" s="1"/>
  <c r="AF1002" i="1" a="1"/>
  <c r="AF1002" i="1" s="1"/>
  <c r="AF1003" i="1" a="1"/>
  <c r="AF1003" i="1" s="1"/>
  <c r="AF1004" i="1" a="1"/>
  <c r="AF1004" i="1" s="1"/>
  <c r="AF1005" i="1" a="1"/>
  <c r="AF1005" i="1" s="1"/>
  <c r="AF1006" i="1" a="1"/>
  <c r="AF1006" i="1" s="1"/>
  <c r="AF1007" i="1" a="1"/>
  <c r="AF1007" i="1" s="1"/>
  <c r="AF1008" i="1" a="1"/>
  <c r="AF1008" i="1" s="1"/>
  <c r="AF1009" i="1" a="1"/>
  <c r="AF1009" i="1" s="1"/>
  <c r="AF1010" i="1" a="1"/>
  <c r="AF1010" i="1" s="1"/>
  <c r="AF1011" i="1" a="1"/>
  <c r="AF1011" i="1" s="1"/>
  <c r="AF1012" i="1" a="1"/>
  <c r="AF1012" i="1" s="1"/>
  <c r="AF1013" i="1" a="1"/>
  <c r="AF1013" i="1"/>
  <c r="AF1014" i="1" a="1"/>
  <c r="AF1014" i="1" s="1"/>
  <c r="AF1015" i="1" a="1"/>
  <c r="AF1015" i="1" s="1"/>
  <c r="AF1016" i="1" a="1"/>
  <c r="AF1016" i="1" s="1"/>
  <c r="AF1017" i="1" a="1"/>
  <c r="AF1017" i="1" s="1"/>
  <c r="AF1018" i="1" a="1"/>
  <c r="AF1018" i="1" s="1"/>
  <c r="AF1019" i="1" a="1"/>
  <c r="AF1019" i="1" s="1"/>
  <c r="AF1020" i="1" a="1"/>
  <c r="AF1020" i="1" s="1"/>
  <c r="AF1021" i="1" a="1"/>
  <c r="AF1021" i="1" s="1"/>
  <c r="AF1022" i="1" a="1"/>
  <c r="AF1022" i="1" s="1"/>
  <c r="AF1023" i="1" a="1"/>
  <c r="AF1023" i="1" s="1"/>
  <c r="AF1024" i="1" a="1"/>
  <c r="AF1024" i="1" s="1"/>
  <c r="AF1025" i="1" a="1"/>
  <c r="AF1025" i="1" s="1"/>
  <c r="AF1026" i="1" a="1"/>
  <c r="AF1026" i="1" s="1"/>
  <c r="AF1027" i="1" a="1"/>
  <c r="AF1027" i="1" s="1"/>
  <c r="AF1028" i="1" a="1"/>
  <c r="AF1028" i="1" s="1"/>
  <c r="AF1029" i="1" a="1"/>
  <c r="AF1029" i="1" s="1"/>
  <c r="AF1030" i="1" a="1"/>
  <c r="AF1030" i="1" s="1"/>
  <c r="AF1031" i="1" a="1"/>
  <c r="AF1031" i="1" s="1"/>
  <c r="AF1032" i="1" a="1"/>
  <c r="AF1032" i="1" s="1"/>
  <c r="AF1033" i="1" a="1"/>
  <c r="AF1033" i="1" s="1"/>
  <c r="AF1034" i="1" a="1"/>
  <c r="AF1034" i="1" s="1"/>
  <c r="AF1035" i="1" a="1"/>
  <c r="AF1035" i="1" s="1"/>
  <c r="AF1036" i="1" a="1"/>
  <c r="AF1036" i="1" s="1"/>
  <c r="AF1037" i="1" a="1"/>
  <c r="AF1037" i="1" s="1"/>
  <c r="AF1038" i="1" a="1"/>
  <c r="AF1038" i="1" s="1"/>
  <c r="AF1039" i="1" a="1"/>
  <c r="AF1039" i="1" s="1"/>
  <c r="AF1040" i="1" a="1"/>
  <c r="AF1040" i="1" s="1"/>
  <c r="AF1041" i="1" a="1"/>
  <c r="AF1041" i="1" s="1"/>
  <c r="AF1042" i="1" a="1"/>
  <c r="AF1042" i="1" s="1"/>
  <c r="AF1043" i="1" a="1"/>
  <c r="AF1043" i="1" s="1"/>
  <c r="AF1044" i="1" a="1"/>
  <c r="AF1044" i="1" s="1"/>
  <c r="AF1045" i="1" a="1"/>
  <c r="AF1045" i="1" s="1"/>
  <c r="AF1046" i="1" a="1"/>
  <c r="AF1046" i="1" s="1"/>
  <c r="AF1047" i="1" a="1"/>
  <c r="AF1047" i="1" s="1"/>
  <c r="AF1048" i="1" a="1"/>
  <c r="AF1048" i="1" s="1"/>
  <c r="AF1049" i="1" a="1"/>
  <c r="AF1049" i="1" s="1"/>
  <c r="AF1050" i="1" a="1"/>
  <c r="AF1050" i="1" s="1"/>
  <c r="AF1051" i="1" a="1"/>
  <c r="AF1051" i="1" s="1"/>
  <c r="AF1052" i="1" a="1"/>
  <c r="AF1052" i="1" s="1"/>
  <c r="AF1053" i="1" a="1"/>
  <c r="AF1053" i="1" s="1"/>
  <c r="AF1054" i="1" a="1"/>
  <c r="AF1054" i="1" s="1"/>
  <c r="AF1055" i="1" a="1"/>
  <c r="AF1055" i="1" s="1"/>
  <c r="AF1056" i="1" a="1"/>
  <c r="AF1056" i="1" s="1"/>
  <c r="AF1057" i="1" a="1"/>
  <c r="AF1057" i="1" s="1"/>
  <c r="AF1058" i="1" a="1"/>
  <c r="AF1058" i="1" s="1"/>
  <c r="AF1059" i="1" a="1"/>
  <c r="AF1059" i="1" s="1"/>
  <c r="AF1060" i="1" a="1"/>
  <c r="AF1060" i="1" s="1"/>
  <c r="AF1061" i="1" a="1"/>
  <c r="AF1061" i="1" s="1"/>
  <c r="AF1062" i="1" a="1"/>
  <c r="AF1062" i="1" s="1"/>
  <c r="AF1063" i="1" a="1"/>
  <c r="AF1063" i="1" s="1"/>
  <c r="AF1064" i="1" a="1"/>
  <c r="AF1064" i="1" s="1"/>
  <c r="AF1065" i="1" a="1"/>
  <c r="AF1065" i="1" s="1"/>
  <c r="AF1066" i="1" a="1"/>
  <c r="AF1066" i="1" s="1"/>
  <c r="AF1067" i="1" a="1"/>
  <c r="AF1067" i="1" s="1"/>
  <c r="AF1068" i="1" a="1"/>
  <c r="AF1068" i="1" s="1"/>
  <c r="AF1069" i="1" a="1"/>
  <c r="AF1069" i="1" s="1"/>
  <c r="AF1070" i="1" a="1"/>
  <c r="AF1070" i="1" s="1"/>
  <c r="AF1071" i="1" a="1"/>
  <c r="AF1071" i="1" s="1"/>
  <c r="AF1072" i="1" a="1"/>
  <c r="AF1072" i="1" s="1"/>
  <c r="AF1073" i="1" a="1"/>
  <c r="AF1073" i="1" s="1"/>
  <c r="AF1074" i="1" a="1"/>
  <c r="AF1074" i="1" s="1"/>
  <c r="AF1075" i="1" a="1"/>
  <c r="AF1075" i="1" s="1"/>
  <c r="AF1076" i="1" a="1"/>
  <c r="AF1076" i="1" s="1"/>
  <c r="AF1077" i="1" a="1"/>
  <c r="AF1077" i="1"/>
  <c r="AF1078" i="1" a="1"/>
  <c r="AF1078" i="1" s="1"/>
  <c r="AF1079" i="1" a="1"/>
  <c r="AF1079" i="1" s="1"/>
  <c r="AF1080" i="1" a="1"/>
  <c r="AF1080" i="1" s="1"/>
  <c r="AF1081" i="1" a="1"/>
  <c r="AF1081" i="1" s="1"/>
  <c r="AF1082" i="1" a="1"/>
  <c r="AF1082" i="1" s="1"/>
  <c r="AF1083" i="1" a="1"/>
  <c r="AF1083" i="1" s="1"/>
  <c r="AF1084" i="1" a="1"/>
  <c r="AF1084" i="1" s="1"/>
  <c r="AF1085" i="1" a="1"/>
  <c r="AF1085" i="1" s="1"/>
  <c r="AF1086" i="1" a="1"/>
  <c r="AF1086" i="1" s="1"/>
  <c r="AF1087" i="1" a="1"/>
  <c r="AF1087" i="1" s="1"/>
  <c r="AF1088" i="1" a="1"/>
  <c r="AF1088" i="1" s="1"/>
  <c r="AF1089" i="1" a="1"/>
  <c r="AF1089" i="1" s="1"/>
  <c r="AF1090" i="1" a="1"/>
  <c r="AF1090" i="1" s="1"/>
  <c r="AF1091" i="1" a="1"/>
  <c r="AF1091" i="1" s="1"/>
  <c r="AF1092" i="1" a="1"/>
  <c r="AF1092" i="1" s="1"/>
  <c r="AF1093" i="1" a="1"/>
  <c r="AF1093" i="1" s="1"/>
  <c r="AF1094" i="1" a="1"/>
  <c r="AF1094" i="1" s="1"/>
  <c r="AF1095" i="1" a="1"/>
  <c r="AF1095" i="1" s="1"/>
  <c r="AF1096" i="1" a="1"/>
  <c r="AF1096" i="1" s="1"/>
  <c r="AF1097" i="1" a="1"/>
  <c r="AF1097" i="1" s="1"/>
  <c r="AF1098" i="1" a="1"/>
  <c r="AF1098" i="1" s="1"/>
  <c r="AF1099" i="1" a="1"/>
  <c r="AF1099" i="1" s="1"/>
  <c r="AF1100" i="1" a="1"/>
  <c r="AF1100" i="1" s="1"/>
  <c r="AF1101" i="1" a="1"/>
  <c r="AF1101" i="1" s="1"/>
  <c r="AF1102" i="1" a="1"/>
  <c r="AF1102" i="1" s="1"/>
  <c r="AF1103" i="1" a="1"/>
  <c r="AF1103" i="1" s="1"/>
  <c r="AF1104" i="1" a="1"/>
  <c r="AF1104" i="1" s="1"/>
  <c r="AF1105" i="1" a="1"/>
  <c r="AF1105" i="1" s="1"/>
  <c r="AF1106" i="1" a="1"/>
  <c r="AF1106" i="1" s="1"/>
  <c r="AF1107" i="1" a="1"/>
  <c r="AF1107" i="1" s="1"/>
  <c r="AF1108" i="1" a="1"/>
  <c r="AF1108" i="1" s="1"/>
  <c r="AF1109" i="1" a="1"/>
  <c r="AF1109" i="1" s="1"/>
  <c r="AF1110" i="1" a="1"/>
  <c r="AF1110" i="1" s="1"/>
  <c r="AF1111" i="1" a="1"/>
  <c r="AF1111" i="1" s="1"/>
  <c r="AF1112" i="1" a="1"/>
  <c r="AF1112" i="1" s="1"/>
  <c r="AF1113" i="1" a="1"/>
  <c r="AF1113" i="1" s="1"/>
  <c r="AF1114" i="1" a="1"/>
  <c r="AF1114" i="1"/>
  <c r="AF1115" i="1" a="1"/>
  <c r="AF1115" i="1" s="1"/>
  <c r="AF1116" i="1" a="1"/>
  <c r="AF1116" i="1" s="1"/>
  <c r="AF1117" i="1" a="1"/>
  <c r="AF1117" i="1" s="1"/>
  <c r="AF1118" i="1" a="1"/>
  <c r="AF1118" i="1" s="1"/>
  <c r="AF1119" i="1" a="1"/>
  <c r="AF1119" i="1" s="1"/>
  <c r="AF1120" i="1" a="1"/>
  <c r="AF1120" i="1" s="1"/>
  <c r="AF1121" i="1" a="1"/>
  <c r="AF1121" i="1" s="1"/>
  <c r="AF1122" i="1" a="1"/>
  <c r="AF1122" i="1" s="1"/>
  <c r="AF1123" i="1" a="1"/>
  <c r="AF1123" i="1" s="1"/>
  <c r="AF1124" i="1" a="1"/>
  <c r="AF1124" i="1" s="1"/>
  <c r="AF1125" i="1" a="1"/>
  <c r="AF1125" i="1" s="1"/>
  <c r="AF1126" i="1" a="1"/>
  <c r="AF1126" i="1" s="1"/>
  <c r="AF1127" i="1" a="1"/>
  <c r="AF1127" i="1" s="1"/>
  <c r="AF1128" i="1" a="1"/>
  <c r="AF1128" i="1" s="1"/>
  <c r="AF1129" i="1" a="1"/>
  <c r="AF1129" i="1" s="1"/>
  <c r="AF1130" i="1" a="1"/>
  <c r="AF1130" i="1" s="1"/>
  <c r="AF1131" i="1" a="1"/>
  <c r="AF1131" i="1" s="1"/>
  <c r="AF1132" i="1" a="1"/>
  <c r="AF1132" i="1" s="1"/>
  <c r="AF1133" i="1" a="1"/>
  <c r="AF1133" i="1" s="1"/>
  <c r="AF1134" i="1" a="1"/>
  <c r="AF1134" i="1" s="1"/>
  <c r="AF1135" i="1" a="1"/>
  <c r="AF1135" i="1" s="1"/>
  <c r="AF1136" i="1" a="1"/>
  <c r="AF1136" i="1" s="1"/>
  <c r="AF1137" i="1" a="1"/>
  <c r="AF1137" i="1" s="1"/>
  <c r="AF1138" i="1" a="1"/>
  <c r="AF1138" i="1" s="1"/>
  <c r="AF1139" i="1" a="1"/>
  <c r="AF1139" i="1" s="1"/>
  <c r="AF1140" i="1" a="1"/>
  <c r="AF1140" i="1" s="1"/>
  <c r="AF1141" i="1" a="1"/>
  <c r="AF1141" i="1" s="1"/>
  <c r="AF1142" i="1" a="1"/>
  <c r="AF1142" i="1" s="1"/>
  <c r="AF1143" i="1" a="1"/>
  <c r="AF1143" i="1" s="1"/>
  <c r="AF1144" i="1" a="1"/>
  <c r="AF1144" i="1" s="1"/>
  <c r="AF1145" i="1" a="1"/>
  <c r="AF1145" i="1" s="1"/>
  <c r="AF1146" i="1" a="1"/>
  <c r="AF1146" i="1" s="1"/>
  <c r="AF1147" i="1" a="1"/>
  <c r="AF1147" i="1" s="1"/>
  <c r="AF1148" i="1" a="1"/>
  <c r="AF1148" i="1" s="1"/>
  <c r="AF1149" i="1" a="1"/>
  <c r="AF1149" i="1" s="1"/>
  <c r="AF1150" i="1" a="1"/>
  <c r="AF1150" i="1" s="1"/>
  <c r="AF1151" i="1" a="1"/>
  <c r="AF1151" i="1" s="1"/>
  <c r="AF1152" i="1" a="1"/>
  <c r="AF1152" i="1" s="1"/>
  <c r="AF1153" i="1" a="1"/>
  <c r="AF1153" i="1" s="1"/>
  <c r="AF1154" i="1" a="1"/>
  <c r="AF1154" i="1" s="1"/>
  <c r="AF1155" i="1" a="1"/>
  <c r="AF1155" i="1" s="1"/>
  <c r="AF1156" i="1" a="1"/>
  <c r="AF1156" i="1" s="1"/>
  <c r="AF1157" i="1" a="1"/>
  <c r="AF1157" i="1" s="1"/>
  <c r="AF1158" i="1" a="1"/>
  <c r="AF1158" i="1" s="1"/>
  <c r="AF1159" i="1" a="1"/>
  <c r="AF1159" i="1" s="1"/>
  <c r="AF1160" i="1" a="1"/>
  <c r="AF1160" i="1" s="1"/>
  <c r="AF1161" i="1" a="1"/>
  <c r="AF1161" i="1" s="1"/>
  <c r="AF1162" i="1" a="1"/>
  <c r="AF1162" i="1" s="1"/>
  <c r="AF1163" i="1" a="1"/>
  <c r="AF1163" i="1" s="1"/>
  <c r="AF1164" i="1" a="1"/>
  <c r="AF1164" i="1" s="1"/>
  <c r="AF1165" i="1" a="1"/>
  <c r="AF1165" i="1" s="1"/>
  <c r="AF1166" i="1" a="1"/>
  <c r="AF1166" i="1" s="1"/>
  <c r="AF1167" i="1" a="1"/>
  <c r="AF1167" i="1" s="1"/>
  <c r="AF1168" i="1" a="1"/>
  <c r="AF1168" i="1" s="1"/>
  <c r="AF1169" i="1" a="1"/>
  <c r="AF1169" i="1" s="1"/>
  <c r="AF1170" i="1" a="1"/>
  <c r="AF1170" i="1" s="1"/>
  <c r="AF1171" i="1" a="1"/>
  <c r="AF1171" i="1" s="1"/>
  <c r="AF1172" i="1" a="1"/>
  <c r="AF1172" i="1" s="1"/>
  <c r="AF1173" i="1" a="1"/>
  <c r="AF1173" i="1" s="1"/>
  <c r="AF1174" i="1" a="1"/>
  <c r="AF1174" i="1" s="1"/>
  <c r="AF1175" i="1" a="1"/>
  <c r="AF1175" i="1" s="1"/>
  <c r="AF1176" i="1" a="1"/>
  <c r="AF1176" i="1" s="1"/>
  <c r="AF1177" i="1" a="1"/>
  <c r="AF1177" i="1" s="1"/>
  <c r="AF1178" i="1" a="1"/>
  <c r="AF1178" i="1" s="1"/>
  <c r="AF1179" i="1" a="1"/>
  <c r="AF1179" i="1" s="1"/>
  <c r="AF1180" i="1" a="1"/>
  <c r="AF1180" i="1" s="1"/>
  <c r="AF1181" i="1" a="1"/>
  <c r="AF1181" i="1" s="1"/>
  <c r="AF1182" i="1" a="1"/>
  <c r="AF1182" i="1" s="1"/>
  <c r="AF1183" i="1" a="1"/>
  <c r="AF1183" i="1" s="1"/>
  <c r="AF1184" i="1" a="1"/>
  <c r="AF1184" i="1" s="1"/>
  <c r="AF1185" i="1" a="1"/>
  <c r="AF1185" i="1" s="1"/>
  <c r="AF1186" i="1" a="1"/>
  <c r="AF1186" i="1" s="1"/>
  <c r="AF1187" i="1" a="1"/>
  <c r="AF1187" i="1" s="1"/>
  <c r="AF1188" i="1" a="1"/>
  <c r="AF1188" i="1" s="1"/>
  <c r="AF1189" i="1" a="1"/>
  <c r="AF1189" i="1" s="1"/>
  <c r="AF1190" i="1" a="1"/>
  <c r="AF1190" i="1" s="1"/>
  <c r="AF1191" i="1" a="1"/>
  <c r="AF1191" i="1" s="1"/>
  <c r="AF1192" i="1" a="1"/>
  <c r="AF1192" i="1" s="1"/>
  <c r="AF1193" i="1" a="1"/>
  <c r="AF1193" i="1" s="1"/>
  <c r="AF1194" i="1" a="1"/>
  <c r="AF1194" i="1" s="1"/>
  <c r="AF1195" i="1" a="1"/>
  <c r="AF1195" i="1" s="1"/>
  <c r="AF1196" i="1" a="1"/>
  <c r="AF1196" i="1" s="1"/>
  <c r="AF1197" i="1" a="1"/>
  <c r="AF1197" i="1" s="1"/>
  <c r="AF1198" i="1" a="1"/>
  <c r="AF1198" i="1" s="1"/>
  <c r="AF1199" i="1" a="1"/>
  <c r="AF1199" i="1" s="1"/>
  <c r="AF1200" i="1" a="1"/>
  <c r="AF1200" i="1" s="1"/>
  <c r="AF1201" i="1" a="1"/>
  <c r="AF1201" i="1" s="1"/>
  <c r="AF1202" i="1" a="1"/>
  <c r="AF1202" i="1" s="1"/>
  <c r="AF1203" i="1" a="1"/>
  <c r="AF1203" i="1" s="1"/>
  <c r="AF1204" i="1" a="1"/>
  <c r="AF1204" i="1" s="1"/>
  <c r="AF1205" i="1" a="1"/>
  <c r="AF1205" i="1" s="1"/>
  <c r="AF1206" i="1" a="1"/>
  <c r="AF1206" i="1" s="1"/>
  <c r="AF1207" i="1" a="1"/>
  <c r="AF1207" i="1" s="1"/>
  <c r="AF1208" i="1" a="1"/>
  <c r="AF1208" i="1" s="1"/>
  <c r="AF1209" i="1" a="1"/>
  <c r="AF1209" i="1"/>
  <c r="AF1210" i="1" a="1"/>
  <c r="AF1210" i="1" s="1"/>
  <c r="AF1211" i="1" a="1"/>
  <c r="AF1211" i="1" s="1"/>
  <c r="AF1212" i="1" a="1"/>
  <c r="AF1212" i="1" s="1"/>
  <c r="AF1213" i="1" a="1"/>
  <c r="AF1213" i="1" s="1"/>
  <c r="AF1214" i="1" a="1"/>
  <c r="AF1214" i="1"/>
  <c r="AF1215" i="1" a="1"/>
  <c r="AF1215" i="1" s="1"/>
  <c r="AF1216" i="1" a="1"/>
  <c r="AF1216" i="1" s="1"/>
  <c r="AF1217" i="1" a="1"/>
  <c r="AF1217" i="1" s="1"/>
  <c r="AF1218" i="1" a="1"/>
  <c r="AF1218" i="1" s="1"/>
  <c r="AF1219" i="1" a="1"/>
  <c r="AF1219" i="1" s="1"/>
  <c r="AF1220" i="1" a="1"/>
  <c r="AF1220" i="1" s="1"/>
  <c r="AF1221" i="1" a="1"/>
  <c r="AF1221" i="1" s="1"/>
  <c r="AF1222" i="1" a="1"/>
  <c r="AF1222" i="1" s="1"/>
  <c r="AF1223" i="1" a="1"/>
  <c r="AF1223" i="1" s="1"/>
  <c r="AF1224" i="1" a="1"/>
  <c r="AF1224" i="1" s="1"/>
  <c r="AF1225" i="1" a="1"/>
  <c r="AF1225" i="1"/>
  <c r="AF1226" i="1" a="1"/>
  <c r="AF1226" i="1"/>
  <c r="AF1227" i="1" a="1"/>
  <c r="AF1227" i="1" s="1"/>
  <c r="AF1228" i="1" a="1"/>
  <c r="AF1228" i="1" s="1"/>
  <c r="AF1229" i="1" a="1"/>
  <c r="AF1229" i="1" s="1"/>
  <c r="AF1230" i="1" a="1"/>
  <c r="AF1230" i="1" s="1"/>
  <c r="AF1231" i="1" a="1"/>
  <c r="AF1231" i="1" s="1"/>
  <c r="AF1232" i="1" a="1"/>
  <c r="AF1232" i="1" s="1"/>
  <c r="AF1233" i="1" a="1"/>
  <c r="AF1233" i="1" s="1"/>
  <c r="AF1234" i="1" a="1"/>
  <c r="AF1234" i="1" s="1"/>
  <c r="AF1235" i="1" a="1"/>
  <c r="AF1235" i="1" s="1"/>
  <c r="AF1236" i="1" a="1"/>
  <c r="AF1236" i="1" s="1"/>
  <c r="AF1237" i="1" a="1"/>
  <c r="AF1237" i="1" s="1"/>
  <c r="AF1238" i="1" a="1"/>
  <c r="AF1238" i="1" s="1"/>
  <c r="AF1239" i="1" a="1"/>
  <c r="AF1239" i="1" s="1"/>
  <c r="AF1240" i="1" a="1"/>
  <c r="AF1240" i="1" s="1"/>
  <c r="AF1241" i="1" a="1"/>
  <c r="AF1241" i="1" s="1"/>
  <c r="AF1242" i="1" a="1"/>
  <c r="AF1242" i="1" s="1"/>
  <c r="AF1243" i="1" a="1"/>
  <c r="AF1243" i="1" s="1"/>
  <c r="AF1244" i="1" a="1"/>
  <c r="AF1244" i="1" s="1"/>
  <c r="AF1245" i="1" a="1"/>
  <c r="AF1245" i="1" s="1"/>
  <c r="AF1246" i="1" a="1"/>
  <c r="AF1246" i="1" s="1"/>
  <c r="AF1247" i="1" a="1"/>
  <c r="AF1247" i="1"/>
  <c r="AF1248" i="1" a="1"/>
  <c r="AF1248" i="1" s="1"/>
  <c r="AF1249" i="1" a="1"/>
  <c r="AF1249" i="1" s="1"/>
  <c r="AF1250" i="1" a="1"/>
  <c r="AF1250" i="1" s="1"/>
  <c r="AF1251" i="1" a="1"/>
  <c r="AF1251" i="1" s="1"/>
  <c r="AF1252" i="1" a="1"/>
  <c r="AF1252" i="1" s="1"/>
  <c r="AF1253" i="1" a="1"/>
  <c r="AF1253" i="1" s="1"/>
  <c r="AF1254" i="1" a="1"/>
  <c r="AF1254" i="1" s="1"/>
  <c r="AF1255" i="1" a="1"/>
  <c r="AF1255" i="1" s="1"/>
  <c r="AF1256" i="1" a="1"/>
  <c r="AF1256" i="1" s="1"/>
  <c r="AF1257" i="1" a="1"/>
  <c r="AF1257" i="1" s="1"/>
  <c r="AF1258" i="1" a="1"/>
  <c r="AF1258" i="1" s="1"/>
  <c r="AF1259" i="1" a="1"/>
  <c r="AF1259" i="1" s="1"/>
  <c r="AF1260" i="1" a="1"/>
  <c r="AF1260" i="1" s="1"/>
  <c r="AF1261" i="1" a="1"/>
  <c r="AF1261" i="1" s="1"/>
  <c r="AF1262" i="1" a="1"/>
  <c r="AF1262" i="1" s="1"/>
  <c r="AF1263" i="1" a="1"/>
  <c r="AF1263" i="1"/>
  <c r="AF1264" i="1" a="1"/>
  <c r="AF1264" i="1" s="1"/>
  <c r="AF1265" i="1" a="1"/>
  <c r="AF1265" i="1" s="1"/>
  <c r="AF1266" i="1" a="1"/>
  <c r="AF1266" i="1" s="1"/>
  <c r="AF1267" i="1" a="1"/>
  <c r="AF1267" i="1" s="1"/>
  <c r="AF1268" i="1" a="1"/>
  <c r="AF1268" i="1" s="1"/>
  <c r="AF1269" i="1" a="1"/>
  <c r="AF1269" i="1" s="1"/>
  <c r="AF1270" i="1" a="1"/>
  <c r="AF1270" i="1" s="1"/>
  <c r="AF1271" i="1" a="1"/>
  <c r="AF1271" i="1" s="1"/>
  <c r="AF1272" i="1" a="1"/>
  <c r="AF1272" i="1" s="1"/>
  <c r="AF1273" i="1" a="1"/>
  <c r="AF1273" i="1" s="1"/>
  <c r="AF1274" i="1" a="1"/>
  <c r="AF1274" i="1" s="1"/>
  <c r="AF1275" i="1" a="1"/>
  <c r="AF1275" i="1" s="1"/>
  <c r="AF1276" i="1" a="1"/>
  <c r="AF1276" i="1"/>
  <c r="AF1277" i="1" a="1"/>
  <c r="AF1277" i="1" s="1"/>
  <c r="AF1278" i="1" a="1"/>
  <c r="AF1278" i="1" s="1"/>
  <c r="AF1279" i="1" a="1"/>
  <c r="AF1279" i="1" s="1"/>
  <c r="AF1280" i="1" a="1"/>
  <c r="AF1280" i="1" s="1"/>
  <c r="AF1281" i="1" a="1"/>
  <c r="AF1281" i="1" s="1"/>
  <c r="AF1282" i="1" a="1"/>
  <c r="AF1282" i="1" s="1"/>
  <c r="AF1283" i="1" a="1"/>
  <c r="AF1283" i="1" s="1"/>
  <c r="AF1284" i="1" a="1"/>
  <c r="AF1284" i="1" s="1"/>
  <c r="AF1285" i="1" a="1"/>
  <c r="AF1285" i="1" s="1"/>
  <c r="AF1286" i="1" a="1"/>
  <c r="AF1286" i="1" s="1"/>
  <c r="AF1287" i="1" a="1"/>
  <c r="AF1287" i="1" s="1"/>
  <c r="AF1288" i="1" a="1"/>
  <c r="AF1288" i="1" s="1"/>
  <c r="AF1289" i="1" a="1"/>
  <c r="AF1289" i="1" s="1"/>
  <c r="AF1290" i="1" a="1"/>
  <c r="AF1290" i="1" s="1"/>
  <c r="AF1291" i="1" a="1"/>
  <c r="AF1291" i="1"/>
  <c r="AF1292" i="1" a="1"/>
  <c r="AF1292" i="1" s="1"/>
  <c r="AF1293" i="1" a="1"/>
  <c r="AF1293" i="1" s="1"/>
  <c r="AF1294" i="1" a="1"/>
  <c r="AF1294" i="1"/>
  <c r="AF1295" i="1" a="1"/>
  <c r="AF1295" i="1" s="1"/>
  <c r="AF1296" i="1" a="1"/>
  <c r="AF1296" i="1" s="1"/>
  <c r="AF1297" i="1" a="1"/>
  <c r="AF1297" i="1" s="1"/>
  <c r="AF1298" i="1" a="1"/>
  <c r="AF1298" i="1" s="1"/>
  <c r="AF1299" i="1" a="1"/>
  <c r="AF1299" i="1" s="1"/>
  <c r="AF1300" i="1" a="1"/>
  <c r="AF1300" i="1" s="1"/>
  <c r="AF1301" i="1" a="1"/>
  <c r="AF1301" i="1" s="1"/>
  <c r="AF1302" i="1" a="1"/>
  <c r="AF1302" i="1" s="1"/>
  <c r="AF1303" i="1" a="1"/>
  <c r="AF1303" i="1" s="1"/>
  <c r="AF1304" i="1" a="1"/>
  <c r="AF1304" i="1" s="1"/>
  <c r="AF1305" i="1" a="1"/>
  <c r="AF1305" i="1" s="1"/>
  <c r="AF1306" i="1" a="1"/>
  <c r="AF1306" i="1"/>
  <c r="AF1307" i="1" a="1"/>
  <c r="AF1307" i="1"/>
  <c r="AF1308" i="1" a="1"/>
  <c r="AF1308" i="1" s="1"/>
  <c r="AF1309" i="1" a="1"/>
  <c r="AF1309" i="1" s="1"/>
  <c r="AF1310" i="1" a="1"/>
  <c r="AF1310" i="1" s="1"/>
  <c r="AF1311" i="1" a="1"/>
  <c r="AF1311" i="1" s="1"/>
  <c r="AF1312" i="1" a="1"/>
  <c r="AF1312" i="1" s="1"/>
  <c r="AF1313" i="1" a="1"/>
  <c r="AF1313" i="1" s="1"/>
  <c r="AF1314" i="1" a="1"/>
  <c r="AF1314" i="1" s="1"/>
  <c r="AF1315" i="1" a="1"/>
  <c r="AF1315" i="1" s="1"/>
  <c r="AF1316" i="1" a="1"/>
  <c r="AF1316" i="1"/>
  <c r="AF1317" i="1" a="1"/>
  <c r="AF1317" i="1" s="1"/>
  <c r="AF1318" i="1" a="1"/>
  <c r="AF1318" i="1" s="1"/>
  <c r="AF1319" i="1" a="1"/>
  <c r="AF1319" i="1" s="1"/>
  <c r="AF1320" i="1" a="1"/>
  <c r="AF1320" i="1" s="1"/>
  <c r="AF1321" i="1" a="1"/>
  <c r="AF1321" i="1" s="1"/>
  <c r="AF1322" i="1" a="1"/>
  <c r="AF1322" i="1" s="1"/>
  <c r="AF1323" i="1" a="1"/>
  <c r="AF1323" i="1" s="1"/>
  <c r="AF1324" i="1" a="1"/>
  <c r="AF1324" i="1" s="1"/>
  <c r="AF1325" i="1" a="1"/>
  <c r="AF1325" i="1" s="1"/>
  <c r="AF1326" i="1" a="1"/>
  <c r="AF1326" i="1"/>
  <c r="AF1327" i="1" a="1"/>
  <c r="AF1327" i="1" s="1"/>
  <c r="AF1328" i="1" a="1"/>
  <c r="AF1328" i="1" s="1"/>
  <c r="AF1329" i="1" a="1"/>
  <c r="AF1329" i="1" s="1"/>
  <c r="AF1330" i="1" a="1"/>
  <c r="AF1330" i="1" s="1"/>
  <c r="AF1331" i="1" a="1"/>
  <c r="AF1331" i="1" s="1"/>
  <c r="AF1332" i="1" a="1"/>
  <c r="AF1332" i="1" s="1"/>
  <c r="AF1333" i="1" a="1"/>
  <c r="AF1333" i="1" s="1"/>
  <c r="AF1334" i="1" a="1"/>
  <c r="AF1334" i="1" s="1"/>
  <c r="AF1335" i="1" a="1"/>
  <c r="AF1335" i="1" s="1"/>
  <c r="AF1336" i="1" a="1"/>
  <c r="AF1336" i="1" s="1"/>
  <c r="AF1337" i="1" a="1"/>
  <c r="AF1337" i="1" s="1"/>
  <c r="AF1338" i="1" a="1"/>
  <c r="AF1338" i="1" s="1"/>
  <c r="AF1339" i="1" a="1"/>
  <c r="AF1339" i="1" s="1"/>
  <c r="AF1340" i="1" a="1"/>
  <c r="AF1340" i="1" s="1"/>
  <c r="AF1341" i="1" a="1"/>
  <c r="AF1341" i="1"/>
  <c r="AF1342" i="1" a="1"/>
  <c r="AF1342" i="1"/>
  <c r="AF1343" i="1" a="1"/>
  <c r="AF1343" i="1" s="1"/>
  <c r="AF1344" i="1" a="1"/>
  <c r="AF1344" i="1" s="1"/>
  <c r="AF1345" i="1" a="1"/>
  <c r="AF1345" i="1"/>
  <c r="AF1346" i="1" a="1"/>
  <c r="AF1346" i="1"/>
  <c r="AF1347" i="1" a="1"/>
  <c r="AF1347" i="1" s="1"/>
  <c r="AF1348" i="1" a="1"/>
  <c r="AF1348" i="1"/>
  <c r="AF1349" i="1" a="1"/>
  <c r="AF1349" i="1"/>
  <c r="AF1350" i="1" a="1"/>
  <c r="AF1350" i="1" s="1"/>
  <c r="AF1351" i="1" a="1"/>
  <c r="AF1351" i="1"/>
  <c r="AF1352" i="1" a="1"/>
  <c r="AF1352" i="1" s="1"/>
  <c r="AF1353" i="1" a="1"/>
  <c r="AF1353" i="1" s="1"/>
  <c r="AF1354" i="1" a="1"/>
  <c r="AF1354" i="1" s="1"/>
  <c r="AF1355" i="1" a="1"/>
  <c r="AF1355" i="1" s="1"/>
  <c r="AF1356" i="1" a="1"/>
  <c r="AF1356" i="1" s="1"/>
  <c r="AF1357" i="1" a="1"/>
  <c r="AF1357" i="1" s="1"/>
  <c r="AF1358" i="1" a="1"/>
  <c r="AF1358" i="1" s="1"/>
  <c r="AF1359" i="1" a="1"/>
  <c r="AF1359" i="1" s="1"/>
  <c r="AF1360" i="1" a="1"/>
  <c r="AF1360" i="1" s="1"/>
  <c r="AF1361" i="1" a="1"/>
  <c r="AF1361" i="1" s="1"/>
  <c r="AF1362" i="1" a="1"/>
  <c r="AF1362" i="1" s="1"/>
  <c r="AF1363" i="1" a="1"/>
  <c r="AF1363" i="1" s="1"/>
  <c r="AF1364" i="1" a="1"/>
  <c r="AF1364" i="1" s="1"/>
  <c r="AF1365" i="1" a="1"/>
  <c r="AF1365" i="1" s="1"/>
  <c r="AF1366" i="1" a="1"/>
  <c r="AF1366" i="1" s="1"/>
  <c r="AF1367" i="1" a="1"/>
  <c r="AF1367" i="1"/>
  <c r="AF1368" i="1" a="1"/>
  <c r="AF1368" i="1"/>
  <c r="AF1369" i="1" a="1"/>
  <c r="AF1369" i="1" s="1"/>
  <c r="AF1370" i="1" a="1"/>
  <c r="AF1370" i="1" s="1"/>
  <c r="AF1371" i="1" a="1"/>
  <c r="AF1371" i="1" s="1"/>
  <c r="AF1372" i="1" a="1"/>
  <c r="AF1372" i="1" s="1"/>
  <c r="AF1373" i="1" a="1"/>
  <c r="AF1373" i="1" s="1"/>
  <c r="AF1374" i="1" a="1"/>
  <c r="AF1374" i="1" s="1"/>
  <c r="AF1375" i="1" a="1"/>
  <c r="AF1375" i="1"/>
  <c r="AF1376" i="1" a="1"/>
  <c r="AF1376" i="1"/>
  <c r="AF1377" i="1" a="1"/>
  <c r="AF1377" i="1" s="1"/>
  <c r="AF1378" i="1" a="1"/>
  <c r="AF1378" i="1" s="1"/>
  <c r="AF1379" i="1" a="1"/>
  <c r="AF1379" i="1" s="1"/>
  <c r="AF1380" i="1" a="1"/>
  <c r="AF1380" i="1" s="1"/>
  <c r="AF1381" i="1" a="1"/>
  <c r="AF1381" i="1"/>
  <c r="AF1382" i="1" a="1"/>
  <c r="AF1382" i="1" s="1"/>
  <c r="AF1383" i="1" a="1"/>
  <c r="AF1383" i="1" s="1"/>
  <c r="AF1384" i="1" a="1"/>
  <c r="AF1384" i="1" s="1"/>
  <c r="AF1385" i="1" a="1"/>
  <c r="AF1385" i="1" s="1"/>
  <c r="AF1386" i="1" a="1"/>
  <c r="AF1386" i="1" s="1"/>
  <c r="AF1387" i="1" a="1"/>
  <c r="AF1387" i="1" s="1"/>
  <c r="AF1388" i="1" a="1"/>
  <c r="AF1388" i="1" s="1"/>
  <c r="AF1389" i="1" a="1"/>
  <c r="AF1389" i="1"/>
  <c r="AF1390" i="1" a="1"/>
  <c r="AF1390" i="1" s="1"/>
  <c r="AF1391" i="1" a="1"/>
  <c r="AF1391" i="1" s="1"/>
  <c r="AF1392" i="1" a="1"/>
  <c r="AF1392" i="1" s="1"/>
  <c r="AF1393" i="1" a="1"/>
  <c r="AF1393" i="1" s="1"/>
  <c r="AF1394" i="1" a="1"/>
  <c r="AF1394" i="1" s="1"/>
  <c r="AF1395" i="1" a="1"/>
  <c r="AF1395" i="1" s="1"/>
  <c r="AF1396" i="1" a="1"/>
  <c r="AF1396" i="1" s="1"/>
  <c r="AF1397" i="1" a="1"/>
  <c r="AF1397" i="1" s="1"/>
  <c r="AF1398" i="1" a="1"/>
  <c r="AF1398" i="1" s="1"/>
  <c r="AF1399" i="1" a="1"/>
  <c r="AF1399" i="1"/>
  <c r="AF1400" i="1" a="1"/>
  <c r="AF1400" i="1"/>
  <c r="AF1401" i="1" a="1"/>
  <c r="AF1401" i="1" s="1"/>
  <c r="AF1402" i="1" a="1"/>
  <c r="AF1402" i="1"/>
  <c r="AF1403" i="1" a="1"/>
  <c r="AF1403" i="1" s="1"/>
  <c r="AF1404" i="1" a="1"/>
  <c r="AF1404" i="1" s="1"/>
  <c r="AF1405" i="1" a="1"/>
  <c r="AF1405" i="1" s="1"/>
  <c r="AF1406" i="1" a="1"/>
  <c r="AF1406" i="1"/>
  <c r="AF1407" i="1" a="1"/>
  <c r="AF1407" i="1" s="1"/>
  <c r="AF1408" i="1" a="1"/>
  <c r="AF1408" i="1" s="1"/>
  <c r="AF1409" i="1" a="1"/>
  <c r="AF1409" i="1" s="1"/>
  <c r="AF1410" i="1" a="1"/>
  <c r="AF1410" i="1" s="1"/>
  <c r="AF1411" i="1" a="1"/>
  <c r="AF1411" i="1" s="1"/>
  <c r="AF1412" i="1" a="1"/>
  <c r="AF1412" i="1" s="1"/>
  <c r="AF1413" i="1" a="1"/>
  <c r="AF1413" i="1"/>
  <c r="AF1414" i="1" a="1"/>
  <c r="AF1414" i="1" s="1"/>
  <c r="AF1415" i="1" a="1"/>
  <c r="AF1415" i="1"/>
  <c r="AF1416" i="1" a="1"/>
  <c r="AF1416" i="1"/>
  <c r="AF1417" i="1" a="1"/>
  <c r="AF1417" i="1" s="1"/>
  <c r="AF1418" i="1" a="1"/>
  <c r="AF1418" i="1" s="1"/>
  <c r="AF1419" i="1" a="1"/>
  <c r="AF1419" i="1" s="1"/>
  <c r="AF1420" i="1" a="1"/>
  <c r="AF1420" i="1" s="1"/>
  <c r="AF1421" i="1" a="1"/>
  <c r="AF1421" i="1" s="1"/>
  <c r="AF1422" i="1" a="1"/>
  <c r="AF1422" i="1"/>
  <c r="AF1423" i="1" a="1"/>
  <c r="AF1423" i="1"/>
  <c r="AF1424" i="1" a="1"/>
  <c r="AF1424" i="1" s="1"/>
  <c r="AF1425" i="1" a="1"/>
  <c r="AF1425" i="1" s="1"/>
  <c r="AF1426" i="1" a="1"/>
  <c r="AF1426" i="1" s="1"/>
  <c r="AF1427" i="1" a="1"/>
  <c r="AF1427" i="1" s="1"/>
  <c r="AF1428" i="1" a="1"/>
  <c r="AF1428" i="1" s="1"/>
  <c r="AF1429" i="1" a="1"/>
  <c r="AF1429" i="1" s="1"/>
  <c r="AF1430" i="1" a="1"/>
  <c r="AF1430" i="1"/>
  <c r="AF1431" i="1" a="1"/>
  <c r="AF1431" i="1" s="1"/>
  <c r="AF1432" i="1" a="1"/>
  <c r="AF1432" i="1" s="1"/>
  <c r="AF1433" i="1" a="1"/>
  <c r="AF1433" i="1"/>
  <c r="AF1434" i="1" a="1"/>
  <c r="AF1434" i="1"/>
  <c r="AF1435" i="1" a="1"/>
  <c r="AF1435" i="1" s="1"/>
  <c r="AF1436" i="1" a="1"/>
  <c r="AF1436" i="1" s="1"/>
  <c r="AF1437" i="1" a="1"/>
  <c r="AF1437" i="1" s="1"/>
  <c r="AF1438" i="1" a="1"/>
  <c r="AF1438" i="1" s="1"/>
  <c r="AF1439" i="1" a="1"/>
  <c r="AF1439" i="1"/>
  <c r="AF1440" i="1" a="1"/>
  <c r="AF1440" i="1" s="1"/>
  <c r="AF1441" i="1" a="1"/>
  <c r="AF1441" i="1" s="1"/>
  <c r="AF1442" i="1" a="1"/>
  <c r="AF1442" i="1" s="1"/>
  <c r="AF1443" i="1" a="1"/>
  <c r="AF1443" i="1" s="1"/>
  <c r="AF1444" i="1" a="1"/>
  <c r="AF1444" i="1" s="1"/>
  <c r="AF1445" i="1" a="1"/>
  <c r="AF1445" i="1"/>
  <c r="AF1446" i="1" a="1"/>
  <c r="AF1446" i="1" s="1"/>
  <c r="AF1447" i="1" a="1"/>
  <c r="AF1447" i="1" s="1"/>
  <c r="AF1448" i="1" a="1"/>
  <c r="AF1448" i="1" s="1"/>
  <c r="AF1449" i="1" a="1"/>
  <c r="AF1449" i="1" s="1"/>
  <c r="AF1450" i="1" a="1"/>
  <c r="AF1450" i="1" s="1"/>
  <c r="AF1451" i="1" a="1"/>
  <c r="AF1451" i="1" s="1"/>
  <c r="AF1452" i="1" a="1"/>
  <c r="AF1452" i="1" s="1"/>
  <c r="AF1453" i="1" a="1"/>
  <c r="AF1453" i="1" s="1"/>
  <c r="AF1454" i="1" a="1"/>
  <c r="AF1454" i="1" s="1"/>
  <c r="AF1455" i="1" a="1"/>
  <c r="AF1455" i="1" s="1"/>
  <c r="AF1456" i="1" a="1"/>
  <c r="AF1456" i="1" s="1"/>
  <c r="AF1457" i="1" a="1"/>
  <c r="AF1457" i="1" s="1"/>
  <c r="AF1458" i="1" a="1"/>
  <c r="AF1458" i="1"/>
  <c r="AF1459" i="1" a="1"/>
  <c r="AF1459" i="1" s="1"/>
  <c r="AF1460" i="1" a="1"/>
  <c r="AF1460" i="1"/>
  <c r="AF1461" i="1" a="1"/>
  <c r="AF1461" i="1" s="1"/>
  <c r="AF1462" i="1" a="1"/>
  <c r="AF1462" i="1" s="1"/>
  <c r="AF1463" i="1" a="1"/>
  <c r="AF1463" i="1" s="1"/>
  <c r="AF1464" i="1" a="1"/>
  <c r="AF1464" i="1" s="1"/>
  <c r="AF1465" i="1" a="1"/>
  <c r="AF1465" i="1" s="1"/>
  <c r="AF1466" i="1" a="1"/>
  <c r="AF1466" i="1" s="1"/>
  <c r="AF1467" i="1" a="1"/>
  <c r="AF1467" i="1" s="1"/>
  <c r="AF1468" i="1" a="1"/>
  <c r="AF1468" i="1" s="1"/>
  <c r="AF1469" i="1" a="1"/>
  <c r="AF1469" i="1"/>
  <c r="AF1470" i="1" a="1"/>
  <c r="AF1470" i="1"/>
  <c r="AF1471" i="1" a="1"/>
  <c r="AF1471" i="1" s="1"/>
  <c r="AF2" i="1" a="1"/>
  <c r="AF2" i="1" s="1"/>
  <c r="AE3" i="1" a="1"/>
  <c r="AE3" i="1" s="1"/>
  <c r="AE4" i="1" a="1"/>
  <c r="AE4" i="1" s="1"/>
  <c r="AE5" i="1" a="1"/>
  <c r="AE5" i="1" s="1"/>
  <c r="AE6" i="1" a="1"/>
  <c r="AE6" i="1" s="1"/>
  <c r="AE7" i="1" a="1"/>
  <c r="AE7" i="1" s="1"/>
  <c r="AE8" i="1" a="1"/>
  <c r="AE8" i="1" s="1"/>
  <c r="AE9" i="1" a="1"/>
  <c r="AE9" i="1" s="1"/>
  <c r="AE10" i="1" a="1"/>
  <c r="AE10" i="1"/>
  <c r="AE11" i="1" a="1"/>
  <c r="AE11" i="1" s="1"/>
  <c r="AE12" i="1" a="1"/>
  <c r="AE12" i="1" s="1"/>
  <c r="AE13" i="1" a="1"/>
  <c r="AE13" i="1" s="1"/>
  <c r="AE14" i="1" a="1"/>
  <c r="AE14" i="1" s="1"/>
  <c r="AE15" i="1" a="1"/>
  <c r="AE15" i="1" s="1"/>
  <c r="AE16" i="1" a="1"/>
  <c r="AE16" i="1" s="1"/>
  <c r="AE17" i="1" a="1"/>
  <c r="AE17" i="1" s="1"/>
  <c r="AE18" i="1" a="1"/>
  <c r="AE18" i="1" s="1"/>
  <c r="AE19" i="1" a="1"/>
  <c r="AE19" i="1" s="1"/>
  <c r="AE20" i="1" a="1"/>
  <c r="AE20" i="1" s="1"/>
  <c r="AE21" i="1" a="1"/>
  <c r="AE21" i="1" s="1"/>
  <c r="AE22" i="1" a="1"/>
  <c r="AE22" i="1" s="1"/>
  <c r="AE23" i="1" a="1"/>
  <c r="AE23" i="1" s="1"/>
  <c r="AE24" i="1" a="1"/>
  <c r="AE24" i="1"/>
  <c r="AE25" i="1" a="1"/>
  <c r="AE25" i="1" s="1"/>
  <c r="AE26" i="1" a="1"/>
  <c r="AE26" i="1" s="1"/>
  <c r="AE27" i="1" a="1"/>
  <c r="AE27" i="1"/>
  <c r="AE28" i="1" a="1"/>
  <c r="AE28" i="1" s="1"/>
  <c r="AE29" i="1" a="1"/>
  <c r="AE29" i="1"/>
  <c r="AE30" i="1" a="1"/>
  <c r="AE30" i="1" s="1"/>
  <c r="AE31" i="1" a="1"/>
  <c r="AE31" i="1" s="1"/>
  <c r="AE32" i="1" a="1"/>
  <c r="AE32" i="1" s="1"/>
  <c r="AE33" i="1" a="1"/>
  <c r="AE33" i="1" s="1"/>
  <c r="AE34" i="1" a="1"/>
  <c r="AE34" i="1" s="1"/>
  <c r="AE35" i="1" a="1"/>
  <c r="AE35" i="1" s="1"/>
  <c r="AE36" i="1" a="1"/>
  <c r="AE36" i="1" s="1"/>
  <c r="AE37" i="1" a="1"/>
  <c r="AE37" i="1" s="1"/>
  <c r="AE38" i="1" a="1"/>
  <c r="AE38" i="1" s="1"/>
  <c r="AE39" i="1" a="1"/>
  <c r="AE39" i="1" s="1"/>
  <c r="AE40" i="1" a="1"/>
  <c r="AE40" i="1" s="1"/>
  <c r="AE41" i="1" a="1"/>
  <c r="AE41" i="1" s="1"/>
  <c r="AE42" i="1" a="1"/>
  <c r="AE42" i="1" s="1"/>
  <c r="AE43" i="1" a="1"/>
  <c r="AE43" i="1" s="1"/>
  <c r="AE44" i="1" a="1"/>
  <c r="AE44" i="1" s="1"/>
  <c r="AE45" i="1" a="1"/>
  <c r="AE45" i="1" s="1"/>
  <c r="AE46" i="1" a="1"/>
  <c r="AE46" i="1" s="1"/>
  <c r="AE47" i="1" a="1"/>
  <c r="AE47" i="1" s="1"/>
  <c r="AE48" i="1" a="1"/>
  <c r="AE48" i="1" s="1"/>
  <c r="AE49" i="1" a="1"/>
  <c r="AE49" i="1"/>
  <c r="AE50" i="1" a="1"/>
  <c r="AE50" i="1" s="1"/>
  <c r="AE51" i="1" a="1"/>
  <c r="AE51" i="1" s="1"/>
  <c r="AE52" i="1" a="1"/>
  <c r="AE52" i="1"/>
  <c r="AE53" i="1" a="1"/>
  <c r="AE53" i="1"/>
  <c r="AE54" i="1" a="1"/>
  <c r="AE54" i="1" s="1"/>
  <c r="AE55" i="1" a="1"/>
  <c r="AE55" i="1" s="1"/>
  <c r="AE56" i="1" a="1"/>
  <c r="AE56" i="1" s="1"/>
  <c r="AE57" i="1" a="1"/>
  <c r="AE57" i="1" s="1"/>
  <c r="AE58" i="1" a="1"/>
  <c r="AE58" i="1" s="1"/>
  <c r="AE59" i="1" a="1"/>
  <c r="AE59" i="1" s="1"/>
  <c r="AE60" i="1" a="1"/>
  <c r="AE60" i="1"/>
  <c r="AE61" i="1" a="1"/>
  <c r="AE61" i="1" s="1"/>
  <c r="AE62" i="1" a="1"/>
  <c r="AE62" i="1" s="1"/>
  <c r="AE63" i="1" a="1"/>
  <c r="AE63" i="1" s="1"/>
  <c r="AE64" i="1" a="1"/>
  <c r="AE64" i="1"/>
  <c r="AE65" i="1" a="1"/>
  <c r="AE65" i="1" s="1"/>
  <c r="AE66" i="1" a="1"/>
  <c r="AE66" i="1"/>
  <c r="AE67" i="1" a="1"/>
  <c r="AE67" i="1" s="1"/>
  <c r="AE68" i="1" a="1"/>
  <c r="AE68" i="1" s="1"/>
  <c r="AE69" i="1" a="1"/>
  <c r="AE69" i="1" s="1"/>
  <c r="AE70" i="1" a="1"/>
  <c r="AE70" i="1" s="1"/>
  <c r="AE71" i="1" a="1"/>
  <c r="AE71" i="1" s="1"/>
  <c r="AE72" i="1" a="1"/>
  <c r="AE72" i="1"/>
  <c r="AE73" i="1" a="1"/>
  <c r="AE73" i="1" s="1"/>
  <c r="AE74" i="1" a="1"/>
  <c r="AE74" i="1" s="1"/>
  <c r="AE75" i="1" a="1"/>
  <c r="AE75" i="1" s="1"/>
  <c r="AE76" i="1" a="1"/>
  <c r="AE76" i="1"/>
  <c r="AE77" i="1" a="1"/>
  <c r="AE77" i="1" s="1"/>
  <c r="AE78" i="1" a="1"/>
  <c r="AE78" i="1" s="1"/>
  <c r="AE79" i="1" a="1"/>
  <c r="AE79" i="1" s="1"/>
  <c r="AE80" i="1" a="1"/>
  <c r="AE80" i="1" s="1"/>
  <c r="AE81" i="1" a="1"/>
  <c r="AE81" i="1" s="1"/>
  <c r="AE82" i="1" a="1"/>
  <c r="AE82" i="1" s="1"/>
  <c r="AE83" i="1" a="1"/>
  <c r="AE83" i="1" s="1"/>
  <c r="AE84" i="1" a="1"/>
  <c r="AE84" i="1" s="1"/>
  <c r="AE85" i="1" a="1"/>
  <c r="AE85" i="1" s="1"/>
  <c r="AE86" i="1" a="1"/>
  <c r="AE86" i="1" s="1"/>
  <c r="AE87" i="1" a="1"/>
  <c r="AE87" i="1" s="1"/>
  <c r="AE88" i="1" a="1"/>
  <c r="AE88" i="1" s="1"/>
  <c r="AE89" i="1" a="1"/>
  <c r="AE89" i="1"/>
  <c r="AE90" i="1" a="1"/>
  <c r="AE90" i="1" s="1"/>
  <c r="AE91" i="1" a="1"/>
  <c r="AE91" i="1" s="1"/>
  <c r="AE92" i="1" a="1"/>
  <c r="AE92" i="1" s="1"/>
  <c r="AE93" i="1" a="1"/>
  <c r="AE93" i="1" s="1"/>
  <c r="AE94" i="1" a="1"/>
  <c r="AE94" i="1" s="1"/>
  <c r="AE95" i="1" a="1"/>
  <c r="AE95" i="1" s="1"/>
  <c r="AE96" i="1" a="1"/>
  <c r="AE96" i="1" s="1"/>
  <c r="AE97" i="1" a="1"/>
  <c r="AE97" i="1" s="1"/>
  <c r="AE98" i="1" a="1"/>
  <c r="AE98" i="1" s="1"/>
  <c r="AE99" i="1" a="1"/>
  <c r="AE99" i="1" s="1"/>
  <c r="AE100" i="1" a="1"/>
  <c r="AE100" i="1" s="1"/>
  <c r="AE101" i="1" a="1"/>
  <c r="AE101" i="1" s="1"/>
  <c r="AE102" i="1" a="1"/>
  <c r="AE102" i="1" s="1"/>
  <c r="AE103" i="1" a="1"/>
  <c r="AE103" i="1" s="1"/>
  <c r="AE104" i="1" a="1"/>
  <c r="AE104" i="1" s="1"/>
  <c r="AE105" i="1" a="1"/>
  <c r="AE105" i="1"/>
  <c r="AE106" i="1" a="1"/>
  <c r="AE106" i="1" s="1"/>
  <c r="AE107" i="1" a="1"/>
  <c r="AE107" i="1" s="1"/>
  <c r="AE108" i="1" a="1"/>
  <c r="AE108" i="1" s="1"/>
  <c r="AE109" i="1" a="1"/>
  <c r="AE109" i="1" s="1"/>
  <c r="AE110" i="1" a="1"/>
  <c r="AE110" i="1" s="1"/>
  <c r="AE111" i="1" a="1"/>
  <c r="AE111" i="1" s="1"/>
  <c r="AE112" i="1" a="1"/>
  <c r="AE112" i="1" s="1"/>
  <c r="AE113" i="1" a="1"/>
  <c r="AE113" i="1" s="1"/>
  <c r="AE114" i="1" a="1"/>
  <c r="AE114" i="1" s="1"/>
  <c r="AE115" i="1" a="1"/>
  <c r="AE115" i="1" s="1"/>
  <c r="AE116" i="1" a="1"/>
  <c r="AE116" i="1"/>
  <c r="AE117" i="1" a="1"/>
  <c r="AE117" i="1" s="1"/>
  <c r="AE118" i="1" a="1"/>
  <c r="AE118" i="1" s="1"/>
  <c r="AE119" i="1" a="1"/>
  <c r="AE119" i="1" s="1"/>
  <c r="AE120" i="1" a="1"/>
  <c r="AE120" i="1" s="1"/>
  <c r="AE121" i="1" a="1"/>
  <c r="AE121" i="1" s="1"/>
  <c r="AE122" i="1" a="1"/>
  <c r="AE122" i="1" s="1"/>
  <c r="AE123" i="1" a="1"/>
  <c r="AE123" i="1" s="1"/>
  <c r="AE124" i="1" a="1"/>
  <c r="AE124" i="1" s="1"/>
  <c r="AE125" i="1" a="1"/>
  <c r="AE125" i="1" s="1"/>
  <c r="AE126" i="1" a="1"/>
  <c r="AE126" i="1" s="1"/>
  <c r="AE127" i="1" a="1"/>
  <c r="AE127" i="1" s="1"/>
  <c r="AE128" i="1" a="1"/>
  <c r="AE128" i="1" s="1"/>
  <c r="AE129" i="1" a="1"/>
  <c r="AE129" i="1"/>
  <c r="AE130" i="1" a="1"/>
  <c r="AE130" i="1" s="1"/>
  <c r="AE131" i="1" a="1"/>
  <c r="AE131" i="1" s="1"/>
  <c r="AE132" i="1" a="1"/>
  <c r="AE132" i="1" s="1"/>
  <c r="AE133" i="1" a="1"/>
  <c r="AE133" i="1" s="1"/>
  <c r="AE134" i="1" a="1"/>
  <c r="AE134" i="1" s="1"/>
  <c r="AE135" i="1" a="1"/>
  <c r="AE135" i="1" s="1"/>
  <c r="AE136" i="1" a="1"/>
  <c r="AE136" i="1" s="1"/>
  <c r="AE137" i="1" a="1"/>
  <c r="AE137" i="1" s="1"/>
  <c r="AE138" i="1" a="1"/>
  <c r="AE138" i="1" s="1"/>
  <c r="AE139" i="1" a="1"/>
  <c r="AE139" i="1" s="1"/>
  <c r="AE140" i="1" a="1"/>
  <c r="AE140" i="1" s="1"/>
  <c r="AE141" i="1" a="1"/>
  <c r="AE141" i="1" s="1"/>
  <c r="AE142" i="1" a="1"/>
  <c r="AE142" i="1" s="1"/>
  <c r="AE143" i="1" a="1"/>
  <c r="AE143" i="1" s="1"/>
  <c r="AE144" i="1" a="1"/>
  <c r="AE144" i="1" s="1"/>
  <c r="AE145" i="1" a="1"/>
  <c r="AE145" i="1" s="1"/>
  <c r="AE146" i="1" a="1"/>
  <c r="AE146" i="1" s="1"/>
  <c r="AE147" i="1" a="1"/>
  <c r="AE147" i="1" s="1"/>
  <c r="AE148" i="1" a="1"/>
  <c r="AE148" i="1" s="1"/>
  <c r="AE149" i="1" a="1"/>
  <c r="AE149" i="1" s="1"/>
  <c r="AE150" i="1" a="1"/>
  <c r="AE150" i="1" s="1"/>
  <c r="AE151" i="1" a="1"/>
  <c r="AE151" i="1" s="1"/>
  <c r="AE152" i="1" a="1"/>
  <c r="AE152" i="1" s="1"/>
  <c r="AE153" i="1" a="1"/>
  <c r="AE153" i="1" s="1"/>
  <c r="AE154" i="1" a="1"/>
  <c r="AE154" i="1" s="1"/>
  <c r="AE155" i="1" a="1"/>
  <c r="AE155" i="1" s="1"/>
  <c r="AE156" i="1" a="1"/>
  <c r="AE156" i="1" s="1"/>
  <c r="AE157" i="1" a="1"/>
  <c r="AE157" i="1" s="1"/>
  <c r="AE158" i="1" a="1"/>
  <c r="AE158" i="1" s="1"/>
  <c r="AE159" i="1" a="1"/>
  <c r="AE159" i="1" s="1"/>
  <c r="AE160" i="1" a="1"/>
  <c r="AE160" i="1" s="1"/>
  <c r="AE161" i="1" a="1"/>
  <c r="AE161" i="1" s="1"/>
  <c r="AE162" i="1" a="1"/>
  <c r="AE162" i="1" s="1"/>
  <c r="AE163" i="1" a="1"/>
  <c r="AE163" i="1" s="1"/>
  <c r="AE164" i="1" a="1"/>
  <c r="AE164" i="1" s="1"/>
  <c r="AE165" i="1" a="1"/>
  <c r="AE165" i="1" s="1"/>
  <c r="AE166" i="1" a="1"/>
  <c r="AE166" i="1" s="1"/>
  <c r="AE167" i="1" a="1"/>
  <c r="AE167" i="1" s="1"/>
  <c r="AE168" i="1" a="1"/>
  <c r="AE168" i="1" s="1"/>
  <c r="AE169" i="1" a="1"/>
  <c r="AE169" i="1" s="1"/>
  <c r="AE170" i="1" a="1"/>
  <c r="AE170" i="1" s="1"/>
  <c r="AE171" i="1" a="1"/>
  <c r="AE171" i="1" s="1"/>
  <c r="AE172" i="1" a="1"/>
  <c r="AE172" i="1" s="1"/>
  <c r="AE173" i="1" a="1"/>
  <c r="AE173" i="1"/>
  <c r="AE174" i="1" a="1"/>
  <c r="AE174" i="1" s="1"/>
  <c r="AE175" i="1" a="1"/>
  <c r="AE175" i="1" s="1"/>
  <c r="AE176" i="1" a="1"/>
  <c r="AE176" i="1" s="1"/>
  <c r="AE177" i="1" a="1"/>
  <c r="AE177" i="1" s="1"/>
  <c r="AE178" i="1" a="1"/>
  <c r="AE178" i="1" s="1"/>
  <c r="AE179" i="1" a="1"/>
  <c r="AE179" i="1" s="1"/>
  <c r="AE180" i="1" a="1"/>
  <c r="AE180" i="1"/>
  <c r="AE181" i="1" a="1"/>
  <c r="AE181" i="1" s="1"/>
  <c r="AE182" i="1" a="1"/>
  <c r="AE182" i="1" s="1"/>
  <c r="AE183" i="1" a="1"/>
  <c r="AE183" i="1" s="1"/>
  <c r="AE184" i="1" a="1"/>
  <c r="AE184" i="1" s="1"/>
  <c r="AE185" i="1" a="1"/>
  <c r="AE185" i="1" s="1"/>
  <c r="AE186" i="1" a="1"/>
  <c r="AE186" i="1" s="1"/>
  <c r="AE187" i="1" a="1"/>
  <c r="AE187" i="1" s="1"/>
  <c r="AE188" i="1" a="1"/>
  <c r="AE188" i="1" s="1"/>
  <c r="AE189" i="1" a="1"/>
  <c r="AE189" i="1" s="1"/>
  <c r="AE190" i="1" a="1"/>
  <c r="AE190" i="1" s="1"/>
  <c r="AE191" i="1" a="1"/>
  <c r="AE191" i="1" s="1"/>
  <c r="AE192" i="1" a="1"/>
  <c r="AE192" i="1" s="1"/>
  <c r="AE193" i="1" a="1"/>
  <c r="AE193" i="1" s="1"/>
  <c r="AE194" i="1" a="1"/>
  <c r="AE194" i="1" s="1"/>
  <c r="AE195" i="1" a="1"/>
  <c r="AE195" i="1" s="1"/>
  <c r="AE196" i="1" a="1"/>
  <c r="AE196" i="1" s="1"/>
  <c r="AE197" i="1" a="1"/>
  <c r="AE197" i="1" s="1"/>
  <c r="AE198" i="1" a="1"/>
  <c r="AE198" i="1" s="1"/>
  <c r="AE199" i="1" a="1"/>
  <c r="AE199" i="1" s="1"/>
  <c r="AE200" i="1" a="1"/>
  <c r="AE200" i="1" s="1"/>
  <c r="AE201" i="1" a="1"/>
  <c r="AE201" i="1" s="1"/>
  <c r="AE202" i="1" a="1"/>
  <c r="AE202" i="1" s="1"/>
  <c r="AE203" i="1" a="1"/>
  <c r="AE203" i="1"/>
  <c r="AE204" i="1" a="1"/>
  <c r="AE204" i="1" s="1"/>
  <c r="AE205" i="1" a="1"/>
  <c r="AE205" i="1" s="1"/>
  <c r="AE206" i="1" a="1"/>
  <c r="AE206" i="1" s="1"/>
  <c r="AE207" i="1" a="1"/>
  <c r="AE207" i="1" s="1"/>
  <c r="AE208" i="1" a="1"/>
  <c r="AE208" i="1" s="1"/>
  <c r="AE209" i="1" a="1"/>
  <c r="AE209" i="1" s="1"/>
  <c r="AE210" i="1" a="1"/>
  <c r="AE210" i="1"/>
  <c r="AE211" i="1" a="1"/>
  <c r="AE211" i="1" s="1"/>
  <c r="AE212" i="1" a="1"/>
  <c r="AE212" i="1" s="1"/>
  <c r="AE213" i="1" a="1"/>
  <c r="AE213" i="1" s="1"/>
  <c r="AE214" i="1" a="1"/>
  <c r="AE214" i="1" s="1"/>
  <c r="AE215" i="1" a="1"/>
  <c r="AE215" i="1" s="1"/>
  <c r="AE216" i="1" a="1"/>
  <c r="AE216" i="1" s="1"/>
  <c r="AE217" i="1" a="1"/>
  <c r="AE217" i="1" s="1"/>
  <c r="AE218" i="1" a="1"/>
  <c r="AE218" i="1" s="1"/>
  <c r="AE219" i="1" a="1"/>
  <c r="AE219" i="1" s="1"/>
  <c r="AE220" i="1" a="1"/>
  <c r="AE220" i="1" s="1"/>
  <c r="AE221" i="1" a="1"/>
  <c r="AE221" i="1" s="1"/>
  <c r="AE222" i="1" a="1"/>
  <c r="AE222" i="1" s="1"/>
  <c r="AE223" i="1" a="1"/>
  <c r="AE223" i="1" s="1"/>
  <c r="AE224" i="1" a="1"/>
  <c r="AE224" i="1" s="1"/>
  <c r="AE225" i="1" a="1"/>
  <c r="AE225" i="1" s="1"/>
  <c r="AE226" i="1" a="1"/>
  <c r="AE226" i="1" s="1"/>
  <c r="AE227" i="1" a="1"/>
  <c r="AE227" i="1"/>
  <c r="AE228" i="1" a="1"/>
  <c r="AE228" i="1" s="1"/>
  <c r="AE229" i="1" a="1"/>
  <c r="AE229" i="1" s="1"/>
  <c r="AE230" i="1" a="1"/>
  <c r="AE230" i="1" s="1"/>
  <c r="AE231" i="1" a="1"/>
  <c r="AE231" i="1" s="1"/>
  <c r="AE232" i="1" a="1"/>
  <c r="AE232" i="1" s="1"/>
  <c r="AE233" i="1" a="1"/>
  <c r="AE233" i="1" s="1"/>
  <c r="AE234" i="1" a="1"/>
  <c r="AE234" i="1" s="1"/>
  <c r="AE235" i="1" a="1"/>
  <c r="AE235" i="1" s="1"/>
  <c r="AE236" i="1" a="1"/>
  <c r="AE236" i="1" s="1"/>
  <c r="AE237" i="1" a="1"/>
  <c r="AE237" i="1" s="1"/>
  <c r="AE238" i="1" a="1"/>
  <c r="AE238" i="1" s="1"/>
  <c r="AE239" i="1" a="1"/>
  <c r="AE239" i="1" s="1"/>
  <c r="AE240" i="1" a="1"/>
  <c r="AE240" i="1" s="1"/>
  <c r="AE241" i="1" a="1"/>
  <c r="AE241" i="1" s="1"/>
  <c r="AE242" i="1" a="1"/>
  <c r="AE242" i="1" s="1"/>
  <c r="AE243" i="1" a="1"/>
  <c r="AE243" i="1" s="1"/>
  <c r="AE244" i="1" a="1"/>
  <c r="AE244" i="1" s="1"/>
  <c r="AE245" i="1" a="1"/>
  <c r="AE245" i="1" s="1"/>
  <c r="AE246" i="1" a="1"/>
  <c r="AE246" i="1" s="1"/>
  <c r="AE247" i="1" a="1"/>
  <c r="AE247" i="1" s="1"/>
  <c r="AE248" i="1" a="1"/>
  <c r="AE248" i="1" s="1"/>
  <c r="AE249" i="1" a="1"/>
  <c r="AE249" i="1" s="1"/>
  <c r="AE250" i="1" a="1"/>
  <c r="AE250" i="1" s="1"/>
  <c r="AE251" i="1" a="1"/>
  <c r="AE251" i="1" s="1"/>
  <c r="AE252" i="1" a="1"/>
  <c r="AE252" i="1" s="1"/>
  <c r="AE253" i="1" a="1"/>
  <c r="AE253" i="1" s="1"/>
  <c r="AE254" i="1" a="1"/>
  <c r="AE254" i="1" s="1"/>
  <c r="AE255" i="1" a="1"/>
  <c r="AE255" i="1" s="1"/>
  <c r="AE256" i="1" a="1"/>
  <c r="AE256" i="1" s="1"/>
  <c r="AE257" i="1" a="1"/>
  <c r="AE257" i="1" s="1"/>
  <c r="AE258" i="1" a="1"/>
  <c r="AE258" i="1" s="1"/>
  <c r="AE259" i="1" a="1"/>
  <c r="AE259" i="1" s="1"/>
  <c r="AE260" i="1" a="1"/>
  <c r="AE260" i="1" s="1"/>
  <c r="AE261" i="1" a="1"/>
  <c r="AE261" i="1" s="1"/>
  <c r="AE262" i="1" a="1"/>
  <c r="AE262" i="1" s="1"/>
  <c r="AE263" i="1" a="1"/>
  <c r="AE263" i="1" s="1"/>
  <c r="AE264" i="1" a="1"/>
  <c r="AE264" i="1" s="1"/>
  <c r="AE265" i="1" a="1"/>
  <c r="AE265" i="1" s="1"/>
  <c r="AE266" i="1" a="1"/>
  <c r="AE266" i="1" s="1"/>
  <c r="AE267" i="1" a="1"/>
  <c r="AE267" i="1" s="1"/>
  <c r="AE268" i="1" a="1"/>
  <c r="AE268" i="1" s="1"/>
  <c r="AE269" i="1" a="1"/>
  <c r="AE269" i="1" s="1"/>
  <c r="AE270" i="1" a="1"/>
  <c r="AE270" i="1" s="1"/>
  <c r="AE271" i="1" a="1"/>
  <c r="AE271" i="1" s="1"/>
  <c r="AE272" i="1" a="1"/>
  <c r="AE272" i="1" s="1"/>
  <c r="AE273" i="1" a="1"/>
  <c r="AE273" i="1" s="1"/>
  <c r="AE274" i="1" a="1"/>
  <c r="AE274" i="1"/>
  <c r="AE275" i="1" a="1"/>
  <c r="AE275" i="1"/>
  <c r="AE276" i="1" a="1"/>
  <c r="AE276" i="1" s="1"/>
  <c r="AE277" i="1" a="1"/>
  <c r="AE277" i="1" s="1"/>
  <c r="AE278" i="1" a="1"/>
  <c r="AE278" i="1" s="1"/>
  <c r="AE279" i="1" a="1"/>
  <c r="AE279" i="1" s="1"/>
  <c r="AE280" i="1" a="1"/>
  <c r="AE280" i="1" s="1"/>
  <c r="AE281" i="1" a="1"/>
  <c r="AE281" i="1" s="1"/>
  <c r="AE282" i="1" a="1"/>
  <c r="AE282" i="1" s="1"/>
  <c r="AE283" i="1" a="1"/>
  <c r="AE283" i="1" s="1"/>
  <c r="AE284" i="1" a="1"/>
  <c r="AE284" i="1" s="1"/>
  <c r="AE285" i="1" a="1"/>
  <c r="AE285" i="1" s="1"/>
  <c r="AE286" i="1" a="1"/>
  <c r="AE286" i="1" s="1"/>
  <c r="AE287" i="1" a="1"/>
  <c r="AE287" i="1" s="1"/>
  <c r="AE288" i="1" a="1"/>
  <c r="AE288" i="1" s="1"/>
  <c r="AE289" i="1" a="1"/>
  <c r="AE289" i="1" s="1"/>
  <c r="AE290" i="1" a="1"/>
  <c r="AE290" i="1" s="1"/>
  <c r="AE291" i="1" a="1"/>
  <c r="AE291" i="1"/>
  <c r="AE292" i="1" a="1"/>
  <c r="AE292" i="1" s="1"/>
  <c r="AE293" i="1" a="1"/>
  <c r="AE293" i="1" s="1"/>
  <c r="AE294" i="1" a="1"/>
  <c r="AE294" i="1" s="1"/>
  <c r="AE295" i="1" a="1"/>
  <c r="AE295" i="1" s="1"/>
  <c r="AE296" i="1" a="1"/>
  <c r="AE296" i="1" s="1"/>
  <c r="AE297" i="1" a="1"/>
  <c r="AE297" i="1" s="1"/>
  <c r="AE298" i="1" a="1"/>
  <c r="AE298" i="1" s="1"/>
  <c r="AE299" i="1" a="1"/>
  <c r="AE299" i="1" s="1"/>
  <c r="AE300" i="1" a="1"/>
  <c r="AE300" i="1" s="1"/>
  <c r="AE301" i="1" a="1"/>
  <c r="AE301" i="1" s="1"/>
  <c r="AE302" i="1" a="1"/>
  <c r="AE302" i="1" s="1"/>
  <c r="AE303" i="1" a="1"/>
  <c r="AE303" i="1" s="1"/>
  <c r="AE304" i="1" a="1"/>
  <c r="AE304" i="1" s="1"/>
  <c r="AE305" i="1" a="1"/>
  <c r="AE305" i="1" s="1"/>
  <c r="AE306" i="1" a="1"/>
  <c r="AE306" i="1"/>
  <c r="AE307" i="1" a="1"/>
  <c r="AE307" i="1" s="1"/>
  <c r="AE308" i="1" a="1"/>
  <c r="AE308" i="1" s="1"/>
  <c r="AE309" i="1" a="1"/>
  <c r="AE309" i="1" s="1"/>
  <c r="AE310" i="1" a="1"/>
  <c r="AE310" i="1" s="1"/>
  <c r="AE311" i="1" a="1"/>
  <c r="AE311" i="1" s="1"/>
  <c r="AE312" i="1" a="1"/>
  <c r="AE312" i="1" s="1"/>
  <c r="AE313" i="1" a="1"/>
  <c r="AE313" i="1" s="1"/>
  <c r="AE314" i="1" a="1"/>
  <c r="AE314" i="1" s="1"/>
  <c r="AE315" i="1" a="1"/>
  <c r="AE315" i="1" s="1"/>
  <c r="AE316" i="1" a="1"/>
  <c r="AE316" i="1" s="1"/>
  <c r="AE317" i="1" a="1"/>
  <c r="AE317" i="1" s="1"/>
  <c r="AE318" i="1" a="1"/>
  <c r="AE318" i="1" s="1"/>
  <c r="AE319" i="1" a="1"/>
  <c r="AE319" i="1" s="1"/>
  <c r="AE320" i="1" a="1"/>
  <c r="AE320" i="1" s="1"/>
  <c r="AE321" i="1" a="1"/>
  <c r="AE321" i="1"/>
  <c r="AE322" i="1" a="1"/>
  <c r="AE322" i="1" s="1"/>
  <c r="AE323" i="1" a="1"/>
  <c r="AE323" i="1"/>
  <c r="AE324" i="1" a="1"/>
  <c r="AE324" i="1" s="1"/>
  <c r="AE325" i="1" a="1"/>
  <c r="AE325" i="1" s="1"/>
  <c r="AE326" i="1" a="1"/>
  <c r="AE326" i="1" s="1"/>
  <c r="AE327" i="1" a="1"/>
  <c r="AE327" i="1" s="1"/>
  <c r="AE328" i="1" a="1"/>
  <c r="AE328" i="1" s="1"/>
  <c r="AE329" i="1" a="1"/>
  <c r="AE329" i="1" s="1"/>
  <c r="AE330" i="1" a="1"/>
  <c r="AE330" i="1" s="1"/>
  <c r="AE331" i="1" a="1"/>
  <c r="AE331" i="1" s="1"/>
  <c r="AE332" i="1" a="1"/>
  <c r="AE332" i="1" s="1"/>
  <c r="AE333" i="1" a="1"/>
  <c r="AE333" i="1" s="1"/>
  <c r="AE334" i="1" a="1"/>
  <c r="AE334" i="1" s="1"/>
  <c r="AE335" i="1" a="1"/>
  <c r="AE335" i="1" s="1"/>
  <c r="AE336" i="1" a="1"/>
  <c r="AE336" i="1" s="1"/>
  <c r="AE337" i="1" a="1"/>
  <c r="AE337" i="1" s="1"/>
  <c r="AE338" i="1" a="1"/>
  <c r="AE338" i="1"/>
  <c r="AE339" i="1" a="1"/>
  <c r="AE339" i="1" s="1"/>
  <c r="AE340" i="1" a="1"/>
  <c r="AE340" i="1" s="1"/>
  <c r="AE341" i="1" a="1"/>
  <c r="AE341" i="1" s="1"/>
  <c r="AE342" i="1" a="1"/>
  <c r="AE342" i="1" s="1"/>
  <c r="AE343" i="1" a="1"/>
  <c r="AE343" i="1" s="1"/>
  <c r="AE344" i="1" a="1"/>
  <c r="AE344" i="1" s="1"/>
  <c r="AE345" i="1" a="1"/>
  <c r="AE345" i="1" s="1"/>
  <c r="AE346" i="1" a="1"/>
  <c r="AE346" i="1" s="1"/>
  <c r="AE347" i="1" a="1"/>
  <c r="AE347" i="1"/>
  <c r="AE348" i="1" a="1"/>
  <c r="AE348" i="1" s="1"/>
  <c r="AE349" i="1" a="1"/>
  <c r="AE349" i="1" s="1"/>
  <c r="AE350" i="1" a="1"/>
  <c r="AE350" i="1" s="1"/>
  <c r="AE351" i="1" a="1"/>
  <c r="AE351" i="1" s="1"/>
  <c r="AE352" i="1" a="1"/>
  <c r="AE352" i="1" s="1"/>
  <c r="AE353" i="1" a="1"/>
  <c r="AE353" i="1" s="1"/>
  <c r="AE354" i="1" a="1"/>
  <c r="AE354" i="1" s="1"/>
  <c r="AE355" i="1" a="1"/>
  <c r="AE355" i="1" s="1"/>
  <c r="AE356" i="1" a="1"/>
  <c r="AE356" i="1" s="1"/>
  <c r="AE357" i="1" a="1"/>
  <c r="AE357" i="1"/>
  <c r="AE358" i="1" a="1"/>
  <c r="AE358" i="1" s="1"/>
  <c r="AE359" i="1" a="1"/>
  <c r="AE359" i="1" s="1"/>
  <c r="AE360" i="1" a="1"/>
  <c r="AE360" i="1" s="1"/>
  <c r="AE361" i="1" a="1"/>
  <c r="AE361" i="1"/>
  <c r="AE362" i="1" a="1"/>
  <c r="AE362" i="1" s="1"/>
  <c r="AE363" i="1" a="1"/>
  <c r="AE363" i="1" s="1"/>
  <c r="AE364" i="1" a="1"/>
  <c r="AE364" i="1" s="1"/>
  <c r="AE365" i="1" a="1"/>
  <c r="AE365" i="1" s="1"/>
  <c r="AE366" i="1" a="1"/>
  <c r="AE366" i="1" s="1"/>
  <c r="AE367" i="1" a="1"/>
  <c r="AE367" i="1" s="1"/>
  <c r="AE368" i="1" a="1"/>
  <c r="AE368" i="1" s="1"/>
  <c r="AE369" i="1" a="1"/>
  <c r="AE369" i="1"/>
  <c r="AE370" i="1" a="1"/>
  <c r="AE370" i="1" s="1"/>
  <c r="AE371" i="1" a="1"/>
  <c r="AE371" i="1" s="1"/>
  <c r="AE372" i="1" a="1"/>
  <c r="AE372" i="1" s="1"/>
  <c r="AE373" i="1" a="1"/>
  <c r="AE373" i="1"/>
  <c r="AE374" i="1" a="1"/>
  <c r="AE374" i="1" s="1"/>
  <c r="AE375" i="1" a="1"/>
  <c r="AE375" i="1" s="1"/>
  <c r="AE376" i="1" a="1"/>
  <c r="AE376" i="1" s="1"/>
  <c r="AE377" i="1" a="1"/>
  <c r="AE377" i="1" s="1"/>
  <c r="AE378" i="1" a="1"/>
  <c r="AE378" i="1" s="1"/>
  <c r="AE379" i="1" a="1"/>
  <c r="AE379" i="1" s="1"/>
  <c r="AE380" i="1" a="1"/>
  <c r="AE380" i="1" s="1"/>
  <c r="AE381" i="1" a="1"/>
  <c r="AE381" i="1" s="1"/>
  <c r="AE382" i="1" a="1"/>
  <c r="AE382" i="1" s="1"/>
  <c r="AE383" i="1" a="1"/>
  <c r="AE383" i="1" s="1"/>
  <c r="AE384" i="1" a="1"/>
  <c r="AE384" i="1" s="1"/>
  <c r="AE385" i="1" a="1"/>
  <c r="AE385" i="1"/>
  <c r="AE386" i="1" a="1"/>
  <c r="AE386" i="1" s="1"/>
  <c r="AE387" i="1" a="1"/>
  <c r="AE387" i="1" s="1"/>
  <c r="AE388" i="1" a="1"/>
  <c r="AE388" i="1" s="1"/>
  <c r="AE389" i="1" a="1"/>
  <c r="AE389" i="1"/>
  <c r="AE390" i="1" a="1"/>
  <c r="AE390" i="1" s="1"/>
  <c r="AE391" i="1" a="1"/>
  <c r="AE391" i="1" s="1"/>
  <c r="AE392" i="1" a="1"/>
  <c r="AE392" i="1" s="1"/>
  <c r="AE393" i="1" a="1"/>
  <c r="AE393" i="1" s="1"/>
  <c r="AE394" i="1" a="1"/>
  <c r="AE394" i="1" s="1"/>
  <c r="AE395" i="1" a="1"/>
  <c r="AE395" i="1" s="1"/>
  <c r="AE396" i="1" a="1"/>
  <c r="AE396" i="1" s="1"/>
  <c r="AE397" i="1" a="1"/>
  <c r="AE397" i="1"/>
  <c r="AE398" i="1" a="1"/>
  <c r="AE398" i="1" s="1"/>
  <c r="AE399" i="1" a="1"/>
  <c r="AE399" i="1" s="1"/>
  <c r="AE400" i="1" a="1"/>
  <c r="AE400" i="1" s="1"/>
  <c r="AE401" i="1" a="1"/>
  <c r="AE401" i="1" s="1"/>
  <c r="AE402" i="1" a="1"/>
  <c r="AE402" i="1"/>
  <c r="AE403" i="1" a="1"/>
  <c r="AE403" i="1" s="1"/>
  <c r="AE404" i="1" a="1"/>
  <c r="AE404" i="1" s="1"/>
  <c r="AE405" i="1" a="1"/>
  <c r="AE405" i="1" s="1"/>
  <c r="AE406" i="1" a="1"/>
  <c r="AE406" i="1" s="1"/>
  <c r="AE407" i="1" a="1"/>
  <c r="AE407" i="1" s="1"/>
  <c r="AE408" i="1" a="1"/>
  <c r="AE408" i="1" s="1"/>
  <c r="AE409" i="1" a="1"/>
  <c r="AE409" i="1" s="1"/>
  <c r="AE410" i="1" a="1"/>
  <c r="AE410" i="1" s="1"/>
  <c r="AE411" i="1" a="1"/>
  <c r="AE411" i="1" s="1"/>
  <c r="AE412" i="1" a="1"/>
  <c r="AE412" i="1" s="1"/>
  <c r="AE413" i="1" a="1"/>
  <c r="AE413" i="1" s="1"/>
  <c r="AE414" i="1" a="1"/>
  <c r="AE414" i="1" s="1"/>
  <c r="AE415" i="1" a="1"/>
  <c r="AE415" i="1" s="1"/>
  <c r="AE416" i="1" a="1"/>
  <c r="AE416" i="1" s="1"/>
  <c r="AE417" i="1" a="1"/>
  <c r="AE417" i="1" s="1"/>
  <c r="AE418" i="1" a="1"/>
  <c r="AE418" i="1" s="1"/>
  <c r="AE419" i="1" a="1"/>
  <c r="AE419" i="1" s="1"/>
  <c r="AE420" i="1" a="1"/>
  <c r="AE420" i="1"/>
  <c r="AE421" i="1" a="1"/>
  <c r="AE421" i="1" s="1"/>
  <c r="AE422" i="1" a="1"/>
  <c r="AE422" i="1" s="1"/>
  <c r="AE423" i="1" a="1"/>
  <c r="AE423" i="1" s="1"/>
  <c r="AE424" i="1" a="1"/>
  <c r="AE424" i="1" s="1"/>
  <c r="AE425" i="1" a="1"/>
  <c r="AE425" i="1" s="1"/>
  <c r="AE426" i="1" a="1"/>
  <c r="AE426" i="1" s="1"/>
  <c r="AE427" i="1" a="1"/>
  <c r="AE427" i="1" s="1"/>
  <c r="AE428" i="1" a="1"/>
  <c r="AE428" i="1" s="1"/>
  <c r="AE429" i="1" a="1"/>
  <c r="AE429" i="1"/>
  <c r="AE430" i="1" a="1"/>
  <c r="AE430" i="1" s="1"/>
  <c r="AE431" i="1" a="1"/>
  <c r="AE431" i="1" s="1"/>
  <c r="AE432" i="1" a="1"/>
  <c r="AE432" i="1" s="1"/>
  <c r="AE433" i="1" a="1"/>
  <c r="AE433" i="1" s="1"/>
  <c r="AE434" i="1" a="1"/>
  <c r="AE434" i="1" s="1"/>
  <c r="AE435" i="1" a="1"/>
  <c r="AE435" i="1" s="1"/>
  <c r="AE436" i="1" a="1"/>
  <c r="AE436" i="1" s="1"/>
  <c r="AE437" i="1" a="1"/>
  <c r="AE437" i="1" s="1"/>
  <c r="AE438" i="1" a="1"/>
  <c r="AE438" i="1" s="1"/>
  <c r="AE439" i="1" a="1"/>
  <c r="AE439" i="1" s="1"/>
  <c r="AE440" i="1" a="1"/>
  <c r="AE440" i="1" s="1"/>
  <c r="AE441" i="1" a="1"/>
  <c r="AE441" i="1" s="1"/>
  <c r="AE442" i="1" a="1"/>
  <c r="AE442" i="1" s="1"/>
  <c r="AE443" i="1" a="1"/>
  <c r="AE443" i="1"/>
  <c r="AE444" i="1" a="1"/>
  <c r="AE444" i="1" s="1"/>
  <c r="AE445" i="1" a="1"/>
  <c r="AE445" i="1" s="1"/>
  <c r="AE446" i="1" a="1"/>
  <c r="AE446" i="1" s="1"/>
  <c r="AE447" i="1" a="1"/>
  <c r="AE447" i="1" s="1"/>
  <c r="AE448" i="1" a="1"/>
  <c r="AE448" i="1" s="1"/>
  <c r="AE449" i="1" a="1"/>
  <c r="AE449" i="1"/>
  <c r="AE450" i="1" a="1"/>
  <c r="AE450" i="1" s="1"/>
  <c r="AE451" i="1" a="1"/>
  <c r="AE451" i="1" s="1"/>
  <c r="AE452" i="1" a="1"/>
  <c r="AE452" i="1" s="1"/>
  <c r="AE453" i="1" a="1"/>
  <c r="AE453" i="1" s="1"/>
  <c r="AE454" i="1" a="1"/>
  <c r="AE454" i="1" s="1"/>
  <c r="AE455" i="1" a="1"/>
  <c r="AE455" i="1" s="1"/>
  <c r="AE456" i="1" a="1"/>
  <c r="AE456" i="1" s="1"/>
  <c r="AE457" i="1" a="1"/>
  <c r="AE457" i="1" s="1"/>
  <c r="AE458" i="1" a="1"/>
  <c r="AE458" i="1" s="1"/>
  <c r="AE459" i="1" a="1"/>
  <c r="AE459" i="1" s="1"/>
  <c r="AE460" i="1" a="1"/>
  <c r="AE460" i="1" s="1"/>
  <c r="AE461" i="1" a="1"/>
  <c r="AE461" i="1" s="1"/>
  <c r="AE462" i="1" a="1"/>
  <c r="AE462" i="1" s="1"/>
  <c r="AE463" i="1" a="1"/>
  <c r="AE463" i="1" s="1"/>
  <c r="AE464" i="1" a="1"/>
  <c r="AE464" i="1" s="1"/>
  <c r="AE465" i="1" a="1"/>
  <c r="AE465" i="1" s="1"/>
  <c r="AE466" i="1" a="1"/>
  <c r="AE466" i="1" s="1"/>
  <c r="AE467" i="1" a="1"/>
  <c r="AE467" i="1" s="1"/>
  <c r="AE468" i="1" a="1"/>
  <c r="AE468" i="1" s="1"/>
  <c r="AE469" i="1" a="1"/>
  <c r="AE469" i="1" s="1"/>
  <c r="AE470" i="1" a="1"/>
  <c r="AE470" i="1" s="1"/>
  <c r="AE471" i="1" a="1"/>
  <c r="AE471" i="1" s="1"/>
  <c r="AE472" i="1" a="1"/>
  <c r="AE472" i="1" s="1"/>
  <c r="AE473" i="1" a="1"/>
  <c r="AE473" i="1" s="1"/>
  <c r="AE474" i="1" a="1"/>
  <c r="AE474" i="1" s="1"/>
  <c r="AE475" i="1" a="1"/>
  <c r="AE475" i="1"/>
  <c r="AE476" i="1" a="1"/>
  <c r="AE476" i="1" s="1"/>
  <c r="AE477" i="1" a="1"/>
  <c r="AE477" i="1" s="1"/>
  <c r="AE478" i="1" a="1"/>
  <c r="AE478" i="1" s="1"/>
  <c r="AE479" i="1" a="1"/>
  <c r="AE479" i="1" s="1"/>
  <c r="AE480" i="1" a="1"/>
  <c r="AE480" i="1" s="1"/>
  <c r="AE481" i="1" a="1"/>
  <c r="AE481" i="1" s="1"/>
  <c r="AE482" i="1" a="1"/>
  <c r="AE482" i="1" s="1"/>
  <c r="AE483" i="1" a="1"/>
  <c r="AE483" i="1" s="1"/>
  <c r="AE484" i="1" a="1"/>
  <c r="AE484" i="1" s="1"/>
  <c r="AE485" i="1" a="1"/>
  <c r="AE485" i="1"/>
  <c r="AE486" i="1" a="1"/>
  <c r="AE486" i="1" s="1"/>
  <c r="AE487" i="1" a="1"/>
  <c r="AE487" i="1" s="1"/>
  <c r="AE488" i="1" a="1"/>
  <c r="AE488" i="1" s="1"/>
  <c r="AE489" i="1" a="1"/>
  <c r="AE489" i="1"/>
  <c r="AE490" i="1" a="1"/>
  <c r="AE490" i="1" s="1"/>
  <c r="AE491" i="1" a="1"/>
  <c r="AE491" i="1" s="1"/>
  <c r="AE492" i="1" a="1"/>
  <c r="AE492" i="1" s="1"/>
  <c r="AE493" i="1" a="1"/>
  <c r="AE493" i="1" s="1"/>
  <c r="AE494" i="1" a="1"/>
  <c r="AE494" i="1" s="1"/>
  <c r="AE495" i="1" a="1"/>
  <c r="AE495" i="1" s="1"/>
  <c r="AE496" i="1" a="1"/>
  <c r="AE496" i="1" s="1"/>
  <c r="AE497" i="1" a="1"/>
  <c r="AE497" i="1" s="1"/>
  <c r="AE498" i="1" a="1"/>
  <c r="AE498" i="1" s="1"/>
  <c r="AE499" i="1" a="1"/>
  <c r="AE499" i="1" s="1"/>
  <c r="AE500" i="1" a="1"/>
  <c r="AE500" i="1" s="1"/>
  <c r="AE501" i="1" a="1"/>
  <c r="AE501" i="1" s="1"/>
  <c r="AE502" i="1" a="1"/>
  <c r="AE502" i="1" s="1"/>
  <c r="AE503" i="1" a="1"/>
  <c r="AE503" i="1" s="1"/>
  <c r="AE504" i="1" a="1"/>
  <c r="AE504" i="1" s="1"/>
  <c r="AE505" i="1" a="1"/>
  <c r="AE505" i="1" s="1"/>
  <c r="AE506" i="1" a="1"/>
  <c r="AE506" i="1" s="1"/>
  <c r="AE507" i="1" a="1"/>
  <c r="AE507" i="1" s="1"/>
  <c r="AE508" i="1" a="1"/>
  <c r="AE508" i="1" s="1"/>
  <c r="AE509" i="1" a="1"/>
  <c r="AE509" i="1" s="1"/>
  <c r="AE510" i="1" a="1"/>
  <c r="AE510" i="1" s="1"/>
  <c r="AE511" i="1" a="1"/>
  <c r="AE511" i="1" s="1"/>
  <c r="AE512" i="1" a="1"/>
  <c r="AE512" i="1" s="1"/>
  <c r="AE513" i="1" a="1"/>
  <c r="AE513" i="1" s="1"/>
  <c r="AE514" i="1" a="1"/>
  <c r="AE514" i="1" s="1"/>
  <c r="AE515" i="1" a="1"/>
  <c r="AE515" i="1"/>
  <c r="AE516" i="1" a="1"/>
  <c r="AE516" i="1" s="1"/>
  <c r="AE517" i="1" a="1"/>
  <c r="AE517" i="1" s="1"/>
  <c r="AE518" i="1" a="1"/>
  <c r="AE518" i="1" s="1"/>
  <c r="AE519" i="1" a="1"/>
  <c r="AE519" i="1" s="1"/>
  <c r="AE520" i="1" a="1"/>
  <c r="AE520" i="1" s="1"/>
  <c r="AE521" i="1" a="1"/>
  <c r="AE521" i="1" s="1"/>
  <c r="AE522" i="1" a="1"/>
  <c r="AE522" i="1" s="1"/>
  <c r="AE523" i="1" a="1"/>
  <c r="AE523" i="1" s="1"/>
  <c r="AE524" i="1" a="1"/>
  <c r="AE524" i="1"/>
  <c r="AE525" i="1" a="1"/>
  <c r="AE525" i="1" s="1"/>
  <c r="AE526" i="1" a="1"/>
  <c r="AE526" i="1" s="1"/>
  <c r="AE527" i="1" a="1"/>
  <c r="AE527" i="1" s="1"/>
  <c r="AE528" i="1" a="1"/>
  <c r="AE528" i="1" s="1"/>
  <c r="AE529" i="1" a="1"/>
  <c r="AE529" i="1" s="1"/>
  <c r="AE530" i="1" a="1"/>
  <c r="AE530" i="1" s="1"/>
  <c r="AE531" i="1" a="1"/>
  <c r="AE531" i="1" s="1"/>
  <c r="AE532" i="1" a="1"/>
  <c r="AE532" i="1" s="1"/>
  <c r="AE533" i="1" a="1"/>
  <c r="AE533" i="1" s="1"/>
  <c r="AE534" i="1" a="1"/>
  <c r="AE534" i="1" s="1"/>
  <c r="AE535" i="1" a="1"/>
  <c r="AE535" i="1" s="1"/>
  <c r="AE536" i="1" a="1"/>
  <c r="AE536" i="1" s="1"/>
  <c r="AE537" i="1" a="1"/>
  <c r="AE537" i="1" s="1"/>
  <c r="AE538" i="1" a="1"/>
  <c r="AE538" i="1" s="1"/>
  <c r="AE539" i="1" a="1"/>
  <c r="AE539" i="1" s="1"/>
  <c r="AE540" i="1" a="1"/>
  <c r="AE540" i="1" s="1"/>
  <c r="AE541" i="1" a="1"/>
  <c r="AE541" i="1" s="1"/>
  <c r="AE542" i="1" a="1"/>
  <c r="AE542" i="1" s="1"/>
  <c r="AE543" i="1" a="1"/>
  <c r="AE543" i="1" s="1"/>
  <c r="AE544" i="1" a="1"/>
  <c r="AE544" i="1" s="1"/>
  <c r="AE545" i="1" a="1"/>
  <c r="AE545" i="1" s="1"/>
  <c r="AE546" i="1" a="1"/>
  <c r="AE546" i="1" s="1"/>
  <c r="AE547" i="1" a="1"/>
  <c r="AE547" i="1"/>
  <c r="AE548" i="1" a="1"/>
  <c r="AE548" i="1" s="1"/>
  <c r="AE549" i="1" a="1"/>
  <c r="AE549" i="1" s="1"/>
  <c r="AE550" i="1" a="1"/>
  <c r="AE550" i="1" s="1"/>
  <c r="AE551" i="1" a="1"/>
  <c r="AE551" i="1" s="1"/>
  <c r="AE552" i="1" a="1"/>
  <c r="AE552" i="1" s="1"/>
  <c r="AE553" i="1" a="1"/>
  <c r="AE553" i="1" s="1"/>
  <c r="AE554" i="1" a="1"/>
  <c r="AE554" i="1" s="1"/>
  <c r="AE555" i="1" a="1"/>
  <c r="AE555" i="1" s="1"/>
  <c r="AE556" i="1" a="1"/>
  <c r="AE556" i="1" s="1"/>
  <c r="AE557" i="1" a="1"/>
  <c r="AE557" i="1" s="1"/>
  <c r="AE558" i="1" a="1"/>
  <c r="AE558" i="1" s="1"/>
  <c r="AE559" i="1" a="1"/>
  <c r="AE559" i="1" s="1"/>
  <c r="AE560" i="1" a="1"/>
  <c r="AE560" i="1" s="1"/>
  <c r="AE561" i="1" a="1"/>
  <c r="AE561" i="1" s="1"/>
  <c r="AE562" i="1" a="1"/>
  <c r="AE562" i="1" s="1"/>
  <c r="AE563" i="1" a="1"/>
  <c r="AE563" i="1" s="1"/>
  <c r="AE564" i="1" a="1"/>
  <c r="AE564" i="1" s="1"/>
  <c r="AE565" i="1" a="1"/>
  <c r="AE565" i="1" s="1"/>
  <c r="AE566" i="1" a="1"/>
  <c r="AE566" i="1" s="1"/>
  <c r="AE567" i="1" a="1"/>
  <c r="AE567" i="1" s="1"/>
  <c r="AE568" i="1" a="1"/>
  <c r="AE568" i="1" s="1"/>
  <c r="AE569" i="1" a="1"/>
  <c r="AE569" i="1" s="1"/>
  <c r="AE570" i="1" a="1"/>
  <c r="AE570" i="1" s="1"/>
  <c r="AE571" i="1" a="1"/>
  <c r="AE571" i="1" s="1"/>
  <c r="AE572" i="1" a="1"/>
  <c r="AE572" i="1" s="1"/>
  <c r="AE573" i="1" a="1"/>
  <c r="AE573" i="1" s="1"/>
  <c r="AE574" i="1" a="1"/>
  <c r="AE574" i="1" s="1"/>
  <c r="AE575" i="1" a="1"/>
  <c r="AE575" i="1" s="1"/>
  <c r="AE576" i="1" a="1"/>
  <c r="AE576" i="1" s="1"/>
  <c r="AE577" i="1" a="1"/>
  <c r="AE577" i="1" s="1"/>
  <c r="AE578" i="1" a="1"/>
  <c r="AE578" i="1" s="1"/>
  <c r="AE579" i="1" a="1"/>
  <c r="AE579" i="1" s="1"/>
  <c r="AE580" i="1" a="1"/>
  <c r="AE580" i="1" s="1"/>
  <c r="AE581" i="1" a="1"/>
  <c r="AE581" i="1" s="1"/>
  <c r="AE582" i="1" a="1"/>
  <c r="AE582" i="1" s="1"/>
  <c r="AE583" i="1" a="1"/>
  <c r="AE583" i="1" s="1"/>
  <c r="AE584" i="1" a="1"/>
  <c r="AE584" i="1" s="1"/>
  <c r="AE585" i="1" a="1"/>
  <c r="AE585" i="1" s="1"/>
  <c r="AE586" i="1" a="1"/>
  <c r="AE586" i="1" s="1"/>
  <c r="AE587" i="1" a="1"/>
  <c r="AE587" i="1" s="1"/>
  <c r="AE588" i="1" a="1"/>
  <c r="AE588" i="1" s="1"/>
  <c r="AE589" i="1" a="1"/>
  <c r="AE589" i="1" s="1"/>
  <c r="AE590" i="1" a="1"/>
  <c r="AE590" i="1" s="1"/>
  <c r="AE591" i="1" a="1"/>
  <c r="AE591" i="1" s="1"/>
  <c r="AE592" i="1" a="1"/>
  <c r="AE592" i="1" s="1"/>
  <c r="AE593" i="1" a="1"/>
  <c r="AE593" i="1" s="1"/>
  <c r="AE594" i="1" a="1"/>
  <c r="AE594" i="1" s="1"/>
  <c r="AE595" i="1" a="1"/>
  <c r="AE595" i="1" s="1"/>
  <c r="AE596" i="1" a="1"/>
  <c r="AE596" i="1"/>
  <c r="AE597" i="1" a="1"/>
  <c r="AE597" i="1" s="1"/>
  <c r="AE598" i="1" a="1"/>
  <c r="AE598" i="1" s="1"/>
  <c r="AE599" i="1" a="1"/>
  <c r="AE599" i="1" s="1"/>
  <c r="AE600" i="1" a="1"/>
  <c r="AE600" i="1" s="1"/>
  <c r="AE601" i="1" a="1"/>
  <c r="AE601" i="1" s="1"/>
  <c r="AE602" i="1" a="1"/>
  <c r="AE602" i="1" s="1"/>
  <c r="AE603" i="1" a="1"/>
  <c r="AE603" i="1" s="1"/>
  <c r="AE604" i="1" a="1"/>
  <c r="AE604" i="1" s="1"/>
  <c r="AE605" i="1" a="1"/>
  <c r="AE605" i="1"/>
  <c r="AE606" i="1" a="1"/>
  <c r="AE606" i="1" s="1"/>
  <c r="AE607" i="1" a="1"/>
  <c r="AE607" i="1" s="1"/>
  <c r="AE608" i="1" a="1"/>
  <c r="AE608" i="1" s="1"/>
  <c r="AE609" i="1" a="1"/>
  <c r="AE609" i="1" s="1"/>
  <c r="AE610" i="1" a="1"/>
  <c r="AE610" i="1" s="1"/>
  <c r="AE611" i="1" a="1"/>
  <c r="AE611" i="1" s="1"/>
  <c r="AE612" i="1" a="1"/>
  <c r="AE612" i="1" s="1"/>
  <c r="AE613" i="1" a="1"/>
  <c r="AE613" i="1" s="1"/>
  <c r="AE614" i="1" a="1"/>
  <c r="AE614" i="1" s="1"/>
  <c r="AE615" i="1" a="1"/>
  <c r="AE615" i="1" s="1"/>
  <c r="AE616" i="1" a="1"/>
  <c r="AE616" i="1" s="1"/>
  <c r="AE617" i="1" a="1"/>
  <c r="AE617" i="1" s="1"/>
  <c r="AE618" i="1" a="1"/>
  <c r="AE618" i="1"/>
  <c r="AE619" i="1" a="1"/>
  <c r="AE619" i="1" s="1"/>
  <c r="AE620" i="1" a="1"/>
  <c r="AE620" i="1" s="1"/>
  <c r="AE621" i="1" a="1"/>
  <c r="AE621" i="1" s="1"/>
  <c r="AE622" i="1" a="1"/>
  <c r="AE622" i="1" s="1"/>
  <c r="AE623" i="1" a="1"/>
  <c r="AE623" i="1" s="1"/>
  <c r="AE624" i="1" a="1"/>
  <c r="AE624" i="1" s="1"/>
  <c r="AE625" i="1" a="1"/>
  <c r="AE625" i="1" s="1"/>
  <c r="AE626" i="1" a="1"/>
  <c r="AE626" i="1" s="1"/>
  <c r="AE627" i="1" a="1"/>
  <c r="AE627" i="1" s="1"/>
  <c r="AE628" i="1" a="1"/>
  <c r="AE628" i="1" s="1"/>
  <c r="AE629" i="1" a="1"/>
  <c r="AE629" i="1" s="1"/>
  <c r="AE630" i="1" a="1"/>
  <c r="AE630" i="1" s="1"/>
  <c r="AE631" i="1" a="1"/>
  <c r="AE631" i="1" s="1"/>
  <c r="AE632" i="1" a="1"/>
  <c r="AE632" i="1"/>
  <c r="AE633" i="1" a="1"/>
  <c r="AE633" i="1" s="1"/>
  <c r="AE634" i="1" a="1"/>
  <c r="AE634" i="1" s="1"/>
  <c r="AE635" i="1" a="1"/>
  <c r="AE635" i="1" s="1"/>
  <c r="AE636" i="1" a="1"/>
  <c r="AE636" i="1" s="1"/>
  <c r="AE637" i="1" a="1"/>
  <c r="AE637" i="1" s="1"/>
  <c r="AE638" i="1" a="1"/>
  <c r="AE638" i="1" s="1"/>
  <c r="AE639" i="1" a="1"/>
  <c r="AE639" i="1" s="1"/>
  <c r="AE640" i="1" a="1"/>
  <c r="AE640" i="1" s="1"/>
  <c r="AE641" i="1" a="1"/>
  <c r="AE641" i="1" s="1"/>
  <c r="AE642" i="1" a="1"/>
  <c r="AE642" i="1" s="1"/>
  <c r="AE643" i="1" a="1"/>
  <c r="AE643" i="1" s="1"/>
  <c r="AE644" i="1" a="1"/>
  <c r="AE644" i="1" s="1"/>
  <c r="AE645" i="1" a="1"/>
  <c r="AE645" i="1" s="1"/>
  <c r="AE646" i="1" a="1"/>
  <c r="AE646" i="1" s="1"/>
  <c r="AE647" i="1" a="1"/>
  <c r="AE647" i="1" s="1"/>
  <c r="AE648" i="1" a="1"/>
  <c r="AE648" i="1" s="1"/>
  <c r="AE649" i="1" a="1"/>
  <c r="AE649" i="1" s="1"/>
  <c r="AE650" i="1" a="1"/>
  <c r="AE650" i="1" s="1"/>
  <c r="AE651" i="1" a="1"/>
  <c r="AE651" i="1"/>
  <c r="AE652" i="1" a="1"/>
  <c r="AE652" i="1" s="1"/>
  <c r="AE653" i="1" a="1"/>
  <c r="AE653" i="1" s="1"/>
  <c r="AE654" i="1" a="1"/>
  <c r="AE654" i="1" s="1"/>
  <c r="AE655" i="1" a="1"/>
  <c r="AE655" i="1" s="1"/>
  <c r="AE656" i="1" a="1"/>
  <c r="AE656" i="1" s="1"/>
  <c r="AE657" i="1" a="1"/>
  <c r="AE657" i="1" s="1"/>
  <c r="AE658" i="1" a="1"/>
  <c r="AE658" i="1" s="1"/>
  <c r="AE659" i="1" a="1"/>
  <c r="AE659" i="1" s="1"/>
  <c r="AE660" i="1" a="1"/>
  <c r="AE660" i="1" s="1"/>
  <c r="AE661" i="1" a="1"/>
  <c r="AE661" i="1" s="1"/>
  <c r="AE662" i="1" a="1"/>
  <c r="AE662" i="1" s="1"/>
  <c r="AE663" i="1" a="1"/>
  <c r="AE663" i="1" s="1"/>
  <c r="AE664" i="1" a="1"/>
  <c r="AE664" i="1" s="1"/>
  <c r="AE665" i="1" a="1"/>
  <c r="AE665" i="1" s="1"/>
  <c r="AE666" i="1" a="1"/>
  <c r="AE666" i="1" s="1"/>
  <c r="AE667" i="1" a="1"/>
  <c r="AE667" i="1" s="1"/>
  <c r="AE668" i="1" a="1"/>
  <c r="AE668" i="1" s="1"/>
  <c r="AE669" i="1" a="1"/>
  <c r="AE669" i="1" s="1"/>
  <c r="AE670" i="1" a="1"/>
  <c r="AE670" i="1" s="1"/>
  <c r="AE671" i="1" a="1"/>
  <c r="AE671" i="1" s="1"/>
  <c r="AE672" i="1" a="1"/>
  <c r="AE672" i="1" s="1"/>
  <c r="AE673" i="1" a="1"/>
  <c r="AE673" i="1"/>
  <c r="AE674" i="1" a="1"/>
  <c r="AE674" i="1" s="1"/>
  <c r="AE675" i="1" a="1"/>
  <c r="AE675" i="1" s="1"/>
  <c r="AE676" i="1" a="1"/>
  <c r="AE676" i="1" s="1"/>
  <c r="AE677" i="1" a="1"/>
  <c r="AE677" i="1" s="1"/>
  <c r="AE678" i="1" a="1"/>
  <c r="AE678" i="1" s="1"/>
  <c r="AE679" i="1" a="1"/>
  <c r="AE679" i="1" s="1"/>
  <c r="AE680" i="1" a="1"/>
  <c r="AE680" i="1" s="1"/>
  <c r="AE681" i="1" a="1"/>
  <c r="AE681" i="1" s="1"/>
  <c r="AE682" i="1" a="1"/>
  <c r="AE682" i="1" s="1"/>
  <c r="AE683" i="1" a="1"/>
  <c r="AE683" i="1" s="1"/>
  <c r="AE684" i="1" a="1"/>
  <c r="AE684" i="1" s="1"/>
  <c r="AE685" i="1" a="1"/>
  <c r="AE685" i="1" s="1"/>
  <c r="AE686" i="1" a="1"/>
  <c r="AE686" i="1"/>
  <c r="AE687" i="1" a="1"/>
  <c r="AE687" i="1" s="1"/>
  <c r="AE688" i="1" a="1"/>
  <c r="AE688" i="1" s="1"/>
  <c r="AE689" i="1" a="1"/>
  <c r="AE689" i="1" s="1"/>
  <c r="AE690" i="1" a="1"/>
  <c r="AE690" i="1" s="1"/>
  <c r="AE691" i="1" a="1"/>
  <c r="AE691" i="1" s="1"/>
  <c r="AE692" i="1" a="1"/>
  <c r="AE692" i="1" s="1"/>
  <c r="AE693" i="1" a="1"/>
  <c r="AE693" i="1" s="1"/>
  <c r="AE694" i="1" a="1"/>
  <c r="AE694" i="1"/>
  <c r="AE695" i="1" a="1"/>
  <c r="AE695" i="1" s="1"/>
  <c r="AE696" i="1" a="1"/>
  <c r="AE696" i="1" s="1"/>
  <c r="AE697" i="1" a="1"/>
  <c r="AE697" i="1" s="1"/>
  <c r="AE698" i="1" a="1"/>
  <c r="AE698" i="1" s="1"/>
  <c r="AE699" i="1" a="1"/>
  <c r="AE699" i="1" s="1"/>
  <c r="AE700" i="1" a="1"/>
  <c r="AE700" i="1" s="1"/>
  <c r="AE701" i="1" a="1"/>
  <c r="AE701" i="1" s="1"/>
  <c r="AE702" i="1" a="1"/>
  <c r="AE702" i="1" s="1"/>
  <c r="AE703" i="1" a="1"/>
  <c r="AE703" i="1" s="1"/>
  <c r="AE704" i="1" a="1"/>
  <c r="AE704" i="1"/>
  <c r="AE705" i="1" a="1"/>
  <c r="AE705" i="1"/>
  <c r="AE706" i="1" a="1"/>
  <c r="AE706" i="1" s="1"/>
  <c r="AE707" i="1" a="1"/>
  <c r="AE707" i="1" s="1"/>
  <c r="AE708" i="1" a="1"/>
  <c r="AE708" i="1" s="1"/>
  <c r="AE709" i="1" a="1"/>
  <c r="AE709" i="1" s="1"/>
  <c r="AE710" i="1" a="1"/>
  <c r="AE710" i="1" s="1"/>
  <c r="AE711" i="1" a="1"/>
  <c r="AE711" i="1" s="1"/>
  <c r="AE712" i="1" a="1"/>
  <c r="AE712" i="1" s="1"/>
  <c r="AE713" i="1" a="1"/>
  <c r="AE713" i="1" s="1"/>
  <c r="AE714" i="1" a="1"/>
  <c r="AE714" i="1" s="1"/>
  <c r="AE715" i="1" a="1"/>
  <c r="AE715" i="1" s="1"/>
  <c r="AE716" i="1" a="1"/>
  <c r="AE716" i="1" s="1"/>
  <c r="AE717" i="1" a="1"/>
  <c r="AE717" i="1" s="1"/>
  <c r="AE718" i="1" a="1"/>
  <c r="AE718" i="1" s="1"/>
  <c r="AE719" i="1" a="1"/>
  <c r="AE719" i="1" s="1"/>
  <c r="AE720" i="1" a="1"/>
  <c r="AE720" i="1" s="1"/>
  <c r="AE721" i="1" a="1"/>
  <c r="AE721" i="1" s="1"/>
  <c r="AE722" i="1" a="1"/>
  <c r="AE722" i="1" s="1"/>
  <c r="AE723" i="1" a="1"/>
  <c r="AE723" i="1" s="1"/>
  <c r="AE724" i="1" a="1"/>
  <c r="AE724" i="1" s="1"/>
  <c r="AE725" i="1" a="1"/>
  <c r="AE725" i="1" s="1"/>
  <c r="AE726" i="1" a="1"/>
  <c r="AE726" i="1" s="1"/>
  <c r="AE727" i="1" a="1"/>
  <c r="AE727" i="1" s="1"/>
  <c r="AE728" i="1" a="1"/>
  <c r="AE728" i="1" s="1"/>
  <c r="AE729" i="1" a="1"/>
  <c r="AE729" i="1" s="1"/>
  <c r="AE730" i="1" a="1"/>
  <c r="AE730" i="1" s="1"/>
  <c r="AE731" i="1" a="1"/>
  <c r="AE731" i="1" s="1"/>
  <c r="AE732" i="1" a="1"/>
  <c r="AE732" i="1" s="1"/>
  <c r="AE733" i="1" a="1"/>
  <c r="AE733" i="1" s="1"/>
  <c r="AE734" i="1" a="1"/>
  <c r="AE734" i="1"/>
  <c r="AE735" i="1" a="1"/>
  <c r="AE735" i="1" s="1"/>
  <c r="AE736" i="1" a="1"/>
  <c r="AE736" i="1" s="1"/>
  <c r="AE737" i="1" a="1"/>
  <c r="AE737" i="1" s="1"/>
  <c r="AE738" i="1" a="1"/>
  <c r="AE738" i="1" s="1"/>
  <c r="AE739" i="1" a="1"/>
  <c r="AE739" i="1" s="1"/>
  <c r="AE740" i="1" a="1"/>
  <c r="AE740" i="1" s="1"/>
  <c r="AE741" i="1" a="1"/>
  <c r="AE741" i="1" s="1"/>
  <c r="AE742" i="1" a="1"/>
  <c r="AE742" i="1" s="1"/>
  <c r="AE743" i="1" a="1"/>
  <c r="AE743" i="1" s="1"/>
  <c r="AE744" i="1" a="1"/>
  <c r="AE744" i="1" s="1"/>
  <c r="AE745" i="1" a="1"/>
  <c r="AE745" i="1" s="1"/>
  <c r="AE746" i="1" a="1"/>
  <c r="AE746" i="1" s="1"/>
  <c r="AE747" i="1" a="1"/>
  <c r="AE747" i="1" s="1"/>
  <c r="AE748" i="1" a="1"/>
  <c r="AE748" i="1" s="1"/>
  <c r="AE749" i="1" a="1"/>
  <c r="AE749" i="1" s="1"/>
  <c r="AE750" i="1" a="1"/>
  <c r="AE750" i="1" s="1"/>
  <c r="AE751" i="1" a="1"/>
  <c r="AE751" i="1" s="1"/>
  <c r="AE752" i="1" a="1"/>
  <c r="AE752" i="1" s="1"/>
  <c r="AE753" i="1" a="1"/>
  <c r="AE753" i="1" s="1"/>
  <c r="AE754" i="1" a="1"/>
  <c r="AE754" i="1"/>
  <c r="AE755" i="1" a="1"/>
  <c r="AE755" i="1" s="1"/>
  <c r="AE756" i="1" a="1"/>
  <c r="AE756" i="1" s="1"/>
  <c r="AE757" i="1" a="1"/>
  <c r="AE757" i="1" s="1"/>
  <c r="AE758" i="1" a="1"/>
  <c r="AE758" i="1" s="1"/>
  <c r="AE759" i="1" a="1"/>
  <c r="AE759" i="1" s="1"/>
  <c r="AE760" i="1" a="1"/>
  <c r="AE760" i="1"/>
  <c r="AE761" i="1" a="1"/>
  <c r="AE761" i="1" s="1"/>
  <c r="AE762" i="1" a="1"/>
  <c r="AE762" i="1" s="1"/>
  <c r="AE763" i="1" a="1"/>
  <c r="AE763" i="1" s="1"/>
  <c r="AE764" i="1" a="1"/>
  <c r="AE764" i="1" s="1"/>
  <c r="AE765" i="1" a="1"/>
  <c r="AE765" i="1" s="1"/>
  <c r="AE766" i="1" a="1"/>
  <c r="AE766" i="1" s="1"/>
  <c r="AE767" i="1" a="1"/>
  <c r="AE767" i="1" s="1"/>
  <c r="AE768" i="1" a="1"/>
  <c r="AE768" i="1" s="1"/>
  <c r="AE769" i="1" a="1"/>
  <c r="AE769" i="1" s="1"/>
  <c r="AE770" i="1" a="1"/>
  <c r="AE770" i="1" s="1"/>
  <c r="AE771" i="1" a="1"/>
  <c r="AE771" i="1" s="1"/>
  <c r="AE772" i="1" a="1"/>
  <c r="AE772" i="1" s="1"/>
  <c r="AE773" i="1" a="1"/>
  <c r="AE773" i="1" s="1"/>
  <c r="AE774" i="1" a="1"/>
  <c r="AE774" i="1" s="1"/>
  <c r="AE775" i="1" a="1"/>
  <c r="AE775" i="1" s="1"/>
  <c r="AE776" i="1" a="1"/>
  <c r="AE776" i="1" s="1"/>
  <c r="AE777" i="1" a="1"/>
  <c r="AE777" i="1"/>
  <c r="AE778" i="1" a="1"/>
  <c r="AE778" i="1" s="1"/>
  <c r="AE779" i="1" a="1"/>
  <c r="AE779" i="1" s="1"/>
  <c r="AE780" i="1" a="1"/>
  <c r="AE780" i="1" s="1"/>
  <c r="AE781" i="1" a="1"/>
  <c r="AE781" i="1" s="1"/>
  <c r="AE782" i="1" a="1"/>
  <c r="AE782" i="1" s="1"/>
  <c r="AE783" i="1" a="1"/>
  <c r="AE783" i="1" s="1"/>
  <c r="AE784" i="1" a="1"/>
  <c r="AE784" i="1" s="1"/>
  <c r="AE785" i="1" a="1"/>
  <c r="AE785" i="1" s="1"/>
  <c r="AE786" i="1" a="1"/>
  <c r="AE786" i="1" s="1"/>
  <c r="AE787" i="1" a="1"/>
  <c r="AE787" i="1" s="1"/>
  <c r="AE788" i="1" a="1"/>
  <c r="AE788" i="1" s="1"/>
  <c r="AE789" i="1" a="1"/>
  <c r="AE789" i="1" s="1"/>
  <c r="AE790" i="1" a="1"/>
  <c r="AE790" i="1" s="1"/>
  <c r="AE791" i="1" a="1"/>
  <c r="AE791" i="1" s="1"/>
  <c r="AE792" i="1" a="1"/>
  <c r="AE792" i="1" s="1"/>
  <c r="AE793" i="1" a="1"/>
  <c r="AE793" i="1" s="1"/>
  <c r="AE794" i="1" a="1"/>
  <c r="AE794" i="1" s="1"/>
  <c r="AE795" i="1" a="1"/>
  <c r="AE795" i="1" s="1"/>
  <c r="AE796" i="1" a="1"/>
  <c r="AE796" i="1" s="1"/>
  <c r="AE797" i="1" a="1"/>
  <c r="AE797" i="1" s="1"/>
  <c r="AE798" i="1" a="1"/>
  <c r="AE798" i="1" s="1"/>
  <c r="AE799" i="1" a="1"/>
  <c r="AE799" i="1" s="1"/>
  <c r="AE800" i="1" a="1"/>
  <c r="AE800" i="1" s="1"/>
  <c r="AE801" i="1" a="1"/>
  <c r="AE801" i="1" s="1"/>
  <c r="AE802" i="1" a="1"/>
  <c r="AE802" i="1" s="1"/>
  <c r="AE803" i="1" a="1"/>
  <c r="AE803" i="1" s="1"/>
  <c r="AE804" i="1" a="1"/>
  <c r="AE804" i="1" s="1"/>
  <c r="AE805" i="1" a="1"/>
  <c r="AE805" i="1" s="1"/>
  <c r="AE806" i="1" a="1"/>
  <c r="AE806" i="1" s="1"/>
  <c r="AE807" i="1" a="1"/>
  <c r="AE807" i="1" s="1"/>
  <c r="AE808" i="1" a="1"/>
  <c r="AE808" i="1" s="1"/>
  <c r="AE809" i="1" a="1"/>
  <c r="AE809" i="1" s="1"/>
  <c r="AE810" i="1" a="1"/>
  <c r="AE810" i="1" s="1"/>
  <c r="AE811" i="1" a="1"/>
  <c r="AE811" i="1" s="1"/>
  <c r="AE812" i="1" a="1"/>
  <c r="AE812" i="1" s="1"/>
  <c r="AE813" i="1" a="1"/>
  <c r="AE813" i="1" s="1"/>
  <c r="AE814" i="1" a="1"/>
  <c r="AE814" i="1" s="1"/>
  <c r="AE815" i="1" a="1"/>
  <c r="AE815" i="1" s="1"/>
  <c r="AE816" i="1" a="1"/>
  <c r="AE816" i="1" s="1"/>
  <c r="AE817" i="1" a="1"/>
  <c r="AE817" i="1" s="1"/>
  <c r="AE818" i="1" a="1"/>
  <c r="AE818" i="1" s="1"/>
  <c r="AE819" i="1" a="1"/>
  <c r="AE819" i="1" s="1"/>
  <c r="AE820" i="1" a="1"/>
  <c r="AE820" i="1" s="1"/>
  <c r="AE821" i="1" a="1"/>
  <c r="AE821" i="1" s="1"/>
  <c r="AE822" i="1" a="1"/>
  <c r="AE822" i="1" s="1"/>
  <c r="AE823" i="1" a="1"/>
  <c r="AE823" i="1" s="1"/>
  <c r="AE824" i="1" a="1"/>
  <c r="AE824" i="1" s="1"/>
  <c r="AE825" i="1" a="1"/>
  <c r="AE825" i="1" s="1"/>
  <c r="AE826" i="1" a="1"/>
  <c r="AE826" i="1" s="1"/>
  <c r="AE827" i="1" a="1"/>
  <c r="AE827" i="1" s="1"/>
  <c r="AE828" i="1" a="1"/>
  <c r="AE828" i="1" s="1"/>
  <c r="AE829" i="1" a="1"/>
  <c r="AE829" i="1" s="1"/>
  <c r="AE830" i="1" a="1"/>
  <c r="AE830" i="1" s="1"/>
  <c r="AE831" i="1" a="1"/>
  <c r="AE831" i="1"/>
  <c r="AE832" i="1" a="1"/>
  <c r="AE832" i="1" s="1"/>
  <c r="AE833" i="1" a="1"/>
  <c r="AE833" i="1" s="1"/>
  <c r="AE834" i="1" a="1"/>
  <c r="AE834" i="1" s="1"/>
  <c r="AE835" i="1" a="1"/>
  <c r="AE835" i="1" s="1"/>
  <c r="AE836" i="1" a="1"/>
  <c r="AE836" i="1" s="1"/>
  <c r="AE837" i="1" a="1"/>
  <c r="AE837" i="1" s="1"/>
  <c r="AE838" i="1" a="1"/>
  <c r="AE838" i="1"/>
  <c r="AE839" i="1" a="1"/>
  <c r="AE839" i="1"/>
  <c r="AE840" i="1" a="1"/>
  <c r="AE840" i="1" s="1"/>
  <c r="AE841" i="1" a="1"/>
  <c r="AE841" i="1"/>
  <c r="AE842" i="1" a="1"/>
  <c r="AE842" i="1" s="1"/>
  <c r="AE843" i="1" a="1"/>
  <c r="AE843" i="1" s="1"/>
  <c r="AE844" i="1" a="1"/>
  <c r="AE844" i="1" s="1"/>
  <c r="AE845" i="1" a="1"/>
  <c r="AE845" i="1" s="1"/>
  <c r="AE846" i="1" a="1"/>
  <c r="AE846" i="1" s="1"/>
  <c r="AE847" i="1" a="1"/>
  <c r="AE847" i="1" s="1"/>
  <c r="AE848" i="1" a="1"/>
  <c r="AE848" i="1" s="1"/>
  <c r="AE849" i="1" a="1"/>
  <c r="AE849" i="1"/>
  <c r="AE850" i="1" a="1"/>
  <c r="AE850" i="1"/>
  <c r="AE851" i="1" a="1"/>
  <c r="AE851" i="1" s="1"/>
  <c r="AE852" i="1" a="1"/>
  <c r="AE852" i="1" s="1"/>
  <c r="AE853" i="1" a="1"/>
  <c r="AE853" i="1" s="1"/>
  <c r="AE854" i="1" a="1"/>
  <c r="AE854" i="1" s="1"/>
  <c r="AE855" i="1" a="1"/>
  <c r="AE855" i="1" s="1"/>
  <c r="AE856" i="1" a="1"/>
  <c r="AE856" i="1"/>
  <c r="AE857" i="1" a="1"/>
  <c r="AE857" i="1"/>
  <c r="AE858" i="1" a="1"/>
  <c r="AE858" i="1" s="1"/>
  <c r="AE859" i="1" a="1"/>
  <c r="AE859" i="1" s="1"/>
  <c r="AE860" i="1" a="1"/>
  <c r="AE860" i="1" s="1"/>
  <c r="AE861" i="1" a="1"/>
  <c r="AE861" i="1" s="1"/>
  <c r="AE862" i="1" a="1"/>
  <c r="AE862" i="1" s="1"/>
  <c r="AE863" i="1" a="1"/>
  <c r="AE863" i="1"/>
  <c r="AE864" i="1" a="1"/>
  <c r="AE864" i="1" s="1"/>
  <c r="AE865" i="1" a="1"/>
  <c r="AE865" i="1" s="1"/>
  <c r="AE866" i="1" a="1"/>
  <c r="AE866" i="1" s="1"/>
  <c r="AE867" i="1" a="1"/>
  <c r="AE867" i="1" s="1"/>
  <c r="AE868" i="1" a="1"/>
  <c r="AE868" i="1" s="1"/>
  <c r="AE869" i="1" a="1"/>
  <c r="AE869" i="1" s="1"/>
  <c r="AE870" i="1" a="1"/>
  <c r="AE870" i="1" s="1"/>
  <c r="AE871" i="1" a="1"/>
  <c r="AE871" i="1" s="1"/>
  <c r="AE872" i="1" a="1"/>
  <c r="AE872" i="1" s="1"/>
  <c r="AE873" i="1" a="1"/>
  <c r="AE873" i="1" s="1"/>
  <c r="AE874" i="1" a="1"/>
  <c r="AE874" i="1" s="1"/>
  <c r="AE875" i="1" a="1"/>
  <c r="AE875" i="1" s="1"/>
  <c r="AE876" i="1" a="1"/>
  <c r="AE876" i="1" s="1"/>
  <c r="AE877" i="1" a="1"/>
  <c r="AE877" i="1" s="1"/>
  <c r="AE878" i="1" a="1"/>
  <c r="AE878" i="1" s="1"/>
  <c r="AE879" i="1" a="1"/>
  <c r="AE879" i="1" s="1"/>
  <c r="AE880" i="1" a="1"/>
  <c r="AE880" i="1" s="1"/>
  <c r="AE881" i="1" a="1"/>
  <c r="AE881" i="1"/>
  <c r="AE882" i="1" a="1"/>
  <c r="AE882" i="1"/>
  <c r="AE883" i="1" a="1"/>
  <c r="AE883" i="1" s="1"/>
  <c r="AE884" i="1" a="1"/>
  <c r="AE884" i="1" s="1"/>
  <c r="AE885" i="1" a="1"/>
  <c r="AE885" i="1" s="1"/>
  <c r="AE886" i="1" a="1"/>
  <c r="AE886" i="1"/>
  <c r="AE887" i="1" a="1"/>
  <c r="AE887" i="1" s="1"/>
  <c r="AE888" i="1" a="1"/>
  <c r="AE888" i="1" s="1"/>
  <c r="AE889" i="1" a="1"/>
  <c r="AE889" i="1" s="1"/>
  <c r="AE890" i="1" a="1"/>
  <c r="AE890" i="1" s="1"/>
  <c r="AE891" i="1" a="1"/>
  <c r="AE891" i="1" s="1"/>
  <c r="AE892" i="1" a="1"/>
  <c r="AE892" i="1" s="1"/>
  <c r="AE893" i="1" a="1"/>
  <c r="AE893" i="1" s="1"/>
  <c r="AE894" i="1" a="1"/>
  <c r="AE894" i="1" s="1"/>
  <c r="AE895" i="1" a="1"/>
  <c r="AE895" i="1" s="1"/>
  <c r="AE896" i="1" a="1"/>
  <c r="AE896" i="1" s="1"/>
  <c r="AE897" i="1" a="1"/>
  <c r="AE897" i="1" s="1"/>
  <c r="AE898" i="1" a="1"/>
  <c r="AE898" i="1" s="1"/>
  <c r="AE899" i="1" a="1"/>
  <c r="AE899" i="1" s="1"/>
  <c r="AE900" i="1" a="1"/>
  <c r="AE900" i="1" s="1"/>
  <c r="AE901" i="1" a="1"/>
  <c r="AE901" i="1" s="1"/>
  <c r="AE902" i="1" a="1"/>
  <c r="AE902" i="1" s="1"/>
  <c r="AE903" i="1" a="1"/>
  <c r="AE903" i="1" s="1"/>
  <c r="AE904" i="1" a="1"/>
  <c r="AE904" i="1" s="1"/>
  <c r="AE905" i="1" a="1"/>
  <c r="AE905" i="1"/>
  <c r="AE906" i="1" a="1"/>
  <c r="AE906" i="1"/>
  <c r="AE907" i="1" a="1"/>
  <c r="AE907" i="1" s="1"/>
  <c r="AE908" i="1" a="1"/>
  <c r="AE908" i="1" s="1"/>
  <c r="AE909" i="1" a="1"/>
  <c r="AE909" i="1" s="1"/>
  <c r="AE910" i="1" a="1"/>
  <c r="AE910" i="1" s="1"/>
  <c r="AE911" i="1" a="1"/>
  <c r="AE911" i="1" s="1"/>
  <c r="AE912" i="1" a="1"/>
  <c r="AE912" i="1" s="1"/>
  <c r="AE913" i="1" a="1"/>
  <c r="AE913" i="1" s="1"/>
  <c r="AE914" i="1" a="1"/>
  <c r="AE914" i="1" s="1"/>
  <c r="AE915" i="1" a="1"/>
  <c r="AE915" i="1" s="1"/>
  <c r="AE916" i="1" a="1"/>
  <c r="AE916" i="1" s="1"/>
  <c r="AE917" i="1" a="1"/>
  <c r="AE917" i="1" s="1"/>
  <c r="AE918" i="1" a="1"/>
  <c r="AE918" i="1" s="1"/>
  <c r="AE919" i="1" a="1"/>
  <c r="AE919" i="1" s="1"/>
  <c r="AE920" i="1" a="1"/>
  <c r="AE920" i="1"/>
  <c r="AE921" i="1" a="1"/>
  <c r="AE921" i="1" s="1"/>
  <c r="AE922" i="1" a="1"/>
  <c r="AE922" i="1" s="1"/>
  <c r="AE923" i="1" a="1"/>
  <c r="AE923" i="1" s="1"/>
  <c r="AE924" i="1" a="1"/>
  <c r="AE924" i="1" s="1"/>
  <c r="AE925" i="1" a="1"/>
  <c r="AE925" i="1" s="1"/>
  <c r="AE926" i="1" a="1"/>
  <c r="AE926" i="1" s="1"/>
  <c r="AE927" i="1" a="1"/>
  <c r="AE927" i="1" s="1"/>
  <c r="AE928" i="1" a="1"/>
  <c r="AE928" i="1"/>
  <c r="AE929" i="1" a="1"/>
  <c r="AE929" i="1"/>
  <c r="AE930" i="1" a="1"/>
  <c r="AE930" i="1" s="1"/>
  <c r="AE931" i="1" a="1"/>
  <c r="AE931" i="1" s="1"/>
  <c r="AE932" i="1" a="1"/>
  <c r="AE932" i="1" s="1"/>
  <c r="AE933" i="1" a="1"/>
  <c r="AE933" i="1" s="1"/>
  <c r="AE934" i="1" a="1"/>
  <c r="AE934" i="1" s="1"/>
  <c r="AE935" i="1" a="1"/>
  <c r="AE935" i="1" s="1"/>
  <c r="AE936" i="1" a="1"/>
  <c r="AE936" i="1" s="1"/>
  <c r="AE937" i="1" a="1"/>
  <c r="AE937" i="1" s="1"/>
  <c r="AE938" i="1" a="1"/>
  <c r="AE938" i="1" s="1"/>
  <c r="AE939" i="1" a="1"/>
  <c r="AE939" i="1" s="1"/>
  <c r="AE940" i="1" a="1"/>
  <c r="AE940" i="1" s="1"/>
  <c r="AE941" i="1" a="1"/>
  <c r="AE941" i="1" s="1"/>
  <c r="AE942" i="1" a="1"/>
  <c r="AE942" i="1"/>
  <c r="AE943" i="1" a="1"/>
  <c r="AE943" i="1" s="1"/>
  <c r="AE944" i="1" a="1"/>
  <c r="AE944" i="1" s="1"/>
  <c r="AE945" i="1" a="1"/>
  <c r="AE945" i="1" s="1"/>
  <c r="AE946" i="1" a="1"/>
  <c r="AE946" i="1" s="1"/>
  <c r="AE947" i="1" a="1"/>
  <c r="AE947" i="1" s="1"/>
  <c r="AE948" i="1" a="1"/>
  <c r="AE948" i="1" s="1"/>
  <c r="AE949" i="1" a="1"/>
  <c r="AE949" i="1" s="1"/>
  <c r="AE950" i="1" a="1"/>
  <c r="AE950" i="1" s="1"/>
  <c r="AE951" i="1" a="1"/>
  <c r="AE951" i="1" s="1"/>
  <c r="AE952" i="1" a="1"/>
  <c r="AE952" i="1" s="1"/>
  <c r="AE953" i="1" a="1"/>
  <c r="AE953" i="1" s="1"/>
  <c r="AE954" i="1" a="1"/>
  <c r="AE954" i="1" s="1"/>
  <c r="AE955" i="1" a="1"/>
  <c r="AE955" i="1" s="1"/>
  <c r="AE956" i="1" a="1"/>
  <c r="AE956" i="1" s="1"/>
  <c r="AE957" i="1" a="1"/>
  <c r="AE957" i="1" s="1"/>
  <c r="AE958" i="1" a="1"/>
  <c r="AE958" i="1"/>
  <c r="AE959" i="1" a="1"/>
  <c r="AE959" i="1" s="1"/>
  <c r="AE960" i="1" a="1"/>
  <c r="AE960" i="1" s="1"/>
  <c r="AE961" i="1" a="1"/>
  <c r="AE961" i="1"/>
  <c r="AE962" i="1" a="1"/>
  <c r="AE962" i="1" s="1"/>
  <c r="AE963" i="1" a="1"/>
  <c r="AE963" i="1" s="1"/>
  <c r="AE964" i="1" a="1"/>
  <c r="AE964" i="1" s="1"/>
  <c r="AE965" i="1" a="1"/>
  <c r="AE965" i="1" s="1"/>
  <c r="AE966" i="1" a="1"/>
  <c r="AE966" i="1" s="1"/>
  <c r="AE967" i="1" a="1"/>
  <c r="AE967" i="1" s="1"/>
  <c r="AE968" i="1" a="1"/>
  <c r="AE968" i="1" s="1"/>
  <c r="AE969" i="1" a="1"/>
  <c r="AE969" i="1"/>
  <c r="AE970" i="1" a="1"/>
  <c r="AE970" i="1" s="1"/>
  <c r="AE971" i="1" a="1"/>
  <c r="AE971" i="1" s="1"/>
  <c r="AE972" i="1" a="1"/>
  <c r="AE972" i="1" s="1"/>
  <c r="AE973" i="1" a="1"/>
  <c r="AE973" i="1" s="1"/>
  <c r="AE974" i="1" a="1"/>
  <c r="AE974" i="1" s="1"/>
  <c r="AE975" i="1" a="1"/>
  <c r="AE975" i="1" s="1"/>
  <c r="AE976" i="1" a="1"/>
  <c r="AE976" i="1" s="1"/>
  <c r="AE977" i="1" a="1"/>
  <c r="AE977" i="1" s="1"/>
  <c r="AE978" i="1" a="1"/>
  <c r="AE978" i="1"/>
  <c r="AE979" i="1" a="1"/>
  <c r="AE979" i="1" s="1"/>
  <c r="AE980" i="1" a="1"/>
  <c r="AE980" i="1" s="1"/>
  <c r="AE981" i="1" a="1"/>
  <c r="AE981" i="1" s="1"/>
  <c r="AE982" i="1" a="1"/>
  <c r="AE982" i="1" s="1"/>
  <c r="AE983" i="1" a="1"/>
  <c r="AE983" i="1" s="1"/>
  <c r="AE984" i="1" a="1"/>
  <c r="AE984" i="1" s="1"/>
  <c r="AE985" i="1" a="1"/>
  <c r="AE985" i="1" s="1"/>
  <c r="AE986" i="1" a="1"/>
  <c r="AE986" i="1" s="1"/>
  <c r="AE987" i="1" a="1"/>
  <c r="AE987" i="1" s="1"/>
  <c r="AE988" i="1" a="1"/>
  <c r="AE988" i="1" s="1"/>
  <c r="AE989" i="1" a="1"/>
  <c r="AE989" i="1" s="1"/>
  <c r="AE990" i="1" a="1"/>
  <c r="AE990" i="1" s="1"/>
  <c r="AE991" i="1" a="1"/>
  <c r="AE991" i="1" s="1"/>
  <c r="AE992" i="1" a="1"/>
  <c r="AE992" i="1" s="1"/>
  <c r="AE993" i="1" a="1"/>
  <c r="AE993" i="1" s="1"/>
  <c r="AE994" i="1" a="1"/>
  <c r="AE994" i="1" s="1"/>
  <c r="AE995" i="1" a="1"/>
  <c r="AE995" i="1" s="1"/>
  <c r="AE996" i="1" a="1"/>
  <c r="AE996" i="1" s="1"/>
  <c r="AE997" i="1" a="1"/>
  <c r="AE997" i="1" s="1"/>
  <c r="AE998" i="1" a="1"/>
  <c r="AE998" i="1" s="1"/>
  <c r="AE999" i="1" a="1"/>
  <c r="AE999" i="1" s="1"/>
  <c r="AE1000" i="1" a="1"/>
  <c r="AE1000" i="1" s="1"/>
  <c r="AE1001" i="1" a="1"/>
  <c r="AE1001" i="1" s="1"/>
  <c r="AE1002" i="1" a="1"/>
  <c r="AE1002" i="1" s="1"/>
  <c r="AE1003" i="1" a="1"/>
  <c r="AE1003" i="1" s="1"/>
  <c r="AE1004" i="1" a="1"/>
  <c r="AE1004" i="1" s="1"/>
  <c r="AE1005" i="1" a="1"/>
  <c r="AE1005" i="1" s="1"/>
  <c r="AE1006" i="1" a="1"/>
  <c r="AE1006" i="1" s="1"/>
  <c r="AE1007" i="1" a="1"/>
  <c r="AE1007" i="1" s="1"/>
  <c r="AE1008" i="1" a="1"/>
  <c r="AE1008" i="1"/>
  <c r="AE1009" i="1" a="1"/>
  <c r="AE1009" i="1" s="1"/>
  <c r="AE1010" i="1" a="1"/>
  <c r="AE1010" i="1" s="1"/>
  <c r="AE1011" i="1" a="1"/>
  <c r="AE1011" i="1" s="1"/>
  <c r="AE1012" i="1" a="1"/>
  <c r="AE1012" i="1" s="1"/>
  <c r="AE1013" i="1" a="1"/>
  <c r="AE1013" i="1" s="1"/>
  <c r="AE1014" i="1" a="1"/>
  <c r="AE1014" i="1" s="1"/>
  <c r="AE1015" i="1" a="1"/>
  <c r="AE1015" i="1"/>
  <c r="AE1016" i="1" a="1"/>
  <c r="AE1016" i="1"/>
  <c r="AE1017" i="1" a="1"/>
  <c r="AE1017" i="1" s="1"/>
  <c r="AE1018" i="1" a="1"/>
  <c r="AE1018" i="1" s="1"/>
  <c r="AE1019" i="1" a="1"/>
  <c r="AE1019" i="1" s="1"/>
  <c r="AE1020" i="1" a="1"/>
  <c r="AE1020" i="1" s="1"/>
  <c r="AE1021" i="1" a="1"/>
  <c r="AE1021" i="1" s="1"/>
  <c r="AE1022" i="1" a="1"/>
  <c r="AE1022" i="1" s="1"/>
  <c r="AE1023" i="1" a="1"/>
  <c r="AE1023" i="1" s="1"/>
  <c r="AE1024" i="1" a="1"/>
  <c r="AE1024" i="1" s="1"/>
  <c r="AE1025" i="1" a="1"/>
  <c r="AE1025" i="1" s="1"/>
  <c r="AE1026" i="1" a="1"/>
  <c r="AE1026" i="1" s="1"/>
  <c r="AE1027" i="1" a="1"/>
  <c r="AE1027" i="1" s="1"/>
  <c r="AE1028" i="1" a="1"/>
  <c r="AE1028" i="1" s="1"/>
  <c r="AE1029" i="1" a="1"/>
  <c r="AE1029" i="1" s="1"/>
  <c r="AE1030" i="1" a="1"/>
  <c r="AE1030" i="1" s="1"/>
  <c r="AE1031" i="1" a="1"/>
  <c r="AE1031" i="1" s="1"/>
  <c r="AE1032" i="1" a="1"/>
  <c r="AE1032" i="1" s="1"/>
  <c r="AE1033" i="1" a="1"/>
  <c r="AE1033" i="1" s="1"/>
  <c r="AE1034" i="1" a="1"/>
  <c r="AE1034" i="1" s="1"/>
  <c r="AE1035" i="1" a="1"/>
  <c r="AE1035" i="1" s="1"/>
  <c r="AE1036" i="1" a="1"/>
  <c r="AE1036" i="1" s="1"/>
  <c r="AE1037" i="1" a="1"/>
  <c r="AE1037" i="1" s="1"/>
  <c r="AE1038" i="1" a="1"/>
  <c r="AE1038" i="1"/>
  <c r="AE1039" i="1" a="1"/>
  <c r="AE1039" i="1" s="1"/>
  <c r="AE1040" i="1" a="1"/>
  <c r="AE1040" i="1" s="1"/>
  <c r="AE1041" i="1" a="1"/>
  <c r="AE1041" i="1" s="1"/>
  <c r="AE1042" i="1" a="1"/>
  <c r="AE1042" i="1" s="1"/>
  <c r="AE1043" i="1" a="1"/>
  <c r="AE1043" i="1" s="1"/>
  <c r="AE1044" i="1" a="1"/>
  <c r="AE1044" i="1" s="1"/>
  <c r="AE1045" i="1" a="1"/>
  <c r="AE1045" i="1" s="1"/>
  <c r="AE1046" i="1" a="1"/>
  <c r="AE1046" i="1" s="1"/>
  <c r="AE1047" i="1" a="1"/>
  <c r="AE1047" i="1" s="1"/>
  <c r="AE1048" i="1" a="1"/>
  <c r="AE1048" i="1" s="1"/>
  <c r="AE1049" i="1" a="1"/>
  <c r="AE1049" i="1" s="1"/>
  <c r="AE1050" i="1" a="1"/>
  <c r="AE1050" i="1" s="1"/>
  <c r="AE1051" i="1" a="1"/>
  <c r="AE1051" i="1" s="1"/>
  <c r="AE1052" i="1" a="1"/>
  <c r="AE1052" i="1" s="1"/>
  <c r="AE1053" i="1" a="1"/>
  <c r="AE1053" i="1" s="1"/>
  <c r="AE1054" i="1" a="1"/>
  <c r="AE1054" i="1" s="1"/>
  <c r="AE1055" i="1" a="1"/>
  <c r="AE1055" i="1" s="1"/>
  <c r="AE1056" i="1" a="1"/>
  <c r="AE1056" i="1"/>
  <c r="AE1057" i="1" a="1"/>
  <c r="AE1057" i="1" s="1"/>
  <c r="AE1058" i="1" a="1"/>
  <c r="AE1058" i="1" s="1"/>
  <c r="AE1059" i="1" a="1"/>
  <c r="AE1059" i="1" s="1"/>
  <c r="AE1060" i="1" a="1"/>
  <c r="AE1060" i="1" s="1"/>
  <c r="AE1061" i="1" a="1"/>
  <c r="AE1061" i="1" s="1"/>
  <c r="AE1062" i="1" a="1"/>
  <c r="AE1062" i="1" s="1"/>
  <c r="AE1063" i="1" a="1"/>
  <c r="AE1063" i="1" s="1"/>
  <c r="AE1064" i="1" a="1"/>
  <c r="AE1064" i="1" s="1"/>
  <c r="AE1065" i="1" a="1"/>
  <c r="AE1065" i="1" s="1"/>
  <c r="AE1066" i="1" a="1"/>
  <c r="AE1066" i="1" s="1"/>
  <c r="AE1067" i="1" a="1"/>
  <c r="AE1067" i="1" s="1"/>
  <c r="AE1068" i="1" a="1"/>
  <c r="AE1068" i="1" s="1"/>
  <c r="AE1069" i="1" a="1"/>
  <c r="AE1069" i="1" s="1"/>
  <c r="AE1070" i="1" a="1"/>
  <c r="AE1070" i="1" s="1"/>
  <c r="AE1071" i="1" a="1"/>
  <c r="AE1071" i="1" s="1"/>
  <c r="AE1072" i="1" a="1"/>
  <c r="AE1072" i="1" s="1"/>
  <c r="AE1073" i="1" a="1"/>
  <c r="AE1073" i="1" s="1"/>
  <c r="AE1074" i="1" a="1"/>
  <c r="AE1074" i="1" s="1"/>
  <c r="AE1075" i="1" a="1"/>
  <c r="AE1075" i="1" s="1"/>
  <c r="AE1076" i="1" a="1"/>
  <c r="AE1076" i="1" s="1"/>
  <c r="AE1077" i="1" a="1"/>
  <c r="AE1077" i="1" s="1"/>
  <c r="AE1078" i="1" a="1"/>
  <c r="AE1078" i="1"/>
  <c r="AE1079" i="1" a="1"/>
  <c r="AE1079" i="1" s="1"/>
  <c r="AE1080" i="1" a="1"/>
  <c r="AE1080" i="1" s="1"/>
  <c r="AE1081" i="1" a="1"/>
  <c r="AE1081" i="1" s="1"/>
  <c r="AE1082" i="1" a="1"/>
  <c r="AE1082" i="1"/>
  <c r="AE1083" i="1" a="1"/>
  <c r="AE1083" i="1" s="1"/>
  <c r="AE1084" i="1" a="1"/>
  <c r="AE1084" i="1" s="1"/>
  <c r="AE1085" i="1" a="1"/>
  <c r="AE1085" i="1" s="1"/>
  <c r="AE1086" i="1" a="1"/>
  <c r="AE1086" i="1" s="1"/>
  <c r="AE1087" i="1" a="1"/>
  <c r="AE1087" i="1" s="1"/>
  <c r="AE1088" i="1" a="1"/>
  <c r="AE1088" i="1" s="1"/>
  <c r="AE1089" i="1" a="1"/>
  <c r="AE1089" i="1" s="1"/>
  <c r="AE1090" i="1" a="1"/>
  <c r="AE1090" i="1" s="1"/>
  <c r="AE1091" i="1" a="1"/>
  <c r="AE1091" i="1" s="1"/>
  <c r="AE1092" i="1" a="1"/>
  <c r="AE1092" i="1" s="1"/>
  <c r="AE1093" i="1" a="1"/>
  <c r="AE1093" i="1" s="1"/>
  <c r="AE1094" i="1" a="1"/>
  <c r="AE1094" i="1" s="1"/>
  <c r="AE1095" i="1" a="1"/>
  <c r="AE1095" i="1"/>
  <c r="AE1096" i="1" a="1"/>
  <c r="AE1096" i="1" s="1"/>
  <c r="AE1097" i="1" a="1"/>
  <c r="AE1097" i="1" s="1"/>
  <c r="AE1098" i="1" a="1"/>
  <c r="AE1098" i="1" s="1"/>
  <c r="AE1099" i="1" a="1"/>
  <c r="AE1099" i="1" s="1"/>
  <c r="AE1100" i="1" a="1"/>
  <c r="AE1100" i="1" s="1"/>
  <c r="AE1101" i="1" a="1"/>
  <c r="AE1101" i="1" s="1"/>
  <c r="AE1102" i="1" a="1"/>
  <c r="AE1102" i="1" s="1"/>
  <c r="AE1103" i="1" a="1"/>
  <c r="AE1103" i="1" s="1"/>
  <c r="AE1104" i="1" a="1"/>
  <c r="AE1104" i="1" s="1"/>
  <c r="AE1105" i="1" a="1"/>
  <c r="AE1105" i="1" s="1"/>
  <c r="AE1106" i="1" a="1"/>
  <c r="AE1106" i="1" s="1"/>
  <c r="AE1107" i="1" a="1"/>
  <c r="AE1107" i="1" s="1"/>
  <c r="AE1108" i="1" a="1"/>
  <c r="AE1108" i="1" s="1"/>
  <c r="AE1109" i="1" a="1"/>
  <c r="AE1109" i="1" s="1"/>
  <c r="AE1110" i="1" a="1"/>
  <c r="AE1110" i="1" s="1"/>
  <c r="AE1111" i="1" a="1"/>
  <c r="AE1111" i="1" s="1"/>
  <c r="AE1112" i="1" a="1"/>
  <c r="AE1112" i="1"/>
  <c r="AE1113" i="1" a="1"/>
  <c r="AE1113" i="1"/>
  <c r="AE1114" i="1" a="1"/>
  <c r="AE1114" i="1" s="1"/>
  <c r="AE1115" i="1" a="1"/>
  <c r="AE1115" i="1" s="1"/>
  <c r="AE1116" i="1" a="1"/>
  <c r="AE1116" i="1" s="1"/>
  <c r="AE1117" i="1" a="1"/>
  <c r="AE1117" i="1" s="1"/>
  <c r="AE1118" i="1" a="1"/>
  <c r="AE1118" i="1" s="1"/>
  <c r="AE1119" i="1" a="1"/>
  <c r="AE1119" i="1"/>
  <c r="AE1120" i="1" a="1"/>
  <c r="AE1120" i="1" s="1"/>
  <c r="AE1121" i="1" a="1"/>
  <c r="AE1121" i="1" s="1"/>
  <c r="AE1122" i="1" a="1"/>
  <c r="AE1122" i="1" s="1"/>
  <c r="AE1123" i="1" a="1"/>
  <c r="AE1123" i="1" s="1"/>
  <c r="AE1124" i="1" a="1"/>
  <c r="AE1124" i="1" s="1"/>
  <c r="AE1125" i="1" a="1"/>
  <c r="AE1125" i="1" s="1"/>
  <c r="AE1126" i="1" a="1"/>
  <c r="AE1126" i="1" s="1"/>
  <c r="AE1127" i="1" a="1"/>
  <c r="AE1127" i="1" s="1"/>
  <c r="AE1128" i="1" a="1"/>
  <c r="AE1128" i="1" s="1"/>
  <c r="AE1129" i="1" a="1"/>
  <c r="AE1129" i="1" s="1"/>
  <c r="AE1130" i="1" a="1"/>
  <c r="AE1130" i="1" s="1"/>
  <c r="AE1131" i="1" a="1"/>
  <c r="AE1131" i="1" s="1"/>
  <c r="AE1132" i="1" a="1"/>
  <c r="AE1132" i="1" s="1"/>
  <c r="AE1133" i="1" a="1"/>
  <c r="AE1133" i="1" s="1"/>
  <c r="AE1134" i="1" a="1"/>
  <c r="AE1134" i="1"/>
  <c r="AE1135" i="1" a="1"/>
  <c r="AE1135" i="1" s="1"/>
  <c r="AE1136" i="1" a="1"/>
  <c r="AE1136" i="1" s="1"/>
  <c r="AE1137" i="1" a="1"/>
  <c r="AE1137" i="1" s="1"/>
  <c r="AE1138" i="1" a="1"/>
  <c r="AE1138" i="1" s="1"/>
  <c r="AE1139" i="1" a="1"/>
  <c r="AE1139" i="1" s="1"/>
  <c r="AE1140" i="1" a="1"/>
  <c r="AE1140" i="1" s="1"/>
  <c r="AE1141" i="1" a="1"/>
  <c r="AE1141" i="1"/>
  <c r="AE1142" i="1" a="1"/>
  <c r="AE1142" i="1"/>
  <c r="AE1143" i="1" a="1"/>
  <c r="AE1143" i="1" s="1"/>
  <c r="AE1144" i="1" a="1"/>
  <c r="AE1144" i="1"/>
  <c r="AE1145" i="1" a="1"/>
  <c r="AE1145" i="1" s="1"/>
  <c r="AE1146" i="1" a="1"/>
  <c r="AE1146" i="1" s="1"/>
  <c r="AE1147" i="1" a="1"/>
  <c r="AE1147" i="1" s="1"/>
  <c r="AE1148" i="1" a="1"/>
  <c r="AE1148" i="1" s="1"/>
  <c r="AE1149" i="1" a="1"/>
  <c r="AE1149" i="1"/>
  <c r="AE1150" i="1" a="1"/>
  <c r="AE1150" i="1" s="1"/>
  <c r="AE1151" i="1" a="1"/>
  <c r="AE1151" i="1" s="1"/>
  <c r="AE1152" i="1" a="1"/>
  <c r="AE1152" i="1" s="1"/>
  <c r="AE1153" i="1" a="1"/>
  <c r="AE1153" i="1" s="1"/>
  <c r="AE1154" i="1" a="1"/>
  <c r="AE1154" i="1" s="1"/>
  <c r="AE1155" i="1" a="1"/>
  <c r="AE1155" i="1" s="1"/>
  <c r="AE1156" i="1" a="1"/>
  <c r="AE1156" i="1"/>
  <c r="AE1157" i="1" a="1"/>
  <c r="AE1157" i="1" s="1"/>
  <c r="AE1158" i="1" a="1"/>
  <c r="AE1158" i="1" s="1"/>
  <c r="AE1159" i="1" a="1"/>
  <c r="AE1159" i="1" s="1"/>
  <c r="AE1160" i="1" a="1"/>
  <c r="AE1160" i="1"/>
  <c r="AE1161" i="1" a="1"/>
  <c r="AE1161" i="1" s="1"/>
  <c r="AE1162" i="1" a="1"/>
  <c r="AE1162" i="1" s="1"/>
  <c r="AE1163" i="1" a="1"/>
  <c r="AE1163" i="1" s="1"/>
  <c r="AE1164" i="1" a="1"/>
  <c r="AE1164" i="1" s="1"/>
  <c r="AE1165" i="1" a="1"/>
  <c r="AE1165" i="1" s="1"/>
  <c r="AE1166" i="1" a="1"/>
  <c r="AE1166" i="1" s="1"/>
  <c r="AE1167" i="1" a="1"/>
  <c r="AE1167" i="1" s="1"/>
  <c r="AE1168" i="1" a="1"/>
  <c r="AE1168" i="1"/>
  <c r="AE1169" i="1" a="1"/>
  <c r="AE1169" i="1" s="1"/>
  <c r="AE1170" i="1" a="1"/>
  <c r="AE1170" i="1" s="1"/>
  <c r="AE1171" i="1" a="1"/>
  <c r="AE1171" i="1" s="1"/>
  <c r="AE1172" i="1" a="1"/>
  <c r="AE1172" i="1" s="1"/>
  <c r="AE1173" i="1" a="1"/>
  <c r="AE1173" i="1" s="1"/>
  <c r="AE1174" i="1" a="1"/>
  <c r="AE1174" i="1" s="1"/>
  <c r="AE1175" i="1" a="1"/>
  <c r="AE1175" i="1" s="1"/>
  <c r="AE1176" i="1" a="1"/>
  <c r="AE1176" i="1"/>
  <c r="AE1177" i="1" a="1"/>
  <c r="AE1177" i="1" s="1"/>
  <c r="AE1178" i="1" a="1"/>
  <c r="AE1178" i="1" s="1"/>
  <c r="AE1179" i="1" a="1"/>
  <c r="AE1179" i="1" s="1"/>
  <c r="AE1180" i="1" a="1"/>
  <c r="AE1180" i="1" s="1"/>
  <c r="AE1181" i="1" a="1"/>
  <c r="AE1181" i="1"/>
  <c r="AE1182" i="1" a="1"/>
  <c r="AE1182" i="1" s="1"/>
  <c r="AE1183" i="1" a="1"/>
  <c r="AE1183" i="1" s="1"/>
  <c r="AE1184" i="1" a="1"/>
  <c r="AE1184" i="1"/>
  <c r="AE1185" i="1" a="1"/>
  <c r="AE1185" i="1" s="1"/>
  <c r="AE1186" i="1" a="1"/>
  <c r="AE1186" i="1" s="1"/>
  <c r="AE1187" i="1" a="1"/>
  <c r="AE1187" i="1" s="1"/>
  <c r="AE1188" i="1" a="1"/>
  <c r="AE1188" i="1" s="1"/>
  <c r="AE1189" i="1" a="1"/>
  <c r="AE1189" i="1" s="1"/>
  <c r="AE1190" i="1" a="1"/>
  <c r="AE1190" i="1" s="1"/>
  <c r="AE1191" i="1" a="1"/>
  <c r="AE1191" i="1" s="1"/>
  <c r="AE1192" i="1" a="1"/>
  <c r="AE1192" i="1" s="1"/>
  <c r="AE1193" i="1" a="1"/>
  <c r="AE1193" i="1" s="1"/>
  <c r="AE1194" i="1" a="1"/>
  <c r="AE1194" i="1" s="1"/>
  <c r="AE1195" i="1" a="1"/>
  <c r="AE1195" i="1" s="1"/>
  <c r="AE1196" i="1" a="1"/>
  <c r="AE1196" i="1" s="1"/>
  <c r="AE1197" i="1" a="1"/>
  <c r="AE1197" i="1"/>
  <c r="AE1198" i="1" a="1"/>
  <c r="AE1198" i="1" s="1"/>
  <c r="AE1199" i="1" a="1"/>
  <c r="AE1199" i="1" s="1"/>
  <c r="AE1200" i="1" a="1"/>
  <c r="AE1200" i="1"/>
  <c r="AE1201" i="1" a="1"/>
  <c r="AE1201" i="1" s="1"/>
  <c r="AE1202" i="1" a="1"/>
  <c r="AE1202" i="1" s="1"/>
  <c r="AE1203" i="1" a="1"/>
  <c r="AE1203" i="1" s="1"/>
  <c r="AE1204" i="1" a="1"/>
  <c r="AE1204" i="1" s="1"/>
  <c r="AE1205" i="1" a="1"/>
  <c r="AE1205" i="1"/>
  <c r="AE1206" i="1" a="1"/>
  <c r="AE1206" i="1"/>
  <c r="AE1207" i="1" a="1"/>
  <c r="AE1207" i="1" s="1"/>
  <c r="AE1208" i="1" a="1"/>
  <c r="AE1208" i="1"/>
  <c r="AE1209" i="1" a="1"/>
  <c r="AE1209" i="1" s="1"/>
  <c r="AE1210" i="1" a="1"/>
  <c r="AE1210" i="1" s="1"/>
  <c r="AE1211" i="1" a="1"/>
  <c r="AE1211" i="1" s="1"/>
  <c r="AE1212" i="1" a="1"/>
  <c r="AE1212" i="1" s="1"/>
  <c r="AE1213" i="1" a="1"/>
  <c r="AE1213" i="1" s="1"/>
  <c r="AE1214" i="1" a="1"/>
  <c r="AE1214" i="1" s="1"/>
  <c r="AE1215" i="1" a="1"/>
  <c r="AE1215" i="1" s="1"/>
  <c r="AE1216" i="1" a="1"/>
  <c r="AE1216" i="1"/>
  <c r="AE1217" i="1" a="1"/>
  <c r="AE1217" i="1" s="1"/>
  <c r="AE1218" i="1" a="1"/>
  <c r="AE1218" i="1" s="1"/>
  <c r="AE1219" i="1" a="1"/>
  <c r="AE1219" i="1" s="1"/>
  <c r="AE1220" i="1" a="1"/>
  <c r="AE1220" i="1"/>
  <c r="AE1221" i="1" a="1"/>
  <c r="AE1221" i="1" s="1"/>
  <c r="AE1222" i="1" a="1"/>
  <c r="AE1222" i="1" s="1"/>
  <c r="AE1223" i="1" a="1"/>
  <c r="AE1223" i="1" s="1"/>
  <c r="AE1224" i="1" a="1"/>
  <c r="AE1224" i="1" s="1"/>
  <c r="AE1225" i="1" a="1"/>
  <c r="AE1225" i="1" s="1"/>
  <c r="AE1226" i="1" a="1"/>
  <c r="AE1226" i="1" s="1"/>
  <c r="AE1227" i="1" a="1"/>
  <c r="AE1227" i="1" s="1"/>
  <c r="AE1228" i="1" a="1"/>
  <c r="AE1228" i="1"/>
  <c r="AE1229" i="1" a="1"/>
  <c r="AE1229" i="1"/>
  <c r="AE1230" i="1" a="1"/>
  <c r="AE1230" i="1"/>
  <c r="AE1231" i="1" a="1"/>
  <c r="AE1231" i="1" s="1"/>
  <c r="AE1232" i="1" a="1"/>
  <c r="AE1232" i="1"/>
  <c r="AE1233" i="1" a="1"/>
  <c r="AE1233" i="1" s="1"/>
  <c r="AE1234" i="1" a="1"/>
  <c r="AE1234" i="1" s="1"/>
  <c r="AE1235" i="1" a="1"/>
  <c r="AE1235" i="1" s="1"/>
  <c r="AE1236" i="1" a="1"/>
  <c r="AE1236" i="1" s="1"/>
  <c r="AE1237" i="1" a="1"/>
  <c r="AE1237" i="1" s="1"/>
  <c r="AE1238" i="1" a="1"/>
  <c r="AE1238" i="1" s="1"/>
  <c r="AE1239" i="1" a="1"/>
  <c r="AE1239" i="1" s="1"/>
  <c r="AE1240" i="1" a="1"/>
  <c r="AE1240" i="1"/>
  <c r="AE1241" i="1" a="1"/>
  <c r="AE1241" i="1" s="1"/>
  <c r="AE1242" i="1" a="1"/>
  <c r="AE1242" i="1" s="1"/>
  <c r="AE1243" i="1" a="1"/>
  <c r="AE1243" i="1" s="1"/>
  <c r="AE1244" i="1" a="1"/>
  <c r="AE1244" i="1" s="1"/>
  <c r="AE1245" i="1" a="1"/>
  <c r="AE1245" i="1"/>
  <c r="AE1246" i="1" a="1"/>
  <c r="AE1246" i="1" s="1"/>
  <c r="AE1247" i="1" a="1"/>
  <c r="AE1247" i="1" s="1"/>
  <c r="AE1248" i="1" a="1"/>
  <c r="AE1248" i="1"/>
  <c r="AE1249" i="1" a="1"/>
  <c r="AE1249" i="1" s="1"/>
  <c r="AE1250" i="1" a="1"/>
  <c r="AE1250" i="1" s="1"/>
  <c r="AE1251" i="1" a="1"/>
  <c r="AE1251" i="1" s="1"/>
  <c r="AE1252" i="1" a="1"/>
  <c r="AE1252" i="1"/>
  <c r="AE1253" i="1" a="1"/>
  <c r="AE1253" i="1" s="1"/>
  <c r="AE1254" i="1" a="1"/>
  <c r="AE1254" i="1" s="1"/>
  <c r="AE1255" i="1" a="1"/>
  <c r="AE1255" i="1" s="1"/>
  <c r="AE1256" i="1" a="1"/>
  <c r="AE1256" i="1"/>
  <c r="AE1257" i="1" a="1"/>
  <c r="AE1257" i="1" s="1"/>
  <c r="AE1258" i="1" a="1"/>
  <c r="AE1258" i="1" s="1"/>
  <c r="AE1259" i="1" a="1"/>
  <c r="AE1259" i="1" s="1"/>
  <c r="AE1260" i="1" a="1"/>
  <c r="AE1260" i="1" s="1"/>
  <c r="AE1261" i="1" a="1"/>
  <c r="AE1261" i="1" s="1"/>
  <c r="AE1262" i="1" a="1"/>
  <c r="AE1262" i="1" s="1"/>
  <c r="AE1263" i="1" a="1"/>
  <c r="AE1263" i="1" s="1"/>
  <c r="AE1264" i="1" a="1"/>
  <c r="AE1264" i="1"/>
  <c r="AE1265" i="1" a="1"/>
  <c r="AE1265" i="1" s="1"/>
  <c r="AE1266" i="1" a="1"/>
  <c r="AE1266" i="1" s="1"/>
  <c r="AE1267" i="1" a="1"/>
  <c r="AE1267" i="1" s="1"/>
  <c r="AE1268" i="1" a="1"/>
  <c r="AE1268" i="1" s="1"/>
  <c r="AE1269" i="1" a="1"/>
  <c r="AE1269" i="1" s="1"/>
  <c r="AE1270" i="1" a="1"/>
  <c r="AE1270" i="1" s="1"/>
  <c r="AE1271" i="1" a="1"/>
  <c r="AE1271" i="1" s="1"/>
  <c r="AE1272" i="1" a="1"/>
  <c r="AE1272" i="1" s="1"/>
  <c r="AE1273" i="1" a="1"/>
  <c r="AE1273" i="1" s="1"/>
  <c r="AE1274" i="1" a="1"/>
  <c r="AE1274" i="1" s="1"/>
  <c r="AE1275" i="1" a="1"/>
  <c r="AE1275" i="1" s="1"/>
  <c r="AE1276" i="1" a="1"/>
  <c r="AE1276" i="1" s="1"/>
  <c r="AE1277" i="1" a="1"/>
  <c r="AE1277" i="1" s="1"/>
  <c r="AE1278" i="1" a="1"/>
  <c r="AE1278" i="1" s="1"/>
  <c r="AE1279" i="1" a="1"/>
  <c r="AE1279" i="1" s="1"/>
  <c r="AE1280" i="1" a="1"/>
  <c r="AE1280" i="1"/>
  <c r="AE1281" i="1" a="1"/>
  <c r="AE1281" i="1" s="1"/>
  <c r="AE1282" i="1" a="1"/>
  <c r="AE1282" i="1" s="1"/>
  <c r="AE1283" i="1" a="1"/>
  <c r="AE1283" i="1" s="1"/>
  <c r="AE1284" i="1" a="1"/>
  <c r="AE1284" i="1"/>
  <c r="AE1285" i="1" a="1"/>
  <c r="AE1285" i="1" s="1"/>
  <c r="AE1286" i="1" a="1"/>
  <c r="AE1286" i="1" s="1"/>
  <c r="AE1287" i="1" a="1"/>
  <c r="AE1287" i="1" s="1"/>
  <c r="AE1288" i="1" a="1"/>
  <c r="AE1288" i="1"/>
  <c r="AE1289" i="1" a="1"/>
  <c r="AE1289" i="1" s="1"/>
  <c r="AE1290" i="1" a="1"/>
  <c r="AE1290" i="1" s="1"/>
  <c r="AE1291" i="1" a="1"/>
  <c r="AE1291" i="1" s="1"/>
  <c r="AE1292" i="1" a="1"/>
  <c r="AE1292" i="1"/>
  <c r="AE1293" i="1" a="1"/>
  <c r="AE1293" i="1" s="1"/>
  <c r="AE1294" i="1" a="1"/>
  <c r="AE1294" i="1" s="1"/>
  <c r="AE1295" i="1" a="1"/>
  <c r="AE1295" i="1" s="1"/>
  <c r="AE1296" i="1" a="1"/>
  <c r="AE1296" i="1" s="1"/>
  <c r="AE1297" i="1" a="1"/>
  <c r="AE1297" i="1" s="1"/>
  <c r="AE1298" i="1" a="1"/>
  <c r="AE1298" i="1" s="1"/>
  <c r="AE1299" i="1" a="1"/>
  <c r="AE1299" i="1" s="1"/>
  <c r="AE1300" i="1" a="1"/>
  <c r="AE1300" i="1" s="1"/>
  <c r="AE1301" i="1" a="1"/>
  <c r="AE1301" i="1"/>
  <c r="AE1302" i="1" a="1"/>
  <c r="AE1302" i="1" s="1"/>
  <c r="AE1303" i="1" a="1"/>
  <c r="AE1303" i="1" s="1"/>
  <c r="AE1304" i="1" a="1"/>
  <c r="AE1304" i="1" s="1"/>
  <c r="AE1305" i="1" a="1"/>
  <c r="AE1305" i="1" s="1"/>
  <c r="AE1306" i="1" a="1"/>
  <c r="AE1306" i="1" s="1"/>
  <c r="AE1307" i="1" a="1"/>
  <c r="AE1307" i="1" s="1"/>
  <c r="AE1308" i="1" a="1"/>
  <c r="AE1308" i="1" s="1"/>
  <c r="AE1309" i="1" a="1"/>
  <c r="AE1309" i="1"/>
  <c r="AE1310" i="1" a="1"/>
  <c r="AE1310" i="1"/>
  <c r="AE1311" i="1" a="1"/>
  <c r="AE1311" i="1" s="1"/>
  <c r="AE1312" i="1" a="1"/>
  <c r="AE1312" i="1" s="1"/>
  <c r="AE1313" i="1" a="1"/>
  <c r="AE1313" i="1" s="1"/>
  <c r="AE1314" i="1" a="1"/>
  <c r="AE1314" i="1" s="1"/>
  <c r="AE1315" i="1" a="1"/>
  <c r="AE1315" i="1" s="1"/>
  <c r="AE1316" i="1" a="1"/>
  <c r="AE1316" i="1"/>
  <c r="AE1317" i="1" a="1"/>
  <c r="AE1317" i="1" s="1"/>
  <c r="AE1318" i="1" a="1"/>
  <c r="AE1318" i="1" s="1"/>
  <c r="AE1319" i="1" a="1"/>
  <c r="AE1319" i="1" s="1"/>
  <c r="AE1320" i="1" a="1"/>
  <c r="AE1320" i="1" s="1"/>
  <c r="AE1321" i="1" a="1"/>
  <c r="AE1321" i="1" s="1"/>
  <c r="AE1322" i="1" a="1"/>
  <c r="AE1322" i="1" s="1"/>
  <c r="AE1323" i="1" a="1"/>
  <c r="AE1323" i="1" s="1"/>
  <c r="AE1324" i="1" a="1"/>
  <c r="AE1324" i="1" s="1"/>
  <c r="AE1325" i="1" a="1"/>
  <c r="AE1325" i="1" s="1"/>
  <c r="AE1326" i="1" a="1"/>
  <c r="AE1326" i="1" s="1"/>
  <c r="AE1327" i="1" a="1"/>
  <c r="AE1327" i="1" s="1"/>
  <c r="AE1328" i="1" a="1"/>
  <c r="AE1328" i="1" s="1"/>
  <c r="AE1329" i="1" a="1"/>
  <c r="AE1329" i="1" s="1"/>
  <c r="AE1330" i="1" a="1"/>
  <c r="AE1330" i="1" s="1"/>
  <c r="AE1331" i="1" a="1"/>
  <c r="AE1331" i="1" s="1"/>
  <c r="AE1332" i="1" a="1"/>
  <c r="AE1332" i="1" s="1"/>
  <c r="AE1333" i="1" a="1"/>
  <c r="AE1333" i="1" s="1"/>
  <c r="AE1334" i="1" a="1"/>
  <c r="AE1334" i="1" s="1"/>
  <c r="AE1335" i="1" a="1"/>
  <c r="AE1335" i="1" s="1"/>
  <c r="AE1336" i="1" a="1"/>
  <c r="AE1336" i="1" s="1"/>
  <c r="AE1337" i="1" a="1"/>
  <c r="AE1337" i="1" s="1"/>
  <c r="AE1338" i="1" a="1"/>
  <c r="AE1338" i="1" s="1"/>
  <c r="AE1339" i="1" a="1"/>
  <c r="AE1339" i="1" s="1"/>
  <c r="AE1340" i="1" a="1"/>
  <c r="AE1340" i="1" s="1"/>
  <c r="AE1341" i="1" a="1"/>
  <c r="AE1341" i="1" s="1"/>
  <c r="AE1342" i="1" a="1"/>
  <c r="AE1342" i="1"/>
  <c r="AE1343" i="1" a="1"/>
  <c r="AE1343" i="1" s="1"/>
  <c r="AE1344" i="1" a="1"/>
  <c r="AE1344" i="1" s="1"/>
  <c r="AE1345" i="1" a="1"/>
  <c r="AE1345" i="1" s="1"/>
  <c r="AE1346" i="1" a="1"/>
  <c r="AE1346" i="1" s="1"/>
  <c r="AE1347" i="1" a="1"/>
  <c r="AE1347" i="1" s="1"/>
  <c r="AE1348" i="1" a="1"/>
  <c r="AE1348" i="1" s="1"/>
  <c r="AE1349" i="1" a="1"/>
  <c r="AE1349" i="1" s="1"/>
  <c r="AE1350" i="1" a="1"/>
  <c r="AE1350" i="1"/>
  <c r="AE1351" i="1" a="1"/>
  <c r="AE1351" i="1" s="1"/>
  <c r="AE1352" i="1" a="1"/>
  <c r="AE1352" i="1" s="1"/>
  <c r="AE1353" i="1" a="1"/>
  <c r="AE1353" i="1" s="1"/>
  <c r="AE1354" i="1" a="1"/>
  <c r="AE1354" i="1" s="1"/>
  <c r="AE1355" i="1" a="1"/>
  <c r="AE1355" i="1" s="1"/>
  <c r="AE1356" i="1" a="1"/>
  <c r="AE1356" i="1"/>
  <c r="AE1357" i="1" a="1"/>
  <c r="AE1357" i="1" s="1"/>
  <c r="AE1358" i="1" a="1"/>
  <c r="AE1358" i="1" s="1"/>
  <c r="AE1359" i="1" a="1"/>
  <c r="AE1359" i="1" s="1"/>
  <c r="AE1360" i="1" a="1"/>
  <c r="AE1360" i="1" s="1"/>
  <c r="AE1361" i="1" a="1"/>
  <c r="AE1361" i="1" s="1"/>
  <c r="AE1362" i="1" a="1"/>
  <c r="AE1362" i="1" s="1"/>
  <c r="AE1363" i="1" a="1"/>
  <c r="AE1363" i="1" s="1"/>
  <c r="AE1364" i="1" a="1"/>
  <c r="AE1364" i="1"/>
  <c r="AE1365" i="1" a="1"/>
  <c r="AE1365" i="1" s="1"/>
  <c r="AE1366" i="1" a="1"/>
  <c r="AE1366" i="1" s="1"/>
  <c r="AE1367" i="1" a="1"/>
  <c r="AE1367" i="1" s="1"/>
  <c r="AE1368" i="1" a="1"/>
  <c r="AE1368" i="1" s="1"/>
  <c r="AE1369" i="1" a="1"/>
  <c r="AE1369" i="1" s="1"/>
  <c r="AE1370" i="1" a="1"/>
  <c r="AE1370" i="1" s="1"/>
  <c r="AE1371" i="1" a="1"/>
  <c r="AE1371" i="1" s="1"/>
  <c r="AE1372" i="1" a="1"/>
  <c r="AE1372" i="1" s="1"/>
  <c r="AE1373" i="1" a="1"/>
  <c r="AE1373" i="1" s="1"/>
  <c r="AE1374" i="1" a="1"/>
  <c r="AE1374" i="1"/>
  <c r="AE1375" i="1" a="1"/>
  <c r="AE1375" i="1" s="1"/>
  <c r="AE1376" i="1" a="1"/>
  <c r="AE1376" i="1" s="1"/>
  <c r="AE1377" i="1" a="1"/>
  <c r="AE1377" i="1" s="1"/>
  <c r="AE1378" i="1" a="1"/>
  <c r="AE1378" i="1" s="1"/>
  <c r="AE1379" i="1" a="1"/>
  <c r="AE1379" i="1" s="1"/>
  <c r="AE1380" i="1" a="1"/>
  <c r="AE1380" i="1"/>
  <c r="AE1381" i="1" a="1"/>
  <c r="AE1381" i="1" s="1"/>
  <c r="AE1382" i="1" a="1"/>
  <c r="AE1382" i="1"/>
  <c r="AE1383" i="1" a="1"/>
  <c r="AE1383" i="1" s="1"/>
  <c r="AE1384" i="1" a="1"/>
  <c r="AE1384" i="1" s="1"/>
  <c r="AE1385" i="1" a="1"/>
  <c r="AE1385" i="1" s="1"/>
  <c r="AE1386" i="1" a="1"/>
  <c r="AE1386" i="1" s="1"/>
  <c r="AE1387" i="1" a="1"/>
  <c r="AE1387" i="1" s="1"/>
  <c r="AE1388" i="1" a="1"/>
  <c r="AE1388" i="1" s="1"/>
  <c r="AE1389" i="1" a="1"/>
  <c r="AE1389" i="1" s="1"/>
  <c r="AE1390" i="1" a="1"/>
  <c r="AE1390" i="1" s="1"/>
  <c r="AE1391" i="1" a="1"/>
  <c r="AE1391" i="1" s="1"/>
  <c r="AE1392" i="1" a="1"/>
  <c r="AE1392" i="1" s="1"/>
  <c r="AE1393" i="1" a="1"/>
  <c r="AE1393" i="1" s="1"/>
  <c r="AE1394" i="1" a="1"/>
  <c r="AE1394" i="1" s="1"/>
  <c r="AE1395" i="1" a="1"/>
  <c r="AE1395" i="1" s="1"/>
  <c r="AE1396" i="1" a="1"/>
  <c r="AE1396" i="1" s="1"/>
  <c r="AE1397" i="1" a="1"/>
  <c r="AE1397" i="1" s="1"/>
  <c r="AE1398" i="1" a="1"/>
  <c r="AE1398" i="1" s="1"/>
  <c r="AE1399" i="1" a="1"/>
  <c r="AE1399" i="1" s="1"/>
  <c r="AE1400" i="1" a="1"/>
  <c r="AE1400" i="1" s="1"/>
  <c r="AE1401" i="1" a="1"/>
  <c r="AE1401" i="1" s="1"/>
  <c r="AE1402" i="1" a="1"/>
  <c r="AE1402" i="1" s="1"/>
  <c r="AE1403" i="1" a="1"/>
  <c r="AE1403" i="1" s="1"/>
  <c r="AE1404" i="1" a="1"/>
  <c r="AE1404" i="1"/>
  <c r="AE1405" i="1" a="1"/>
  <c r="AE1405" i="1" s="1"/>
  <c r="AE1406" i="1" a="1"/>
  <c r="AE1406" i="1"/>
  <c r="AE1407" i="1" a="1"/>
  <c r="AE1407" i="1" s="1"/>
  <c r="AE1408" i="1" a="1"/>
  <c r="AE1408" i="1" s="1"/>
  <c r="AE1409" i="1" a="1"/>
  <c r="AE1409" i="1" s="1"/>
  <c r="AE1410" i="1" a="1"/>
  <c r="AE1410" i="1" s="1"/>
  <c r="AE1411" i="1" a="1"/>
  <c r="AE1411" i="1" s="1"/>
  <c r="AE1412" i="1" a="1"/>
  <c r="AE1412" i="1" s="1"/>
  <c r="AE1413" i="1" a="1"/>
  <c r="AE1413" i="1" s="1"/>
  <c r="AE1414" i="1" a="1"/>
  <c r="AE1414" i="1"/>
  <c r="AE1415" i="1" a="1"/>
  <c r="AE1415" i="1" s="1"/>
  <c r="AE1416" i="1" a="1"/>
  <c r="AE1416" i="1" s="1"/>
  <c r="AE1417" i="1" a="1"/>
  <c r="AE1417" i="1" s="1"/>
  <c r="AE1418" i="1" a="1"/>
  <c r="AE1418" i="1" s="1"/>
  <c r="AE1419" i="1" a="1"/>
  <c r="AE1419" i="1" s="1"/>
  <c r="AE1420" i="1" a="1"/>
  <c r="AE1420" i="1" s="1"/>
  <c r="AE1421" i="1" a="1"/>
  <c r="AE1421" i="1"/>
  <c r="AE1422" i="1" a="1"/>
  <c r="AE1422" i="1" s="1"/>
  <c r="AE1423" i="1" a="1"/>
  <c r="AE1423" i="1" s="1"/>
  <c r="AE1424" i="1" a="1"/>
  <c r="AE1424" i="1" s="1"/>
  <c r="AE1425" i="1" a="1"/>
  <c r="AE1425" i="1" s="1"/>
  <c r="AE1426" i="1" a="1"/>
  <c r="AE1426" i="1" s="1"/>
  <c r="AE1427" i="1" a="1"/>
  <c r="AE1427" i="1" s="1"/>
  <c r="AE1428" i="1" a="1"/>
  <c r="AE1428" i="1" s="1"/>
  <c r="AE1429" i="1" a="1"/>
  <c r="AE1429" i="1"/>
  <c r="AE1430" i="1" a="1"/>
  <c r="AE1430" i="1" s="1"/>
  <c r="AE1431" i="1" a="1"/>
  <c r="AE1431" i="1" s="1"/>
  <c r="AE1432" i="1" a="1"/>
  <c r="AE1432" i="1" s="1"/>
  <c r="AE1433" i="1" a="1"/>
  <c r="AE1433" i="1" s="1"/>
  <c r="AE1434" i="1" a="1"/>
  <c r="AE1434" i="1" s="1"/>
  <c r="AE1435" i="1" a="1"/>
  <c r="AE1435" i="1" s="1"/>
  <c r="AE1436" i="1" a="1"/>
  <c r="AE1436" i="1" s="1"/>
  <c r="AE1437" i="1" a="1"/>
  <c r="AE1437" i="1"/>
  <c r="AE1438" i="1" a="1"/>
  <c r="AE1438" i="1"/>
  <c r="AE1439" i="1" a="1"/>
  <c r="AE1439" i="1" s="1"/>
  <c r="AE1440" i="1" a="1"/>
  <c r="AE1440" i="1" s="1"/>
  <c r="AE1441" i="1" a="1"/>
  <c r="AE1441" i="1" s="1"/>
  <c r="AE1442" i="1" a="1"/>
  <c r="AE1442" i="1" s="1"/>
  <c r="AE1443" i="1" a="1"/>
  <c r="AE1443" i="1" s="1"/>
  <c r="AE1444" i="1" a="1"/>
  <c r="AE1444" i="1"/>
  <c r="AE1445" i="1" a="1"/>
  <c r="AE1445" i="1"/>
  <c r="AE1446" i="1" a="1"/>
  <c r="AE1446" i="1" s="1"/>
  <c r="AE1447" i="1" a="1"/>
  <c r="AE1447" i="1" s="1"/>
  <c r="AE1448" i="1" a="1"/>
  <c r="AE1448" i="1" s="1"/>
  <c r="AE1449" i="1" a="1"/>
  <c r="AE1449" i="1" s="1"/>
  <c r="AE1450" i="1" a="1"/>
  <c r="AE1450" i="1" s="1"/>
  <c r="AE1451" i="1" a="1"/>
  <c r="AE1451" i="1" s="1"/>
  <c r="AE1452" i="1" a="1"/>
  <c r="AE1452" i="1" s="1"/>
  <c r="AE1453" i="1" a="1"/>
  <c r="AE1453" i="1"/>
  <c r="AE1454" i="1" a="1"/>
  <c r="AE1454" i="1" s="1"/>
  <c r="AE1455" i="1" a="1"/>
  <c r="AE1455" i="1" s="1"/>
  <c r="AE1456" i="1" a="1"/>
  <c r="AE1456" i="1" s="1"/>
  <c r="AE1457" i="1" a="1"/>
  <c r="AE1457" i="1" s="1"/>
  <c r="AE1458" i="1" a="1"/>
  <c r="AE1458" i="1" s="1"/>
  <c r="AE1459" i="1" a="1"/>
  <c r="AE1459" i="1" s="1"/>
  <c r="AE1460" i="1" a="1"/>
  <c r="AE1460" i="1" s="1"/>
  <c r="AE1461" i="1" a="1"/>
  <c r="AE1461" i="1" s="1"/>
  <c r="AE1462" i="1" a="1"/>
  <c r="AE1462" i="1" s="1"/>
  <c r="AE1463" i="1" a="1"/>
  <c r="AE1463" i="1" s="1"/>
  <c r="AE1464" i="1" a="1"/>
  <c r="AE1464" i="1" s="1"/>
  <c r="AE1465" i="1" a="1"/>
  <c r="AE1465" i="1" s="1"/>
  <c r="AE1466" i="1" a="1"/>
  <c r="AE1466" i="1" s="1"/>
  <c r="AE1467" i="1" a="1"/>
  <c r="AE1467" i="1" s="1"/>
  <c r="AE1468" i="1" a="1"/>
  <c r="AE1468" i="1"/>
  <c r="AE1469" i="1" a="1"/>
  <c r="AE1469" i="1" s="1"/>
  <c r="AE1470" i="1" a="1"/>
  <c r="AE1470" i="1"/>
  <c r="AE1471" i="1" a="1"/>
  <c r="AE1471" i="1" s="1"/>
  <c r="AE2" i="1" a="1"/>
  <c r="AE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<sst xmlns="http://schemas.openxmlformats.org/spreadsheetml/2006/main" count="11947" uniqueCount="119">
  <si>
    <t>Age</t>
  </si>
  <si>
    <t>Attrition</t>
  </si>
  <si>
    <t>BusinessTravel</t>
  </si>
  <si>
    <t>DailyRate</t>
  </si>
  <si>
    <t>Department</t>
  </si>
  <si>
    <t>DistanceFromHome</t>
  </si>
  <si>
    <t>Education</t>
  </si>
  <si>
    <t>EducationField</t>
  </si>
  <si>
    <t>EmployeeNumber</t>
  </si>
  <si>
    <t>EnvironmentSatisfaction</t>
  </si>
  <si>
    <t>Gender</t>
  </si>
  <si>
    <t>JobInvolvement</t>
  </si>
  <si>
    <t>JobLevel</t>
  </si>
  <si>
    <t>JobRole</t>
  </si>
  <si>
    <t>JobSatisfaction</t>
  </si>
  <si>
    <t>MaritalStatus</t>
  </si>
  <si>
    <t>MonthlyIncome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</si>
  <si>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</si>
  <si>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</si>
  <si>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</si>
  <si>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</si>
  <si>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</si>
  <si>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</si>
  <si>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</si>
  <si>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</si>
  <si>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</si>
  <si>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</si>
  <si>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</si>
  <si>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</si>
  <si>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</si>
  <si>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</si>
  <si>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</si>
  <si>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</si>
  <si>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</si>
  <si>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</si>
  <si>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</si>
  <si>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</si>
  <si>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</si>
  <si>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</si>
  <si>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</si>
  <si>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</si>
  <si>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</si>
  <si>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</si>
  <si>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</si>
  <si>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</si>
  <si>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</si>
  <si>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</si>
  <si>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</si>
  <si>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</si>
  <si>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</si>
  <si>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</si>
  <si>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</si>
  <si>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</si>
  <si>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</si>
  <si>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</si>
  <si>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</si>
  <si>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1 'Below College'</t>
  </si>
  <si>
    <t>2 'College'</t>
  </si>
  <si>
    <t>3 'Bachelor'</t>
  </si>
  <si>
    <t>4 'Master'</t>
  </si>
  <si>
    <t>5 'Doctor'</t>
  </si>
  <si>
    <t>1 'Low'</t>
  </si>
  <si>
    <t>2 'Medium'</t>
  </si>
  <si>
    <t>3 'High'</t>
  </si>
  <si>
    <t>4 'Very High'</t>
  </si>
  <si>
    <t>2 'Good'</t>
  </si>
  <si>
    <t>3 'Excellent'</t>
  </si>
  <si>
    <t>4 'Outstanding'</t>
  </si>
  <si>
    <t>1 'Bad'</t>
  </si>
  <si>
    <t>3 'Better'</t>
  </si>
  <si>
    <t>4 'Best'</t>
  </si>
  <si>
    <t>Daily rate</t>
  </si>
  <si>
    <t>Employee count</t>
  </si>
  <si>
    <t>Hourly Rate</t>
  </si>
  <si>
    <t>Monthly Rate</t>
  </si>
  <si>
    <t>numcompanies worked</t>
  </si>
  <si>
    <t xml:space="preserve">Standard hours </t>
  </si>
  <si>
    <t>stock option level</t>
  </si>
  <si>
    <t>Years withcurrmanager</t>
  </si>
  <si>
    <t xml:space="preserve">Removing </t>
  </si>
  <si>
    <t>Number of company employee worked before joining current company</t>
  </si>
  <si>
    <t>number of years under current manager</t>
  </si>
  <si>
    <t>0 = no stock option</t>
  </si>
  <si>
    <t>1 = low</t>
  </si>
  <si>
    <t>2 = medium</t>
  </si>
  <si>
    <t>3 = high</t>
  </si>
  <si>
    <t>Environment_Satisfaction</t>
  </si>
  <si>
    <t>Job_Involvement</t>
  </si>
  <si>
    <t>Job_Level</t>
  </si>
  <si>
    <t>Job_Satisfaction</t>
  </si>
  <si>
    <t>Performance_rating</t>
  </si>
  <si>
    <t>Relationship_Satisfaction</t>
  </si>
  <si>
    <t>Worklife_Balance</t>
  </si>
  <si>
    <t>Stock_Option</t>
  </si>
  <si>
    <t>Education2</t>
  </si>
  <si>
    <t>Row Labels</t>
  </si>
  <si>
    <t>Grand Total</t>
  </si>
  <si>
    <t>Count of Attrition</t>
  </si>
  <si>
    <t>Count of EmployeeNumber</t>
  </si>
  <si>
    <t>Average of MonthlyIncome</t>
  </si>
  <si>
    <t>% of attrition</t>
  </si>
  <si>
    <t>Count of Attrition "Yes"</t>
  </si>
  <si>
    <t>overtime</t>
  </si>
  <si>
    <t>Employees Left</t>
  </si>
  <si>
    <t>Column Labels</t>
  </si>
  <si>
    <t>Overtime</t>
  </si>
  <si>
    <t>Bad</t>
  </si>
  <si>
    <t>Best</t>
  </si>
  <si>
    <t>Better</t>
  </si>
  <si>
    <t>Good</t>
  </si>
  <si>
    <t>Distance_from_home</t>
  </si>
  <si>
    <t>Near</t>
  </si>
  <si>
    <t>Medium</t>
  </si>
  <si>
    <t>Far</t>
  </si>
  <si>
    <t>Executive</t>
  </si>
  <si>
    <t>Junior employee</t>
  </si>
  <si>
    <t>Mid-level</t>
  </si>
  <si>
    <t>Senior</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</si>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</sst>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C4043"/>
      <name val="Arial"/>
      <family val="2"/>
    </font>
    <font>
      <sz val="12"/>
      <color rgb="FF3C4043"/>
      <name val="Arial"/>
      <family val="2"/>
    </font>
    <font>
      <sz val="12"/>
      <color theme="1"/>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xf numFmtId="0" fontId="21" fillId="33" borderId="0" xfId="0" applyFont="1" applyFill="1"/>
    <xf numFmtId="0" fontId="0" fillId="33" borderId="0" xfId="0" applyFill="1"/>
    <xf numFmtId="9" fontId="0" fillId="0" borderId="0" xfId="42" applyFont="1"/>
    <xf numFmtId="0" fontId="0" fillId="0" borderId="0" xfId="0" pivotButton="1"/>
    <xf numFmtId="0" fontId="0" fillId="0" borderId="0" xfId="0" applyAlignment="1">
      <alignment horizontal="left"/>
    </xf>
    <xf numFmtId="164" fontId="0" fillId="0" borderId="0" xfId="42" applyNumberFormat="1" applyFont="1"/>
    <xf numFmtId="10" fontId="0" fillId="0" borderId="0" xfId="0" applyNumberFormat="1"/>
    <xf numFmtId="165" fontId="0" fillId="0" borderId="0" xfId="0" applyNumberForma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
    <dxf>
      <numFmt numFmtId="0" formatCode="General"/>
    </dxf>
    <dxf>
      <numFmt numFmtId="165" formatCode="&quot;$&quot;#,##0.0"/>
    </dxf>
    <dxf>
      <numFmt numFmtId="166" formatCode="&quot;$&quot;#,##0.00"/>
    </dxf>
    <dxf>
      <font>
        <b/>
        <color theme="1"/>
      </font>
      <fill>
        <patternFill patternType="solid">
          <bgColor theme="4" tint="0.39994506668294322"/>
        </patternFill>
      </fill>
      <border>
        <bottom style="thin">
          <color theme="4"/>
        </bottom>
        <vertical/>
        <horizontal/>
      </border>
    </dxf>
    <dxf>
      <font>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fill>
        <patternFill patternType="solid">
          <bgColor theme="4" tint="0.39994506668294322"/>
        </patternFill>
      </fill>
      <border>
        <bottom style="thin">
          <color theme="4"/>
        </bottom>
        <vertical/>
        <horizontal/>
      </border>
    </dxf>
    <dxf>
      <font>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fill>
        <patternFill patternType="solid">
          <bgColor theme="4" tint="0.39994506668294322"/>
        </patternFill>
      </fill>
      <border>
        <bottom style="thin">
          <color theme="4"/>
        </bottom>
        <vertical/>
        <horizontal/>
      </border>
    </dxf>
    <dxf>
      <font>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fill>
        <patternFill patternType="solid">
          <bgColor theme="4" tint="0.3999450666829432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6" defaultTableStyle="TableStyleMedium2" defaultPivotStyle="PivotStyleLight16">
    <tableStyle name="Slicer Style 1" pivot="0" table="0" count="1" xr9:uid="{5475D421-6E89-4D2E-99EF-FBE62B146290}"/>
    <tableStyle name="SlicerStyleDark1 2" pivot="0" table="0" count="10" xr9:uid="{14A6625B-6168-422C-B613-0A86FD1FB078}">
      <tableStyleElement type="wholeTable" dxfId="12"/>
      <tableStyleElement type="headerRow" dxfId="11"/>
    </tableStyle>
    <tableStyle name="SlicerStyleDark1 3" pivot="0" table="0" count="10" xr9:uid="{B0BEA6E6-D546-415E-9D56-8F306C821485}">
      <tableStyleElement type="wholeTable" dxfId="10"/>
      <tableStyleElement type="headerRow" dxfId="9"/>
    </tableStyle>
    <tableStyle name="SlicerStyleDark1 3 2" pivot="0" table="0" count="10" xr9:uid="{7F0CA629-6874-45A0-B53D-7F0CFF957D5E}">
      <tableStyleElement type="wholeTable" dxfId="8"/>
      <tableStyleElement type="headerRow" dxfId="7"/>
    </tableStyle>
    <tableStyle name="SlicerStyleDark1 3 2 2" pivot="0" table="0" count="10" xr9:uid="{5E444A8C-FBF9-4940-9EA0-31656205DFC3}">
      <tableStyleElement type="wholeTable" dxfId="6"/>
      <tableStyleElement type="headerRow" dxfId="5"/>
    </tableStyle>
    <tableStyle name="SlicerStyleDark1 3 2 2 2" pivot="0" table="0" count="10" xr9:uid="{FC401E12-27FE-4605-973A-C1A2D13A571B}">
      <tableStyleElement type="wholeTable" dxfId="4"/>
      <tableStyleElement type="headerRow" dxfId="3"/>
    </tableStyle>
  </tableStyles>
  <colors>
    <mruColors>
      <color rgb="FF9C9EBC"/>
    </mruColors>
  </colors>
  <extLst>
    <ext xmlns:x14="http://schemas.microsoft.com/office/spreadsheetml/2009/9/main" uri="{46F421CA-312F-682f-3DD2-61675219B42D}">
      <x14:dxfs count="4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9C9EB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2"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4"/>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40"/>
          </x14:slicerStyleElements>
        </x14:slicerStyle>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Sheet2!$A$4:$A$43</c:f>
              <c:strCache>
                <c:ptCount val="3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55</c:v>
                </c:pt>
                <c:pt idx="37">
                  <c:v>56</c:v>
                </c:pt>
                <c:pt idx="38">
                  <c:v>58</c:v>
                </c:pt>
              </c:strCache>
            </c:strRef>
          </c:cat>
          <c:val>
            <c:numRef>
              <c:f>Sheet2!$B$4:$B$43</c:f>
              <c:numCache>
                <c:formatCode>General</c:formatCode>
                <c:ptCount val="39"/>
                <c:pt idx="0">
                  <c:v>4</c:v>
                </c:pt>
                <c:pt idx="1">
                  <c:v>6</c:v>
                </c:pt>
                <c:pt idx="2">
                  <c:v>6</c:v>
                </c:pt>
                <c:pt idx="3">
                  <c:v>6</c:v>
                </c:pt>
                <c:pt idx="4">
                  <c:v>5</c:v>
                </c:pt>
                <c:pt idx="5">
                  <c:v>4</c:v>
                </c:pt>
                <c:pt idx="6">
                  <c:v>7</c:v>
                </c:pt>
                <c:pt idx="7">
                  <c:v>6</c:v>
                </c:pt>
                <c:pt idx="8">
                  <c:v>12</c:v>
                </c:pt>
                <c:pt idx="9">
                  <c:v>3</c:v>
                </c:pt>
                <c:pt idx="10">
                  <c:v>14</c:v>
                </c:pt>
                <c:pt idx="11">
                  <c:v>18</c:v>
                </c:pt>
                <c:pt idx="12">
                  <c:v>9</c:v>
                </c:pt>
                <c:pt idx="13">
                  <c:v>18</c:v>
                </c:pt>
                <c:pt idx="14">
                  <c:v>11</c:v>
                </c:pt>
                <c:pt idx="15">
                  <c:v>12</c:v>
                </c:pt>
                <c:pt idx="16">
                  <c:v>9</c:v>
                </c:pt>
                <c:pt idx="17">
                  <c:v>10</c:v>
                </c:pt>
                <c:pt idx="18">
                  <c:v>6</c:v>
                </c:pt>
                <c:pt idx="19">
                  <c:v>6</c:v>
                </c:pt>
                <c:pt idx="20">
                  <c:v>2</c:v>
                </c:pt>
                <c:pt idx="21">
                  <c:v>6</c:v>
                </c:pt>
                <c:pt idx="22">
                  <c:v>5</c:v>
                </c:pt>
                <c:pt idx="23">
                  <c:v>6</c:v>
                </c:pt>
                <c:pt idx="24">
                  <c:v>2</c:v>
                </c:pt>
                <c:pt idx="25">
                  <c:v>2</c:v>
                </c:pt>
                <c:pt idx="26">
                  <c:v>6</c:v>
                </c:pt>
                <c:pt idx="27">
                  <c:v>2</c:v>
                </c:pt>
                <c:pt idx="28">
                  <c:v>4</c:v>
                </c:pt>
                <c:pt idx="29">
                  <c:v>3</c:v>
                </c:pt>
                <c:pt idx="30">
                  <c:v>2</c:v>
                </c:pt>
                <c:pt idx="31">
                  <c:v>2</c:v>
                </c:pt>
                <c:pt idx="32">
                  <c:v>5</c:v>
                </c:pt>
                <c:pt idx="33">
                  <c:v>2</c:v>
                </c:pt>
                <c:pt idx="34">
                  <c:v>3</c:v>
                </c:pt>
                <c:pt idx="35">
                  <c:v>2</c:v>
                </c:pt>
                <c:pt idx="36">
                  <c:v>3</c:v>
                </c:pt>
                <c:pt idx="37">
                  <c:v>3</c:v>
                </c:pt>
                <c:pt idx="38">
                  <c:v>5</c:v>
                </c:pt>
              </c:numCache>
            </c:numRef>
          </c:val>
          <c:smooth val="0"/>
          <c:extLst>
            <c:ext xmlns:c16="http://schemas.microsoft.com/office/drawing/2014/chart" uri="{C3380CC4-5D6E-409C-BE32-E72D297353CC}">
              <c16:uniqueId val="{00000000-2DED-4D67-A449-979264D022B6}"/>
            </c:ext>
          </c:extLst>
        </c:ser>
        <c:dLbls>
          <c:showLegendKey val="0"/>
          <c:showVal val="0"/>
          <c:showCatName val="0"/>
          <c:showSerName val="0"/>
          <c:showPercent val="0"/>
          <c:showBubbleSize val="0"/>
        </c:dLbls>
        <c:smooth val="0"/>
        <c:axId val="820576544"/>
        <c:axId val="820575584"/>
      </c:lineChart>
      <c:catAx>
        <c:axId val="8205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75584"/>
        <c:crosses val="autoZero"/>
        <c:auto val="1"/>
        <c:lblAlgn val="ctr"/>
        <c:lblOffset val="100"/>
        <c:noMultiLvlLbl val="0"/>
      </c:catAx>
      <c:valAx>
        <c:axId val="82057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[WA_Fn-UseC_-HR-Employee-Attrition.xlsx]Sheet2!PivotTable17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Sheet2!$D$71:$D$75</c:f>
              <c:strCache>
                <c:ptCount val="4"/>
                <c:pt idx="0">
                  <c:v>Bad</c:v>
                </c:pt>
                <c:pt idx="1">
                  <c:v>Good</c:v>
                </c:pt>
                <c:pt idx="2">
                  <c:v>Better</c:v>
                </c:pt>
                <c:pt idx="3">
                  <c:v>Best</c:v>
                </c:pt>
              </c:strCache>
            </c:strRef>
          </c:cat>
          <c:val>
            <c:numRef>
              <c:f>Sheet2!$E$71:$E$75</c:f>
              <c:numCache>
                <c:formatCode>General</c:formatCode>
                <c:ptCount val="4"/>
                <c:pt idx="0">
                  <c:v>25</c:v>
                </c:pt>
                <c:pt idx="1">
                  <c:v>58</c:v>
                </c:pt>
                <c:pt idx="2">
                  <c:v>127</c:v>
                </c:pt>
                <c:pt idx="3">
                  <c:v>27</c:v>
                </c:pt>
              </c:numCache>
            </c:numRef>
          </c:val>
          <c:smooth val="0"/>
          <c:extLst>
            <c:ext xmlns:c16="http://schemas.microsoft.com/office/drawing/2014/chart" uri="{C3380CC4-5D6E-409C-BE32-E72D297353CC}">
              <c16:uniqueId val="{00000000-7AE9-4332-82DA-7AEC68C8D561}"/>
            </c:ext>
          </c:extLst>
        </c:ser>
        <c:dLbls>
          <c:showLegendKey val="0"/>
          <c:showVal val="0"/>
          <c:showCatName val="0"/>
          <c:showSerName val="0"/>
          <c:showPercent val="0"/>
          <c:showBubbleSize val="0"/>
        </c:dLbls>
        <c:marker val="1"/>
        <c:smooth val="0"/>
        <c:axId val="165304256"/>
        <c:axId val="165293216"/>
      </c:lineChart>
      <c:catAx>
        <c:axId val="16530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93216"/>
        <c:crosses val="autoZero"/>
        <c:auto val="1"/>
        <c:lblAlgn val="ctr"/>
        <c:lblOffset val="100"/>
        <c:noMultiLvlLbl val="0"/>
      </c:catAx>
      <c:valAx>
        <c:axId val="16529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[WA_Fn-UseC_-HR-Employee-Attrition.xlsx]Sheet2!PivotTable6</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Sheet2!$E$8:$E$11</c:f>
              <c:strCache>
                <c:ptCount val="3"/>
                <c:pt idx="0">
                  <c:v>Human Resources</c:v>
                </c:pt>
                <c:pt idx="1">
                  <c:v>Research &amp; Development</c:v>
                </c:pt>
                <c:pt idx="2">
                  <c:v>Sales</c:v>
                </c:pt>
              </c:strCache>
            </c:strRef>
          </c:cat>
          <c:val>
            <c:numRef>
              <c:f>Sheet2!$F$8:$F$11</c:f>
              <c:numCache>
                <c:formatCode>General</c:formatCode>
                <c:ptCount val="3"/>
                <c:pt idx="0">
                  <c:v>12</c:v>
                </c:pt>
                <c:pt idx="1">
                  <c:v>133</c:v>
                </c:pt>
                <c:pt idx="2">
                  <c:v>92</c:v>
                </c:pt>
              </c:numCache>
            </c:numRef>
          </c:val>
          <c:extLst>
            <c:ext xmlns:c16="http://schemas.microsoft.com/office/drawing/2014/chart" uri="{C3380CC4-5D6E-409C-BE32-E72D297353CC}">
              <c16:uniqueId val="{00000002-1820-4BCA-9FC3-2C55AB5D89A8}"/>
            </c:ext>
          </c:extLst>
        </c:ser>
        <c:dLbls>
          <c:dLblPos val="inEnd"/>
          <c:showLegendKey val="0"/>
          <c:showVal val="1"/>
          <c:showCatName val="0"/>
          <c:showSerName val="0"/>
          <c:showPercent val="0"/>
          <c:showBubbleSize val="0"/>
        </c:dLbls>
        <c:gapWidth val="65"/>
        <c:axId val="393796528"/>
        <c:axId val="676872016"/>
      </c:barChart>
      <c:catAx>
        <c:axId val="393796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6872016"/>
        <c:crosses val="autoZero"/>
        <c:auto val="1"/>
        <c:lblAlgn val="ctr"/>
        <c:lblOffset val="100"/>
        <c:noMultiLvlLbl val="0"/>
      </c:catAx>
      <c:valAx>
        <c:axId val="67687201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3796528"/>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[WA_Fn-UseC_-HR-Employee-Attrition.xlsx]Sheet2!PivotTable8</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Sheet2!$H$12:$H$21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Sheet2!$I$12:$I$21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5EF4-40C1-84C9-EB87BA188495}"/>
            </c:ext>
          </c:extLst>
        </c:ser>
        <c:dLbls>
          <c:dLblPos val="inEnd"/>
          <c:showLegendKey val="0"/>
          <c:showVal val="1"/>
          <c:showCatName val="0"/>
          <c:showSerName val="0"/>
          <c:showPercent val="0"/>
          <c:showBubbleSize val="0"/>
        </c:dLbls>
        <c:gapWidth val="65"/>
        <c:axId val="1225017664"/>
        <c:axId val="1225018624"/>
      </c:barChart>
      <c:catAx>
        <c:axId val="1225017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5018624"/>
        <c:crosses val="autoZero"/>
        <c:auto val="1"/>
        <c:lblAlgn val="ctr"/>
        <c:lblOffset val="100"/>
        <c:noMultiLvlLbl val="0"/>
      </c:catAx>
      <c:valAx>
        <c:axId val="122501862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2501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[WA_Fn-UseC_-HR-Employee-Attrition.xlsx]Sheet2!PivotTable11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Salary of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Sheet2!$D$16:$D$20</c:f>
              <c:strCache>
                <c:ptCount val="5"/>
                <c:pt idx="0">
                  <c:v>Executive</c:v>
                </c:pt>
                <c:pt idx="1">
                  <c:v>Junior employee</c:v>
                </c:pt>
                <c:pt idx="2">
                  <c:v>Manager</c:v>
                </c:pt>
                <c:pt idx="3">
                  <c:v>Mid-level</c:v>
                </c:pt>
                <c:pt idx="4">
                  <c:v>Senior</c:v>
                </c:pt>
              </c:strCache>
            </c:strRef>
          </c:cat>
          <c:val>
            <c:numRef>
              <c:f>Sheet2!$E$16:$E$20</c:f>
              <c:numCache>
                <c:formatCode>"$"#,##0.0</c:formatCode>
                <c:ptCount val="5"/>
                <c:pt idx="0">
                  <c:v>19191.82608695652</c:v>
                </c:pt>
                <c:pt idx="1">
                  <c:v>2786.9152854511972</c:v>
                </c:pt>
                <c:pt idx="2">
                  <c:v>15503.783018867925</c:v>
                </c:pt>
                <c:pt idx="3">
                  <c:v>5502.2771535580523</c:v>
                </c:pt>
                <c:pt idx="4">
                  <c:v>9817.2522935779816</c:v>
                </c:pt>
              </c:numCache>
            </c:numRef>
          </c:val>
          <c:extLst>
            <c:ext xmlns:c16="http://schemas.microsoft.com/office/drawing/2014/chart" uri="{C3380CC4-5D6E-409C-BE32-E72D297353CC}">
              <c16:uniqueId val="{00000000-8A39-481C-AC9E-06886B31E716}"/>
            </c:ext>
          </c:extLst>
        </c:ser>
        <c:dLbls>
          <c:dLblPos val="inEnd"/>
          <c:showLegendKey val="0"/>
          <c:showVal val="1"/>
          <c:showCatName val="0"/>
          <c:showSerName val="0"/>
          <c:showPercent val="0"/>
          <c:showBubbleSize val="0"/>
        </c:dLbls>
        <c:gapWidth val="65"/>
        <c:axId val="1683718112"/>
        <c:axId val="1683719072"/>
      </c:barChart>
      <c:catAx>
        <c:axId val="16837181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3719072"/>
        <c:crosses val="autoZero"/>
        <c:auto val="1"/>
        <c:lblAlgn val="ctr"/>
        <c:lblOffset val="100"/>
        <c:noMultiLvlLbl val="0"/>
      </c:catAx>
      <c:valAx>
        <c:axId val="16837190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371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[WA_Fn-UseC_-HR-Employee-Attrition.xlsx]Sheet2!PivotTable13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 Field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5.6782464144331931E-3"/>
              <c:y val="0.142912654134849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
              <c:y val="6.699030662571056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3.9747724901033087E-2"/>
              <c:y val="3.57281635337123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2.8391232072166515E-2"/>
              <c:y val="-2.2330102208570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1.4195616036083243E-2"/>
              <c:y val="-7.59223475091386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5.3943340937116328E-2"/>
              <c:y val="-8.48543883925667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Sheet2!$H$59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A1-4ECF-92B5-A57209ECCF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A1-4ECF-92B5-A57209ECCF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2A1-4ECF-92B5-A57209ECCFE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2A1-4ECF-92B5-A57209ECCFE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2A1-4ECF-92B5-A57209ECCFE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2A1-4ECF-92B5-A57209ECCFE3}"/>
              </c:ext>
            </c:extLst>
          </c:dPt>
          <c:dLbls>
            <c:dLbl>
              <c:idx val="0"/>
              <c:layout>
                <c:manualLayout>
                  <c:x val="5.6782464144331931E-3"/>
                  <c:y val="0.142912654134849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A1-4ECF-92B5-A57209ECCFE3}"/>
                </c:ext>
              </c:extLst>
            </c:dLbl>
            <c:dLbl>
              <c:idx val="1"/>
              <c:layout>
                <c:manualLayout>
                  <c:x val="0"/>
                  <c:y val="6.6990306625710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A1-4ECF-92B5-A57209ECCFE3}"/>
                </c:ext>
              </c:extLst>
            </c:dLbl>
            <c:dLbl>
              <c:idx val="2"/>
              <c:layout>
                <c:manualLayout>
                  <c:x val="-3.9747724901033087E-2"/>
                  <c:y val="3.5728163533712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A1-4ECF-92B5-A57209ECCFE3}"/>
                </c:ext>
              </c:extLst>
            </c:dLbl>
            <c:dLbl>
              <c:idx val="3"/>
              <c:layout>
                <c:manualLayout>
                  <c:x val="-2.8391232072166515E-2"/>
                  <c:y val="-2.233010220857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A1-4ECF-92B5-A57209ECCFE3}"/>
                </c:ext>
              </c:extLst>
            </c:dLbl>
            <c:dLbl>
              <c:idx val="4"/>
              <c:layout>
                <c:manualLayout>
                  <c:x val="-1.4195616036083243E-2"/>
                  <c:y val="-7.5922347509138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A1-4ECF-92B5-A57209ECCFE3}"/>
                </c:ext>
              </c:extLst>
            </c:dLbl>
            <c:dLbl>
              <c:idx val="5"/>
              <c:layout>
                <c:manualLayout>
                  <c:x val="5.3943340937116328E-2"/>
                  <c:y val="-8.4854388392566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2A1-4ECF-92B5-A57209ECCFE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Sheet2!$G$60:$G$65</c:f>
              <c:strCache>
                <c:ptCount val="6"/>
                <c:pt idx="0">
                  <c:v>Life Sciences</c:v>
                </c:pt>
                <c:pt idx="1">
                  <c:v>Medical</c:v>
                </c:pt>
                <c:pt idx="2">
                  <c:v>Marketing</c:v>
                </c:pt>
                <c:pt idx="3">
                  <c:v>Technical Degree</c:v>
                </c:pt>
                <c:pt idx="4">
                  <c:v>Other</c:v>
                </c:pt>
                <c:pt idx="5">
                  <c:v>Human Resources</c:v>
                </c:pt>
              </c:strCache>
            </c:strRef>
          </c:cat>
          <c:val>
            <c:numRef>
              <c:f>Sheet2!$H$60:$H$65</c:f>
              <c:numCache>
                <c:formatCode>0.00%</c:formatCode>
                <c:ptCount val="6"/>
                <c:pt idx="0">
                  <c:v>0.41224489795918368</c:v>
                </c:pt>
                <c:pt idx="1">
                  <c:v>0.31564625850340133</c:v>
                </c:pt>
                <c:pt idx="2">
                  <c:v>0.10816326530612246</c:v>
                </c:pt>
                <c:pt idx="3">
                  <c:v>8.9795918367346933E-2</c:v>
                </c:pt>
                <c:pt idx="4">
                  <c:v>5.5782312925170066E-2</c:v>
                </c:pt>
                <c:pt idx="5">
                  <c:v>1.8367346938775512E-2</c:v>
                </c:pt>
              </c:numCache>
            </c:numRef>
          </c:val>
          <c:extLst>
            <c:ext xmlns:c16="http://schemas.microsoft.com/office/drawing/2014/chart" uri="{C3380CC4-5D6E-409C-BE32-E72D297353CC}">
              <c16:uniqueId val="{0000000C-52A1-4ECF-92B5-A57209ECCFE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[WA_Fn-UseC_-HR-Employee-Attrition.xlsx]Sheet2!PivotTable17</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Work-Life Balance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Sheet2!$E$70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Sheet2!$D$71:$D$75</c:f>
              <c:strCache>
                <c:ptCount val="4"/>
                <c:pt idx="0">
                  <c:v>Bad</c:v>
                </c:pt>
                <c:pt idx="1">
                  <c:v>Good</c:v>
                </c:pt>
                <c:pt idx="2">
                  <c:v>Better</c:v>
                </c:pt>
                <c:pt idx="3">
                  <c:v>Best</c:v>
                </c:pt>
              </c:strCache>
            </c:strRef>
          </c:cat>
          <c:val>
            <c:numRef>
              <c:f>Sheet2!$E$71:$E$75</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0-0CB4-4B7E-A3B4-4A3172A86D7B}"/>
            </c:ext>
          </c:extLst>
        </c:ser>
        <c:dLbls>
          <c:dLblPos val="inEnd"/>
          <c:showLegendKey val="0"/>
          <c:showVal val="1"/>
          <c:showCatName val="0"/>
          <c:showSerName val="0"/>
          <c:showPercent val="0"/>
          <c:showBubbleSize val="0"/>
        </c:dLbls>
        <c:gapWidth val="65"/>
        <c:axId val="63829792"/>
        <c:axId val="63830272"/>
      </c:barChart>
      <c:catAx>
        <c:axId val="63829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830272"/>
        <c:crosses val="autoZero"/>
        <c:auto val="1"/>
        <c:lblAlgn val="ctr"/>
        <c:lblOffset val="100"/>
        <c:noMultiLvlLbl val="0"/>
      </c:catAx>
      <c:valAx>
        <c:axId val="63830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82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16670</xdr:colOff>
      <xdr:row>21</xdr:row>
      <xdr:rowOff>119062</xdr:rowOff>
    </xdr:from>
    <xdr:to>
      <xdr:col>10</xdr:col>
      <xdr:colOff>54770</xdr:colOff>
      <xdr:row>36</xdr:row>
      <xdr:rowOff>147637</xdr:rowOff>
    </xdr:to>
    <xdr:graphicFrame macro="">
      <xdr:nvGraphicFramePr>
        <xdr:cNvPr id="2" name="Chart 1">
          <a:extLst>
            <a:ext uri="{FF2B5EF4-FFF2-40B4-BE49-F238E27FC236}">
              <a16:creationId xmlns:a16="http://schemas.microsoft.com/office/drawing/2014/main" id="{84F6DDFF-1C0C-970C-66F6-B14D50DB3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997743</xdr:colOff>
      <xdr:row>75</xdr:row>
      <xdr:rowOff>90487</xdr:rowOff>
    </xdr:from>
    <xdr:to>
      <xdr:col>5</xdr:col>
      <xdr:colOff>916781</xdr:colOff>
      <xdr:row>90</xdr:row>
      <xdr:rowOff>119062</xdr:rowOff>
    </xdr:to>
    <xdr:graphicFrame macro="">
      <xdr:nvGraphicFramePr>
        <xdr:cNvPr id="15" name="Chart 14">
          <a:extLst>
            <a:ext uri="{FF2B5EF4-FFF2-40B4-BE49-F238E27FC236}">
              <a16:creationId xmlns:a16="http://schemas.microsoft.com/office/drawing/2014/main" id="{66F40103-4379-A269-C5C1-65D3152E8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636985</xdr:colOff>
      <xdr:row>34</xdr:row>
      <xdr:rowOff>0</xdr:rowOff>
    </xdr:to>
    <xdr:sp macro="" textlink="">
      <xdr:nvSpPr>
        <xdr:cNvPr id="4" name="Rectangle 3">
          <a:extLst>
            <a:ext uri="{FF2B5EF4-FFF2-40B4-BE49-F238E27FC236}">
              <a16:creationId xmlns:a16="http://schemas.microsoft.com/office/drawing/2014/main" id="{309FD40F-5AF2-96AD-7358-995669B061A9}"/>
            </a:ext>
          </a:extLst>
        </xdr:cNvPr>
        <xdr:cNvSpPr/>
      </xdr:nvSpPr>
      <xdr:spPr>
        <a:xfrm>
          <a:off x="0" y="0"/>
          <a:ext cx="1934766" cy="60721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3</xdr:col>
      <xdr:colOff>27609</xdr:colOff>
      <xdr:row>0</xdr:row>
      <xdr:rowOff>34511</xdr:rowOff>
    </xdr:from>
    <xdr:to>
      <xdr:col>10</xdr:col>
      <xdr:colOff>317501</xdr:colOff>
      <xdr:row>34</xdr:row>
      <xdr:rowOff>6902</xdr:rowOff>
    </xdr:to>
    <xdr:sp macro="" textlink="">
      <xdr:nvSpPr>
        <xdr:cNvPr id="22" name="Rectangle 21">
          <a:extLst>
            <a:ext uri="{FF2B5EF4-FFF2-40B4-BE49-F238E27FC236}">
              <a16:creationId xmlns:a16="http://schemas.microsoft.com/office/drawing/2014/main" id="{FB84E776-B4A4-6EE7-F827-FC18D909E677}"/>
            </a:ext>
          </a:extLst>
        </xdr:cNvPr>
        <xdr:cNvSpPr/>
      </xdr:nvSpPr>
      <xdr:spPr>
        <a:xfrm>
          <a:off x="1974022" y="34511"/>
          <a:ext cx="4831522" cy="60739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393424</xdr:colOff>
      <xdr:row>0</xdr:row>
      <xdr:rowOff>34511</xdr:rowOff>
    </xdr:from>
    <xdr:to>
      <xdr:col>24</xdr:col>
      <xdr:colOff>207066</xdr:colOff>
      <xdr:row>33</xdr:row>
      <xdr:rowOff>172555</xdr:rowOff>
    </xdr:to>
    <xdr:sp macro="" textlink="">
      <xdr:nvSpPr>
        <xdr:cNvPr id="19" name="Rectangle 18">
          <a:extLst>
            <a:ext uri="{FF2B5EF4-FFF2-40B4-BE49-F238E27FC236}">
              <a16:creationId xmlns:a16="http://schemas.microsoft.com/office/drawing/2014/main" id="{F87A6408-27F8-4548-50E7-1F3B8859CD2F}"/>
            </a:ext>
          </a:extLst>
        </xdr:cNvPr>
        <xdr:cNvSpPr/>
      </xdr:nvSpPr>
      <xdr:spPr>
        <a:xfrm>
          <a:off x="6881467" y="34511"/>
          <a:ext cx="8896903" cy="60601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593587</xdr:colOff>
      <xdr:row>0</xdr:row>
      <xdr:rowOff>0</xdr:rowOff>
    </xdr:from>
    <xdr:to>
      <xdr:col>24</xdr:col>
      <xdr:colOff>256143</xdr:colOff>
      <xdr:row>34</xdr:row>
      <xdr:rowOff>14653</xdr:rowOff>
    </xdr:to>
    <xdr:sp macro="" textlink="">
      <xdr:nvSpPr>
        <xdr:cNvPr id="2" name="Rectangle 1">
          <a:extLst>
            <a:ext uri="{FF2B5EF4-FFF2-40B4-BE49-F238E27FC236}">
              <a16:creationId xmlns:a16="http://schemas.microsoft.com/office/drawing/2014/main" id="{560F98AC-1871-A98F-2ECF-05294E200067}"/>
            </a:ext>
          </a:extLst>
        </xdr:cNvPr>
        <xdr:cNvSpPr/>
      </xdr:nvSpPr>
      <xdr:spPr>
        <a:xfrm>
          <a:off x="1891196" y="0"/>
          <a:ext cx="13936251" cy="6116175"/>
        </a:xfrm>
        <a:prstGeom prst="rect">
          <a:avLst/>
        </a:prstGeom>
        <a:solidFill>
          <a:schemeClr val="accent1">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213967</xdr:colOff>
      <xdr:row>1</xdr:row>
      <xdr:rowOff>37000</xdr:rowOff>
    </xdr:from>
    <xdr:to>
      <xdr:col>6</xdr:col>
      <xdr:colOff>422672</xdr:colOff>
      <xdr:row>8</xdr:row>
      <xdr:rowOff>13646</xdr:rowOff>
    </xdr:to>
    <xdr:sp macro="" textlink="Sheet2!G4">
      <xdr:nvSpPr>
        <xdr:cNvPr id="5" name="TextBox 4">
          <a:extLst>
            <a:ext uri="{FF2B5EF4-FFF2-40B4-BE49-F238E27FC236}">
              <a16:creationId xmlns:a16="http://schemas.microsoft.com/office/drawing/2014/main" id="{676781C7-718E-D80B-13F6-117D424B622C}"/>
            </a:ext>
          </a:extLst>
        </xdr:cNvPr>
        <xdr:cNvSpPr txBox="1"/>
      </xdr:nvSpPr>
      <xdr:spPr>
        <a:xfrm>
          <a:off x="2160640" y="215594"/>
          <a:ext cx="2155376" cy="1226802"/>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Calibri"/>
              <a:ea typeface="Calibri"/>
              <a:cs typeface="Calibri"/>
            </a:rPr>
            <a:t>Total Employees</a:t>
          </a:r>
        </a:p>
        <a:p>
          <a:pPr marL="0" indent="0" algn="ctr"/>
          <a:fld id="{7529D41A-0269-4CED-ACEB-4B92E6B8ED42}" type="TxLink">
            <a:rPr lang="en-US" sz="2400" b="1" i="0" u="none" strike="noStrike">
              <a:solidFill>
                <a:srgbClr val="000000"/>
              </a:solidFill>
              <a:latin typeface="Calibri"/>
              <a:ea typeface="Calibri"/>
              <a:cs typeface="Calibri"/>
            </a:rPr>
            <a:pPr marL="0" indent="0" algn="ctr"/>
            <a:t>1470</a:t>
          </a:fld>
          <a:endParaRPr lang="en-US" sz="2400" b="1" i="0" u="none" strike="noStrike">
            <a:solidFill>
              <a:srgbClr val="000000"/>
            </a:solidFill>
            <a:latin typeface="Calibri"/>
            <a:ea typeface="Calibri"/>
            <a:cs typeface="Calibri"/>
          </a:endParaRPr>
        </a:p>
      </xdr:txBody>
    </xdr:sp>
    <xdr:clientData/>
  </xdr:twoCellAnchor>
  <xdr:twoCellAnchor>
    <xdr:from>
      <xdr:col>6</xdr:col>
      <xdr:colOff>565831</xdr:colOff>
      <xdr:row>1</xdr:row>
      <xdr:rowOff>38208</xdr:rowOff>
    </xdr:from>
    <xdr:to>
      <xdr:col>10</xdr:col>
      <xdr:colOff>165652</xdr:colOff>
      <xdr:row>8</xdr:row>
      <xdr:rowOff>13804</xdr:rowOff>
    </xdr:to>
    <xdr:sp macro="" textlink="Sheet2!H4">
      <xdr:nvSpPr>
        <xdr:cNvPr id="6" name="TextBox 5">
          <a:extLst>
            <a:ext uri="{FF2B5EF4-FFF2-40B4-BE49-F238E27FC236}">
              <a16:creationId xmlns:a16="http://schemas.microsoft.com/office/drawing/2014/main" id="{F3496AD2-5D39-45D5-9236-DB69227C72C6}"/>
            </a:ext>
          </a:extLst>
        </xdr:cNvPr>
        <xdr:cNvSpPr txBox="1"/>
      </xdr:nvSpPr>
      <xdr:spPr>
        <a:xfrm>
          <a:off x="4458657" y="217665"/>
          <a:ext cx="2195038" cy="123179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Calibri"/>
              <a:ea typeface="Calibri"/>
              <a:cs typeface="Calibri"/>
            </a:rPr>
            <a:t>Avg Monthly Income</a:t>
          </a:r>
        </a:p>
        <a:p>
          <a:pPr marL="0" indent="0" algn="ctr"/>
          <a:fld id="{2261511E-CFDF-4655-92F1-DC35C8D42DBD}" type="TxLink">
            <a:rPr lang="en-US" sz="2400" b="1" i="0" u="none" strike="noStrike">
              <a:solidFill>
                <a:srgbClr val="000000"/>
              </a:solidFill>
              <a:latin typeface="Calibri"/>
              <a:ea typeface="Calibri"/>
              <a:cs typeface="Calibri"/>
            </a:rPr>
            <a:pPr marL="0" indent="0" algn="ctr"/>
            <a:t>$6,502.9</a:t>
          </a:fld>
          <a:endParaRPr lang="en-US" sz="2400" b="1" i="0" u="none" strike="noStrike">
            <a:solidFill>
              <a:srgbClr val="000000"/>
            </a:solidFill>
            <a:latin typeface="Calibri"/>
            <a:ea typeface="Calibri"/>
            <a:cs typeface="Calibri"/>
          </a:endParaRPr>
        </a:p>
      </xdr:txBody>
    </xdr:sp>
    <xdr:clientData/>
  </xdr:twoCellAnchor>
  <xdr:twoCellAnchor>
    <xdr:from>
      <xdr:col>3</xdr:col>
      <xdr:colOff>190156</xdr:colOff>
      <xdr:row>9</xdr:row>
      <xdr:rowOff>52813</xdr:rowOff>
    </xdr:from>
    <xdr:to>
      <xdr:col>6</xdr:col>
      <xdr:colOff>422671</xdr:colOff>
      <xdr:row>16</xdr:row>
      <xdr:rowOff>12020</xdr:rowOff>
    </xdr:to>
    <xdr:sp macro="" textlink="Sheet2!B68">
      <xdr:nvSpPr>
        <xdr:cNvPr id="7" name="TextBox 6">
          <a:extLst>
            <a:ext uri="{FF2B5EF4-FFF2-40B4-BE49-F238E27FC236}">
              <a16:creationId xmlns:a16="http://schemas.microsoft.com/office/drawing/2014/main" id="{18DB93AF-5E63-45D2-B605-271A28CAEB28}"/>
            </a:ext>
          </a:extLst>
        </xdr:cNvPr>
        <xdr:cNvSpPr txBox="1"/>
      </xdr:nvSpPr>
      <xdr:spPr>
        <a:xfrm>
          <a:off x="2136829" y="1660157"/>
          <a:ext cx="2179186" cy="120936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Calibri"/>
              <a:ea typeface="Calibri"/>
              <a:cs typeface="Calibri"/>
            </a:rPr>
            <a:t>% Attrition</a:t>
          </a:r>
        </a:p>
        <a:p>
          <a:pPr marL="0" indent="0" algn="ctr"/>
          <a:fld id="{A5578699-3B30-404E-B041-521260FE967D}" type="TxLink">
            <a:rPr lang="en-US" sz="2400" b="1" i="0" u="none" strike="noStrike">
              <a:solidFill>
                <a:srgbClr val="000000"/>
              </a:solidFill>
              <a:latin typeface="Calibri"/>
              <a:ea typeface="Calibri"/>
              <a:cs typeface="Calibri"/>
            </a:rPr>
            <a:pPr marL="0" indent="0" algn="ctr"/>
            <a:t>16%</a:t>
          </a:fld>
          <a:endParaRPr lang="en-US" sz="2400" b="1" i="0" u="none" strike="noStrike">
            <a:solidFill>
              <a:srgbClr val="000000"/>
            </a:solidFill>
            <a:latin typeface="Calibri"/>
            <a:ea typeface="Calibri"/>
            <a:cs typeface="Calibri"/>
          </a:endParaRPr>
        </a:p>
      </xdr:txBody>
    </xdr:sp>
    <xdr:clientData/>
  </xdr:twoCellAnchor>
  <xdr:twoCellAnchor>
    <xdr:from>
      <xdr:col>6</xdr:col>
      <xdr:colOff>565547</xdr:colOff>
      <xdr:row>9</xdr:row>
      <xdr:rowOff>55271</xdr:rowOff>
    </xdr:from>
    <xdr:to>
      <xdr:col>10</xdr:col>
      <xdr:colOff>154780</xdr:colOff>
      <xdr:row>16</xdr:row>
      <xdr:rowOff>17861</xdr:rowOff>
    </xdr:to>
    <xdr:sp macro="" textlink="Sheet2!G14">
      <xdr:nvSpPr>
        <xdr:cNvPr id="8" name="TextBox 7">
          <a:extLst>
            <a:ext uri="{FF2B5EF4-FFF2-40B4-BE49-F238E27FC236}">
              <a16:creationId xmlns:a16="http://schemas.microsoft.com/office/drawing/2014/main" id="{EAFCAF5A-C32A-4A1E-AD6C-D842927945B1}"/>
            </a:ext>
          </a:extLst>
        </xdr:cNvPr>
        <xdr:cNvSpPr txBox="1"/>
      </xdr:nvSpPr>
      <xdr:spPr>
        <a:xfrm>
          <a:off x="4458891" y="1662615"/>
          <a:ext cx="2184795" cy="1212746"/>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Calibri"/>
              <a:ea typeface="Calibri"/>
              <a:cs typeface="Calibri"/>
            </a:rPr>
            <a:t>Average Age</a:t>
          </a:r>
        </a:p>
        <a:p>
          <a:pPr marL="0" indent="0" algn="ctr"/>
          <a:fld id="{B115907D-7AEA-4667-BA11-19E71FE726CE}" type="TxLink">
            <a:rPr lang="en-US" sz="2400" b="1" i="0" u="none" strike="noStrike">
              <a:solidFill>
                <a:srgbClr val="000000"/>
              </a:solidFill>
              <a:latin typeface="Calibri"/>
              <a:ea typeface="Calibri"/>
              <a:cs typeface="Calibri"/>
            </a:rPr>
            <a:pPr marL="0" indent="0" algn="ctr"/>
            <a:t>37</a:t>
          </a:fld>
          <a:endParaRPr lang="en-US" sz="2400" b="1" i="0" u="none" strike="noStrike">
            <a:solidFill>
              <a:srgbClr val="000000"/>
            </a:solidFill>
            <a:latin typeface="Calibri"/>
            <a:ea typeface="Calibri"/>
            <a:cs typeface="Calibri"/>
          </a:endParaRPr>
        </a:p>
      </xdr:txBody>
    </xdr:sp>
    <xdr:clientData/>
  </xdr:twoCellAnchor>
  <xdr:twoCellAnchor>
    <xdr:from>
      <xdr:col>10</xdr:col>
      <xdr:colOff>476252</xdr:colOff>
      <xdr:row>0</xdr:row>
      <xdr:rowOff>144947</xdr:rowOff>
    </xdr:from>
    <xdr:to>
      <xdr:col>17</xdr:col>
      <xdr:colOff>476250</xdr:colOff>
      <xdr:row>16</xdr:row>
      <xdr:rowOff>77321</xdr:rowOff>
    </xdr:to>
    <xdr:graphicFrame macro="">
      <xdr:nvGraphicFramePr>
        <xdr:cNvPr id="9" name="Chart 8">
          <a:extLst>
            <a:ext uri="{FF2B5EF4-FFF2-40B4-BE49-F238E27FC236}">
              <a16:creationId xmlns:a16="http://schemas.microsoft.com/office/drawing/2014/main" id="{F5A839A6-4D21-4B70-B141-135BB13B5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559076</xdr:colOff>
      <xdr:row>0</xdr:row>
      <xdr:rowOff>136448</xdr:rowOff>
    </xdr:from>
    <xdr:to>
      <xdr:col>24</xdr:col>
      <xdr:colOff>144945</xdr:colOff>
      <xdr:row>16</xdr:row>
      <xdr:rowOff>82826</xdr:rowOff>
    </xdr:to>
    <xdr:graphicFrame macro="">
      <xdr:nvGraphicFramePr>
        <xdr:cNvPr id="10" name="Chart 9">
          <a:extLst>
            <a:ext uri="{FF2B5EF4-FFF2-40B4-BE49-F238E27FC236}">
              <a16:creationId xmlns:a16="http://schemas.microsoft.com/office/drawing/2014/main" id="{4C190E24-EB1C-4ACD-AE9C-D6180D997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473076</xdr:colOff>
      <xdr:row>16</xdr:row>
      <xdr:rowOff>150783</xdr:rowOff>
    </xdr:from>
    <xdr:to>
      <xdr:col>17</xdr:col>
      <xdr:colOff>469349</xdr:colOff>
      <xdr:row>32</xdr:row>
      <xdr:rowOff>158749</xdr:rowOff>
    </xdr:to>
    <xdr:graphicFrame macro="">
      <xdr:nvGraphicFramePr>
        <xdr:cNvPr id="14" name="Chart 13">
          <a:extLst>
            <a:ext uri="{FF2B5EF4-FFF2-40B4-BE49-F238E27FC236}">
              <a16:creationId xmlns:a16="http://schemas.microsoft.com/office/drawing/2014/main" id="{E0526A5B-018B-42F9-A96A-AD9A34701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142295</xdr:colOff>
      <xdr:row>19</xdr:row>
      <xdr:rowOff>76935</xdr:rowOff>
    </xdr:from>
    <xdr:to>
      <xdr:col>2</xdr:col>
      <xdr:colOff>464344</xdr:colOff>
      <xdr:row>26</xdr:row>
      <xdr:rowOff>39896</xdr:rowOff>
    </xdr:to>
    <mc:AlternateContent xmlns:mc="http://schemas.openxmlformats.org/markup-compatibility/2006" xmlns:a14="http://schemas.microsoft.com/office/drawing/2010/main">
      <mc:Choice Requires="a14">
        <xdr:graphicFrame macro="">
          <xdr:nvGraphicFramePr>
            <xdr:cNvPr id="15" name="BusinessTravel">
              <a:extLst>
                <a:ext uri="{FF2B5EF4-FFF2-40B4-BE49-F238E27FC236}">
                  <a16:creationId xmlns:a16="http://schemas.microsoft.com/office/drawing/2014/main" id="{F44510BB-71AB-41AB-A893-4D6810A164F5}"/>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42295" y="3486609"/>
              <a:ext cx="1619658" cy="121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200163</xdr:colOff>
      <xdr:row>17</xdr:row>
      <xdr:rowOff>1</xdr:rowOff>
    </xdr:from>
    <xdr:to>
      <xdr:col>10</xdr:col>
      <xdr:colOff>131142</xdr:colOff>
      <xdr:row>32</xdr:row>
      <xdr:rowOff>165652</xdr:rowOff>
    </xdr:to>
    <xdr:graphicFrame macro="">
      <xdr:nvGraphicFramePr>
        <xdr:cNvPr id="16" name="Chart 15">
          <a:extLst>
            <a:ext uri="{FF2B5EF4-FFF2-40B4-BE49-F238E27FC236}">
              <a16:creationId xmlns:a16="http://schemas.microsoft.com/office/drawing/2014/main" id="{8CBF8A29-1FA5-45A9-BE9C-4E652DC16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552175</xdr:colOff>
      <xdr:row>16</xdr:row>
      <xdr:rowOff>165653</xdr:rowOff>
    </xdr:from>
    <xdr:to>
      <xdr:col>24</xdr:col>
      <xdr:colOff>138111</xdr:colOff>
      <xdr:row>32</xdr:row>
      <xdr:rowOff>158750</xdr:rowOff>
    </xdr:to>
    <xdr:graphicFrame macro="">
      <xdr:nvGraphicFramePr>
        <xdr:cNvPr id="18" name="Chart 17">
          <a:extLst>
            <a:ext uri="{FF2B5EF4-FFF2-40B4-BE49-F238E27FC236}">
              <a16:creationId xmlns:a16="http://schemas.microsoft.com/office/drawing/2014/main" id="{E482ADEF-7661-43AE-9E21-DCFFE46FA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134653</xdr:colOff>
      <xdr:row>13</xdr:row>
      <xdr:rowOff>83156</xdr:rowOff>
    </xdr:from>
    <xdr:to>
      <xdr:col>2</xdr:col>
      <xdr:colOff>464344</xdr:colOff>
      <xdr:row>18</xdr:row>
      <xdr:rowOff>166687</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F06432F8-A896-4CE9-9900-AA6B55A2439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4653" y="2416091"/>
              <a:ext cx="1627300" cy="980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7.920513425925" createdVersion="8" refreshedVersion="8" minRefreshableVersion="3" recordCount="1470" xr:uid="{EDC8B228-250F-4F44-BA32-4A7E20E0AA6C}">
  <cacheSource type="worksheet">
    <worksheetSource name="Table1"/>
  </cacheSource>
  <cacheFields count="40">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ducation2" numFmtId="0">
      <sharedItems/>
    </cacheField>
    <cacheField name="Environment_Satisfaction" numFmtId="0">
      <sharedItems/>
    </cacheField>
    <cacheField name="Job_Involvement" numFmtId="0">
      <sharedItems/>
    </cacheField>
    <cacheField name="Job_Level" numFmtId="0">
      <sharedItems count="5">
        <s v="Mid-level"/>
        <s v="Junior employee"/>
        <s v="Senior"/>
        <s v="Manager"/>
        <s v="Executive"/>
      </sharedItems>
    </cacheField>
    <cacheField name="Job_Satisfaction" numFmtId="0">
      <sharedItems/>
    </cacheField>
    <cacheField name="Performance_rating" numFmtId="0">
      <sharedItems/>
    </cacheField>
    <cacheField name="Relationship_Satisfaction" numFmtId="0">
      <sharedItems/>
    </cacheField>
    <cacheField name="Worklife_Balance" numFmtId="0">
      <sharedItems count="4">
        <s v="Bad"/>
        <s v="Better"/>
        <s v="Good"/>
        <s v="Best"/>
      </sharedItems>
    </cacheField>
    <cacheField name="Stock_Option" numFmtId="0">
      <sharedItems/>
    </cacheField>
    <cacheField name="Distance_from_home" numFmtId="0">
      <sharedItems count="3">
        <s v="Near"/>
        <s v="Medium"/>
        <s v="Far"/>
      </sharedItems>
    </cacheField>
  </cacheFields>
  <extLst>
    <ext xmlns:x14="http://schemas.microsoft.com/office/spreadsheetml/2009/9/main" uri="{725AE2AE-9491-48be-B2B4-4EB974FC3084}">
      <x14:pivotCacheDefinition pivotCacheId="747626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x v="0"/>
    <n v="1"/>
    <n v="2"/>
    <x v="0"/>
    <n v="3"/>
    <n v="2"/>
    <x v="0"/>
    <n v="4"/>
    <s v="Single"/>
    <n v="5993"/>
    <n v="8"/>
    <x v="0"/>
    <n v="11"/>
    <n v="3"/>
    <n v="1"/>
    <n v="0"/>
    <n v="8"/>
    <n v="0"/>
    <n v="1"/>
    <n v="6"/>
    <n v="4"/>
    <n v="0"/>
    <n v="5"/>
    <s v="College"/>
    <s v="Medium"/>
    <s v="High"/>
    <x v="0"/>
    <s v="Very High"/>
    <s v="Excellent"/>
    <s v="Low"/>
    <x v="0"/>
    <s v="No_stock"/>
    <x v="0"/>
  </r>
  <r>
    <x v="1"/>
    <x v="1"/>
    <x v="1"/>
    <n v="279"/>
    <x v="1"/>
    <n v="8"/>
    <n v="1"/>
    <x v="0"/>
    <n v="2"/>
    <n v="3"/>
    <x v="1"/>
    <n v="2"/>
    <n v="2"/>
    <x v="1"/>
    <n v="2"/>
    <s v="Married"/>
    <n v="5130"/>
    <n v="1"/>
    <x v="1"/>
    <n v="23"/>
    <n v="4"/>
    <n v="4"/>
    <n v="1"/>
    <n v="10"/>
    <n v="3"/>
    <n v="3"/>
    <n v="10"/>
    <n v="7"/>
    <n v="1"/>
    <n v="7"/>
    <s v="Before College"/>
    <s v="High"/>
    <s v="Medium"/>
    <x v="0"/>
    <s v="Medium"/>
    <s v="Outstanding"/>
    <s v="Very High"/>
    <x v="1"/>
    <s v="Low"/>
    <x v="1"/>
  </r>
  <r>
    <x v="2"/>
    <x v="0"/>
    <x v="0"/>
    <n v="1373"/>
    <x v="1"/>
    <n v="2"/>
    <n v="2"/>
    <x v="1"/>
    <n v="4"/>
    <n v="4"/>
    <x v="1"/>
    <n v="2"/>
    <n v="1"/>
    <x v="2"/>
    <n v="3"/>
    <s v="Single"/>
    <n v="2090"/>
    <n v="6"/>
    <x v="0"/>
    <n v="15"/>
    <n v="3"/>
    <n v="2"/>
    <n v="0"/>
    <n v="7"/>
    <n v="3"/>
    <n v="3"/>
    <n v="0"/>
    <n v="0"/>
    <n v="0"/>
    <n v="0"/>
    <s v="College"/>
    <s v="Very High"/>
    <s v="Medium"/>
    <x v="1"/>
    <s v="High"/>
    <s v="Excellent"/>
    <s v="Medium"/>
    <x v="1"/>
    <s v="No_stock"/>
    <x v="0"/>
  </r>
  <r>
    <x v="3"/>
    <x v="1"/>
    <x v="1"/>
    <n v="1392"/>
    <x v="1"/>
    <n v="3"/>
    <n v="4"/>
    <x v="0"/>
    <n v="5"/>
    <n v="4"/>
    <x v="0"/>
    <n v="3"/>
    <n v="1"/>
    <x v="1"/>
    <n v="3"/>
    <s v="Married"/>
    <n v="2909"/>
    <n v="1"/>
    <x v="0"/>
    <n v="11"/>
    <n v="3"/>
    <n v="3"/>
    <n v="0"/>
    <n v="8"/>
    <n v="3"/>
    <n v="3"/>
    <n v="8"/>
    <n v="7"/>
    <n v="3"/>
    <n v="0"/>
    <s v="Master"/>
    <s v="Very High"/>
    <s v="High"/>
    <x v="1"/>
    <s v="High"/>
    <s v="Excellent"/>
    <s v="High"/>
    <x v="1"/>
    <s v="No_stock"/>
    <x v="0"/>
  </r>
  <r>
    <x v="4"/>
    <x v="1"/>
    <x v="0"/>
    <n v="591"/>
    <x v="1"/>
    <n v="2"/>
    <n v="1"/>
    <x v="2"/>
    <n v="7"/>
    <n v="1"/>
    <x v="1"/>
    <n v="3"/>
    <n v="1"/>
    <x v="2"/>
    <n v="2"/>
    <s v="Married"/>
    <n v="3468"/>
    <n v="9"/>
    <x v="1"/>
    <n v="12"/>
    <n v="3"/>
    <n v="4"/>
    <n v="1"/>
    <n v="6"/>
    <n v="3"/>
    <n v="3"/>
    <n v="2"/>
    <n v="2"/>
    <n v="2"/>
    <n v="2"/>
    <s v="Before College"/>
    <s v="Low"/>
    <s v="High"/>
    <x v="1"/>
    <s v="Medium"/>
    <s v="Excellent"/>
    <s v="Very High"/>
    <x v="1"/>
    <s v="Low"/>
    <x v="0"/>
  </r>
  <r>
    <x v="5"/>
    <x v="1"/>
    <x v="1"/>
    <n v="1005"/>
    <x v="1"/>
    <n v="2"/>
    <n v="2"/>
    <x v="0"/>
    <n v="8"/>
    <n v="4"/>
    <x v="1"/>
    <n v="3"/>
    <n v="1"/>
    <x v="2"/>
    <n v="4"/>
    <s v="Single"/>
    <n v="3068"/>
    <n v="0"/>
    <x v="1"/>
    <n v="13"/>
    <n v="3"/>
    <n v="3"/>
    <n v="0"/>
    <n v="8"/>
    <n v="2"/>
    <n v="2"/>
    <n v="7"/>
    <n v="7"/>
    <n v="3"/>
    <n v="6"/>
    <s v="College"/>
    <s v="Very High"/>
    <s v="High"/>
    <x v="1"/>
    <s v="Very High"/>
    <s v="Excellent"/>
    <s v="High"/>
    <x v="2"/>
    <s v="No_stock"/>
    <x v="0"/>
  </r>
  <r>
    <x v="6"/>
    <x v="1"/>
    <x v="0"/>
    <n v="1324"/>
    <x v="1"/>
    <n v="3"/>
    <n v="3"/>
    <x v="2"/>
    <n v="10"/>
    <n v="3"/>
    <x v="0"/>
    <n v="4"/>
    <n v="1"/>
    <x v="2"/>
    <n v="1"/>
    <s v="Married"/>
    <n v="2670"/>
    <n v="4"/>
    <x v="0"/>
    <n v="20"/>
    <n v="4"/>
    <n v="1"/>
    <n v="3"/>
    <n v="12"/>
    <n v="3"/>
    <n v="2"/>
    <n v="1"/>
    <n v="0"/>
    <n v="0"/>
    <n v="0"/>
    <s v="Bachelor"/>
    <s v="High"/>
    <s v="Very High"/>
    <x v="1"/>
    <s v="Low"/>
    <s v="Outstanding"/>
    <s v="Low"/>
    <x v="2"/>
    <s v="High"/>
    <x v="0"/>
  </r>
  <r>
    <x v="7"/>
    <x v="1"/>
    <x v="0"/>
    <n v="1358"/>
    <x v="1"/>
    <n v="24"/>
    <n v="1"/>
    <x v="0"/>
    <n v="11"/>
    <n v="4"/>
    <x v="1"/>
    <n v="3"/>
    <n v="1"/>
    <x v="2"/>
    <n v="3"/>
    <s v="Divorced"/>
    <n v="2693"/>
    <n v="1"/>
    <x v="1"/>
    <n v="22"/>
    <n v="4"/>
    <n v="2"/>
    <n v="1"/>
    <n v="1"/>
    <n v="2"/>
    <n v="3"/>
    <n v="1"/>
    <n v="0"/>
    <n v="0"/>
    <n v="0"/>
    <s v="Before College"/>
    <s v="Very High"/>
    <s v="High"/>
    <x v="1"/>
    <s v="High"/>
    <s v="Outstanding"/>
    <s v="Medium"/>
    <x v="1"/>
    <s v="Low"/>
    <x v="2"/>
  </r>
  <r>
    <x v="8"/>
    <x v="1"/>
    <x v="1"/>
    <n v="216"/>
    <x v="1"/>
    <n v="23"/>
    <n v="3"/>
    <x v="0"/>
    <n v="12"/>
    <n v="4"/>
    <x v="1"/>
    <n v="2"/>
    <n v="3"/>
    <x v="3"/>
    <n v="3"/>
    <s v="Single"/>
    <n v="9526"/>
    <n v="0"/>
    <x v="1"/>
    <n v="21"/>
    <n v="4"/>
    <n v="2"/>
    <n v="0"/>
    <n v="10"/>
    <n v="2"/>
    <n v="3"/>
    <n v="9"/>
    <n v="7"/>
    <n v="1"/>
    <n v="8"/>
    <s v="Bachelor"/>
    <s v="Very High"/>
    <s v="Medium"/>
    <x v="2"/>
    <s v="High"/>
    <s v="Outstanding"/>
    <s v="Medium"/>
    <x v="1"/>
    <s v="No_stock"/>
    <x v="2"/>
  </r>
  <r>
    <x v="9"/>
    <x v="1"/>
    <x v="0"/>
    <n v="1299"/>
    <x v="1"/>
    <n v="27"/>
    <n v="3"/>
    <x v="2"/>
    <n v="13"/>
    <n v="3"/>
    <x v="1"/>
    <n v="3"/>
    <n v="2"/>
    <x v="4"/>
    <n v="3"/>
    <s v="Married"/>
    <n v="5237"/>
    <n v="6"/>
    <x v="1"/>
    <n v="13"/>
    <n v="3"/>
    <n v="2"/>
    <n v="2"/>
    <n v="17"/>
    <n v="3"/>
    <n v="2"/>
    <n v="7"/>
    <n v="7"/>
    <n v="7"/>
    <n v="7"/>
    <s v="Bachelor"/>
    <s v="High"/>
    <s v="High"/>
    <x v="0"/>
    <s v="High"/>
    <s v="Excellent"/>
    <s v="Medium"/>
    <x v="2"/>
    <s v="Medium"/>
    <x v="2"/>
  </r>
  <r>
    <x v="10"/>
    <x v="1"/>
    <x v="0"/>
    <n v="809"/>
    <x v="1"/>
    <n v="16"/>
    <n v="3"/>
    <x v="2"/>
    <n v="14"/>
    <n v="1"/>
    <x v="1"/>
    <n v="4"/>
    <n v="1"/>
    <x v="2"/>
    <n v="2"/>
    <s v="Married"/>
    <n v="2426"/>
    <n v="0"/>
    <x v="1"/>
    <n v="13"/>
    <n v="3"/>
    <n v="3"/>
    <n v="1"/>
    <n v="6"/>
    <n v="5"/>
    <n v="3"/>
    <n v="5"/>
    <n v="4"/>
    <n v="0"/>
    <n v="3"/>
    <s v="Bachelor"/>
    <s v="Low"/>
    <s v="Very High"/>
    <x v="1"/>
    <s v="Medium"/>
    <s v="Excellent"/>
    <s v="High"/>
    <x v="1"/>
    <s v="Low"/>
    <x v="2"/>
  </r>
  <r>
    <x v="11"/>
    <x v="1"/>
    <x v="0"/>
    <n v="153"/>
    <x v="1"/>
    <n v="15"/>
    <n v="2"/>
    <x v="0"/>
    <n v="15"/>
    <n v="4"/>
    <x v="0"/>
    <n v="2"/>
    <n v="2"/>
    <x v="2"/>
    <n v="3"/>
    <s v="Single"/>
    <n v="4193"/>
    <n v="0"/>
    <x v="0"/>
    <n v="12"/>
    <n v="3"/>
    <n v="4"/>
    <n v="0"/>
    <n v="10"/>
    <n v="3"/>
    <n v="3"/>
    <n v="9"/>
    <n v="5"/>
    <n v="0"/>
    <n v="8"/>
    <s v="College"/>
    <s v="Very High"/>
    <s v="Medium"/>
    <x v="0"/>
    <s v="High"/>
    <s v="Excellent"/>
    <s v="Very High"/>
    <x v="1"/>
    <s v="No_stock"/>
    <x v="1"/>
  </r>
  <r>
    <x v="12"/>
    <x v="1"/>
    <x v="0"/>
    <n v="670"/>
    <x v="1"/>
    <n v="26"/>
    <n v="1"/>
    <x v="0"/>
    <n v="16"/>
    <n v="1"/>
    <x v="1"/>
    <n v="3"/>
    <n v="1"/>
    <x v="1"/>
    <n v="3"/>
    <s v="Divorced"/>
    <n v="2911"/>
    <n v="1"/>
    <x v="1"/>
    <n v="17"/>
    <n v="3"/>
    <n v="4"/>
    <n v="1"/>
    <n v="5"/>
    <n v="1"/>
    <n v="2"/>
    <n v="5"/>
    <n v="2"/>
    <n v="4"/>
    <n v="3"/>
    <s v="Before College"/>
    <s v="Low"/>
    <s v="High"/>
    <x v="1"/>
    <s v="High"/>
    <s v="Excellent"/>
    <s v="Very High"/>
    <x v="2"/>
    <s v="Low"/>
    <x v="2"/>
  </r>
  <r>
    <x v="13"/>
    <x v="1"/>
    <x v="0"/>
    <n v="1346"/>
    <x v="1"/>
    <n v="19"/>
    <n v="2"/>
    <x v="2"/>
    <n v="18"/>
    <n v="2"/>
    <x v="1"/>
    <n v="3"/>
    <n v="1"/>
    <x v="2"/>
    <n v="4"/>
    <s v="Divorced"/>
    <n v="2661"/>
    <n v="0"/>
    <x v="1"/>
    <n v="11"/>
    <n v="3"/>
    <n v="3"/>
    <n v="1"/>
    <n v="3"/>
    <n v="2"/>
    <n v="3"/>
    <n v="2"/>
    <n v="2"/>
    <n v="1"/>
    <n v="2"/>
    <s v="College"/>
    <s v="Medium"/>
    <s v="High"/>
    <x v="1"/>
    <s v="Very High"/>
    <s v="Excellent"/>
    <s v="High"/>
    <x v="1"/>
    <s v="Low"/>
    <x v="2"/>
  </r>
  <r>
    <x v="14"/>
    <x v="0"/>
    <x v="0"/>
    <n v="103"/>
    <x v="1"/>
    <n v="24"/>
    <n v="3"/>
    <x v="0"/>
    <n v="19"/>
    <n v="3"/>
    <x v="1"/>
    <n v="2"/>
    <n v="1"/>
    <x v="2"/>
    <n v="3"/>
    <s v="Single"/>
    <n v="2028"/>
    <n v="5"/>
    <x v="0"/>
    <n v="14"/>
    <n v="3"/>
    <n v="2"/>
    <n v="0"/>
    <n v="6"/>
    <n v="4"/>
    <n v="3"/>
    <n v="4"/>
    <n v="2"/>
    <n v="0"/>
    <n v="3"/>
    <s v="Bachelor"/>
    <s v="High"/>
    <s v="Medium"/>
    <x v="1"/>
    <s v="High"/>
    <s v="Excellent"/>
    <s v="Medium"/>
    <x v="1"/>
    <s v="No_stock"/>
    <x v="2"/>
  </r>
  <r>
    <x v="11"/>
    <x v="1"/>
    <x v="0"/>
    <n v="1389"/>
    <x v="1"/>
    <n v="21"/>
    <n v="4"/>
    <x v="0"/>
    <n v="20"/>
    <n v="2"/>
    <x v="0"/>
    <n v="4"/>
    <n v="3"/>
    <x v="3"/>
    <n v="1"/>
    <s v="Divorced"/>
    <n v="9980"/>
    <n v="1"/>
    <x v="1"/>
    <n v="11"/>
    <n v="3"/>
    <n v="3"/>
    <n v="1"/>
    <n v="10"/>
    <n v="1"/>
    <n v="3"/>
    <n v="10"/>
    <n v="9"/>
    <n v="8"/>
    <n v="8"/>
    <s v="Master"/>
    <s v="Medium"/>
    <s v="Very High"/>
    <x v="2"/>
    <s v="Low"/>
    <s v="Excellent"/>
    <s v="High"/>
    <x v="1"/>
    <s v="Low"/>
    <x v="2"/>
  </r>
  <r>
    <x v="5"/>
    <x v="1"/>
    <x v="0"/>
    <n v="334"/>
    <x v="1"/>
    <n v="5"/>
    <n v="2"/>
    <x v="0"/>
    <n v="21"/>
    <n v="1"/>
    <x v="1"/>
    <n v="4"/>
    <n v="1"/>
    <x v="1"/>
    <n v="2"/>
    <s v="Divorced"/>
    <n v="3298"/>
    <n v="0"/>
    <x v="0"/>
    <n v="12"/>
    <n v="3"/>
    <n v="4"/>
    <n v="2"/>
    <n v="7"/>
    <n v="5"/>
    <n v="2"/>
    <n v="6"/>
    <n v="2"/>
    <n v="0"/>
    <n v="5"/>
    <s v="College"/>
    <s v="Low"/>
    <s v="Very High"/>
    <x v="1"/>
    <s v="Medium"/>
    <s v="Excellent"/>
    <s v="Very High"/>
    <x v="2"/>
    <s v="Medium"/>
    <x v="0"/>
  </r>
  <r>
    <x v="15"/>
    <x v="1"/>
    <x v="2"/>
    <n v="1123"/>
    <x v="1"/>
    <n v="16"/>
    <n v="2"/>
    <x v="2"/>
    <n v="22"/>
    <n v="4"/>
    <x v="1"/>
    <n v="4"/>
    <n v="1"/>
    <x v="2"/>
    <n v="4"/>
    <s v="Divorced"/>
    <n v="2935"/>
    <n v="1"/>
    <x v="0"/>
    <n v="13"/>
    <n v="3"/>
    <n v="2"/>
    <n v="2"/>
    <n v="1"/>
    <n v="2"/>
    <n v="2"/>
    <n v="1"/>
    <n v="0"/>
    <n v="0"/>
    <n v="0"/>
    <s v="College"/>
    <s v="Very High"/>
    <s v="Very High"/>
    <x v="1"/>
    <s v="Very High"/>
    <s v="Excellent"/>
    <s v="Medium"/>
    <x v="2"/>
    <s v="Medium"/>
    <x v="2"/>
  </r>
  <r>
    <x v="16"/>
    <x v="1"/>
    <x v="0"/>
    <n v="1219"/>
    <x v="0"/>
    <n v="2"/>
    <n v="4"/>
    <x v="0"/>
    <n v="23"/>
    <n v="1"/>
    <x v="0"/>
    <n v="2"/>
    <n v="4"/>
    <x v="5"/>
    <n v="4"/>
    <s v="Married"/>
    <n v="15427"/>
    <n v="2"/>
    <x v="1"/>
    <n v="16"/>
    <n v="3"/>
    <n v="3"/>
    <n v="0"/>
    <n v="31"/>
    <n v="3"/>
    <n v="3"/>
    <n v="25"/>
    <n v="8"/>
    <n v="3"/>
    <n v="7"/>
    <s v="Master"/>
    <s v="Low"/>
    <s v="Medium"/>
    <x v="3"/>
    <s v="Very High"/>
    <s v="Excellent"/>
    <s v="High"/>
    <x v="1"/>
    <s v="No_stock"/>
    <x v="0"/>
  </r>
  <r>
    <x v="8"/>
    <x v="1"/>
    <x v="0"/>
    <n v="371"/>
    <x v="1"/>
    <n v="2"/>
    <n v="3"/>
    <x v="0"/>
    <n v="24"/>
    <n v="4"/>
    <x v="1"/>
    <n v="3"/>
    <n v="1"/>
    <x v="1"/>
    <n v="4"/>
    <s v="Single"/>
    <n v="3944"/>
    <n v="5"/>
    <x v="0"/>
    <n v="11"/>
    <n v="3"/>
    <n v="3"/>
    <n v="0"/>
    <n v="6"/>
    <n v="3"/>
    <n v="3"/>
    <n v="3"/>
    <n v="2"/>
    <n v="1"/>
    <n v="2"/>
    <s v="Bachelor"/>
    <s v="Very High"/>
    <s v="High"/>
    <x v="1"/>
    <s v="Very High"/>
    <s v="Excellent"/>
    <s v="High"/>
    <x v="1"/>
    <s v="No_stock"/>
    <x v="0"/>
  </r>
  <r>
    <x v="17"/>
    <x v="1"/>
    <x v="2"/>
    <n v="673"/>
    <x v="1"/>
    <n v="11"/>
    <n v="2"/>
    <x v="1"/>
    <n v="26"/>
    <n v="1"/>
    <x v="0"/>
    <n v="4"/>
    <n v="2"/>
    <x v="3"/>
    <n v="3"/>
    <s v="Divorced"/>
    <n v="4011"/>
    <n v="0"/>
    <x v="1"/>
    <n v="18"/>
    <n v="3"/>
    <n v="4"/>
    <n v="1"/>
    <n v="5"/>
    <n v="5"/>
    <n v="2"/>
    <n v="4"/>
    <n v="2"/>
    <n v="1"/>
    <n v="3"/>
    <s v="College"/>
    <s v="Low"/>
    <s v="Very High"/>
    <x v="0"/>
    <s v="High"/>
    <s v="Excellent"/>
    <s v="Very High"/>
    <x v="2"/>
    <s v="Low"/>
    <x v="1"/>
  </r>
  <r>
    <x v="9"/>
    <x v="0"/>
    <x v="0"/>
    <n v="1218"/>
    <x v="0"/>
    <n v="9"/>
    <n v="4"/>
    <x v="0"/>
    <n v="27"/>
    <n v="3"/>
    <x v="1"/>
    <n v="2"/>
    <n v="1"/>
    <x v="6"/>
    <n v="1"/>
    <s v="Single"/>
    <n v="3407"/>
    <n v="7"/>
    <x v="1"/>
    <n v="23"/>
    <n v="4"/>
    <n v="2"/>
    <n v="0"/>
    <n v="10"/>
    <n v="4"/>
    <n v="3"/>
    <n v="5"/>
    <n v="3"/>
    <n v="0"/>
    <n v="3"/>
    <s v="Master"/>
    <s v="High"/>
    <s v="Medium"/>
    <x v="1"/>
    <s v="Low"/>
    <s v="Outstanding"/>
    <s v="Medium"/>
    <x v="1"/>
    <s v="No_stock"/>
    <x v="1"/>
  </r>
  <r>
    <x v="13"/>
    <x v="1"/>
    <x v="0"/>
    <n v="419"/>
    <x v="1"/>
    <n v="7"/>
    <n v="4"/>
    <x v="0"/>
    <n v="28"/>
    <n v="1"/>
    <x v="0"/>
    <n v="3"/>
    <n v="3"/>
    <x v="7"/>
    <n v="2"/>
    <s v="Single"/>
    <n v="11994"/>
    <n v="0"/>
    <x v="1"/>
    <n v="11"/>
    <n v="3"/>
    <n v="3"/>
    <n v="0"/>
    <n v="13"/>
    <n v="4"/>
    <n v="3"/>
    <n v="12"/>
    <n v="6"/>
    <n v="2"/>
    <n v="11"/>
    <s v="Master"/>
    <s v="Low"/>
    <s v="High"/>
    <x v="2"/>
    <s v="Medium"/>
    <s v="Excellent"/>
    <s v="High"/>
    <x v="1"/>
    <s v="No_stock"/>
    <x v="1"/>
  </r>
  <r>
    <x v="18"/>
    <x v="1"/>
    <x v="0"/>
    <n v="391"/>
    <x v="1"/>
    <n v="15"/>
    <n v="2"/>
    <x v="0"/>
    <n v="30"/>
    <n v="3"/>
    <x v="1"/>
    <n v="3"/>
    <n v="1"/>
    <x v="1"/>
    <n v="4"/>
    <s v="Single"/>
    <n v="1232"/>
    <n v="1"/>
    <x v="1"/>
    <n v="14"/>
    <n v="3"/>
    <n v="4"/>
    <n v="0"/>
    <n v="0"/>
    <n v="6"/>
    <n v="3"/>
    <n v="0"/>
    <n v="0"/>
    <n v="0"/>
    <n v="0"/>
    <s v="College"/>
    <s v="High"/>
    <s v="High"/>
    <x v="1"/>
    <s v="Very High"/>
    <s v="Excellent"/>
    <s v="Very High"/>
    <x v="1"/>
    <s v="No_stock"/>
    <x v="1"/>
  </r>
  <r>
    <x v="13"/>
    <x v="0"/>
    <x v="0"/>
    <n v="699"/>
    <x v="1"/>
    <n v="6"/>
    <n v="1"/>
    <x v="2"/>
    <n v="31"/>
    <n v="2"/>
    <x v="1"/>
    <n v="3"/>
    <n v="1"/>
    <x v="1"/>
    <n v="1"/>
    <s v="Single"/>
    <n v="2960"/>
    <n v="2"/>
    <x v="1"/>
    <n v="11"/>
    <n v="3"/>
    <n v="3"/>
    <n v="0"/>
    <n v="8"/>
    <n v="2"/>
    <n v="3"/>
    <n v="4"/>
    <n v="2"/>
    <n v="1"/>
    <n v="3"/>
    <s v="Before College"/>
    <s v="Medium"/>
    <s v="High"/>
    <x v="1"/>
    <s v="Low"/>
    <s v="Excellent"/>
    <s v="High"/>
    <x v="1"/>
    <s v="No_stock"/>
    <x v="1"/>
  </r>
  <r>
    <x v="16"/>
    <x v="1"/>
    <x v="0"/>
    <n v="1282"/>
    <x v="1"/>
    <n v="5"/>
    <n v="3"/>
    <x v="1"/>
    <n v="32"/>
    <n v="3"/>
    <x v="0"/>
    <n v="3"/>
    <n v="5"/>
    <x v="5"/>
    <n v="3"/>
    <s v="Divorced"/>
    <n v="19094"/>
    <n v="4"/>
    <x v="1"/>
    <n v="11"/>
    <n v="3"/>
    <n v="4"/>
    <n v="1"/>
    <n v="26"/>
    <n v="3"/>
    <n v="2"/>
    <n v="14"/>
    <n v="13"/>
    <n v="4"/>
    <n v="8"/>
    <s v="Bachelor"/>
    <s v="High"/>
    <s v="High"/>
    <x v="4"/>
    <s v="High"/>
    <s v="Excellent"/>
    <s v="Very High"/>
    <x v="2"/>
    <s v="Low"/>
    <x v="0"/>
  </r>
  <r>
    <x v="5"/>
    <x v="0"/>
    <x v="1"/>
    <n v="1125"/>
    <x v="1"/>
    <n v="16"/>
    <n v="1"/>
    <x v="0"/>
    <n v="33"/>
    <n v="2"/>
    <x v="0"/>
    <n v="1"/>
    <n v="1"/>
    <x v="1"/>
    <n v="1"/>
    <s v="Single"/>
    <n v="3919"/>
    <n v="1"/>
    <x v="0"/>
    <n v="22"/>
    <n v="4"/>
    <n v="2"/>
    <n v="0"/>
    <n v="10"/>
    <n v="5"/>
    <n v="3"/>
    <n v="10"/>
    <n v="2"/>
    <n v="6"/>
    <n v="7"/>
    <s v="Before College"/>
    <s v="Medium"/>
    <s v="Low"/>
    <x v="1"/>
    <s v="Low"/>
    <s v="Outstanding"/>
    <s v="Medium"/>
    <x v="1"/>
    <s v="No_stock"/>
    <x v="2"/>
  </r>
  <r>
    <x v="19"/>
    <x v="1"/>
    <x v="0"/>
    <n v="691"/>
    <x v="0"/>
    <n v="8"/>
    <n v="4"/>
    <x v="3"/>
    <n v="35"/>
    <n v="3"/>
    <x v="1"/>
    <n v="3"/>
    <n v="2"/>
    <x v="0"/>
    <n v="2"/>
    <s v="Married"/>
    <n v="6825"/>
    <n v="0"/>
    <x v="1"/>
    <n v="11"/>
    <n v="3"/>
    <n v="4"/>
    <n v="1"/>
    <n v="10"/>
    <n v="2"/>
    <n v="3"/>
    <n v="9"/>
    <n v="7"/>
    <n v="4"/>
    <n v="2"/>
    <s v="Master"/>
    <s v="High"/>
    <s v="High"/>
    <x v="0"/>
    <s v="Medium"/>
    <s v="Excellent"/>
    <s v="Very High"/>
    <x v="1"/>
    <s v="Low"/>
    <x v="1"/>
  </r>
  <r>
    <x v="20"/>
    <x v="1"/>
    <x v="0"/>
    <n v="477"/>
    <x v="1"/>
    <n v="7"/>
    <n v="4"/>
    <x v="2"/>
    <n v="36"/>
    <n v="1"/>
    <x v="0"/>
    <n v="2"/>
    <n v="3"/>
    <x v="4"/>
    <n v="4"/>
    <s v="Married"/>
    <n v="10248"/>
    <n v="3"/>
    <x v="1"/>
    <n v="14"/>
    <n v="3"/>
    <n v="4"/>
    <n v="1"/>
    <n v="24"/>
    <n v="4"/>
    <n v="3"/>
    <n v="22"/>
    <n v="6"/>
    <n v="5"/>
    <n v="17"/>
    <s v="Master"/>
    <s v="Low"/>
    <s v="Medium"/>
    <x v="2"/>
    <s v="Very High"/>
    <s v="Excellent"/>
    <s v="Very High"/>
    <x v="1"/>
    <s v="Low"/>
    <x v="1"/>
  </r>
  <r>
    <x v="21"/>
    <x v="1"/>
    <x v="0"/>
    <n v="705"/>
    <x v="0"/>
    <n v="2"/>
    <n v="4"/>
    <x v="3"/>
    <n v="38"/>
    <n v="2"/>
    <x v="0"/>
    <n v="3"/>
    <n v="5"/>
    <x v="5"/>
    <n v="1"/>
    <s v="Single"/>
    <n v="18947"/>
    <n v="3"/>
    <x v="1"/>
    <n v="12"/>
    <n v="3"/>
    <n v="4"/>
    <n v="0"/>
    <n v="22"/>
    <n v="2"/>
    <n v="2"/>
    <n v="2"/>
    <n v="2"/>
    <n v="2"/>
    <n v="1"/>
    <s v="Master"/>
    <s v="Medium"/>
    <s v="High"/>
    <x v="4"/>
    <s v="Low"/>
    <s v="Excellent"/>
    <s v="Very High"/>
    <x v="2"/>
    <s v="No_stock"/>
    <x v="0"/>
  </r>
  <r>
    <x v="3"/>
    <x v="1"/>
    <x v="0"/>
    <n v="924"/>
    <x v="1"/>
    <n v="2"/>
    <n v="3"/>
    <x v="2"/>
    <n v="39"/>
    <n v="3"/>
    <x v="1"/>
    <n v="3"/>
    <n v="1"/>
    <x v="2"/>
    <n v="4"/>
    <s v="Single"/>
    <n v="2496"/>
    <n v="4"/>
    <x v="1"/>
    <n v="11"/>
    <n v="3"/>
    <n v="4"/>
    <n v="0"/>
    <n v="7"/>
    <n v="3"/>
    <n v="3"/>
    <n v="1"/>
    <n v="1"/>
    <n v="0"/>
    <n v="0"/>
    <s v="Bachelor"/>
    <s v="High"/>
    <s v="High"/>
    <x v="1"/>
    <s v="Very High"/>
    <s v="Excellent"/>
    <s v="Very High"/>
    <x v="1"/>
    <s v="No_stock"/>
    <x v="0"/>
  </r>
  <r>
    <x v="20"/>
    <x v="1"/>
    <x v="0"/>
    <n v="1459"/>
    <x v="1"/>
    <n v="10"/>
    <n v="4"/>
    <x v="1"/>
    <n v="40"/>
    <n v="4"/>
    <x v="1"/>
    <n v="3"/>
    <n v="2"/>
    <x v="4"/>
    <n v="4"/>
    <s v="Married"/>
    <n v="6465"/>
    <n v="2"/>
    <x v="0"/>
    <n v="13"/>
    <n v="3"/>
    <n v="4"/>
    <n v="0"/>
    <n v="9"/>
    <n v="5"/>
    <n v="4"/>
    <n v="4"/>
    <n v="2"/>
    <n v="1"/>
    <n v="3"/>
    <s v="Master"/>
    <s v="Very High"/>
    <s v="High"/>
    <x v="0"/>
    <s v="Very High"/>
    <s v="Excellent"/>
    <s v="Very High"/>
    <x v="3"/>
    <s v="No_stock"/>
    <x v="1"/>
  </r>
  <r>
    <x v="7"/>
    <x v="1"/>
    <x v="0"/>
    <n v="125"/>
    <x v="1"/>
    <n v="9"/>
    <n v="2"/>
    <x v="2"/>
    <n v="41"/>
    <n v="4"/>
    <x v="1"/>
    <n v="2"/>
    <n v="1"/>
    <x v="2"/>
    <n v="3"/>
    <s v="Single"/>
    <n v="2206"/>
    <n v="1"/>
    <x v="1"/>
    <n v="13"/>
    <n v="3"/>
    <n v="1"/>
    <n v="0"/>
    <n v="10"/>
    <n v="5"/>
    <n v="3"/>
    <n v="10"/>
    <n v="0"/>
    <n v="1"/>
    <n v="8"/>
    <s v="College"/>
    <s v="Very High"/>
    <s v="Medium"/>
    <x v="1"/>
    <s v="High"/>
    <s v="Excellent"/>
    <s v="Low"/>
    <x v="1"/>
    <s v="No_stock"/>
    <x v="1"/>
  </r>
  <r>
    <x v="22"/>
    <x v="0"/>
    <x v="0"/>
    <n v="895"/>
    <x v="0"/>
    <n v="5"/>
    <n v="3"/>
    <x v="4"/>
    <n v="42"/>
    <n v="4"/>
    <x v="1"/>
    <n v="3"/>
    <n v="2"/>
    <x v="6"/>
    <n v="4"/>
    <s v="Married"/>
    <n v="2086"/>
    <n v="3"/>
    <x v="1"/>
    <n v="14"/>
    <n v="3"/>
    <n v="3"/>
    <n v="1"/>
    <n v="19"/>
    <n v="6"/>
    <n v="4"/>
    <n v="1"/>
    <n v="0"/>
    <n v="0"/>
    <n v="0"/>
    <s v="Bachelor"/>
    <s v="Very High"/>
    <s v="High"/>
    <x v="0"/>
    <s v="Very High"/>
    <s v="Excellent"/>
    <s v="High"/>
    <x v="3"/>
    <s v="Low"/>
    <x v="0"/>
  </r>
  <r>
    <x v="17"/>
    <x v="0"/>
    <x v="0"/>
    <n v="813"/>
    <x v="1"/>
    <n v="1"/>
    <n v="3"/>
    <x v="2"/>
    <n v="45"/>
    <n v="2"/>
    <x v="1"/>
    <n v="3"/>
    <n v="1"/>
    <x v="1"/>
    <n v="4"/>
    <s v="Married"/>
    <n v="2293"/>
    <n v="2"/>
    <x v="0"/>
    <n v="16"/>
    <n v="3"/>
    <n v="1"/>
    <n v="1"/>
    <n v="6"/>
    <n v="2"/>
    <n v="2"/>
    <n v="2"/>
    <n v="0"/>
    <n v="2"/>
    <n v="0"/>
    <s v="Bachelor"/>
    <s v="Medium"/>
    <s v="High"/>
    <x v="1"/>
    <s v="Very High"/>
    <s v="Excellent"/>
    <s v="Low"/>
    <x v="2"/>
    <s v="Low"/>
    <x v="0"/>
  </r>
  <r>
    <x v="23"/>
    <x v="1"/>
    <x v="0"/>
    <n v="1273"/>
    <x v="1"/>
    <n v="2"/>
    <n v="2"/>
    <x v="2"/>
    <n v="46"/>
    <n v="4"/>
    <x v="0"/>
    <n v="4"/>
    <n v="1"/>
    <x v="1"/>
    <n v="3"/>
    <s v="Divorced"/>
    <n v="2645"/>
    <n v="1"/>
    <x v="1"/>
    <n v="12"/>
    <n v="3"/>
    <n v="4"/>
    <n v="2"/>
    <n v="6"/>
    <n v="3"/>
    <n v="2"/>
    <n v="5"/>
    <n v="3"/>
    <n v="1"/>
    <n v="4"/>
    <s v="College"/>
    <s v="Very High"/>
    <s v="Very High"/>
    <x v="1"/>
    <s v="High"/>
    <s v="Excellent"/>
    <s v="Very High"/>
    <x v="2"/>
    <s v="Medium"/>
    <x v="0"/>
  </r>
  <r>
    <x v="24"/>
    <x v="0"/>
    <x v="0"/>
    <n v="869"/>
    <x v="0"/>
    <n v="3"/>
    <n v="2"/>
    <x v="3"/>
    <n v="47"/>
    <n v="1"/>
    <x v="1"/>
    <n v="2"/>
    <n v="1"/>
    <x v="6"/>
    <n v="3"/>
    <s v="Married"/>
    <n v="2683"/>
    <n v="1"/>
    <x v="0"/>
    <n v="14"/>
    <n v="3"/>
    <n v="3"/>
    <n v="0"/>
    <n v="3"/>
    <n v="2"/>
    <n v="3"/>
    <n v="3"/>
    <n v="2"/>
    <n v="0"/>
    <n v="2"/>
    <s v="College"/>
    <s v="Low"/>
    <s v="Medium"/>
    <x v="1"/>
    <s v="High"/>
    <s v="Excellent"/>
    <s v="High"/>
    <x v="1"/>
    <s v="No_stock"/>
    <x v="0"/>
  </r>
  <r>
    <x v="10"/>
    <x v="1"/>
    <x v="0"/>
    <n v="890"/>
    <x v="0"/>
    <n v="2"/>
    <n v="3"/>
    <x v="3"/>
    <n v="49"/>
    <n v="4"/>
    <x v="0"/>
    <n v="3"/>
    <n v="1"/>
    <x v="6"/>
    <n v="4"/>
    <s v="Married"/>
    <n v="2014"/>
    <n v="1"/>
    <x v="1"/>
    <n v="13"/>
    <n v="3"/>
    <n v="1"/>
    <n v="0"/>
    <n v="2"/>
    <n v="3"/>
    <n v="3"/>
    <n v="2"/>
    <n v="2"/>
    <n v="2"/>
    <n v="2"/>
    <s v="Bachelor"/>
    <s v="Very High"/>
    <s v="High"/>
    <x v="1"/>
    <s v="Very High"/>
    <s v="Excellent"/>
    <s v="Low"/>
    <x v="1"/>
    <s v="No_stock"/>
    <x v="0"/>
  </r>
  <r>
    <x v="9"/>
    <x v="1"/>
    <x v="0"/>
    <n v="852"/>
    <x v="1"/>
    <n v="5"/>
    <n v="4"/>
    <x v="0"/>
    <n v="51"/>
    <n v="2"/>
    <x v="0"/>
    <n v="2"/>
    <n v="1"/>
    <x v="1"/>
    <n v="1"/>
    <s v="Married"/>
    <n v="3419"/>
    <n v="9"/>
    <x v="0"/>
    <n v="14"/>
    <n v="3"/>
    <n v="4"/>
    <n v="1"/>
    <n v="6"/>
    <n v="3"/>
    <n v="4"/>
    <n v="1"/>
    <n v="1"/>
    <n v="0"/>
    <n v="0"/>
    <s v="Master"/>
    <s v="Medium"/>
    <s v="Medium"/>
    <x v="1"/>
    <s v="Low"/>
    <s v="Excellent"/>
    <s v="Very High"/>
    <x v="3"/>
    <s v="Low"/>
    <x v="0"/>
  </r>
  <r>
    <x v="3"/>
    <x v="1"/>
    <x v="1"/>
    <n v="1141"/>
    <x v="0"/>
    <n v="1"/>
    <n v="3"/>
    <x v="0"/>
    <n v="52"/>
    <n v="3"/>
    <x v="0"/>
    <n v="4"/>
    <n v="2"/>
    <x v="0"/>
    <n v="1"/>
    <s v="Married"/>
    <n v="5376"/>
    <n v="2"/>
    <x v="1"/>
    <n v="19"/>
    <n v="3"/>
    <n v="1"/>
    <n v="2"/>
    <n v="10"/>
    <n v="3"/>
    <n v="3"/>
    <n v="5"/>
    <n v="3"/>
    <n v="1"/>
    <n v="3"/>
    <s v="Bachelor"/>
    <s v="High"/>
    <s v="Very High"/>
    <x v="0"/>
    <s v="Low"/>
    <s v="Excellent"/>
    <s v="Low"/>
    <x v="1"/>
    <s v="Medium"/>
    <x v="0"/>
  </r>
  <r>
    <x v="10"/>
    <x v="1"/>
    <x v="0"/>
    <n v="464"/>
    <x v="1"/>
    <n v="4"/>
    <n v="2"/>
    <x v="1"/>
    <n v="53"/>
    <n v="3"/>
    <x v="1"/>
    <n v="3"/>
    <n v="1"/>
    <x v="2"/>
    <n v="4"/>
    <s v="Divorced"/>
    <n v="1951"/>
    <n v="1"/>
    <x v="1"/>
    <n v="12"/>
    <n v="3"/>
    <n v="3"/>
    <n v="1"/>
    <n v="1"/>
    <n v="3"/>
    <n v="3"/>
    <n v="1"/>
    <n v="0"/>
    <n v="0"/>
    <n v="0"/>
    <s v="College"/>
    <s v="High"/>
    <s v="High"/>
    <x v="1"/>
    <s v="Very High"/>
    <s v="Excellent"/>
    <s v="High"/>
    <x v="1"/>
    <s v="Low"/>
    <x v="0"/>
  </r>
  <r>
    <x v="4"/>
    <x v="1"/>
    <x v="0"/>
    <n v="1240"/>
    <x v="1"/>
    <n v="2"/>
    <n v="4"/>
    <x v="0"/>
    <n v="54"/>
    <n v="4"/>
    <x v="0"/>
    <n v="3"/>
    <n v="1"/>
    <x v="2"/>
    <n v="1"/>
    <s v="Divorced"/>
    <n v="2341"/>
    <n v="1"/>
    <x v="1"/>
    <n v="13"/>
    <n v="3"/>
    <n v="4"/>
    <n v="1"/>
    <n v="1"/>
    <n v="6"/>
    <n v="3"/>
    <n v="1"/>
    <n v="0"/>
    <n v="0"/>
    <n v="0"/>
    <s v="Master"/>
    <s v="Very High"/>
    <s v="High"/>
    <x v="1"/>
    <s v="Low"/>
    <s v="Excellent"/>
    <s v="Very High"/>
    <x v="1"/>
    <s v="Low"/>
    <x v="0"/>
  </r>
  <r>
    <x v="25"/>
    <x v="0"/>
    <x v="0"/>
    <n v="1357"/>
    <x v="1"/>
    <n v="25"/>
    <n v="3"/>
    <x v="0"/>
    <n v="55"/>
    <n v="1"/>
    <x v="1"/>
    <n v="1"/>
    <n v="1"/>
    <x v="2"/>
    <n v="3"/>
    <s v="Single"/>
    <n v="2293"/>
    <n v="1"/>
    <x v="1"/>
    <n v="12"/>
    <n v="3"/>
    <n v="3"/>
    <n v="0"/>
    <n v="1"/>
    <n v="2"/>
    <n v="2"/>
    <n v="1"/>
    <n v="0"/>
    <n v="0"/>
    <n v="1"/>
    <s v="Bachelor"/>
    <s v="Low"/>
    <s v="Low"/>
    <x v="1"/>
    <s v="High"/>
    <s v="Excellent"/>
    <s v="High"/>
    <x v="2"/>
    <s v="No_stock"/>
    <x v="2"/>
  </r>
  <r>
    <x v="4"/>
    <x v="1"/>
    <x v="1"/>
    <n v="994"/>
    <x v="0"/>
    <n v="8"/>
    <n v="3"/>
    <x v="0"/>
    <n v="56"/>
    <n v="4"/>
    <x v="1"/>
    <n v="3"/>
    <n v="3"/>
    <x v="0"/>
    <n v="3"/>
    <s v="Single"/>
    <n v="8726"/>
    <n v="1"/>
    <x v="1"/>
    <n v="15"/>
    <n v="3"/>
    <n v="4"/>
    <n v="0"/>
    <n v="9"/>
    <n v="0"/>
    <n v="3"/>
    <n v="9"/>
    <n v="8"/>
    <n v="1"/>
    <n v="7"/>
    <s v="Bachelor"/>
    <s v="Very High"/>
    <s v="High"/>
    <x v="2"/>
    <s v="High"/>
    <s v="Excellent"/>
    <s v="Very High"/>
    <x v="1"/>
    <s v="No_stock"/>
    <x v="1"/>
  </r>
  <r>
    <x v="7"/>
    <x v="1"/>
    <x v="1"/>
    <n v="721"/>
    <x v="1"/>
    <n v="1"/>
    <n v="2"/>
    <x v="2"/>
    <n v="57"/>
    <n v="3"/>
    <x v="0"/>
    <n v="3"/>
    <n v="2"/>
    <x v="2"/>
    <n v="4"/>
    <s v="Single"/>
    <n v="4011"/>
    <n v="1"/>
    <x v="1"/>
    <n v="23"/>
    <n v="4"/>
    <n v="4"/>
    <n v="0"/>
    <n v="12"/>
    <n v="2"/>
    <n v="3"/>
    <n v="12"/>
    <n v="8"/>
    <n v="3"/>
    <n v="7"/>
    <s v="College"/>
    <s v="High"/>
    <s v="High"/>
    <x v="0"/>
    <s v="Very High"/>
    <s v="Outstanding"/>
    <s v="Very High"/>
    <x v="1"/>
    <s v="No_stock"/>
    <x v="0"/>
  </r>
  <r>
    <x v="0"/>
    <x v="0"/>
    <x v="0"/>
    <n v="1360"/>
    <x v="1"/>
    <n v="12"/>
    <n v="3"/>
    <x v="4"/>
    <n v="58"/>
    <n v="2"/>
    <x v="0"/>
    <n v="3"/>
    <n v="5"/>
    <x v="7"/>
    <n v="3"/>
    <s v="Married"/>
    <n v="19545"/>
    <n v="1"/>
    <x v="1"/>
    <n v="12"/>
    <n v="3"/>
    <n v="4"/>
    <n v="0"/>
    <n v="23"/>
    <n v="0"/>
    <n v="3"/>
    <n v="22"/>
    <n v="15"/>
    <n v="15"/>
    <n v="8"/>
    <s v="Bachelor"/>
    <s v="Medium"/>
    <s v="High"/>
    <x v="4"/>
    <s v="High"/>
    <s v="Excellent"/>
    <s v="Very High"/>
    <x v="1"/>
    <s v="No_stock"/>
    <x v="1"/>
  </r>
  <r>
    <x v="13"/>
    <x v="1"/>
    <x v="2"/>
    <n v="1065"/>
    <x v="0"/>
    <n v="23"/>
    <n v="4"/>
    <x v="3"/>
    <n v="60"/>
    <n v="2"/>
    <x v="1"/>
    <n v="3"/>
    <n v="2"/>
    <x v="0"/>
    <n v="3"/>
    <s v="Single"/>
    <n v="4568"/>
    <n v="0"/>
    <x v="1"/>
    <n v="20"/>
    <n v="4"/>
    <n v="3"/>
    <n v="0"/>
    <n v="10"/>
    <n v="2"/>
    <n v="3"/>
    <n v="9"/>
    <n v="5"/>
    <n v="8"/>
    <n v="7"/>
    <s v="Master"/>
    <s v="Medium"/>
    <s v="High"/>
    <x v="0"/>
    <s v="High"/>
    <s v="Outstanding"/>
    <s v="High"/>
    <x v="1"/>
    <s v="No_stock"/>
    <x v="2"/>
  </r>
  <r>
    <x v="2"/>
    <x v="1"/>
    <x v="0"/>
    <n v="408"/>
    <x v="1"/>
    <n v="19"/>
    <n v="2"/>
    <x v="0"/>
    <n v="61"/>
    <n v="2"/>
    <x v="1"/>
    <n v="3"/>
    <n v="1"/>
    <x v="1"/>
    <n v="2"/>
    <s v="Married"/>
    <n v="3022"/>
    <n v="4"/>
    <x v="1"/>
    <n v="21"/>
    <n v="4"/>
    <n v="1"/>
    <n v="0"/>
    <n v="8"/>
    <n v="1"/>
    <n v="3"/>
    <n v="1"/>
    <n v="0"/>
    <n v="0"/>
    <n v="0"/>
    <s v="College"/>
    <s v="Medium"/>
    <s v="High"/>
    <x v="1"/>
    <s v="Medium"/>
    <s v="Outstanding"/>
    <s v="Low"/>
    <x v="1"/>
    <s v="No_stock"/>
    <x v="2"/>
  </r>
  <r>
    <x v="21"/>
    <x v="1"/>
    <x v="1"/>
    <n v="1211"/>
    <x v="0"/>
    <n v="5"/>
    <n v="4"/>
    <x v="3"/>
    <n v="62"/>
    <n v="1"/>
    <x v="1"/>
    <n v="3"/>
    <n v="2"/>
    <x v="0"/>
    <n v="4"/>
    <s v="Single"/>
    <n v="5772"/>
    <n v="4"/>
    <x v="0"/>
    <n v="21"/>
    <n v="4"/>
    <n v="3"/>
    <n v="0"/>
    <n v="14"/>
    <n v="4"/>
    <n v="3"/>
    <n v="9"/>
    <n v="6"/>
    <n v="0"/>
    <n v="8"/>
    <s v="Master"/>
    <s v="Low"/>
    <s v="High"/>
    <x v="0"/>
    <s v="Very High"/>
    <s v="Outstanding"/>
    <s v="High"/>
    <x v="1"/>
    <s v="No_stock"/>
    <x v="0"/>
  </r>
  <r>
    <x v="10"/>
    <x v="1"/>
    <x v="0"/>
    <n v="1229"/>
    <x v="1"/>
    <n v="8"/>
    <n v="1"/>
    <x v="0"/>
    <n v="63"/>
    <n v="4"/>
    <x v="1"/>
    <n v="4"/>
    <n v="1"/>
    <x v="2"/>
    <n v="4"/>
    <s v="Married"/>
    <n v="2269"/>
    <n v="1"/>
    <x v="1"/>
    <n v="19"/>
    <n v="3"/>
    <n v="4"/>
    <n v="0"/>
    <n v="1"/>
    <n v="2"/>
    <n v="3"/>
    <n v="1"/>
    <n v="0"/>
    <n v="0"/>
    <n v="1"/>
    <s v="Before College"/>
    <s v="Very High"/>
    <s v="Very High"/>
    <x v="1"/>
    <s v="Very High"/>
    <s v="Excellent"/>
    <s v="Very High"/>
    <x v="1"/>
    <s v="No_stock"/>
    <x v="1"/>
  </r>
  <r>
    <x v="26"/>
    <x v="0"/>
    <x v="0"/>
    <n v="626"/>
    <x v="1"/>
    <n v="1"/>
    <n v="2"/>
    <x v="0"/>
    <n v="64"/>
    <n v="1"/>
    <x v="1"/>
    <n v="2"/>
    <n v="3"/>
    <x v="2"/>
    <n v="3"/>
    <s v="Single"/>
    <n v="5381"/>
    <n v="9"/>
    <x v="0"/>
    <n v="13"/>
    <n v="3"/>
    <n v="4"/>
    <n v="0"/>
    <n v="23"/>
    <n v="2"/>
    <n v="3"/>
    <n v="1"/>
    <n v="0"/>
    <n v="0"/>
    <n v="0"/>
    <s v="College"/>
    <s v="Low"/>
    <s v="Medium"/>
    <x v="2"/>
    <s v="High"/>
    <s v="Excellent"/>
    <s v="Very High"/>
    <x v="1"/>
    <s v="No_stock"/>
    <x v="0"/>
  </r>
  <r>
    <x v="14"/>
    <x v="0"/>
    <x v="0"/>
    <n v="1434"/>
    <x v="1"/>
    <n v="5"/>
    <n v="4"/>
    <x v="4"/>
    <n v="65"/>
    <n v="3"/>
    <x v="1"/>
    <n v="3"/>
    <n v="1"/>
    <x v="2"/>
    <n v="3"/>
    <s v="Single"/>
    <n v="3441"/>
    <n v="1"/>
    <x v="0"/>
    <n v="13"/>
    <n v="3"/>
    <n v="3"/>
    <n v="0"/>
    <n v="2"/>
    <n v="3"/>
    <n v="2"/>
    <n v="2"/>
    <n v="2"/>
    <n v="2"/>
    <n v="2"/>
    <s v="Master"/>
    <s v="High"/>
    <s v="High"/>
    <x v="1"/>
    <s v="High"/>
    <s v="Excellent"/>
    <s v="High"/>
    <x v="2"/>
    <s v="No_stock"/>
    <x v="0"/>
  </r>
  <r>
    <x v="20"/>
    <x v="1"/>
    <x v="0"/>
    <n v="1488"/>
    <x v="0"/>
    <n v="1"/>
    <n v="5"/>
    <x v="3"/>
    <n v="68"/>
    <n v="2"/>
    <x v="0"/>
    <n v="3"/>
    <n v="2"/>
    <x v="0"/>
    <n v="1"/>
    <s v="Divorced"/>
    <n v="5454"/>
    <n v="5"/>
    <x v="0"/>
    <n v="21"/>
    <n v="4"/>
    <n v="3"/>
    <n v="1"/>
    <n v="9"/>
    <n v="2"/>
    <n v="2"/>
    <n v="4"/>
    <n v="3"/>
    <n v="1"/>
    <n v="3"/>
    <s v="Doctor"/>
    <s v="Medium"/>
    <s v="High"/>
    <x v="0"/>
    <s v="Low"/>
    <s v="Outstanding"/>
    <s v="High"/>
    <x v="2"/>
    <s v="Low"/>
    <x v="0"/>
  </r>
  <r>
    <x v="10"/>
    <x v="1"/>
    <x v="2"/>
    <n v="1097"/>
    <x v="1"/>
    <n v="11"/>
    <n v="2"/>
    <x v="2"/>
    <n v="70"/>
    <n v="3"/>
    <x v="1"/>
    <n v="2"/>
    <n v="3"/>
    <x v="4"/>
    <n v="1"/>
    <s v="Married"/>
    <n v="9884"/>
    <n v="2"/>
    <x v="0"/>
    <n v="13"/>
    <n v="3"/>
    <n v="3"/>
    <n v="1"/>
    <n v="10"/>
    <n v="3"/>
    <n v="3"/>
    <n v="4"/>
    <n v="0"/>
    <n v="2"/>
    <n v="3"/>
    <s v="College"/>
    <s v="High"/>
    <s v="Medium"/>
    <x v="2"/>
    <s v="Low"/>
    <s v="Excellent"/>
    <s v="High"/>
    <x v="1"/>
    <s v="Low"/>
    <x v="1"/>
  </r>
  <r>
    <x v="25"/>
    <x v="1"/>
    <x v="0"/>
    <n v="1443"/>
    <x v="0"/>
    <n v="23"/>
    <n v="3"/>
    <x v="3"/>
    <n v="72"/>
    <n v="3"/>
    <x v="0"/>
    <n v="2"/>
    <n v="2"/>
    <x v="0"/>
    <n v="4"/>
    <s v="Married"/>
    <n v="4157"/>
    <n v="7"/>
    <x v="0"/>
    <n v="19"/>
    <n v="3"/>
    <n v="3"/>
    <n v="1"/>
    <n v="5"/>
    <n v="2"/>
    <n v="2"/>
    <n v="2"/>
    <n v="2"/>
    <n v="0"/>
    <n v="0"/>
    <s v="Bachelor"/>
    <s v="High"/>
    <s v="Medium"/>
    <x v="0"/>
    <s v="Very High"/>
    <s v="Excellent"/>
    <s v="High"/>
    <x v="2"/>
    <s v="Low"/>
    <x v="2"/>
  </r>
  <r>
    <x v="3"/>
    <x v="1"/>
    <x v="1"/>
    <n v="515"/>
    <x v="1"/>
    <n v="1"/>
    <n v="2"/>
    <x v="0"/>
    <n v="73"/>
    <n v="1"/>
    <x v="0"/>
    <n v="3"/>
    <n v="3"/>
    <x v="7"/>
    <n v="4"/>
    <s v="Single"/>
    <n v="13458"/>
    <n v="1"/>
    <x v="0"/>
    <n v="12"/>
    <n v="3"/>
    <n v="3"/>
    <n v="0"/>
    <n v="15"/>
    <n v="1"/>
    <n v="3"/>
    <n v="15"/>
    <n v="14"/>
    <n v="8"/>
    <n v="12"/>
    <s v="College"/>
    <s v="Low"/>
    <s v="High"/>
    <x v="2"/>
    <s v="Very High"/>
    <s v="Excellent"/>
    <s v="High"/>
    <x v="1"/>
    <s v="No_stock"/>
    <x v="0"/>
  </r>
  <r>
    <x v="10"/>
    <x v="1"/>
    <x v="1"/>
    <n v="853"/>
    <x v="0"/>
    <n v="18"/>
    <n v="5"/>
    <x v="0"/>
    <n v="74"/>
    <n v="2"/>
    <x v="1"/>
    <n v="3"/>
    <n v="3"/>
    <x v="0"/>
    <n v="1"/>
    <s v="Married"/>
    <n v="9069"/>
    <n v="1"/>
    <x v="1"/>
    <n v="22"/>
    <n v="4"/>
    <n v="4"/>
    <n v="1"/>
    <n v="9"/>
    <n v="3"/>
    <n v="2"/>
    <n v="9"/>
    <n v="8"/>
    <n v="1"/>
    <n v="8"/>
    <s v="Doctor"/>
    <s v="Medium"/>
    <s v="High"/>
    <x v="2"/>
    <s v="Low"/>
    <s v="Outstanding"/>
    <s v="Very High"/>
    <x v="2"/>
    <s v="Low"/>
    <x v="2"/>
  </r>
  <r>
    <x v="10"/>
    <x v="1"/>
    <x v="0"/>
    <n v="1142"/>
    <x v="1"/>
    <n v="23"/>
    <n v="4"/>
    <x v="2"/>
    <n v="75"/>
    <n v="3"/>
    <x v="0"/>
    <n v="3"/>
    <n v="1"/>
    <x v="2"/>
    <n v="1"/>
    <s v="Married"/>
    <n v="4014"/>
    <n v="3"/>
    <x v="0"/>
    <n v="15"/>
    <n v="3"/>
    <n v="3"/>
    <n v="1"/>
    <n v="4"/>
    <n v="3"/>
    <n v="3"/>
    <n v="2"/>
    <n v="2"/>
    <n v="2"/>
    <n v="2"/>
    <s v="Master"/>
    <s v="High"/>
    <s v="High"/>
    <x v="1"/>
    <s v="Low"/>
    <s v="Excellent"/>
    <s v="High"/>
    <x v="1"/>
    <s v="Low"/>
    <x v="2"/>
  </r>
  <r>
    <x v="12"/>
    <x v="1"/>
    <x v="0"/>
    <n v="655"/>
    <x v="1"/>
    <n v="7"/>
    <n v="4"/>
    <x v="0"/>
    <n v="76"/>
    <n v="4"/>
    <x v="1"/>
    <n v="3"/>
    <n v="2"/>
    <x v="2"/>
    <n v="4"/>
    <s v="Divorced"/>
    <n v="5915"/>
    <n v="3"/>
    <x v="1"/>
    <n v="22"/>
    <n v="4"/>
    <n v="4"/>
    <n v="1"/>
    <n v="10"/>
    <n v="3"/>
    <n v="2"/>
    <n v="7"/>
    <n v="7"/>
    <n v="1"/>
    <n v="7"/>
    <s v="Master"/>
    <s v="Very High"/>
    <s v="High"/>
    <x v="0"/>
    <s v="Very High"/>
    <s v="Outstanding"/>
    <s v="Very High"/>
    <x v="2"/>
    <s v="Low"/>
    <x v="1"/>
  </r>
  <r>
    <x v="2"/>
    <x v="1"/>
    <x v="0"/>
    <n v="1115"/>
    <x v="1"/>
    <n v="1"/>
    <n v="4"/>
    <x v="0"/>
    <n v="77"/>
    <n v="1"/>
    <x v="1"/>
    <n v="2"/>
    <n v="2"/>
    <x v="3"/>
    <n v="3"/>
    <s v="Divorced"/>
    <n v="5993"/>
    <n v="1"/>
    <x v="1"/>
    <n v="18"/>
    <n v="3"/>
    <n v="3"/>
    <n v="1"/>
    <n v="7"/>
    <n v="2"/>
    <n v="4"/>
    <n v="7"/>
    <n v="5"/>
    <n v="0"/>
    <n v="7"/>
    <s v="Master"/>
    <s v="Low"/>
    <s v="Medium"/>
    <x v="0"/>
    <s v="High"/>
    <s v="Excellent"/>
    <s v="High"/>
    <x v="3"/>
    <s v="Low"/>
    <x v="0"/>
  </r>
  <r>
    <x v="5"/>
    <x v="1"/>
    <x v="0"/>
    <n v="427"/>
    <x v="1"/>
    <n v="1"/>
    <n v="3"/>
    <x v="2"/>
    <n v="78"/>
    <n v="1"/>
    <x v="1"/>
    <n v="3"/>
    <n v="2"/>
    <x v="3"/>
    <n v="4"/>
    <s v="Married"/>
    <n v="6162"/>
    <n v="1"/>
    <x v="0"/>
    <n v="22"/>
    <n v="4"/>
    <n v="2"/>
    <n v="1"/>
    <n v="9"/>
    <n v="3"/>
    <n v="3"/>
    <n v="9"/>
    <n v="8"/>
    <n v="7"/>
    <n v="8"/>
    <s v="Bachelor"/>
    <s v="Low"/>
    <s v="High"/>
    <x v="0"/>
    <s v="Very High"/>
    <s v="Outstanding"/>
    <s v="Medium"/>
    <x v="1"/>
    <s v="Low"/>
    <x v="0"/>
  </r>
  <r>
    <x v="8"/>
    <x v="1"/>
    <x v="1"/>
    <n v="653"/>
    <x v="1"/>
    <n v="29"/>
    <n v="5"/>
    <x v="0"/>
    <n v="79"/>
    <n v="4"/>
    <x v="0"/>
    <n v="3"/>
    <n v="2"/>
    <x v="2"/>
    <n v="4"/>
    <s v="Single"/>
    <n v="2406"/>
    <n v="1"/>
    <x v="1"/>
    <n v="11"/>
    <n v="3"/>
    <n v="4"/>
    <n v="0"/>
    <n v="10"/>
    <n v="2"/>
    <n v="3"/>
    <n v="10"/>
    <n v="3"/>
    <n v="9"/>
    <n v="9"/>
    <s v="Doctor"/>
    <s v="Very High"/>
    <s v="High"/>
    <x v="0"/>
    <s v="Very High"/>
    <s v="Excellent"/>
    <s v="Very High"/>
    <x v="1"/>
    <s v="No_stock"/>
    <x v="2"/>
  </r>
  <r>
    <x v="24"/>
    <x v="1"/>
    <x v="0"/>
    <n v="989"/>
    <x v="1"/>
    <n v="7"/>
    <n v="2"/>
    <x v="2"/>
    <n v="80"/>
    <n v="2"/>
    <x v="0"/>
    <n v="2"/>
    <n v="5"/>
    <x v="7"/>
    <n v="3"/>
    <s v="Divorced"/>
    <n v="18740"/>
    <n v="5"/>
    <x v="0"/>
    <n v="12"/>
    <n v="3"/>
    <n v="4"/>
    <n v="1"/>
    <n v="29"/>
    <n v="2"/>
    <n v="2"/>
    <n v="27"/>
    <n v="3"/>
    <n v="13"/>
    <n v="8"/>
    <s v="College"/>
    <s v="Medium"/>
    <s v="Medium"/>
    <x v="4"/>
    <s v="High"/>
    <s v="Excellent"/>
    <s v="Very High"/>
    <x v="2"/>
    <s v="Low"/>
    <x v="1"/>
  </r>
  <r>
    <x v="6"/>
    <x v="1"/>
    <x v="0"/>
    <n v="1435"/>
    <x v="0"/>
    <n v="25"/>
    <n v="3"/>
    <x v="0"/>
    <n v="81"/>
    <n v="1"/>
    <x v="0"/>
    <n v="3"/>
    <n v="3"/>
    <x v="0"/>
    <n v="1"/>
    <s v="Single"/>
    <n v="7637"/>
    <n v="7"/>
    <x v="1"/>
    <n v="11"/>
    <n v="3"/>
    <n v="4"/>
    <n v="0"/>
    <n v="28"/>
    <n v="3"/>
    <n v="2"/>
    <n v="21"/>
    <n v="16"/>
    <n v="7"/>
    <n v="9"/>
    <s v="Bachelor"/>
    <s v="Low"/>
    <s v="High"/>
    <x v="2"/>
    <s v="Low"/>
    <s v="Excellent"/>
    <s v="Very High"/>
    <x v="2"/>
    <s v="No_stock"/>
    <x v="2"/>
  </r>
  <r>
    <x v="9"/>
    <x v="1"/>
    <x v="0"/>
    <n v="1223"/>
    <x v="1"/>
    <n v="8"/>
    <n v="3"/>
    <x v="4"/>
    <n v="83"/>
    <n v="3"/>
    <x v="0"/>
    <n v="3"/>
    <n v="3"/>
    <x v="4"/>
    <n v="3"/>
    <s v="Divorced"/>
    <n v="10096"/>
    <n v="1"/>
    <x v="1"/>
    <n v="13"/>
    <n v="3"/>
    <n v="2"/>
    <n v="3"/>
    <n v="17"/>
    <n v="2"/>
    <n v="3"/>
    <n v="17"/>
    <n v="14"/>
    <n v="12"/>
    <n v="8"/>
    <s v="Bachelor"/>
    <s v="High"/>
    <s v="High"/>
    <x v="2"/>
    <s v="High"/>
    <s v="Excellent"/>
    <s v="Medium"/>
    <x v="1"/>
    <s v="High"/>
    <x v="1"/>
  </r>
  <r>
    <x v="27"/>
    <x v="1"/>
    <x v="0"/>
    <n v="836"/>
    <x v="1"/>
    <n v="8"/>
    <n v="3"/>
    <x v="2"/>
    <n v="84"/>
    <n v="4"/>
    <x v="0"/>
    <n v="3"/>
    <n v="4"/>
    <x v="5"/>
    <n v="3"/>
    <s v="Divorced"/>
    <n v="14756"/>
    <n v="2"/>
    <x v="0"/>
    <n v="14"/>
    <n v="3"/>
    <n v="3"/>
    <n v="3"/>
    <n v="21"/>
    <n v="2"/>
    <n v="3"/>
    <n v="5"/>
    <n v="0"/>
    <n v="0"/>
    <n v="2"/>
    <s v="Bachelor"/>
    <s v="Very High"/>
    <s v="High"/>
    <x v="3"/>
    <s v="High"/>
    <s v="Excellent"/>
    <s v="High"/>
    <x v="1"/>
    <s v="High"/>
    <x v="1"/>
  </r>
  <r>
    <x v="9"/>
    <x v="1"/>
    <x v="1"/>
    <n v="1195"/>
    <x v="1"/>
    <n v="11"/>
    <n v="3"/>
    <x v="0"/>
    <n v="85"/>
    <n v="2"/>
    <x v="1"/>
    <n v="2"/>
    <n v="2"/>
    <x v="3"/>
    <n v="2"/>
    <s v="Single"/>
    <n v="6499"/>
    <n v="1"/>
    <x v="1"/>
    <n v="13"/>
    <n v="3"/>
    <n v="3"/>
    <n v="0"/>
    <n v="6"/>
    <n v="3"/>
    <n v="3"/>
    <n v="6"/>
    <n v="5"/>
    <n v="0"/>
    <n v="3"/>
    <s v="Bachelor"/>
    <s v="Medium"/>
    <s v="Medium"/>
    <x v="0"/>
    <s v="Medium"/>
    <s v="Excellent"/>
    <s v="High"/>
    <x v="1"/>
    <s v="No_stock"/>
    <x v="1"/>
  </r>
  <r>
    <x v="28"/>
    <x v="1"/>
    <x v="0"/>
    <n v="1339"/>
    <x v="1"/>
    <n v="7"/>
    <n v="3"/>
    <x v="0"/>
    <n v="86"/>
    <n v="2"/>
    <x v="1"/>
    <n v="3"/>
    <n v="3"/>
    <x v="1"/>
    <n v="1"/>
    <s v="Divorced"/>
    <n v="9724"/>
    <n v="2"/>
    <x v="1"/>
    <n v="17"/>
    <n v="3"/>
    <n v="3"/>
    <n v="1"/>
    <n v="25"/>
    <n v="2"/>
    <n v="3"/>
    <n v="1"/>
    <n v="0"/>
    <n v="0"/>
    <n v="0"/>
    <s v="Bachelor"/>
    <s v="Medium"/>
    <s v="High"/>
    <x v="2"/>
    <s v="Low"/>
    <s v="Excellent"/>
    <s v="High"/>
    <x v="1"/>
    <s v="Low"/>
    <x v="1"/>
  </r>
  <r>
    <x v="10"/>
    <x v="1"/>
    <x v="1"/>
    <n v="664"/>
    <x v="1"/>
    <n v="1"/>
    <n v="3"/>
    <x v="2"/>
    <n v="88"/>
    <n v="2"/>
    <x v="1"/>
    <n v="3"/>
    <n v="1"/>
    <x v="1"/>
    <n v="1"/>
    <s v="Married"/>
    <n v="2194"/>
    <n v="4"/>
    <x v="1"/>
    <n v="13"/>
    <n v="3"/>
    <n v="4"/>
    <n v="1"/>
    <n v="5"/>
    <n v="2"/>
    <n v="2"/>
    <n v="3"/>
    <n v="2"/>
    <n v="1"/>
    <n v="2"/>
    <s v="Bachelor"/>
    <s v="Medium"/>
    <s v="High"/>
    <x v="1"/>
    <s v="Low"/>
    <s v="Excellent"/>
    <s v="Very High"/>
    <x v="2"/>
    <s v="Low"/>
    <x v="0"/>
  </r>
  <r>
    <x v="9"/>
    <x v="0"/>
    <x v="0"/>
    <n v="318"/>
    <x v="1"/>
    <n v="9"/>
    <n v="3"/>
    <x v="2"/>
    <n v="90"/>
    <n v="4"/>
    <x v="1"/>
    <n v="2"/>
    <n v="1"/>
    <x v="1"/>
    <n v="3"/>
    <s v="Married"/>
    <n v="3388"/>
    <n v="0"/>
    <x v="0"/>
    <n v="17"/>
    <n v="3"/>
    <n v="1"/>
    <n v="1"/>
    <n v="2"/>
    <n v="0"/>
    <n v="2"/>
    <n v="1"/>
    <n v="0"/>
    <n v="0"/>
    <n v="0"/>
    <s v="Bachelor"/>
    <s v="Very High"/>
    <s v="Medium"/>
    <x v="1"/>
    <s v="High"/>
    <s v="Excellent"/>
    <s v="Low"/>
    <x v="2"/>
    <s v="Low"/>
    <x v="1"/>
  </r>
  <r>
    <x v="6"/>
    <x v="1"/>
    <x v="1"/>
    <n v="1225"/>
    <x v="0"/>
    <n v="1"/>
    <n v="1"/>
    <x v="0"/>
    <n v="91"/>
    <n v="1"/>
    <x v="0"/>
    <n v="2"/>
    <n v="2"/>
    <x v="0"/>
    <n v="3"/>
    <s v="Single"/>
    <n v="5473"/>
    <n v="7"/>
    <x v="1"/>
    <n v="11"/>
    <n v="3"/>
    <n v="4"/>
    <n v="0"/>
    <n v="20"/>
    <n v="2"/>
    <n v="2"/>
    <n v="4"/>
    <n v="3"/>
    <n v="1"/>
    <n v="3"/>
    <s v="Before College"/>
    <s v="Low"/>
    <s v="Medium"/>
    <x v="0"/>
    <s v="High"/>
    <s v="Excellent"/>
    <s v="Very High"/>
    <x v="2"/>
    <s v="No_stock"/>
    <x v="0"/>
  </r>
  <r>
    <x v="11"/>
    <x v="1"/>
    <x v="0"/>
    <n v="1328"/>
    <x v="1"/>
    <n v="2"/>
    <n v="3"/>
    <x v="0"/>
    <n v="94"/>
    <n v="3"/>
    <x v="1"/>
    <n v="3"/>
    <n v="1"/>
    <x v="1"/>
    <n v="2"/>
    <s v="Married"/>
    <n v="2703"/>
    <n v="0"/>
    <x v="1"/>
    <n v="23"/>
    <n v="4"/>
    <n v="4"/>
    <n v="1"/>
    <n v="6"/>
    <n v="3"/>
    <n v="3"/>
    <n v="5"/>
    <n v="4"/>
    <n v="0"/>
    <n v="4"/>
    <s v="Bachelor"/>
    <s v="High"/>
    <s v="High"/>
    <x v="1"/>
    <s v="Medium"/>
    <s v="Outstanding"/>
    <s v="Very High"/>
    <x v="1"/>
    <s v="Low"/>
    <x v="0"/>
  </r>
  <r>
    <x v="12"/>
    <x v="1"/>
    <x v="0"/>
    <n v="1082"/>
    <x v="1"/>
    <n v="1"/>
    <n v="4"/>
    <x v="2"/>
    <n v="95"/>
    <n v="3"/>
    <x v="1"/>
    <n v="3"/>
    <n v="1"/>
    <x v="1"/>
    <n v="2"/>
    <s v="Single"/>
    <n v="2501"/>
    <n v="1"/>
    <x v="1"/>
    <n v="17"/>
    <n v="3"/>
    <n v="2"/>
    <n v="0"/>
    <n v="1"/>
    <n v="4"/>
    <n v="3"/>
    <n v="1"/>
    <n v="1"/>
    <n v="1"/>
    <n v="0"/>
    <s v="Master"/>
    <s v="High"/>
    <s v="High"/>
    <x v="1"/>
    <s v="Medium"/>
    <s v="Excellent"/>
    <s v="Medium"/>
    <x v="1"/>
    <s v="No_stock"/>
    <x v="0"/>
  </r>
  <r>
    <x v="5"/>
    <x v="1"/>
    <x v="0"/>
    <n v="548"/>
    <x v="1"/>
    <n v="1"/>
    <n v="3"/>
    <x v="0"/>
    <n v="96"/>
    <n v="2"/>
    <x v="1"/>
    <n v="3"/>
    <n v="2"/>
    <x v="1"/>
    <n v="2"/>
    <s v="Married"/>
    <n v="6220"/>
    <n v="1"/>
    <x v="1"/>
    <n v="17"/>
    <n v="3"/>
    <n v="2"/>
    <n v="2"/>
    <n v="10"/>
    <n v="3"/>
    <n v="3"/>
    <n v="10"/>
    <n v="4"/>
    <n v="0"/>
    <n v="9"/>
    <s v="Bachelor"/>
    <s v="Medium"/>
    <s v="High"/>
    <x v="0"/>
    <s v="Medium"/>
    <s v="Excellent"/>
    <s v="Medium"/>
    <x v="1"/>
    <s v="Medium"/>
    <x v="0"/>
  </r>
  <r>
    <x v="9"/>
    <x v="1"/>
    <x v="0"/>
    <n v="132"/>
    <x v="1"/>
    <n v="6"/>
    <n v="3"/>
    <x v="0"/>
    <n v="97"/>
    <n v="2"/>
    <x v="0"/>
    <n v="4"/>
    <n v="1"/>
    <x v="2"/>
    <n v="4"/>
    <s v="Married"/>
    <n v="3038"/>
    <n v="3"/>
    <x v="1"/>
    <n v="12"/>
    <n v="3"/>
    <n v="2"/>
    <n v="0"/>
    <n v="5"/>
    <n v="3"/>
    <n v="3"/>
    <n v="1"/>
    <n v="0"/>
    <n v="0"/>
    <n v="0"/>
    <s v="Bachelor"/>
    <s v="Medium"/>
    <s v="Very High"/>
    <x v="1"/>
    <s v="Very High"/>
    <s v="Excellent"/>
    <s v="Medium"/>
    <x v="1"/>
    <s v="No_stock"/>
    <x v="1"/>
  </r>
  <r>
    <x v="12"/>
    <x v="1"/>
    <x v="0"/>
    <n v="746"/>
    <x v="1"/>
    <n v="8"/>
    <n v="4"/>
    <x v="0"/>
    <n v="98"/>
    <n v="3"/>
    <x v="0"/>
    <n v="3"/>
    <n v="2"/>
    <x v="3"/>
    <n v="4"/>
    <s v="Single"/>
    <n v="4424"/>
    <n v="1"/>
    <x v="1"/>
    <n v="23"/>
    <n v="4"/>
    <n v="4"/>
    <n v="0"/>
    <n v="11"/>
    <n v="2"/>
    <n v="3"/>
    <n v="11"/>
    <n v="7"/>
    <n v="1"/>
    <n v="8"/>
    <s v="Master"/>
    <s v="High"/>
    <s v="High"/>
    <x v="0"/>
    <s v="Very High"/>
    <s v="Outstanding"/>
    <s v="Very High"/>
    <x v="1"/>
    <s v="No_stock"/>
    <x v="1"/>
  </r>
  <r>
    <x v="10"/>
    <x v="1"/>
    <x v="0"/>
    <n v="776"/>
    <x v="0"/>
    <n v="1"/>
    <n v="4"/>
    <x v="3"/>
    <n v="100"/>
    <n v="3"/>
    <x v="1"/>
    <n v="2"/>
    <n v="2"/>
    <x v="0"/>
    <n v="1"/>
    <s v="Single"/>
    <n v="4312"/>
    <n v="0"/>
    <x v="1"/>
    <n v="14"/>
    <n v="3"/>
    <n v="2"/>
    <n v="0"/>
    <n v="16"/>
    <n v="2"/>
    <n v="3"/>
    <n v="15"/>
    <n v="13"/>
    <n v="2"/>
    <n v="8"/>
    <s v="Master"/>
    <s v="High"/>
    <s v="Medium"/>
    <x v="0"/>
    <s v="Low"/>
    <s v="Excellent"/>
    <s v="Medium"/>
    <x v="1"/>
    <s v="No_stock"/>
    <x v="0"/>
  </r>
  <r>
    <x v="28"/>
    <x v="1"/>
    <x v="0"/>
    <n v="193"/>
    <x v="1"/>
    <n v="6"/>
    <n v="4"/>
    <x v="1"/>
    <n v="101"/>
    <n v="4"/>
    <x v="1"/>
    <n v="3"/>
    <n v="3"/>
    <x v="7"/>
    <n v="1"/>
    <s v="Married"/>
    <n v="13245"/>
    <n v="4"/>
    <x v="0"/>
    <n v="14"/>
    <n v="3"/>
    <n v="2"/>
    <n v="0"/>
    <n v="17"/>
    <n v="3"/>
    <n v="4"/>
    <n v="0"/>
    <n v="0"/>
    <n v="0"/>
    <n v="0"/>
    <s v="Master"/>
    <s v="Very High"/>
    <s v="High"/>
    <x v="2"/>
    <s v="Low"/>
    <s v="Excellent"/>
    <s v="Medium"/>
    <x v="3"/>
    <s v="No_stock"/>
    <x v="1"/>
  </r>
  <r>
    <x v="2"/>
    <x v="1"/>
    <x v="0"/>
    <n v="397"/>
    <x v="1"/>
    <n v="7"/>
    <n v="4"/>
    <x v="2"/>
    <n v="102"/>
    <n v="1"/>
    <x v="1"/>
    <n v="3"/>
    <n v="3"/>
    <x v="7"/>
    <n v="3"/>
    <s v="Single"/>
    <n v="13664"/>
    <n v="4"/>
    <x v="1"/>
    <n v="13"/>
    <n v="3"/>
    <n v="1"/>
    <n v="0"/>
    <n v="16"/>
    <n v="3"/>
    <n v="4"/>
    <n v="5"/>
    <n v="2"/>
    <n v="0"/>
    <n v="2"/>
    <s v="Master"/>
    <s v="Low"/>
    <s v="High"/>
    <x v="2"/>
    <s v="High"/>
    <s v="Excellent"/>
    <s v="Low"/>
    <x v="3"/>
    <s v="No_stock"/>
    <x v="1"/>
  </r>
  <r>
    <x v="21"/>
    <x v="1"/>
    <x v="0"/>
    <n v="945"/>
    <x v="2"/>
    <n v="5"/>
    <n v="2"/>
    <x v="2"/>
    <n v="103"/>
    <n v="2"/>
    <x v="1"/>
    <n v="3"/>
    <n v="2"/>
    <x v="8"/>
    <n v="2"/>
    <s v="Divorced"/>
    <n v="5021"/>
    <n v="8"/>
    <x v="0"/>
    <n v="22"/>
    <n v="4"/>
    <n v="4"/>
    <n v="1"/>
    <n v="16"/>
    <n v="2"/>
    <n v="3"/>
    <n v="4"/>
    <n v="2"/>
    <n v="0"/>
    <n v="2"/>
    <s v="College"/>
    <s v="Medium"/>
    <s v="High"/>
    <x v="0"/>
    <s v="Medium"/>
    <s v="Outstanding"/>
    <s v="Very High"/>
    <x v="1"/>
    <s v="Low"/>
    <x v="0"/>
  </r>
  <r>
    <x v="7"/>
    <x v="1"/>
    <x v="0"/>
    <n v="852"/>
    <x v="1"/>
    <n v="1"/>
    <n v="1"/>
    <x v="0"/>
    <n v="104"/>
    <n v="4"/>
    <x v="1"/>
    <n v="2"/>
    <n v="2"/>
    <x v="2"/>
    <n v="4"/>
    <s v="Married"/>
    <n v="5126"/>
    <n v="1"/>
    <x v="0"/>
    <n v="12"/>
    <n v="3"/>
    <n v="3"/>
    <n v="2"/>
    <n v="10"/>
    <n v="1"/>
    <n v="2"/>
    <n v="10"/>
    <n v="8"/>
    <n v="3"/>
    <n v="0"/>
    <s v="Before College"/>
    <s v="Very High"/>
    <s v="Medium"/>
    <x v="0"/>
    <s v="Very High"/>
    <s v="Excellent"/>
    <s v="High"/>
    <x v="2"/>
    <s v="Medium"/>
    <x v="0"/>
  </r>
  <r>
    <x v="10"/>
    <x v="1"/>
    <x v="0"/>
    <n v="1214"/>
    <x v="1"/>
    <n v="1"/>
    <n v="3"/>
    <x v="2"/>
    <n v="105"/>
    <n v="2"/>
    <x v="1"/>
    <n v="2"/>
    <n v="1"/>
    <x v="1"/>
    <n v="3"/>
    <s v="Single"/>
    <n v="2859"/>
    <n v="1"/>
    <x v="1"/>
    <n v="18"/>
    <n v="3"/>
    <n v="1"/>
    <n v="0"/>
    <n v="6"/>
    <n v="3"/>
    <n v="3"/>
    <n v="6"/>
    <n v="4"/>
    <n v="0"/>
    <n v="4"/>
    <s v="Bachelor"/>
    <s v="Medium"/>
    <s v="Medium"/>
    <x v="1"/>
    <s v="High"/>
    <s v="Excellent"/>
    <s v="Low"/>
    <x v="1"/>
    <s v="No_stock"/>
    <x v="0"/>
  </r>
  <r>
    <x v="27"/>
    <x v="1"/>
    <x v="0"/>
    <n v="111"/>
    <x v="0"/>
    <n v="1"/>
    <n v="2"/>
    <x v="0"/>
    <n v="106"/>
    <n v="1"/>
    <x v="1"/>
    <n v="3"/>
    <n v="3"/>
    <x v="0"/>
    <n v="4"/>
    <s v="Married"/>
    <n v="10239"/>
    <n v="3"/>
    <x v="1"/>
    <n v="14"/>
    <n v="3"/>
    <n v="4"/>
    <n v="1"/>
    <n v="24"/>
    <n v="4"/>
    <n v="3"/>
    <n v="1"/>
    <n v="0"/>
    <n v="1"/>
    <n v="0"/>
    <s v="College"/>
    <s v="Low"/>
    <s v="High"/>
    <x v="2"/>
    <s v="Very High"/>
    <s v="Excellent"/>
    <s v="Very High"/>
    <x v="1"/>
    <s v="Low"/>
    <x v="0"/>
  </r>
  <r>
    <x v="8"/>
    <x v="1"/>
    <x v="2"/>
    <n v="573"/>
    <x v="1"/>
    <n v="6"/>
    <n v="3"/>
    <x v="2"/>
    <n v="107"/>
    <n v="2"/>
    <x v="0"/>
    <n v="1"/>
    <n v="2"/>
    <x v="1"/>
    <n v="4"/>
    <s v="Divorced"/>
    <n v="5329"/>
    <n v="7"/>
    <x v="0"/>
    <n v="12"/>
    <n v="3"/>
    <n v="4"/>
    <n v="3"/>
    <n v="17"/>
    <n v="3"/>
    <n v="3"/>
    <n v="13"/>
    <n v="11"/>
    <n v="1"/>
    <n v="9"/>
    <s v="Bachelor"/>
    <s v="Medium"/>
    <s v="Low"/>
    <x v="0"/>
    <s v="Very High"/>
    <s v="Excellent"/>
    <s v="Very High"/>
    <x v="1"/>
    <s v="High"/>
    <x v="1"/>
  </r>
  <r>
    <x v="13"/>
    <x v="1"/>
    <x v="0"/>
    <n v="1153"/>
    <x v="1"/>
    <n v="1"/>
    <n v="2"/>
    <x v="2"/>
    <n v="110"/>
    <n v="1"/>
    <x v="1"/>
    <n v="3"/>
    <n v="2"/>
    <x v="3"/>
    <n v="2"/>
    <s v="Married"/>
    <n v="4325"/>
    <n v="1"/>
    <x v="1"/>
    <n v="15"/>
    <n v="3"/>
    <n v="3"/>
    <n v="0"/>
    <n v="5"/>
    <n v="2"/>
    <n v="3"/>
    <n v="5"/>
    <n v="2"/>
    <n v="1"/>
    <n v="3"/>
    <s v="College"/>
    <s v="Low"/>
    <s v="High"/>
    <x v="0"/>
    <s v="Medium"/>
    <s v="Excellent"/>
    <s v="High"/>
    <x v="1"/>
    <s v="No_stock"/>
    <x v="0"/>
  </r>
  <r>
    <x v="29"/>
    <x v="1"/>
    <x v="0"/>
    <n v="1400"/>
    <x v="1"/>
    <n v="7"/>
    <n v="3"/>
    <x v="0"/>
    <n v="112"/>
    <n v="4"/>
    <x v="1"/>
    <n v="1"/>
    <n v="3"/>
    <x v="3"/>
    <n v="4"/>
    <s v="Single"/>
    <n v="7260"/>
    <n v="4"/>
    <x v="1"/>
    <n v="11"/>
    <n v="3"/>
    <n v="1"/>
    <n v="0"/>
    <n v="37"/>
    <n v="3"/>
    <n v="2"/>
    <n v="6"/>
    <n v="4"/>
    <n v="0"/>
    <n v="2"/>
    <s v="Bachelor"/>
    <s v="Very High"/>
    <s v="Low"/>
    <x v="2"/>
    <s v="Very High"/>
    <s v="Excellent"/>
    <s v="Low"/>
    <x v="2"/>
    <s v="No_stock"/>
    <x v="1"/>
  </r>
  <r>
    <x v="30"/>
    <x v="1"/>
    <x v="0"/>
    <n v="541"/>
    <x v="0"/>
    <n v="2"/>
    <n v="1"/>
    <x v="4"/>
    <n v="113"/>
    <n v="3"/>
    <x v="1"/>
    <n v="3"/>
    <n v="1"/>
    <x v="6"/>
    <n v="1"/>
    <s v="Divorced"/>
    <n v="2322"/>
    <n v="3"/>
    <x v="1"/>
    <n v="13"/>
    <n v="3"/>
    <n v="3"/>
    <n v="1"/>
    <n v="3"/>
    <n v="3"/>
    <n v="3"/>
    <n v="0"/>
    <n v="0"/>
    <n v="0"/>
    <n v="0"/>
    <s v="Before College"/>
    <s v="High"/>
    <s v="High"/>
    <x v="1"/>
    <s v="Low"/>
    <s v="Excellent"/>
    <s v="High"/>
    <x v="1"/>
    <s v="Low"/>
    <x v="0"/>
  </r>
  <r>
    <x v="31"/>
    <x v="1"/>
    <x v="0"/>
    <n v="432"/>
    <x v="1"/>
    <n v="9"/>
    <n v="4"/>
    <x v="0"/>
    <n v="116"/>
    <n v="4"/>
    <x v="1"/>
    <n v="3"/>
    <n v="1"/>
    <x v="2"/>
    <n v="4"/>
    <s v="Married"/>
    <n v="2075"/>
    <n v="3"/>
    <x v="1"/>
    <n v="23"/>
    <n v="4"/>
    <n v="2"/>
    <n v="2"/>
    <n v="10"/>
    <n v="4"/>
    <n v="3"/>
    <n v="4"/>
    <n v="2"/>
    <n v="0"/>
    <n v="3"/>
    <s v="Master"/>
    <s v="Very High"/>
    <s v="High"/>
    <x v="1"/>
    <s v="Very High"/>
    <s v="Outstanding"/>
    <s v="Medium"/>
    <x v="1"/>
    <s v="Medium"/>
    <x v="1"/>
  </r>
  <r>
    <x v="7"/>
    <x v="1"/>
    <x v="0"/>
    <n v="288"/>
    <x v="1"/>
    <n v="2"/>
    <n v="3"/>
    <x v="0"/>
    <n v="117"/>
    <n v="3"/>
    <x v="1"/>
    <n v="2"/>
    <n v="2"/>
    <x v="4"/>
    <n v="4"/>
    <s v="Married"/>
    <n v="4152"/>
    <n v="1"/>
    <x v="1"/>
    <n v="19"/>
    <n v="3"/>
    <n v="1"/>
    <n v="3"/>
    <n v="11"/>
    <n v="3"/>
    <n v="3"/>
    <n v="11"/>
    <n v="10"/>
    <n v="10"/>
    <n v="8"/>
    <s v="Bachelor"/>
    <s v="High"/>
    <s v="Medium"/>
    <x v="0"/>
    <s v="Very High"/>
    <s v="Excellent"/>
    <s v="Low"/>
    <x v="1"/>
    <s v="High"/>
    <x v="0"/>
  </r>
  <r>
    <x v="21"/>
    <x v="0"/>
    <x v="0"/>
    <n v="669"/>
    <x v="0"/>
    <n v="9"/>
    <n v="2"/>
    <x v="2"/>
    <n v="118"/>
    <n v="3"/>
    <x v="1"/>
    <n v="2"/>
    <n v="3"/>
    <x v="0"/>
    <n v="4"/>
    <s v="Single"/>
    <n v="9619"/>
    <n v="1"/>
    <x v="1"/>
    <n v="16"/>
    <n v="3"/>
    <n v="4"/>
    <n v="0"/>
    <n v="9"/>
    <n v="3"/>
    <n v="3"/>
    <n v="9"/>
    <n v="8"/>
    <n v="4"/>
    <n v="7"/>
    <s v="College"/>
    <s v="High"/>
    <s v="Medium"/>
    <x v="2"/>
    <s v="Very High"/>
    <s v="Excellent"/>
    <s v="Very High"/>
    <x v="1"/>
    <s v="No_stock"/>
    <x v="1"/>
  </r>
  <r>
    <x v="32"/>
    <x v="1"/>
    <x v="1"/>
    <n v="530"/>
    <x v="1"/>
    <n v="1"/>
    <n v="4"/>
    <x v="0"/>
    <n v="119"/>
    <n v="3"/>
    <x v="1"/>
    <n v="2"/>
    <n v="4"/>
    <x v="4"/>
    <n v="2"/>
    <s v="Married"/>
    <n v="13503"/>
    <n v="1"/>
    <x v="1"/>
    <n v="22"/>
    <n v="4"/>
    <n v="4"/>
    <n v="1"/>
    <n v="22"/>
    <n v="3"/>
    <n v="2"/>
    <n v="22"/>
    <n v="3"/>
    <n v="11"/>
    <n v="11"/>
    <s v="Master"/>
    <s v="High"/>
    <s v="Medium"/>
    <x v="3"/>
    <s v="Medium"/>
    <s v="Outstanding"/>
    <s v="Very High"/>
    <x v="2"/>
    <s v="Low"/>
    <x v="0"/>
  </r>
  <r>
    <x v="31"/>
    <x v="1"/>
    <x v="0"/>
    <n v="632"/>
    <x v="0"/>
    <n v="21"/>
    <n v="4"/>
    <x v="3"/>
    <n v="120"/>
    <n v="3"/>
    <x v="1"/>
    <n v="3"/>
    <n v="2"/>
    <x v="0"/>
    <n v="4"/>
    <s v="Single"/>
    <n v="5441"/>
    <n v="0"/>
    <x v="0"/>
    <n v="22"/>
    <n v="4"/>
    <n v="4"/>
    <n v="0"/>
    <n v="11"/>
    <n v="2"/>
    <n v="1"/>
    <n v="10"/>
    <n v="7"/>
    <n v="1"/>
    <n v="0"/>
    <s v="Master"/>
    <s v="High"/>
    <s v="High"/>
    <x v="0"/>
    <s v="Very High"/>
    <s v="Outstanding"/>
    <s v="Very High"/>
    <x v="0"/>
    <s v="No_stock"/>
    <x v="2"/>
  </r>
  <r>
    <x v="7"/>
    <x v="1"/>
    <x v="0"/>
    <n v="1334"/>
    <x v="0"/>
    <n v="4"/>
    <n v="2"/>
    <x v="2"/>
    <n v="121"/>
    <n v="3"/>
    <x v="0"/>
    <n v="2"/>
    <n v="2"/>
    <x v="0"/>
    <n v="2"/>
    <s v="Divorced"/>
    <n v="5209"/>
    <n v="1"/>
    <x v="0"/>
    <n v="12"/>
    <n v="3"/>
    <n v="2"/>
    <n v="3"/>
    <n v="11"/>
    <n v="4"/>
    <n v="2"/>
    <n v="11"/>
    <n v="8"/>
    <n v="2"/>
    <n v="7"/>
    <s v="College"/>
    <s v="High"/>
    <s v="Medium"/>
    <x v="0"/>
    <s v="Medium"/>
    <s v="Excellent"/>
    <s v="Medium"/>
    <x v="2"/>
    <s v="High"/>
    <x v="0"/>
  </r>
  <r>
    <x v="21"/>
    <x v="1"/>
    <x v="1"/>
    <n v="638"/>
    <x v="1"/>
    <n v="1"/>
    <n v="3"/>
    <x v="2"/>
    <n v="124"/>
    <n v="3"/>
    <x v="1"/>
    <n v="2"/>
    <n v="3"/>
    <x v="4"/>
    <n v="1"/>
    <s v="Married"/>
    <n v="10673"/>
    <n v="2"/>
    <x v="0"/>
    <n v="13"/>
    <n v="3"/>
    <n v="3"/>
    <n v="1"/>
    <n v="21"/>
    <n v="5"/>
    <n v="2"/>
    <n v="10"/>
    <n v="9"/>
    <n v="9"/>
    <n v="5"/>
    <s v="Bachelor"/>
    <s v="High"/>
    <s v="Medium"/>
    <x v="2"/>
    <s v="Low"/>
    <s v="Excellent"/>
    <s v="High"/>
    <x v="2"/>
    <s v="Low"/>
    <x v="0"/>
  </r>
  <r>
    <x v="5"/>
    <x v="1"/>
    <x v="0"/>
    <n v="1093"/>
    <x v="0"/>
    <n v="6"/>
    <n v="4"/>
    <x v="2"/>
    <n v="125"/>
    <n v="2"/>
    <x v="1"/>
    <n v="3"/>
    <n v="2"/>
    <x v="0"/>
    <n v="3"/>
    <s v="Single"/>
    <n v="5010"/>
    <n v="1"/>
    <x v="1"/>
    <n v="16"/>
    <n v="3"/>
    <n v="1"/>
    <n v="0"/>
    <n v="12"/>
    <n v="0"/>
    <n v="3"/>
    <n v="11"/>
    <n v="8"/>
    <n v="5"/>
    <n v="7"/>
    <s v="Master"/>
    <s v="Medium"/>
    <s v="High"/>
    <x v="0"/>
    <s v="High"/>
    <s v="Excellent"/>
    <s v="Low"/>
    <x v="1"/>
    <s v="No_stock"/>
    <x v="1"/>
  </r>
  <r>
    <x v="33"/>
    <x v="1"/>
    <x v="0"/>
    <n v="1217"/>
    <x v="1"/>
    <n v="2"/>
    <n v="4"/>
    <x v="4"/>
    <n v="126"/>
    <n v="1"/>
    <x v="0"/>
    <n v="3"/>
    <n v="3"/>
    <x v="7"/>
    <n v="3"/>
    <s v="Married"/>
    <n v="13549"/>
    <n v="9"/>
    <x v="1"/>
    <n v="12"/>
    <n v="3"/>
    <n v="1"/>
    <n v="1"/>
    <n v="16"/>
    <n v="5"/>
    <n v="1"/>
    <n v="4"/>
    <n v="3"/>
    <n v="0"/>
    <n v="3"/>
    <s v="Master"/>
    <s v="Low"/>
    <s v="High"/>
    <x v="2"/>
    <s v="High"/>
    <s v="Excellent"/>
    <s v="Low"/>
    <x v="0"/>
    <s v="Low"/>
    <x v="0"/>
  </r>
  <r>
    <x v="17"/>
    <x v="1"/>
    <x v="0"/>
    <n v="1353"/>
    <x v="0"/>
    <n v="3"/>
    <n v="2"/>
    <x v="1"/>
    <n v="128"/>
    <n v="1"/>
    <x v="0"/>
    <n v="3"/>
    <n v="2"/>
    <x v="0"/>
    <n v="3"/>
    <s v="Married"/>
    <n v="4999"/>
    <n v="0"/>
    <x v="1"/>
    <n v="21"/>
    <n v="4"/>
    <n v="1"/>
    <n v="1"/>
    <n v="4"/>
    <n v="2"/>
    <n v="2"/>
    <n v="3"/>
    <n v="2"/>
    <n v="0"/>
    <n v="2"/>
    <s v="College"/>
    <s v="Low"/>
    <s v="High"/>
    <x v="0"/>
    <s v="High"/>
    <s v="Outstanding"/>
    <s v="Low"/>
    <x v="2"/>
    <s v="Low"/>
    <x v="0"/>
  </r>
  <r>
    <x v="14"/>
    <x v="1"/>
    <x v="2"/>
    <n v="120"/>
    <x v="0"/>
    <n v="4"/>
    <n v="3"/>
    <x v="2"/>
    <n v="129"/>
    <n v="2"/>
    <x v="1"/>
    <n v="3"/>
    <n v="2"/>
    <x v="0"/>
    <n v="3"/>
    <s v="Married"/>
    <n v="4221"/>
    <n v="1"/>
    <x v="1"/>
    <n v="15"/>
    <n v="3"/>
    <n v="2"/>
    <n v="0"/>
    <n v="5"/>
    <n v="3"/>
    <n v="4"/>
    <n v="5"/>
    <n v="4"/>
    <n v="0"/>
    <n v="4"/>
    <s v="Bachelor"/>
    <s v="Medium"/>
    <s v="High"/>
    <x v="0"/>
    <s v="High"/>
    <s v="Excellent"/>
    <s v="Medium"/>
    <x v="3"/>
    <s v="No_stock"/>
    <x v="0"/>
  </r>
  <r>
    <x v="34"/>
    <x v="1"/>
    <x v="0"/>
    <n v="682"/>
    <x v="0"/>
    <n v="10"/>
    <n v="4"/>
    <x v="2"/>
    <n v="131"/>
    <n v="4"/>
    <x v="1"/>
    <n v="3"/>
    <n v="4"/>
    <x v="0"/>
    <n v="3"/>
    <s v="Single"/>
    <n v="13872"/>
    <n v="0"/>
    <x v="1"/>
    <n v="13"/>
    <n v="3"/>
    <n v="3"/>
    <n v="0"/>
    <n v="38"/>
    <n v="1"/>
    <n v="2"/>
    <n v="37"/>
    <n v="10"/>
    <n v="1"/>
    <n v="8"/>
    <s v="Master"/>
    <s v="Very High"/>
    <s v="High"/>
    <x v="3"/>
    <s v="High"/>
    <s v="Excellent"/>
    <s v="High"/>
    <x v="2"/>
    <s v="No_stock"/>
    <x v="1"/>
  </r>
  <r>
    <x v="20"/>
    <x v="1"/>
    <x v="2"/>
    <n v="489"/>
    <x v="1"/>
    <n v="23"/>
    <n v="3"/>
    <x v="2"/>
    <n v="132"/>
    <n v="2"/>
    <x v="1"/>
    <n v="3"/>
    <n v="2"/>
    <x v="2"/>
    <n v="2"/>
    <s v="Married"/>
    <n v="2042"/>
    <n v="4"/>
    <x v="1"/>
    <n v="12"/>
    <n v="3"/>
    <n v="3"/>
    <n v="1"/>
    <n v="17"/>
    <n v="3"/>
    <n v="4"/>
    <n v="3"/>
    <n v="2"/>
    <n v="1"/>
    <n v="2"/>
    <s v="Bachelor"/>
    <s v="Medium"/>
    <s v="High"/>
    <x v="0"/>
    <s v="Medium"/>
    <s v="Excellent"/>
    <s v="High"/>
    <x v="3"/>
    <s v="Low"/>
    <x v="2"/>
  </r>
  <r>
    <x v="2"/>
    <x v="0"/>
    <x v="0"/>
    <n v="807"/>
    <x v="2"/>
    <n v="6"/>
    <n v="4"/>
    <x v="5"/>
    <n v="133"/>
    <n v="3"/>
    <x v="1"/>
    <n v="3"/>
    <n v="1"/>
    <x v="8"/>
    <n v="1"/>
    <s v="Divorced"/>
    <n v="2073"/>
    <n v="4"/>
    <x v="0"/>
    <n v="22"/>
    <n v="4"/>
    <n v="4"/>
    <n v="0"/>
    <n v="7"/>
    <n v="3"/>
    <n v="3"/>
    <n v="3"/>
    <n v="2"/>
    <n v="0"/>
    <n v="2"/>
    <s v="Master"/>
    <s v="High"/>
    <s v="High"/>
    <x v="1"/>
    <s v="Low"/>
    <s v="Outstanding"/>
    <s v="Very High"/>
    <x v="1"/>
    <s v="No_stock"/>
    <x v="1"/>
  </r>
  <r>
    <x v="5"/>
    <x v="1"/>
    <x v="0"/>
    <n v="827"/>
    <x v="1"/>
    <n v="1"/>
    <n v="1"/>
    <x v="0"/>
    <n v="134"/>
    <n v="4"/>
    <x v="1"/>
    <n v="3"/>
    <n v="1"/>
    <x v="1"/>
    <n v="1"/>
    <s v="Single"/>
    <n v="2956"/>
    <n v="1"/>
    <x v="1"/>
    <n v="13"/>
    <n v="3"/>
    <n v="4"/>
    <n v="0"/>
    <n v="1"/>
    <n v="2"/>
    <n v="3"/>
    <n v="1"/>
    <n v="0"/>
    <n v="0"/>
    <n v="0"/>
    <s v="Before College"/>
    <s v="Very High"/>
    <s v="High"/>
    <x v="1"/>
    <s v="Low"/>
    <s v="Excellent"/>
    <s v="Very High"/>
    <x v="1"/>
    <s v="No_stock"/>
    <x v="0"/>
  </r>
  <r>
    <x v="35"/>
    <x v="0"/>
    <x v="1"/>
    <n v="871"/>
    <x v="1"/>
    <n v="6"/>
    <n v="3"/>
    <x v="0"/>
    <n v="137"/>
    <n v="4"/>
    <x v="0"/>
    <n v="2"/>
    <n v="1"/>
    <x v="2"/>
    <n v="4"/>
    <s v="Single"/>
    <n v="2926"/>
    <n v="1"/>
    <x v="0"/>
    <n v="18"/>
    <n v="3"/>
    <n v="2"/>
    <n v="0"/>
    <n v="1"/>
    <n v="5"/>
    <n v="3"/>
    <n v="1"/>
    <n v="0"/>
    <n v="1"/>
    <n v="0"/>
    <s v="Bachelor"/>
    <s v="Very High"/>
    <s v="Medium"/>
    <x v="1"/>
    <s v="Very High"/>
    <s v="Excellent"/>
    <s v="Medium"/>
    <x v="1"/>
    <s v="No_stock"/>
    <x v="1"/>
  </r>
  <r>
    <x v="13"/>
    <x v="1"/>
    <x v="0"/>
    <n v="665"/>
    <x v="1"/>
    <n v="6"/>
    <n v="4"/>
    <x v="1"/>
    <n v="138"/>
    <n v="1"/>
    <x v="0"/>
    <n v="3"/>
    <n v="2"/>
    <x v="1"/>
    <n v="3"/>
    <s v="Single"/>
    <n v="4809"/>
    <n v="1"/>
    <x v="1"/>
    <n v="14"/>
    <n v="3"/>
    <n v="3"/>
    <n v="0"/>
    <n v="16"/>
    <n v="3"/>
    <n v="3"/>
    <n v="16"/>
    <n v="13"/>
    <n v="2"/>
    <n v="10"/>
    <s v="Master"/>
    <s v="Low"/>
    <s v="High"/>
    <x v="0"/>
    <s v="High"/>
    <s v="Excellent"/>
    <s v="High"/>
    <x v="1"/>
    <s v="No_stock"/>
    <x v="1"/>
  </r>
  <r>
    <x v="2"/>
    <x v="1"/>
    <x v="2"/>
    <n v="1040"/>
    <x v="1"/>
    <n v="2"/>
    <n v="2"/>
    <x v="0"/>
    <n v="139"/>
    <n v="3"/>
    <x v="1"/>
    <n v="2"/>
    <n v="2"/>
    <x v="4"/>
    <n v="4"/>
    <s v="Divorced"/>
    <n v="5163"/>
    <n v="5"/>
    <x v="1"/>
    <n v="14"/>
    <n v="3"/>
    <n v="4"/>
    <n v="1"/>
    <n v="17"/>
    <n v="2"/>
    <n v="4"/>
    <n v="1"/>
    <n v="0"/>
    <n v="0"/>
    <n v="0"/>
    <s v="College"/>
    <s v="High"/>
    <s v="Medium"/>
    <x v="0"/>
    <s v="Very High"/>
    <s v="Excellent"/>
    <s v="Very High"/>
    <x v="3"/>
    <s v="Low"/>
    <x v="0"/>
  </r>
  <r>
    <x v="6"/>
    <x v="1"/>
    <x v="2"/>
    <n v="1420"/>
    <x v="2"/>
    <n v="2"/>
    <n v="4"/>
    <x v="5"/>
    <n v="140"/>
    <n v="3"/>
    <x v="0"/>
    <n v="2"/>
    <n v="5"/>
    <x v="5"/>
    <n v="4"/>
    <s v="Married"/>
    <n v="18844"/>
    <n v="9"/>
    <x v="1"/>
    <n v="21"/>
    <n v="4"/>
    <n v="4"/>
    <n v="1"/>
    <n v="30"/>
    <n v="3"/>
    <n v="3"/>
    <n v="3"/>
    <n v="2"/>
    <n v="2"/>
    <n v="2"/>
    <s v="Master"/>
    <s v="High"/>
    <s v="Medium"/>
    <x v="4"/>
    <s v="Very High"/>
    <s v="Outstanding"/>
    <s v="Very High"/>
    <x v="1"/>
    <s v="Low"/>
    <x v="0"/>
  </r>
  <r>
    <x v="24"/>
    <x v="1"/>
    <x v="1"/>
    <n v="1115"/>
    <x v="1"/>
    <n v="1"/>
    <n v="3"/>
    <x v="0"/>
    <n v="141"/>
    <n v="1"/>
    <x v="0"/>
    <n v="3"/>
    <n v="5"/>
    <x v="7"/>
    <n v="2"/>
    <s v="Married"/>
    <n v="18172"/>
    <n v="3"/>
    <x v="0"/>
    <n v="19"/>
    <n v="3"/>
    <n v="1"/>
    <n v="0"/>
    <n v="28"/>
    <n v="1"/>
    <n v="2"/>
    <n v="8"/>
    <n v="3"/>
    <n v="0"/>
    <n v="7"/>
    <s v="Bachelor"/>
    <s v="Low"/>
    <s v="High"/>
    <x v="4"/>
    <s v="Medium"/>
    <s v="Excellent"/>
    <s v="Low"/>
    <x v="2"/>
    <s v="No_stock"/>
    <x v="0"/>
  </r>
  <r>
    <x v="36"/>
    <x v="0"/>
    <x v="0"/>
    <n v="240"/>
    <x v="0"/>
    <n v="5"/>
    <n v="3"/>
    <x v="3"/>
    <n v="142"/>
    <n v="3"/>
    <x v="1"/>
    <n v="2"/>
    <n v="2"/>
    <x v="0"/>
    <n v="3"/>
    <s v="Single"/>
    <n v="5744"/>
    <n v="1"/>
    <x v="0"/>
    <n v="11"/>
    <n v="3"/>
    <n v="4"/>
    <n v="0"/>
    <n v="6"/>
    <n v="1"/>
    <n v="3"/>
    <n v="6"/>
    <n v="4"/>
    <n v="0"/>
    <n v="3"/>
    <s v="Bachelor"/>
    <s v="High"/>
    <s v="Medium"/>
    <x v="0"/>
    <s v="High"/>
    <s v="Excellent"/>
    <s v="Very High"/>
    <x v="1"/>
    <s v="No_stock"/>
    <x v="0"/>
  </r>
  <r>
    <x v="36"/>
    <x v="1"/>
    <x v="0"/>
    <n v="1280"/>
    <x v="1"/>
    <n v="7"/>
    <n v="1"/>
    <x v="2"/>
    <n v="143"/>
    <n v="4"/>
    <x v="1"/>
    <n v="2"/>
    <n v="1"/>
    <x v="1"/>
    <n v="4"/>
    <s v="Married"/>
    <n v="2889"/>
    <n v="1"/>
    <x v="1"/>
    <n v="11"/>
    <n v="3"/>
    <n v="3"/>
    <n v="2"/>
    <n v="2"/>
    <n v="2"/>
    <n v="3"/>
    <n v="2"/>
    <n v="2"/>
    <n v="2"/>
    <n v="1"/>
    <s v="Before College"/>
    <s v="Very High"/>
    <s v="Medium"/>
    <x v="1"/>
    <s v="Very High"/>
    <s v="Excellent"/>
    <s v="High"/>
    <x v="1"/>
    <s v="Medium"/>
    <x v="1"/>
  </r>
  <r>
    <x v="15"/>
    <x v="1"/>
    <x v="0"/>
    <n v="534"/>
    <x v="1"/>
    <n v="15"/>
    <n v="3"/>
    <x v="2"/>
    <n v="144"/>
    <n v="2"/>
    <x v="0"/>
    <n v="3"/>
    <n v="1"/>
    <x v="2"/>
    <n v="4"/>
    <s v="Single"/>
    <n v="2871"/>
    <n v="1"/>
    <x v="1"/>
    <n v="15"/>
    <n v="3"/>
    <n v="3"/>
    <n v="0"/>
    <n v="1"/>
    <n v="5"/>
    <n v="3"/>
    <n v="0"/>
    <n v="0"/>
    <n v="0"/>
    <n v="0"/>
    <s v="Bachelor"/>
    <s v="Medium"/>
    <s v="High"/>
    <x v="1"/>
    <s v="Very High"/>
    <s v="Excellent"/>
    <s v="High"/>
    <x v="1"/>
    <s v="No_stock"/>
    <x v="1"/>
  </r>
  <r>
    <x v="31"/>
    <x v="1"/>
    <x v="1"/>
    <n v="1456"/>
    <x v="1"/>
    <n v="1"/>
    <n v="4"/>
    <x v="2"/>
    <n v="145"/>
    <n v="1"/>
    <x v="0"/>
    <n v="2"/>
    <n v="3"/>
    <x v="4"/>
    <n v="1"/>
    <s v="Single"/>
    <n v="7484"/>
    <n v="3"/>
    <x v="1"/>
    <n v="20"/>
    <n v="4"/>
    <n v="3"/>
    <n v="0"/>
    <n v="23"/>
    <n v="1"/>
    <n v="2"/>
    <n v="13"/>
    <n v="12"/>
    <n v="12"/>
    <n v="8"/>
    <s v="Master"/>
    <s v="Low"/>
    <s v="Medium"/>
    <x v="2"/>
    <s v="Low"/>
    <s v="Outstanding"/>
    <s v="High"/>
    <x v="2"/>
    <s v="No_stock"/>
    <x v="0"/>
  </r>
  <r>
    <x v="13"/>
    <x v="0"/>
    <x v="1"/>
    <n v="658"/>
    <x v="1"/>
    <n v="7"/>
    <n v="3"/>
    <x v="0"/>
    <n v="147"/>
    <n v="1"/>
    <x v="1"/>
    <n v="1"/>
    <n v="2"/>
    <x v="2"/>
    <n v="3"/>
    <s v="Single"/>
    <n v="6074"/>
    <n v="1"/>
    <x v="0"/>
    <n v="24"/>
    <n v="4"/>
    <n v="4"/>
    <n v="0"/>
    <n v="9"/>
    <n v="3"/>
    <n v="3"/>
    <n v="9"/>
    <n v="7"/>
    <n v="0"/>
    <n v="6"/>
    <s v="Bachelor"/>
    <s v="Low"/>
    <s v="Low"/>
    <x v="0"/>
    <s v="High"/>
    <s v="Outstanding"/>
    <s v="Very High"/>
    <x v="1"/>
    <s v="No_stock"/>
    <x v="1"/>
  </r>
  <r>
    <x v="33"/>
    <x v="1"/>
    <x v="2"/>
    <n v="142"/>
    <x v="2"/>
    <n v="26"/>
    <n v="3"/>
    <x v="5"/>
    <n v="148"/>
    <n v="4"/>
    <x v="0"/>
    <n v="4"/>
    <n v="4"/>
    <x v="5"/>
    <n v="4"/>
    <s v="Single"/>
    <n v="17328"/>
    <n v="2"/>
    <x v="0"/>
    <n v="12"/>
    <n v="3"/>
    <n v="3"/>
    <n v="0"/>
    <n v="23"/>
    <n v="3"/>
    <n v="3"/>
    <n v="5"/>
    <n v="3"/>
    <n v="4"/>
    <n v="4"/>
    <s v="Bachelor"/>
    <s v="Very High"/>
    <s v="Very High"/>
    <x v="3"/>
    <s v="Very High"/>
    <s v="Excellent"/>
    <s v="High"/>
    <x v="1"/>
    <s v="No_stock"/>
    <x v="2"/>
  </r>
  <r>
    <x v="17"/>
    <x v="1"/>
    <x v="0"/>
    <n v="1127"/>
    <x v="1"/>
    <n v="18"/>
    <n v="1"/>
    <x v="0"/>
    <n v="150"/>
    <n v="2"/>
    <x v="1"/>
    <n v="3"/>
    <n v="1"/>
    <x v="2"/>
    <n v="3"/>
    <s v="Married"/>
    <n v="2774"/>
    <n v="0"/>
    <x v="1"/>
    <n v="12"/>
    <n v="3"/>
    <n v="3"/>
    <n v="1"/>
    <n v="6"/>
    <n v="2"/>
    <n v="3"/>
    <n v="5"/>
    <n v="3"/>
    <n v="1"/>
    <n v="2"/>
    <s v="Before College"/>
    <s v="Medium"/>
    <s v="High"/>
    <x v="1"/>
    <s v="High"/>
    <s v="Excellent"/>
    <s v="High"/>
    <x v="1"/>
    <s v="Low"/>
    <x v="2"/>
  </r>
  <r>
    <x v="13"/>
    <x v="1"/>
    <x v="0"/>
    <n v="1031"/>
    <x v="1"/>
    <n v="6"/>
    <n v="4"/>
    <x v="0"/>
    <n v="151"/>
    <n v="3"/>
    <x v="0"/>
    <n v="2"/>
    <n v="2"/>
    <x v="1"/>
    <n v="2"/>
    <s v="Divorced"/>
    <n v="4505"/>
    <n v="6"/>
    <x v="1"/>
    <n v="15"/>
    <n v="3"/>
    <n v="3"/>
    <n v="1"/>
    <n v="12"/>
    <n v="3"/>
    <n v="3"/>
    <n v="1"/>
    <n v="0"/>
    <n v="0"/>
    <n v="0"/>
    <s v="Master"/>
    <s v="High"/>
    <s v="Medium"/>
    <x v="0"/>
    <s v="Medium"/>
    <s v="Excellent"/>
    <s v="High"/>
    <x v="1"/>
    <s v="Low"/>
    <x v="1"/>
  </r>
  <r>
    <x v="2"/>
    <x v="1"/>
    <x v="0"/>
    <n v="1189"/>
    <x v="0"/>
    <n v="3"/>
    <n v="3"/>
    <x v="0"/>
    <n v="152"/>
    <n v="3"/>
    <x v="1"/>
    <n v="3"/>
    <n v="3"/>
    <x v="0"/>
    <n v="4"/>
    <s v="Single"/>
    <n v="7428"/>
    <n v="2"/>
    <x v="1"/>
    <n v="12"/>
    <n v="3"/>
    <n v="1"/>
    <n v="0"/>
    <n v="12"/>
    <n v="3"/>
    <n v="3"/>
    <n v="5"/>
    <n v="3"/>
    <n v="1"/>
    <n v="3"/>
    <s v="Bachelor"/>
    <s v="High"/>
    <s v="High"/>
    <x v="2"/>
    <s v="Very High"/>
    <s v="Excellent"/>
    <s v="Low"/>
    <x v="1"/>
    <s v="No_stock"/>
    <x v="0"/>
  </r>
  <r>
    <x v="13"/>
    <x v="1"/>
    <x v="0"/>
    <n v="1354"/>
    <x v="1"/>
    <n v="5"/>
    <n v="3"/>
    <x v="2"/>
    <n v="153"/>
    <n v="3"/>
    <x v="0"/>
    <n v="2"/>
    <n v="3"/>
    <x v="5"/>
    <n v="1"/>
    <s v="Single"/>
    <n v="11631"/>
    <n v="2"/>
    <x v="1"/>
    <n v="12"/>
    <n v="3"/>
    <n v="4"/>
    <n v="0"/>
    <n v="14"/>
    <n v="6"/>
    <n v="3"/>
    <n v="11"/>
    <n v="10"/>
    <n v="5"/>
    <n v="8"/>
    <s v="Bachelor"/>
    <s v="High"/>
    <s v="Medium"/>
    <x v="2"/>
    <s v="Low"/>
    <s v="Excellent"/>
    <s v="Very High"/>
    <x v="1"/>
    <s v="No_stock"/>
    <x v="0"/>
  </r>
  <r>
    <x v="9"/>
    <x v="1"/>
    <x v="1"/>
    <n v="1467"/>
    <x v="0"/>
    <n v="11"/>
    <n v="2"/>
    <x v="4"/>
    <n v="154"/>
    <n v="2"/>
    <x v="0"/>
    <n v="3"/>
    <n v="3"/>
    <x v="0"/>
    <n v="4"/>
    <s v="Married"/>
    <n v="9738"/>
    <n v="0"/>
    <x v="1"/>
    <n v="14"/>
    <n v="3"/>
    <n v="3"/>
    <n v="1"/>
    <n v="10"/>
    <n v="6"/>
    <n v="3"/>
    <n v="9"/>
    <n v="7"/>
    <n v="2"/>
    <n v="8"/>
    <s v="College"/>
    <s v="Medium"/>
    <s v="High"/>
    <x v="2"/>
    <s v="Very High"/>
    <s v="Excellent"/>
    <s v="High"/>
    <x v="1"/>
    <s v="Low"/>
    <x v="1"/>
  </r>
  <r>
    <x v="9"/>
    <x v="1"/>
    <x v="0"/>
    <n v="922"/>
    <x v="1"/>
    <n v="3"/>
    <n v="2"/>
    <x v="0"/>
    <n v="155"/>
    <n v="1"/>
    <x v="0"/>
    <n v="3"/>
    <n v="1"/>
    <x v="2"/>
    <n v="4"/>
    <s v="Divorced"/>
    <n v="2835"/>
    <n v="5"/>
    <x v="1"/>
    <n v="22"/>
    <n v="4"/>
    <n v="1"/>
    <n v="1"/>
    <n v="7"/>
    <n v="2"/>
    <n v="3"/>
    <n v="1"/>
    <n v="0"/>
    <n v="0"/>
    <n v="0"/>
    <s v="College"/>
    <s v="Low"/>
    <s v="High"/>
    <x v="1"/>
    <s v="Very High"/>
    <s v="Outstanding"/>
    <s v="Low"/>
    <x v="1"/>
    <s v="Low"/>
    <x v="0"/>
  </r>
  <r>
    <x v="23"/>
    <x v="1"/>
    <x v="1"/>
    <n v="394"/>
    <x v="0"/>
    <n v="26"/>
    <n v="2"/>
    <x v="0"/>
    <n v="158"/>
    <n v="3"/>
    <x v="1"/>
    <n v="3"/>
    <n v="4"/>
    <x v="5"/>
    <n v="4"/>
    <s v="Married"/>
    <n v="16959"/>
    <n v="1"/>
    <x v="0"/>
    <n v="12"/>
    <n v="3"/>
    <n v="4"/>
    <n v="2"/>
    <n v="25"/>
    <n v="3"/>
    <n v="4"/>
    <n v="25"/>
    <n v="12"/>
    <n v="4"/>
    <n v="12"/>
    <s v="College"/>
    <s v="High"/>
    <s v="High"/>
    <x v="3"/>
    <s v="Very High"/>
    <s v="Excellent"/>
    <s v="Very High"/>
    <x v="3"/>
    <s v="Medium"/>
    <x v="2"/>
  </r>
  <r>
    <x v="7"/>
    <x v="1"/>
    <x v="1"/>
    <n v="1312"/>
    <x v="1"/>
    <n v="23"/>
    <n v="3"/>
    <x v="0"/>
    <n v="159"/>
    <n v="1"/>
    <x v="1"/>
    <n v="1"/>
    <n v="1"/>
    <x v="1"/>
    <n v="3"/>
    <s v="Divorced"/>
    <n v="2613"/>
    <n v="1"/>
    <x v="1"/>
    <n v="25"/>
    <n v="4"/>
    <n v="3"/>
    <n v="3"/>
    <n v="10"/>
    <n v="2"/>
    <n v="2"/>
    <n v="10"/>
    <n v="7"/>
    <n v="0"/>
    <n v="9"/>
    <s v="Bachelor"/>
    <s v="Low"/>
    <s v="Low"/>
    <x v="1"/>
    <s v="High"/>
    <s v="Outstanding"/>
    <s v="High"/>
    <x v="2"/>
    <s v="High"/>
    <x v="2"/>
  </r>
  <r>
    <x v="3"/>
    <x v="1"/>
    <x v="2"/>
    <n v="750"/>
    <x v="0"/>
    <n v="22"/>
    <n v="2"/>
    <x v="3"/>
    <n v="160"/>
    <n v="3"/>
    <x v="1"/>
    <n v="3"/>
    <n v="2"/>
    <x v="0"/>
    <n v="2"/>
    <s v="Married"/>
    <n v="6146"/>
    <n v="0"/>
    <x v="1"/>
    <n v="13"/>
    <n v="3"/>
    <n v="1"/>
    <n v="1"/>
    <n v="8"/>
    <n v="2"/>
    <n v="4"/>
    <n v="7"/>
    <n v="7"/>
    <n v="0"/>
    <n v="7"/>
    <s v="College"/>
    <s v="High"/>
    <s v="High"/>
    <x v="0"/>
    <s v="Medium"/>
    <s v="Excellent"/>
    <s v="Low"/>
    <x v="3"/>
    <s v="Low"/>
    <x v="2"/>
  </r>
  <r>
    <x v="29"/>
    <x v="0"/>
    <x v="0"/>
    <n v="441"/>
    <x v="1"/>
    <n v="14"/>
    <n v="4"/>
    <x v="0"/>
    <n v="161"/>
    <n v="2"/>
    <x v="0"/>
    <n v="3"/>
    <n v="1"/>
    <x v="1"/>
    <n v="2"/>
    <s v="Married"/>
    <n v="4963"/>
    <n v="9"/>
    <x v="0"/>
    <n v="18"/>
    <n v="3"/>
    <n v="1"/>
    <n v="3"/>
    <n v="7"/>
    <n v="2"/>
    <n v="3"/>
    <n v="5"/>
    <n v="4"/>
    <n v="4"/>
    <n v="3"/>
    <s v="Master"/>
    <s v="Medium"/>
    <s v="High"/>
    <x v="1"/>
    <s v="Medium"/>
    <s v="Excellent"/>
    <s v="Low"/>
    <x v="1"/>
    <s v="High"/>
    <x v="1"/>
  </r>
  <r>
    <x v="31"/>
    <x v="1"/>
    <x v="0"/>
    <n v="684"/>
    <x v="1"/>
    <n v="6"/>
    <n v="3"/>
    <x v="0"/>
    <n v="162"/>
    <n v="1"/>
    <x v="1"/>
    <n v="3"/>
    <n v="5"/>
    <x v="7"/>
    <n v="3"/>
    <s v="Single"/>
    <n v="19537"/>
    <n v="7"/>
    <x v="1"/>
    <n v="13"/>
    <n v="3"/>
    <n v="3"/>
    <n v="0"/>
    <n v="23"/>
    <n v="5"/>
    <n v="3"/>
    <n v="20"/>
    <n v="18"/>
    <n v="15"/>
    <n v="15"/>
    <s v="Bachelor"/>
    <s v="Low"/>
    <s v="High"/>
    <x v="4"/>
    <s v="High"/>
    <s v="Excellent"/>
    <s v="High"/>
    <x v="1"/>
    <s v="No_stock"/>
    <x v="1"/>
  </r>
  <r>
    <x v="12"/>
    <x v="0"/>
    <x v="0"/>
    <n v="249"/>
    <x v="0"/>
    <n v="6"/>
    <n v="4"/>
    <x v="0"/>
    <n v="163"/>
    <n v="2"/>
    <x v="1"/>
    <n v="1"/>
    <n v="2"/>
    <x v="0"/>
    <n v="3"/>
    <s v="Married"/>
    <n v="6172"/>
    <n v="4"/>
    <x v="0"/>
    <n v="18"/>
    <n v="3"/>
    <n v="2"/>
    <n v="0"/>
    <n v="12"/>
    <n v="3"/>
    <n v="2"/>
    <n v="7"/>
    <n v="7"/>
    <n v="7"/>
    <n v="7"/>
    <s v="Master"/>
    <s v="Medium"/>
    <s v="Low"/>
    <x v="0"/>
    <s v="High"/>
    <s v="Excellent"/>
    <s v="Medium"/>
    <x v="2"/>
    <s v="No_stock"/>
    <x v="1"/>
  </r>
  <r>
    <x v="25"/>
    <x v="1"/>
    <x v="0"/>
    <n v="841"/>
    <x v="1"/>
    <n v="6"/>
    <n v="3"/>
    <x v="1"/>
    <n v="164"/>
    <n v="3"/>
    <x v="0"/>
    <n v="2"/>
    <n v="1"/>
    <x v="1"/>
    <n v="2"/>
    <s v="Married"/>
    <n v="2368"/>
    <n v="1"/>
    <x v="1"/>
    <n v="19"/>
    <n v="3"/>
    <n v="3"/>
    <n v="0"/>
    <n v="5"/>
    <n v="3"/>
    <n v="2"/>
    <n v="5"/>
    <n v="4"/>
    <n v="4"/>
    <n v="3"/>
    <s v="Bachelor"/>
    <s v="High"/>
    <s v="Medium"/>
    <x v="1"/>
    <s v="Medium"/>
    <s v="Excellent"/>
    <s v="High"/>
    <x v="2"/>
    <s v="No_stock"/>
    <x v="1"/>
  </r>
  <r>
    <x v="34"/>
    <x v="0"/>
    <x v="0"/>
    <n v="147"/>
    <x v="1"/>
    <n v="23"/>
    <n v="4"/>
    <x v="2"/>
    <n v="165"/>
    <n v="4"/>
    <x v="0"/>
    <n v="3"/>
    <n v="3"/>
    <x v="4"/>
    <n v="4"/>
    <s v="Married"/>
    <n v="10312"/>
    <n v="1"/>
    <x v="1"/>
    <n v="12"/>
    <n v="3"/>
    <n v="4"/>
    <n v="1"/>
    <n v="40"/>
    <n v="3"/>
    <n v="2"/>
    <n v="40"/>
    <n v="10"/>
    <n v="15"/>
    <n v="6"/>
    <s v="Master"/>
    <s v="Very High"/>
    <s v="High"/>
    <x v="2"/>
    <s v="Very High"/>
    <s v="Excellent"/>
    <s v="Very High"/>
    <x v="2"/>
    <s v="Low"/>
    <x v="2"/>
  </r>
  <r>
    <x v="37"/>
    <x v="0"/>
    <x v="0"/>
    <n v="528"/>
    <x v="0"/>
    <n v="22"/>
    <n v="1"/>
    <x v="3"/>
    <n v="167"/>
    <n v="4"/>
    <x v="1"/>
    <n v="3"/>
    <n v="1"/>
    <x v="6"/>
    <n v="3"/>
    <s v="Single"/>
    <n v="1675"/>
    <n v="1"/>
    <x v="0"/>
    <n v="19"/>
    <n v="3"/>
    <n v="4"/>
    <n v="0"/>
    <n v="0"/>
    <n v="2"/>
    <n v="2"/>
    <n v="0"/>
    <n v="0"/>
    <n v="0"/>
    <n v="0"/>
    <s v="Before College"/>
    <s v="Very High"/>
    <s v="High"/>
    <x v="1"/>
    <s v="High"/>
    <s v="Excellent"/>
    <s v="Very High"/>
    <x v="2"/>
    <s v="No_stock"/>
    <x v="2"/>
  </r>
  <r>
    <x v="15"/>
    <x v="1"/>
    <x v="0"/>
    <n v="594"/>
    <x v="1"/>
    <n v="2"/>
    <n v="1"/>
    <x v="4"/>
    <n v="169"/>
    <n v="3"/>
    <x v="1"/>
    <n v="3"/>
    <n v="1"/>
    <x v="2"/>
    <n v="4"/>
    <s v="Married"/>
    <n v="2523"/>
    <n v="0"/>
    <x v="1"/>
    <n v="14"/>
    <n v="3"/>
    <n v="3"/>
    <n v="1"/>
    <n v="3"/>
    <n v="2"/>
    <n v="3"/>
    <n v="2"/>
    <n v="1"/>
    <n v="2"/>
    <n v="1"/>
    <s v="Before College"/>
    <s v="High"/>
    <s v="High"/>
    <x v="1"/>
    <s v="Very High"/>
    <s v="Excellent"/>
    <s v="High"/>
    <x v="1"/>
    <s v="Low"/>
    <x v="0"/>
  </r>
  <r>
    <x v="1"/>
    <x v="1"/>
    <x v="0"/>
    <n v="470"/>
    <x v="1"/>
    <n v="20"/>
    <n v="4"/>
    <x v="2"/>
    <n v="170"/>
    <n v="3"/>
    <x v="0"/>
    <n v="3"/>
    <n v="2"/>
    <x v="3"/>
    <n v="1"/>
    <s v="Married"/>
    <n v="6567"/>
    <n v="1"/>
    <x v="1"/>
    <n v="14"/>
    <n v="3"/>
    <n v="3"/>
    <n v="0"/>
    <n v="16"/>
    <n v="2"/>
    <n v="2"/>
    <n v="15"/>
    <n v="11"/>
    <n v="5"/>
    <n v="11"/>
    <s v="Master"/>
    <s v="High"/>
    <s v="High"/>
    <x v="0"/>
    <s v="Low"/>
    <s v="Excellent"/>
    <s v="High"/>
    <x v="2"/>
    <s v="No_stock"/>
    <x v="2"/>
  </r>
  <r>
    <x v="23"/>
    <x v="1"/>
    <x v="1"/>
    <n v="957"/>
    <x v="1"/>
    <n v="28"/>
    <n v="3"/>
    <x v="2"/>
    <n v="171"/>
    <n v="2"/>
    <x v="0"/>
    <n v="4"/>
    <n v="1"/>
    <x v="1"/>
    <n v="3"/>
    <s v="Single"/>
    <n v="4739"/>
    <n v="4"/>
    <x v="1"/>
    <n v="12"/>
    <n v="3"/>
    <n v="4"/>
    <n v="0"/>
    <n v="18"/>
    <n v="2"/>
    <n v="3"/>
    <n v="3"/>
    <n v="2"/>
    <n v="1"/>
    <n v="2"/>
    <s v="Bachelor"/>
    <s v="Medium"/>
    <s v="Very High"/>
    <x v="1"/>
    <s v="High"/>
    <s v="Excellent"/>
    <s v="Very High"/>
    <x v="1"/>
    <s v="No_stock"/>
    <x v="2"/>
  </r>
  <r>
    <x v="24"/>
    <x v="1"/>
    <x v="1"/>
    <n v="809"/>
    <x v="0"/>
    <n v="12"/>
    <n v="3"/>
    <x v="3"/>
    <n v="174"/>
    <n v="3"/>
    <x v="0"/>
    <n v="3"/>
    <n v="3"/>
    <x v="0"/>
    <n v="4"/>
    <s v="Single"/>
    <n v="9208"/>
    <n v="4"/>
    <x v="1"/>
    <n v="11"/>
    <n v="3"/>
    <n v="4"/>
    <n v="0"/>
    <n v="16"/>
    <n v="3"/>
    <n v="3"/>
    <n v="2"/>
    <n v="2"/>
    <n v="2"/>
    <n v="1"/>
    <s v="Bachelor"/>
    <s v="High"/>
    <s v="High"/>
    <x v="2"/>
    <s v="Very High"/>
    <s v="Excellent"/>
    <s v="Very High"/>
    <x v="1"/>
    <s v="No_stock"/>
    <x v="1"/>
  </r>
  <r>
    <x v="12"/>
    <x v="0"/>
    <x v="0"/>
    <n v="542"/>
    <x v="0"/>
    <n v="20"/>
    <n v="3"/>
    <x v="0"/>
    <n v="175"/>
    <n v="2"/>
    <x v="0"/>
    <n v="1"/>
    <n v="2"/>
    <x v="0"/>
    <n v="3"/>
    <s v="Married"/>
    <n v="4559"/>
    <n v="3"/>
    <x v="0"/>
    <n v="11"/>
    <n v="3"/>
    <n v="3"/>
    <n v="1"/>
    <n v="4"/>
    <n v="2"/>
    <n v="3"/>
    <n v="2"/>
    <n v="2"/>
    <n v="2"/>
    <n v="2"/>
    <s v="Bachelor"/>
    <s v="Medium"/>
    <s v="Low"/>
    <x v="0"/>
    <s v="High"/>
    <s v="Excellent"/>
    <s v="High"/>
    <x v="1"/>
    <s v="Low"/>
    <x v="2"/>
  </r>
  <r>
    <x v="0"/>
    <x v="1"/>
    <x v="0"/>
    <n v="802"/>
    <x v="0"/>
    <n v="9"/>
    <n v="1"/>
    <x v="0"/>
    <n v="176"/>
    <n v="3"/>
    <x v="1"/>
    <n v="3"/>
    <n v="3"/>
    <x v="0"/>
    <n v="3"/>
    <s v="Divorced"/>
    <n v="8189"/>
    <n v="3"/>
    <x v="0"/>
    <n v="13"/>
    <n v="3"/>
    <n v="3"/>
    <n v="1"/>
    <n v="12"/>
    <n v="2"/>
    <n v="3"/>
    <n v="9"/>
    <n v="7"/>
    <n v="0"/>
    <n v="7"/>
    <s v="Before College"/>
    <s v="High"/>
    <s v="High"/>
    <x v="2"/>
    <s v="High"/>
    <s v="Excellent"/>
    <s v="High"/>
    <x v="1"/>
    <s v="Low"/>
    <x v="1"/>
  </r>
  <r>
    <x v="25"/>
    <x v="1"/>
    <x v="0"/>
    <n v="1355"/>
    <x v="2"/>
    <n v="25"/>
    <n v="1"/>
    <x v="0"/>
    <n v="177"/>
    <n v="3"/>
    <x v="0"/>
    <n v="3"/>
    <n v="1"/>
    <x v="8"/>
    <n v="3"/>
    <s v="Married"/>
    <n v="2942"/>
    <n v="1"/>
    <x v="1"/>
    <n v="23"/>
    <n v="4"/>
    <n v="4"/>
    <n v="1"/>
    <n v="8"/>
    <n v="3"/>
    <n v="3"/>
    <n v="8"/>
    <n v="7"/>
    <n v="5"/>
    <n v="7"/>
    <s v="Before College"/>
    <s v="High"/>
    <s v="High"/>
    <x v="1"/>
    <s v="High"/>
    <s v="Outstanding"/>
    <s v="Very High"/>
    <x v="1"/>
    <s v="Low"/>
    <x v="2"/>
  </r>
  <r>
    <x v="9"/>
    <x v="1"/>
    <x v="0"/>
    <n v="216"/>
    <x v="1"/>
    <n v="6"/>
    <n v="2"/>
    <x v="2"/>
    <n v="178"/>
    <n v="2"/>
    <x v="1"/>
    <n v="3"/>
    <n v="2"/>
    <x v="3"/>
    <n v="2"/>
    <s v="Divorced"/>
    <n v="4941"/>
    <n v="6"/>
    <x v="1"/>
    <n v="20"/>
    <n v="4"/>
    <n v="4"/>
    <n v="2"/>
    <n v="7"/>
    <n v="0"/>
    <n v="3"/>
    <n v="3"/>
    <n v="2"/>
    <n v="0"/>
    <n v="1"/>
    <s v="College"/>
    <s v="Medium"/>
    <s v="High"/>
    <x v="0"/>
    <s v="Medium"/>
    <s v="Outstanding"/>
    <s v="Very High"/>
    <x v="1"/>
    <s v="Medium"/>
    <x v="1"/>
  </r>
  <r>
    <x v="31"/>
    <x v="0"/>
    <x v="1"/>
    <n v="1150"/>
    <x v="1"/>
    <n v="8"/>
    <n v="4"/>
    <x v="0"/>
    <n v="179"/>
    <n v="1"/>
    <x v="1"/>
    <n v="1"/>
    <n v="3"/>
    <x v="3"/>
    <n v="4"/>
    <s v="Single"/>
    <n v="10650"/>
    <n v="2"/>
    <x v="1"/>
    <n v="15"/>
    <n v="3"/>
    <n v="4"/>
    <n v="0"/>
    <n v="18"/>
    <n v="2"/>
    <n v="3"/>
    <n v="4"/>
    <n v="2"/>
    <n v="0"/>
    <n v="3"/>
    <s v="Master"/>
    <s v="Low"/>
    <s v="Low"/>
    <x v="2"/>
    <s v="Very High"/>
    <s v="Excellent"/>
    <s v="Very High"/>
    <x v="1"/>
    <s v="No_stock"/>
    <x v="1"/>
  </r>
  <r>
    <x v="22"/>
    <x v="1"/>
    <x v="0"/>
    <n v="1329"/>
    <x v="0"/>
    <n v="4"/>
    <n v="4"/>
    <x v="0"/>
    <n v="182"/>
    <n v="4"/>
    <x v="0"/>
    <n v="2"/>
    <n v="2"/>
    <x v="0"/>
    <n v="3"/>
    <s v="Married"/>
    <n v="5902"/>
    <n v="4"/>
    <x v="1"/>
    <n v="14"/>
    <n v="3"/>
    <n v="3"/>
    <n v="1"/>
    <n v="17"/>
    <n v="1"/>
    <n v="4"/>
    <n v="15"/>
    <n v="11"/>
    <n v="5"/>
    <n v="9"/>
    <s v="Master"/>
    <s v="Very High"/>
    <s v="Medium"/>
    <x v="0"/>
    <s v="High"/>
    <s v="Excellent"/>
    <s v="High"/>
    <x v="3"/>
    <s v="Low"/>
    <x v="0"/>
  </r>
  <r>
    <x v="36"/>
    <x v="1"/>
    <x v="0"/>
    <n v="959"/>
    <x v="0"/>
    <n v="28"/>
    <n v="3"/>
    <x v="0"/>
    <n v="183"/>
    <n v="1"/>
    <x v="1"/>
    <n v="2"/>
    <n v="2"/>
    <x v="0"/>
    <n v="3"/>
    <s v="Married"/>
    <n v="8639"/>
    <n v="2"/>
    <x v="1"/>
    <n v="18"/>
    <n v="3"/>
    <n v="4"/>
    <n v="0"/>
    <n v="6"/>
    <n v="3"/>
    <n v="3"/>
    <n v="2"/>
    <n v="2"/>
    <n v="2"/>
    <n v="2"/>
    <s v="Bachelor"/>
    <s v="Low"/>
    <s v="Medium"/>
    <x v="0"/>
    <s v="High"/>
    <s v="Excellent"/>
    <s v="Very High"/>
    <x v="1"/>
    <s v="No_stock"/>
    <x v="2"/>
  </r>
  <r>
    <x v="7"/>
    <x v="1"/>
    <x v="0"/>
    <n v="1240"/>
    <x v="2"/>
    <n v="9"/>
    <n v="3"/>
    <x v="5"/>
    <n v="184"/>
    <n v="3"/>
    <x v="1"/>
    <n v="3"/>
    <n v="2"/>
    <x v="8"/>
    <n v="4"/>
    <s v="Married"/>
    <n v="6347"/>
    <n v="0"/>
    <x v="0"/>
    <n v="19"/>
    <n v="3"/>
    <n v="4"/>
    <n v="0"/>
    <n v="12"/>
    <n v="2"/>
    <n v="1"/>
    <n v="11"/>
    <n v="9"/>
    <n v="4"/>
    <n v="7"/>
    <s v="Bachelor"/>
    <s v="High"/>
    <s v="High"/>
    <x v="0"/>
    <s v="Very High"/>
    <s v="Excellent"/>
    <s v="Very High"/>
    <x v="0"/>
    <s v="No_stock"/>
    <x v="1"/>
  </r>
  <r>
    <x v="5"/>
    <x v="0"/>
    <x v="0"/>
    <n v="1033"/>
    <x v="1"/>
    <n v="9"/>
    <n v="3"/>
    <x v="2"/>
    <n v="190"/>
    <n v="1"/>
    <x v="0"/>
    <n v="3"/>
    <n v="1"/>
    <x v="2"/>
    <n v="1"/>
    <s v="Single"/>
    <n v="4200"/>
    <n v="7"/>
    <x v="1"/>
    <n v="22"/>
    <n v="4"/>
    <n v="1"/>
    <n v="0"/>
    <n v="10"/>
    <n v="2"/>
    <n v="4"/>
    <n v="5"/>
    <n v="4"/>
    <n v="0"/>
    <n v="4"/>
    <s v="Bachelor"/>
    <s v="Low"/>
    <s v="High"/>
    <x v="1"/>
    <s v="Low"/>
    <s v="Outstanding"/>
    <s v="Low"/>
    <x v="3"/>
    <s v="No_stock"/>
    <x v="1"/>
  </r>
  <r>
    <x v="28"/>
    <x v="1"/>
    <x v="0"/>
    <n v="1316"/>
    <x v="1"/>
    <n v="29"/>
    <n v="3"/>
    <x v="2"/>
    <n v="192"/>
    <n v="3"/>
    <x v="1"/>
    <n v="3"/>
    <n v="1"/>
    <x v="1"/>
    <n v="4"/>
    <s v="Single"/>
    <n v="3452"/>
    <n v="5"/>
    <x v="1"/>
    <n v="13"/>
    <n v="3"/>
    <n v="2"/>
    <n v="0"/>
    <n v="9"/>
    <n v="2"/>
    <n v="2"/>
    <n v="6"/>
    <n v="5"/>
    <n v="0"/>
    <n v="3"/>
    <s v="Bachelor"/>
    <s v="High"/>
    <s v="High"/>
    <x v="1"/>
    <s v="Very High"/>
    <s v="Excellent"/>
    <s v="Medium"/>
    <x v="2"/>
    <s v="No_stock"/>
    <x v="2"/>
  </r>
  <r>
    <x v="8"/>
    <x v="1"/>
    <x v="0"/>
    <n v="364"/>
    <x v="1"/>
    <n v="3"/>
    <n v="5"/>
    <x v="4"/>
    <n v="193"/>
    <n v="4"/>
    <x v="0"/>
    <n v="3"/>
    <n v="2"/>
    <x v="1"/>
    <n v="3"/>
    <s v="Single"/>
    <n v="4317"/>
    <n v="3"/>
    <x v="0"/>
    <n v="20"/>
    <n v="4"/>
    <n v="2"/>
    <n v="0"/>
    <n v="19"/>
    <n v="2"/>
    <n v="3"/>
    <n v="3"/>
    <n v="2"/>
    <n v="2"/>
    <n v="2"/>
    <s v="Doctor"/>
    <s v="Very High"/>
    <s v="High"/>
    <x v="0"/>
    <s v="High"/>
    <s v="Outstanding"/>
    <s v="Medium"/>
    <x v="1"/>
    <s v="No_stock"/>
    <x v="0"/>
  </r>
  <r>
    <x v="7"/>
    <x v="1"/>
    <x v="0"/>
    <n v="438"/>
    <x v="1"/>
    <n v="18"/>
    <n v="3"/>
    <x v="0"/>
    <n v="194"/>
    <n v="1"/>
    <x v="0"/>
    <n v="3"/>
    <n v="1"/>
    <x v="1"/>
    <n v="3"/>
    <s v="Single"/>
    <n v="2632"/>
    <n v="1"/>
    <x v="1"/>
    <n v="14"/>
    <n v="3"/>
    <n v="3"/>
    <n v="0"/>
    <n v="5"/>
    <n v="4"/>
    <n v="2"/>
    <n v="5"/>
    <n v="4"/>
    <n v="0"/>
    <n v="4"/>
    <s v="Bachelor"/>
    <s v="Low"/>
    <s v="High"/>
    <x v="1"/>
    <s v="High"/>
    <s v="Excellent"/>
    <s v="High"/>
    <x v="2"/>
    <s v="No_stock"/>
    <x v="2"/>
  </r>
  <r>
    <x v="5"/>
    <x v="1"/>
    <x v="1"/>
    <n v="689"/>
    <x v="0"/>
    <n v="9"/>
    <n v="2"/>
    <x v="2"/>
    <n v="195"/>
    <n v="4"/>
    <x v="1"/>
    <n v="1"/>
    <n v="2"/>
    <x v="0"/>
    <n v="4"/>
    <s v="Divorced"/>
    <n v="4668"/>
    <n v="0"/>
    <x v="1"/>
    <n v="17"/>
    <n v="3"/>
    <n v="4"/>
    <n v="3"/>
    <n v="9"/>
    <n v="2"/>
    <n v="4"/>
    <n v="8"/>
    <n v="7"/>
    <n v="0"/>
    <n v="7"/>
    <s v="College"/>
    <s v="Very High"/>
    <s v="Low"/>
    <x v="0"/>
    <s v="Very High"/>
    <s v="Excellent"/>
    <s v="Very High"/>
    <x v="3"/>
    <s v="High"/>
    <x v="1"/>
  </r>
  <r>
    <x v="7"/>
    <x v="1"/>
    <x v="0"/>
    <n v="201"/>
    <x v="1"/>
    <n v="5"/>
    <n v="3"/>
    <x v="4"/>
    <n v="197"/>
    <n v="4"/>
    <x v="0"/>
    <n v="3"/>
    <n v="1"/>
    <x v="1"/>
    <n v="1"/>
    <s v="Divorced"/>
    <n v="3204"/>
    <n v="5"/>
    <x v="1"/>
    <n v="14"/>
    <n v="3"/>
    <n v="4"/>
    <n v="1"/>
    <n v="8"/>
    <n v="3"/>
    <n v="3"/>
    <n v="3"/>
    <n v="2"/>
    <n v="2"/>
    <n v="2"/>
    <s v="Bachelor"/>
    <s v="Very High"/>
    <s v="High"/>
    <x v="1"/>
    <s v="Low"/>
    <s v="Excellent"/>
    <s v="Very High"/>
    <x v="1"/>
    <s v="Low"/>
    <x v="0"/>
  </r>
  <r>
    <x v="7"/>
    <x v="1"/>
    <x v="0"/>
    <n v="1427"/>
    <x v="1"/>
    <n v="2"/>
    <n v="1"/>
    <x v="2"/>
    <n v="198"/>
    <n v="2"/>
    <x v="1"/>
    <n v="2"/>
    <n v="1"/>
    <x v="2"/>
    <n v="4"/>
    <s v="Single"/>
    <n v="2720"/>
    <n v="0"/>
    <x v="1"/>
    <n v="13"/>
    <n v="3"/>
    <n v="4"/>
    <n v="0"/>
    <n v="6"/>
    <n v="3"/>
    <n v="3"/>
    <n v="5"/>
    <n v="3"/>
    <n v="1"/>
    <n v="2"/>
    <s v="Before College"/>
    <s v="Medium"/>
    <s v="Medium"/>
    <x v="1"/>
    <s v="Very High"/>
    <s v="Excellent"/>
    <s v="Very High"/>
    <x v="1"/>
    <s v="No_stock"/>
    <x v="0"/>
  </r>
  <r>
    <x v="0"/>
    <x v="1"/>
    <x v="1"/>
    <n v="857"/>
    <x v="1"/>
    <n v="10"/>
    <n v="3"/>
    <x v="0"/>
    <n v="199"/>
    <n v="4"/>
    <x v="1"/>
    <n v="2"/>
    <n v="4"/>
    <x v="5"/>
    <n v="1"/>
    <s v="Divorced"/>
    <n v="17181"/>
    <n v="4"/>
    <x v="1"/>
    <n v="13"/>
    <n v="3"/>
    <n v="2"/>
    <n v="1"/>
    <n v="21"/>
    <n v="2"/>
    <n v="2"/>
    <n v="7"/>
    <n v="6"/>
    <n v="7"/>
    <n v="7"/>
    <s v="Bachelor"/>
    <s v="Very High"/>
    <s v="Medium"/>
    <x v="3"/>
    <s v="Low"/>
    <s v="Excellent"/>
    <s v="Medium"/>
    <x v="2"/>
    <s v="Low"/>
    <x v="1"/>
  </r>
  <r>
    <x v="0"/>
    <x v="1"/>
    <x v="0"/>
    <n v="933"/>
    <x v="1"/>
    <n v="9"/>
    <n v="4"/>
    <x v="0"/>
    <n v="200"/>
    <n v="3"/>
    <x v="1"/>
    <n v="3"/>
    <n v="1"/>
    <x v="2"/>
    <n v="1"/>
    <s v="Married"/>
    <n v="2238"/>
    <n v="2"/>
    <x v="1"/>
    <n v="21"/>
    <n v="4"/>
    <n v="4"/>
    <n v="1"/>
    <n v="7"/>
    <n v="2"/>
    <n v="3"/>
    <n v="5"/>
    <n v="0"/>
    <n v="1"/>
    <n v="4"/>
    <s v="Master"/>
    <s v="High"/>
    <s v="High"/>
    <x v="1"/>
    <s v="Low"/>
    <s v="Outstanding"/>
    <s v="Very High"/>
    <x v="1"/>
    <s v="Low"/>
    <x v="1"/>
  </r>
  <r>
    <x v="37"/>
    <x v="1"/>
    <x v="0"/>
    <n v="1181"/>
    <x v="1"/>
    <n v="3"/>
    <n v="1"/>
    <x v="2"/>
    <n v="201"/>
    <n v="2"/>
    <x v="0"/>
    <n v="3"/>
    <n v="1"/>
    <x v="2"/>
    <n v="2"/>
    <s v="Single"/>
    <n v="1483"/>
    <n v="1"/>
    <x v="1"/>
    <n v="14"/>
    <n v="3"/>
    <n v="4"/>
    <n v="0"/>
    <n v="1"/>
    <n v="3"/>
    <n v="3"/>
    <n v="1"/>
    <n v="0"/>
    <n v="0"/>
    <n v="0"/>
    <s v="Before College"/>
    <s v="Medium"/>
    <s v="High"/>
    <x v="1"/>
    <s v="Medium"/>
    <s v="Excellent"/>
    <s v="Very High"/>
    <x v="1"/>
    <s v="No_stock"/>
    <x v="0"/>
  </r>
  <r>
    <x v="32"/>
    <x v="1"/>
    <x v="1"/>
    <n v="1395"/>
    <x v="1"/>
    <n v="26"/>
    <n v="3"/>
    <x v="2"/>
    <n v="202"/>
    <n v="2"/>
    <x v="0"/>
    <n v="3"/>
    <n v="2"/>
    <x v="1"/>
    <n v="2"/>
    <s v="Divorced"/>
    <n v="5605"/>
    <n v="1"/>
    <x v="1"/>
    <n v="11"/>
    <n v="3"/>
    <n v="1"/>
    <n v="1"/>
    <n v="20"/>
    <n v="2"/>
    <n v="3"/>
    <n v="20"/>
    <n v="7"/>
    <n v="2"/>
    <n v="13"/>
    <s v="Bachelor"/>
    <s v="Medium"/>
    <s v="High"/>
    <x v="0"/>
    <s v="Medium"/>
    <s v="Excellent"/>
    <s v="Low"/>
    <x v="1"/>
    <s v="Low"/>
    <x v="2"/>
  </r>
  <r>
    <x v="10"/>
    <x v="1"/>
    <x v="0"/>
    <n v="662"/>
    <x v="0"/>
    <n v="1"/>
    <n v="5"/>
    <x v="3"/>
    <n v="204"/>
    <n v="3"/>
    <x v="1"/>
    <n v="3"/>
    <n v="3"/>
    <x v="0"/>
    <n v="2"/>
    <s v="Married"/>
    <n v="7295"/>
    <n v="1"/>
    <x v="1"/>
    <n v="13"/>
    <n v="3"/>
    <n v="1"/>
    <n v="2"/>
    <n v="10"/>
    <n v="3"/>
    <n v="3"/>
    <n v="10"/>
    <n v="8"/>
    <n v="0"/>
    <n v="6"/>
    <s v="Doctor"/>
    <s v="High"/>
    <s v="High"/>
    <x v="2"/>
    <s v="Medium"/>
    <s v="Excellent"/>
    <s v="Low"/>
    <x v="1"/>
    <s v="Medium"/>
    <x v="0"/>
  </r>
  <r>
    <x v="16"/>
    <x v="1"/>
    <x v="0"/>
    <n v="1436"/>
    <x v="0"/>
    <n v="6"/>
    <n v="2"/>
    <x v="3"/>
    <n v="205"/>
    <n v="2"/>
    <x v="1"/>
    <n v="3"/>
    <n v="2"/>
    <x v="6"/>
    <n v="3"/>
    <s v="Married"/>
    <n v="2306"/>
    <n v="2"/>
    <x v="0"/>
    <n v="20"/>
    <n v="4"/>
    <n v="4"/>
    <n v="1"/>
    <n v="13"/>
    <n v="3"/>
    <n v="1"/>
    <n v="7"/>
    <n v="7"/>
    <n v="4"/>
    <n v="5"/>
    <s v="College"/>
    <s v="Medium"/>
    <s v="High"/>
    <x v="0"/>
    <s v="High"/>
    <s v="Outstanding"/>
    <s v="Very High"/>
    <x v="0"/>
    <s v="Low"/>
    <x v="1"/>
  </r>
  <r>
    <x v="28"/>
    <x v="1"/>
    <x v="0"/>
    <n v="194"/>
    <x v="1"/>
    <n v="9"/>
    <n v="3"/>
    <x v="0"/>
    <n v="206"/>
    <n v="2"/>
    <x v="1"/>
    <n v="3"/>
    <n v="2"/>
    <x v="2"/>
    <n v="2"/>
    <s v="Divorced"/>
    <n v="2348"/>
    <n v="8"/>
    <x v="1"/>
    <n v="18"/>
    <n v="3"/>
    <n v="3"/>
    <n v="1"/>
    <n v="20"/>
    <n v="2"/>
    <n v="1"/>
    <n v="17"/>
    <n v="9"/>
    <n v="0"/>
    <n v="15"/>
    <s v="Bachelor"/>
    <s v="Medium"/>
    <s v="High"/>
    <x v="0"/>
    <s v="Medium"/>
    <s v="Excellent"/>
    <s v="High"/>
    <x v="0"/>
    <s v="Low"/>
    <x v="1"/>
  </r>
  <r>
    <x v="5"/>
    <x v="1"/>
    <x v="1"/>
    <n v="967"/>
    <x v="0"/>
    <n v="8"/>
    <n v="3"/>
    <x v="3"/>
    <n v="207"/>
    <n v="2"/>
    <x v="0"/>
    <n v="3"/>
    <n v="3"/>
    <x v="0"/>
    <n v="4"/>
    <s v="Single"/>
    <n v="8998"/>
    <n v="1"/>
    <x v="1"/>
    <n v="14"/>
    <n v="3"/>
    <n v="4"/>
    <n v="0"/>
    <n v="9"/>
    <n v="2"/>
    <n v="3"/>
    <n v="9"/>
    <n v="8"/>
    <n v="3"/>
    <n v="7"/>
    <s v="Bachelor"/>
    <s v="Medium"/>
    <s v="High"/>
    <x v="2"/>
    <s v="Very High"/>
    <s v="Excellent"/>
    <s v="Very High"/>
    <x v="1"/>
    <s v="No_stock"/>
    <x v="1"/>
  </r>
  <r>
    <x v="11"/>
    <x v="1"/>
    <x v="2"/>
    <n v="1496"/>
    <x v="1"/>
    <n v="1"/>
    <n v="1"/>
    <x v="4"/>
    <n v="208"/>
    <n v="4"/>
    <x v="1"/>
    <n v="3"/>
    <n v="2"/>
    <x v="3"/>
    <n v="3"/>
    <s v="Married"/>
    <n v="4319"/>
    <n v="1"/>
    <x v="1"/>
    <n v="13"/>
    <n v="3"/>
    <n v="1"/>
    <n v="1"/>
    <n v="10"/>
    <n v="1"/>
    <n v="3"/>
    <n v="10"/>
    <n v="7"/>
    <n v="0"/>
    <n v="9"/>
    <s v="Before College"/>
    <s v="Very High"/>
    <s v="High"/>
    <x v="0"/>
    <s v="High"/>
    <s v="Excellent"/>
    <s v="Low"/>
    <x v="1"/>
    <s v="Low"/>
    <x v="0"/>
  </r>
  <r>
    <x v="31"/>
    <x v="1"/>
    <x v="0"/>
    <n v="1169"/>
    <x v="1"/>
    <n v="7"/>
    <n v="4"/>
    <x v="2"/>
    <n v="211"/>
    <n v="2"/>
    <x v="1"/>
    <n v="2"/>
    <n v="2"/>
    <x v="3"/>
    <n v="3"/>
    <s v="Married"/>
    <n v="6132"/>
    <n v="2"/>
    <x v="1"/>
    <n v="17"/>
    <n v="3"/>
    <n v="3"/>
    <n v="0"/>
    <n v="10"/>
    <n v="2"/>
    <n v="3"/>
    <n v="1"/>
    <n v="0"/>
    <n v="0"/>
    <n v="0"/>
    <s v="Master"/>
    <s v="Medium"/>
    <s v="Medium"/>
    <x v="0"/>
    <s v="High"/>
    <s v="Excellent"/>
    <s v="High"/>
    <x v="1"/>
    <s v="No_stock"/>
    <x v="1"/>
  </r>
  <r>
    <x v="34"/>
    <x v="1"/>
    <x v="0"/>
    <n v="1145"/>
    <x v="1"/>
    <n v="9"/>
    <n v="3"/>
    <x v="2"/>
    <n v="214"/>
    <n v="2"/>
    <x v="0"/>
    <n v="2"/>
    <n v="1"/>
    <x v="1"/>
    <n v="2"/>
    <s v="Married"/>
    <n v="3346"/>
    <n v="4"/>
    <x v="0"/>
    <n v="20"/>
    <n v="4"/>
    <n v="2"/>
    <n v="1"/>
    <n v="9"/>
    <n v="3"/>
    <n v="2"/>
    <n v="1"/>
    <n v="0"/>
    <n v="0"/>
    <n v="0"/>
    <s v="Bachelor"/>
    <s v="Medium"/>
    <s v="Medium"/>
    <x v="1"/>
    <s v="Medium"/>
    <s v="Outstanding"/>
    <s v="Medium"/>
    <x v="2"/>
    <s v="Low"/>
    <x v="1"/>
  </r>
  <r>
    <x v="32"/>
    <x v="1"/>
    <x v="0"/>
    <n v="630"/>
    <x v="0"/>
    <n v="4"/>
    <n v="4"/>
    <x v="3"/>
    <n v="215"/>
    <n v="3"/>
    <x v="1"/>
    <n v="2"/>
    <n v="3"/>
    <x v="0"/>
    <n v="4"/>
    <s v="Married"/>
    <n v="10855"/>
    <n v="7"/>
    <x v="1"/>
    <n v="11"/>
    <n v="3"/>
    <n v="1"/>
    <n v="1"/>
    <n v="15"/>
    <n v="2"/>
    <n v="2"/>
    <n v="12"/>
    <n v="11"/>
    <n v="2"/>
    <n v="11"/>
    <s v="Master"/>
    <s v="High"/>
    <s v="Medium"/>
    <x v="2"/>
    <s v="Very High"/>
    <s v="Excellent"/>
    <s v="Low"/>
    <x v="2"/>
    <s v="Low"/>
    <x v="0"/>
  </r>
  <r>
    <x v="13"/>
    <x v="1"/>
    <x v="1"/>
    <n v="303"/>
    <x v="0"/>
    <n v="2"/>
    <n v="4"/>
    <x v="3"/>
    <n v="216"/>
    <n v="3"/>
    <x v="0"/>
    <n v="3"/>
    <n v="1"/>
    <x v="6"/>
    <n v="3"/>
    <s v="Married"/>
    <n v="2231"/>
    <n v="6"/>
    <x v="1"/>
    <n v="18"/>
    <n v="3"/>
    <n v="4"/>
    <n v="1"/>
    <n v="6"/>
    <n v="3"/>
    <n v="3"/>
    <n v="4"/>
    <n v="3"/>
    <n v="1"/>
    <n v="2"/>
    <s v="Master"/>
    <s v="High"/>
    <s v="High"/>
    <x v="1"/>
    <s v="High"/>
    <s v="Excellent"/>
    <s v="Very High"/>
    <x v="1"/>
    <s v="Low"/>
    <x v="0"/>
  </r>
  <r>
    <x v="15"/>
    <x v="1"/>
    <x v="0"/>
    <n v="1256"/>
    <x v="1"/>
    <n v="19"/>
    <n v="1"/>
    <x v="2"/>
    <n v="217"/>
    <n v="3"/>
    <x v="1"/>
    <n v="3"/>
    <n v="1"/>
    <x v="1"/>
    <n v="4"/>
    <s v="Married"/>
    <n v="2323"/>
    <n v="1"/>
    <x v="1"/>
    <n v="24"/>
    <n v="4"/>
    <n v="1"/>
    <n v="2"/>
    <n v="2"/>
    <n v="6"/>
    <n v="3"/>
    <n v="2"/>
    <n v="2"/>
    <n v="2"/>
    <n v="2"/>
    <s v="Before College"/>
    <s v="High"/>
    <s v="High"/>
    <x v="1"/>
    <s v="Very High"/>
    <s v="Outstanding"/>
    <s v="Low"/>
    <x v="1"/>
    <s v="Medium"/>
    <x v="2"/>
  </r>
  <r>
    <x v="4"/>
    <x v="1"/>
    <x v="2"/>
    <n v="691"/>
    <x v="1"/>
    <n v="9"/>
    <n v="3"/>
    <x v="2"/>
    <n v="218"/>
    <n v="4"/>
    <x v="1"/>
    <n v="3"/>
    <n v="1"/>
    <x v="1"/>
    <n v="2"/>
    <s v="Divorced"/>
    <n v="2024"/>
    <n v="6"/>
    <x v="1"/>
    <n v="18"/>
    <n v="3"/>
    <n v="4"/>
    <n v="1"/>
    <n v="6"/>
    <n v="1"/>
    <n v="1"/>
    <n v="2"/>
    <n v="2"/>
    <n v="2"/>
    <n v="2"/>
    <s v="Bachelor"/>
    <s v="Very High"/>
    <s v="High"/>
    <x v="1"/>
    <s v="Medium"/>
    <s v="Excellent"/>
    <s v="Very High"/>
    <x v="0"/>
    <s v="Low"/>
    <x v="1"/>
  </r>
  <r>
    <x v="14"/>
    <x v="1"/>
    <x v="0"/>
    <n v="440"/>
    <x v="1"/>
    <n v="21"/>
    <n v="3"/>
    <x v="2"/>
    <n v="221"/>
    <n v="3"/>
    <x v="1"/>
    <n v="3"/>
    <n v="1"/>
    <x v="1"/>
    <n v="4"/>
    <s v="Married"/>
    <n v="2713"/>
    <n v="1"/>
    <x v="1"/>
    <n v="11"/>
    <n v="3"/>
    <n v="3"/>
    <n v="1"/>
    <n v="5"/>
    <n v="2"/>
    <n v="1"/>
    <n v="5"/>
    <n v="2"/>
    <n v="0"/>
    <n v="2"/>
    <s v="Bachelor"/>
    <s v="High"/>
    <s v="High"/>
    <x v="1"/>
    <s v="Very High"/>
    <s v="Excellent"/>
    <s v="High"/>
    <x v="0"/>
    <s v="Low"/>
    <x v="2"/>
  </r>
  <r>
    <x v="38"/>
    <x v="1"/>
    <x v="0"/>
    <n v="334"/>
    <x v="1"/>
    <n v="24"/>
    <n v="2"/>
    <x v="0"/>
    <n v="223"/>
    <n v="3"/>
    <x v="1"/>
    <n v="4"/>
    <n v="3"/>
    <x v="4"/>
    <n v="4"/>
    <s v="Divorced"/>
    <n v="9439"/>
    <n v="3"/>
    <x v="0"/>
    <n v="16"/>
    <n v="3"/>
    <n v="2"/>
    <n v="1"/>
    <n v="12"/>
    <n v="2"/>
    <n v="1"/>
    <n v="5"/>
    <n v="3"/>
    <n v="1"/>
    <n v="4"/>
    <s v="College"/>
    <s v="High"/>
    <s v="Very High"/>
    <x v="2"/>
    <s v="Very High"/>
    <s v="Excellent"/>
    <s v="Medium"/>
    <x v="0"/>
    <s v="Low"/>
    <x v="2"/>
  </r>
  <r>
    <x v="4"/>
    <x v="1"/>
    <x v="2"/>
    <n v="1450"/>
    <x v="1"/>
    <n v="3"/>
    <n v="3"/>
    <x v="2"/>
    <n v="224"/>
    <n v="3"/>
    <x v="1"/>
    <n v="2"/>
    <n v="1"/>
    <x v="1"/>
    <n v="3"/>
    <s v="Divorced"/>
    <n v="2566"/>
    <n v="1"/>
    <x v="0"/>
    <n v="15"/>
    <n v="3"/>
    <n v="4"/>
    <n v="1"/>
    <n v="1"/>
    <n v="2"/>
    <n v="2"/>
    <n v="1"/>
    <n v="1"/>
    <n v="0"/>
    <n v="1"/>
    <s v="Bachelor"/>
    <s v="High"/>
    <s v="Medium"/>
    <x v="1"/>
    <s v="High"/>
    <s v="Excellent"/>
    <s v="Very High"/>
    <x v="2"/>
    <s v="Low"/>
    <x v="0"/>
  </r>
  <r>
    <x v="24"/>
    <x v="1"/>
    <x v="0"/>
    <n v="1452"/>
    <x v="1"/>
    <n v="11"/>
    <n v="3"/>
    <x v="0"/>
    <n v="226"/>
    <n v="3"/>
    <x v="0"/>
    <n v="3"/>
    <n v="5"/>
    <x v="5"/>
    <n v="2"/>
    <s v="Single"/>
    <n v="19926"/>
    <n v="3"/>
    <x v="1"/>
    <n v="15"/>
    <n v="3"/>
    <n v="2"/>
    <n v="0"/>
    <n v="21"/>
    <n v="5"/>
    <n v="3"/>
    <n v="5"/>
    <n v="4"/>
    <n v="4"/>
    <n v="4"/>
    <s v="Bachelor"/>
    <s v="High"/>
    <s v="High"/>
    <x v="4"/>
    <s v="Medium"/>
    <s v="Excellent"/>
    <s v="Medium"/>
    <x v="1"/>
    <s v="No_stock"/>
    <x v="1"/>
  </r>
  <r>
    <x v="0"/>
    <x v="1"/>
    <x v="0"/>
    <n v="465"/>
    <x v="1"/>
    <n v="14"/>
    <n v="3"/>
    <x v="0"/>
    <n v="227"/>
    <n v="1"/>
    <x v="1"/>
    <n v="3"/>
    <n v="1"/>
    <x v="1"/>
    <n v="3"/>
    <s v="Divorced"/>
    <n v="2451"/>
    <n v="4"/>
    <x v="1"/>
    <n v="12"/>
    <n v="3"/>
    <n v="1"/>
    <n v="1"/>
    <n v="13"/>
    <n v="2"/>
    <n v="3"/>
    <n v="9"/>
    <n v="8"/>
    <n v="1"/>
    <n v="8"/>
    <s v="Bachelor"/>
    <s v="Low"/>
    <s v="High"/>
    <x v="1"/>
    <s v="High"/>
    <s v="Excellent"/>
    <s v="Low"/>
    <x v="1"/>
    <s v="Low"/>
    <x v="1"/>
  </r>
  <r>
    <x v="7"/>
    <x v="1"/>
    <x v="0"/>
    <n v="1339"/>
    <x v="0"/>
    <n v="5"/>
    <n v="3"/>
    <x v="0"/>
    <n v="228"/>
    <n v="2"/>
    <x v="0"/>
    <n v="3"/>
    <n v="3"/>
    <x v="0"/>
    <n v="4"/>
    <s v="Married"/>
    <n v="9419"/>
    <n v="2"/>
    <x v="1"/>
    <n v="12"/>
    <n v="3"/>
    <n v="3"/>
    <n v="1"/>
    <n v="12"/>
    <n v="2"/>
    <n v="3"/>
    <n v="10"/>
    <n v="9"/>
    <n v="7"/>
    <n v="4"/>
    <s v="Bachelor"/>
    <s v="Medium"/>
    <s v="High"/>
    <x v="2"/>
    <s v="Very High"/>
    <s v="Excellent"/>
    <s v="High"/>
    <x v="1"/>
    <s v="Low"/>
    <x v="0"/>
  </r>
  <r>
    <x v="8"/>
    <x v="1"/>
    <x v="0"/>
    <n v="702"/>
    <x v="0"/>
    <n v="1"/>
    <n v="4"/>
    <x v="0"/>
    <n v="230"/>
    <n v="1"/>
    <x v="0"/>
    <n v="2"/>
    <n v="2"/>
    <x v="0"/>
    <n v="4"/>
    <s v="Single"/>
    <n v="8686"/>
    <n v="4"/>
    <x v="1"/>
    <n v="22"/>
    <n v="4"/>
    <n v="3"/>
    <n v="0"/>
    <n v="12"/>
    <n v="2"/>
    <n v="4"/>
    <n v="8"/>
    <n v="3"/>
    <n v="0"/>
    <n v="7"/>
    <s v="Master"/>
    <s v="Low"/>
    <s v="Medium"/>
    <x v="0"/>
    <s v="Very High"/>
    <s v="Outstanding"/>
    <s v="High"/>
    <x v="3"/>
    <s v="No_stock"/>
    <x v="0"/>
  </r>
  <r>
    <x v="5"/>
    <x v="1"/>
    <x v="0"/>
    <n v="120"/>
    <x v="1"/>
    <n v="6"/>
    <n v="5"/>
    <x v="0"/>
    <n v="231"/>
    <n v="3"/>
    <x v="1"/>
    <n v="3"/>
    <n v="1"/>
    <x v="1"/>
    <n v="3"/>
    <s v="Single"/>
    <n v="3038"/>
    <n v="3"/>
    <x v="1"/>
    <n v="20"/>
    <n v="4"/>
    <n v="1"/>
    <n v="0"/>
    <n v="8"/>
    <n v="2"/>
    <n v="3"/>
    <n v="5"/>
    <n v="4"/>
    <n v="1"/>
    <n v="4"/>
    <s v="Doctor"/>
    <s v="High"/>
    <s v="High"/>
    <x v="1"/>
    <s v="High"/>
    <s v="Outstanding"/>
    <s v="Low"/>
    <x v="1"/>
    <s v="No_stock"/>
    <x v="1"/>
  </r>
  <r>
    <x v="4"/>
    <x v="1"/>
    <x v="0"/>
    <n v="1157"/>
    <x v="1"/>
    <n v="17"/>
    <n v="3"/>
    <x v="4"/>
    <n v="233"/>
    <n v="3"/>
    <x v="1"/>
    <n v="3"/>
    <n v="1"/>
    <x v="1"/>
    <n v="2"/>
    <s v="Married"/>
    <n v="3058"/>
    <n v="0"/>
    <x v="0"/>
    <n v="16"/>
    <n v="3"/>
    <n v="4"/>
    <n v="1"/>
    <n v="6"/>
    <n v="3"/>
    <n v="2"/>
    <n v="5"/>
    <n v="2"/>
    <n v="1"/>
    <n v="1"/>
    <s v="Bachelor"/>
    <s v="High"/>
    <s v="High"/>
    <x v="1"/>
    <s v="Medium"/>
    <s v="Excellent"/>
    <s v="Very High"/>
    <x v="2"/>
    <s v="Low"/>
    <x v="2"/>
  </r>
  <r>
    <x v="37"/>
    <x v="0"/>
    <x v="1"/>
    <n v="602"/>
    <x v="0"/>
    <n v="1"/>
    <n v="1"/>
    <x v="4"/>
    <n v="235"/>
    <n v="3"/>
    <x v="0"/>
    <n v="1"/>
    <n v="1"/>
    <x v="6"/>
    <n v="1"/>
    <s v="Single"/>
    <n v="2325"/>
    <n v="0"/>
    <x v="1"/>
    <n v="21"/>
    <n v="4"/>
    <n v="1"/>
    <n v="0"/>
    <n v="1"/>
    <n v="5"/>
    <n v="4"/>
    <n v="0"/>
    <n v="0"/>
    <n v="0"/>
    <n v="0"/>
    <s v="Before College"/>
    <s v="High"/>
    <s v="Low"/>
    <x v="1"/>
    <s v="Low"/>
    <s v="Outstanding"/>
    <s v="Low"/>
    <x v="3"/>
    <s v="No_stock"/>
    <x v="0"/>
  </r>
  <r>
    <x v="9"/>
    <x v="1"/>
    <x v="1"/>
    <n v="1480"/>
    <x v="1"/>
    <n v="3"/>
    <n v="2"/>
    <x v="2"/>
    <n v="238"/>
    <n v="4"/>
    <x v="1"/>
    <n v="3"/>
    <n v="1"/>
    <x v="2"/>
    <n v="2"/>
    <s v="Single"/>
    <n v="2088"/>
    <n v="4"/>
    <x v="1"/>
    <n v="12"/>
    <n v="3"/>
    <n v="3"/>
    <n v="0"/>
    <n v="13"/>
    <n v="3"/>
    <n v="2"/>
    <n v="8"/>
    <n v="7"/>
    <n v="7"/>
    <n v="2"/>
    <s v="College"/>
    <s v="Very High"/>
    <s v="High"/>
    <x v="1"/>
    <s v="Medium"/>
    <s v="Excellent"/>
    <s v="High"/>
    <x v="2"/>
    <s v="No_stock"/>
    <x v="0"/>
  </r>
  <r>
    <x v="7"/>
    <x v="1"/>
    <x v="2"/>
    <n v="111"/>
    <x v="1"/>
    <n v="9"/>
    <n v="3"/>
    <x v="2"/>
    <n v="239"/>
    <n v="3"/>
    <x v="1"/>
    <n v="3"/>
    <n v="2"/>
    <x v="2"/>
    <n v="1"/>
    <s v="Divorced"/>
    <n v="3072"/>
    <n v="1"/>
    <x v="1"/>
    <n v="11"/>
    <n v="3"/>
    <n v="3"/>
    <n v="2"/>
    <n v="12"/>
    <n v="4"/>
    <n v="3"/>
    <n v="12"/>
    <n v="9"/>
    <n v="6"/>
    <n v="10"/>
    <s v="Bachelor"/>
    <s v="High"/>
    <s v="High"/>
    <x v="0"/>
    <s v="Low"/>
    <s v="Excellent"/>
    <s v="High"/>
    <x v="1"/>
    <s v="Medium"/>
    <x v="1"/>
  </r>
  <r>
    <x v="28"/>
    <x v="1"/>
    <x v="0"/>
    <n v="1268"/>
    <x v="0"/>
    <n v="4"/>
    <n v="2"/>
    <x v="0"/>
    <n v="240"/>
    <n v="3"/>
    <x v="0"/>
    <n v="3"/>
    <n v="2"/>
    <x v="0"/>
    <n v="1"/>
    <s v="Divorced"/>
    <n v="5006"/>
    <n v="4"/>
    <x v="0"/>
    <n v="11"/>
    <n v="3"/>
    <n v="1"/>
    <n v="1"/>
    <n v="9"/>
    <n v="3"/>
    <n v="4"/>
    <n v="5"/>
    <n v="4"/>
    <n v="0"/>
    <n v="3"/>
    <s v="College"/>
    <s v="High"/>
    <s v="High"/>
    <x v="0"/>
    <s v="Low"/>
    <s v="Excellent"/>
    <s v="Low"/>
    <x v="3"/>
    <s v="Low"/>
    <x v="0"/>
  </r>
  <r>
    <x v="29"/>
    <x v="1"/>
    <x v="0"/>
    <n v="713"/>
    <x v="1"/>
    <n v="8"/>
    <n v="3"/>
    <x v="0"/>
    <n v="241"/>
    <n v="3"/>
    <x v="0"/>
    <n v="3"/>
    <n v="1"/>
    <x v="1"/>
    <n v="1"/>
    <s v="Divorced"/>
    <n v="4257"/>
    <n v="4"/>
    <x v="0"/>
    <n v="18"/>
    <n v="3"/>
    <n v="3"/>
    <n v="1"/>
    <n v="19"/>
    <n v="3"/>
    <n v="3"/>
    <n v="2"/>
    <n v="2"/>
    <n v="2"/>
    <n v="2"/>
    <s v="Bachelor"/>
    <s v="High"/>
    <s v="High"/>
    <x v="1"/>
    <s v="Low"/>
    <s v="Excellent"/>
    <s v="High"/>
    <x v="1"/>
    <s v="Low"/>
    <x v="1"/>
  </r>
  <r>
    <x v="3"/>
    <x v="1"/>
    <x v="0"/>
    <n v="134"/>
    <x v="1"/>
    <n v="2"/>
    <n v="3"/>
    <x v="0"/>
    <n v="242"/>
    <n v="3"/>
    <x v="1"/>
    <n v="3"/>
    <n v="1"/>
    <x v="1"/>
    <n v="4"/>
    <s v="Single"/>
    <n v="2500"/>
    <n v="0"/>
    <x v="1"/>
    <n v="14"/>
    <n v="3"/>
    <n v="1"/>
    <n v="0"/>
    <n v="4"/>
    <n v="2"/>
    <n v="4"/>
    <n v="3"/>
    <n v="1"/>
    <n v="0"/>
    <n v="2"/>
    <s v="Bachelor"/>
    <s v="High"/>
    <s v="High"/>
    <x v="1"/>
    <s v="Very High"/>
    <s v="Excellent"/>
    <s v="Low"/>
    <x v="3"/>
    <s v="No_stock"/>
    <x v="0"/>
  </r>
  <r>
    <x v="37"/>
    <x v="0"/>
    <x v="0"/>
    <n v="303"/>
    <x v="1"/>
    <n v="2"/>
    <n v="3"/>
    <x v="0"/>
    <n v="243"/>
    <n v="2"/>
    <x v="1"/>
    <n v="2"/>
    <n v="1"/>
    <x v="2"/>
    <n v="4"/>
    <s v="Single"/>
    <n v="1102"/>
    <n v="1"/>
    <x v="1"/>
    <n v="22"/>
    <n v="4"/>
    <n v="3"/>
    <n v="0"/>
    <n v="1"/>
    <n v="3"/>
    <n v="2"/>
    <n v="1"/>
    <n v="0"/>
    <n v="1"/>
    <n v="0"/>
    <s v="Bachelor"/>
    <s v="Medium"/>
    <s v="Medium"/>
    <x v="1"/>
    <s v="Very High"/>
    <s v="Outstanding"/>
    <s v="High"/>
    <x v="2"/>
    <s v="No_stock"/>
    <x v="0"/>
  </r>
  <r>
    <x v="21"/>
    <x v="1"/>
    <x v="0"/>
    <n v="526"/>
    <x v="0"/>
    <n v="1"/>
    <n v="2"/>
    <x v="3"/>
    <n v="244"/>
    <n v="2"/>
    <x v="0"/>
    <n v="3"/>
    <n v="3"/>
    <x v="0"/>
    <n v="1"/>
    <s v="Divorced"/>
    <n v="10453"/>
    <n v="1"/>
    <x v="1"/>
    <n v="25"/>
    <n v="4"/>
    <n v="3"/>
    <n v="3"/>
    <n v="24"/>
    <n v="2"/>
    <n v="3"/>
    <n v="24"/>
    <n v="13"/>
    <n v="15"/>
    <n v="7"/>
    <s v="College"/>
    <s v="Medium"/>
    <s v="High"/>
    <x v="2"/>
    <s v="Low"/>
    <s v="Outstanding"/>
    <s v="High"/>
    <x v="1"/>
    <s v="High"/>
    <x v="0"/>
  </r>
  <r>
    <x v="8"/>
    <x v="1"/>
    <x v="0"/>
    <n v="1380"/>
    <x v="1"/>
    <n v="9"/>
    <n v="2"/>
    <x v="0"/>
    <n v="245"/>
    <n v="3"/>
    <x v="0"/>
    <n v="3"/>
    <n v="1"/>
    <x v="2"/>
    <n v="4"/>
    <s v="Single"/>
    <n v="2288"/>
    <n v="1"/>
    <x v="1"/>
    <n v="12"/>
    <n v="3"/>
    <n v="3"/>
    <n v="0"/>
    <n v="2"/>
    <n v="3"/>
    <n v="3"/>
    <n v="2"/>
    <n v="2"/>
    <n v="2"/>
    <n v="1"/>
    <s v="College"/>
    <s v="High"/>
    <s v="High"/>
    <x v="1"/>
    <s v="Very High"/>
    <s v="Excellent"/>
    <s v="High"/>
    <x v="1"/>
    <s v="No_stock"/>
    <x v="1"/>
  </r>
  <r>
    <x v="12"/>
    <x v="1"/>
    <x v="0"/>
    <n v="140"/>
    <x v="1"/>
    <n v="12"/>
    <n v="1"/>
    <x v="2"/>
    <n v="246"/>
    <n v="3"/>
    <x v="0"/>
    <n v="3"/>
    <n v="1"/>
    <x v="1"/>
    <n v="4"/>
    <s v="Married"/>
    <n v="3929"/>
    <n v="8"/>
    <x v="0"/>
    <n v="23"/>
    <n v="4"/>
    <n v="3"/>
    <n v="1"/>
    <n v="7"/>
    <n v="0"/>
    <n v="3"/>
    <n v="4"/>
    <n v="2"/>
    <n v="0"/>
    <n v="2"/>
    <s v="Before College"/>
    <s v="High"/>
    <s v="High"/>
    <x v="1"/>
    <s v="Very High"/>
    <s v="Outstanding"/>
    <s v="High"/>
    <x v="1"/>
    <s v="Low"/>
    <x v="1"/>
  </r>
  <r>
    <x v="13"/>
    <x v="1"/>
    <x v="0"/>
    <n v="629"/>
    <x v="1"/>
    <n v="27"/>
    <n v="2"/>
    <x v="2"/>
    <n v="247"/>
    <n v="4"/>
    <x v="0"/>
    <n v="3"/>
    <n v="1"/>
    <x v="1"/>
    <n v="2"/>
    <s v="Single"/>
    <n v="2311"/>
    <n v="2"/>
    <x v="1"/>
    <n v="15"/>
    <n v="3"/>
    <n v="4"/>
    <n v="0"/>
    <n v="9"/>
    <n v="3"/>
    <n v="3"/>
    <n v="3"/>
    <n v="2"/>
    <n v="1"/>
    <n v="2"/>
    <s v="College"/>
    <s v="Very High"/>
    <s v="High"/>
    <x v="1"/>
    <s v="Medium"/>
    <s v="Excellent"/>
    <s v="Very High"/>
    <x v="1"/>
    <s v="No_stock"/>
    <x v="2"/>
  </r>
  <r>
    <x v="0"/>
    <x v="0"/>
    <x v="0"/>
    <n v="1356"/>
    <x v="0"/>
    <n v="20"/>
    <n v="2"/>
    <x v="3"/>
    <n v="248"/>
    <n v="2"/>
    <x v="0"/>
    <n v="3"/>
    <n v="1"/>
    <x v="6"/>
    <n v="2"/>
    <s v="Single"/>
    <n v="3140"/>
    <n v="1"/>
    <x v="0"/>
    <n v="22"/>
    <n v="4"/>
    <n v="4"/>
    <n v="0"/>
    <n v="4"/>
    <n v="5"/>
    <n v="2"/>
    <n v="4"/>
    <n v="3"/>
    <n v="0"/>
    <n v="2"/>
    <s v="College"/>
    <s v="Medium"/>
    <s v="High"/>
    <x v="1"/>
    <s v="Medium"/>
    <s v="Outstanding"/>
    <s v="Very High"/>
    <x v="2"/>
    <s v="No_stock"/>
    <x v="2"/>
  </r>
  <r>
    <x v="24"/>
    <x v="1"/>
    <x v="0"/>
    <n v="328"/>
    <x v="1"/>
    <n v="1"/>
    <n v="3"/>
    <x v="2"/>
    <n v="249"/>
    <n v="3"/>
    <x v="1"/>
    <n v="2"/>
    <n v="1"/>
    <x v="2"/>
    <n v="3"/>
    <s v="Married"/>
    <n v="3690"/>
    <n v="2"/>
    <x v="1"/>
    <n v="15"/>
    <n v="3"/>
    <n v="4"/>
    <n v="1"/>
    <n v="5"/>
    <n v="2"/>
    <n v="2"/>
    <n v="3"/>
    <n v="2"/>
    <n v="0"/>
    <n v="2"/>
    <s v="Bachelor"/>
    <s v="High"/>
    <s v="Medium"/>
    <x v="1"/>
    <s v="High"/>
    <s v="Excellent"/>
    <s v="Very High"/>
    <x v="2"/>
    <s v="Low"/>
    <x v="0"/>
  </r>
  <r>
    <x v="16"/>
    <x v="1"/>
    <x v="0"/>
    <n v="1084"/>
    <x v="1"/>
    <n v="13"/>
    <n v="2"/>
    <x v="2"/>
    <n v="250"/>
    <n v="4"/>
    <x v="0"/>
    <n v="4"/>
    <n v="2"/>
    <x v="3"/>
    <n v="1"/>
    <s v="Divorced"/>
    <n v="4450"/>
    <n v="1"/>
    <x v="1"/>
    <n v="11"/>
    <n v="3"/>
    <n v="3"/>
    <n v="2"/>
    <n v="5"/>
    <n v="3"/>
    <n v="3"/>
    <n v="4"/>
    <n v="2"/>
    <n v="1"/>
    <n v="3"/>
    <s v="College"/>
    <s v="Very High"/>
    <s v="Very High"/>
    <x v="0"/>
    <s v="Low"/>
    <s v="Excellent"/>
    <s v="High"/>
    <x v="1"/>
    <s v="Medium"/>
    <x v="1"/>
  </r>
  <r>
    <x v="3"/>
    <x v="1"/>
    <x v="0"/>
    <n v="931"/>
    <x v="1"/>
    <n v="14"/>
    <n v="3"/>
    <x v="2"/>
    <n v="252"/>
    <n v="4"/>
    <x v="0"/>
    <n v="3"/>
    <n v="1"/>
    <x v="1"/>
    <n v="2"/>
    <s v="Married"/>
    <n v="2756"/>
    <n v="1"/>
    <x v="1"/>
    <n v="13"/>
    <n v="3"/>
    <n v="4"/>
    <n v="1"/>
    <n v="8"/>
    <n v="5"/>
    <n v="3"/>
    <n v="8"/>
    <n v="7"/>
    <n v="1"/>
    <n v="6"/>
    <s v="Bachelor"/>
    <s v="Very High"/>
    <s v="High"/>
    <x v="1"/>
    <s v="Medium"/>
    <s v="Excellent"/>
    <s v="Very High"/>
    <x v="1"/>
    <s v="Low"/>
    <x v="1"/>
  </r>
  <r>
    <x v="32"/>
    <x v="1"/>
    <x v="0"/>
    <n v="989"/>
    <x v="1"/>
    <n v="4"/>
    <n v="1"/>
    <x v="2"/>
    <n v="253"/>
    <n v="4"/>
    <x v="0"/>
    <n v="3"/>
    <n v="5"/>
    <x v="5"/>
    <n v="3"/>
    <s v="Married"/>
    <n v="19033"/>
    <n v="1"/>
    <x v="1"/>
    <n v="14"/>
    <n v="3"/>
    <n v="2"/>
    <n v="1"/>
    <n v="21"/>
    <n v="2"/>
    <n v="3"/>
    <n v="20"/>
    <n v="8"/>
    <n v="9"/>
    <n v="9"/>
    <s v="Before College"/>
    <s v="Very High"/>
    <s v="High"/>
    <x v="4"/>
    <s v="High"/>
    <s v="Excellent"/>
    <s v="Medium"/>
    <x v="1"/>
    <s v="Low"/>
    <x v="0"/>
  </r>
  <r>
    <x v="27"/>
    <x v="1"/>
    <x v="0"/>
    <n v="692"/>
    <x v="1"/>
    <n v="14"/>
    <n v="4"/>
    <x v="2"/>
    <n v="254"/>
    <n v="3"/>
    <x v="1"/>
    <n v="4"/>
    <n v="5"/>
    <x v="7"/>
    <n v="2"/>
    <s v="Single"/>
    <n v="18722"/>
    <n v="8"/>
    <x v="1"/>
    <n v="11"/>
    <n v="3"/>
    <n v="4"/>
    <n v="0"/>
    <n v="36"/>
    <n v="3"/>
    <n v="3"/>
    <n v="24"/>
    <n v="15"/>
    <n v="2"/>
    <n v="15"/>
    <s v="Master"/>
    <s v="High"/>
    <s v="Very High"/>
    <x v="4"/>
    <s v="Medium"/>
    <s v="Excellent"/>
    <s v="Very High"/>
    <x v="1"/>
    <s v="No_stock"/>
    <x v="1"/>
  </r>
  <r>
    <x v="13"/>
    <x v="1"/>
    <x v="1"/>
    <n v="1069"/>
    <x v="1"/>
    <n v="2"/>
    <n v="1"/>
    <x v="0"/>
    <n v="256"/>
    <n v="4"/>
    <x v="1"/>
    <n v="2"/>
    <n v="2"/>
    <x v="3"/>
    <n v="3"/>
    <s v="Married"/>
    <n v="9547"/>
    <n v="1"/>
    <x v="1"/>
    <n v="17"/>
    <n v="3"/>
    <n v="3"/>
    <n v="0"/>
    <n v="10"/>
    <n v="2"/>
    <n v="2"/>
    <n v="10"/>
    <n v="9"/>
    <n v="1"/>
    <n v="9"/>
    <s v="Before College"/>
    <s v="Very High"/>
    <s v="Medium"/>
    <x v="0"/>
    <s v="High"/>
    <s v="Excellent"/>
    <s v="High"/>
    <x v="2"/>
    <s v="No_stock"/>
    <x v="0"/>
  </r>
  <r>
    <x v="31"/>
    <x v="1"/>
    <x v="0"/>
    <n v="313"/>
    <x v="1"/>
    <n v="3"/>
    <n v="3"/>
    <x v="2"/>
    <n v="258"/>
    <n v="4"/>
    <x v="0"/>
    <n v="3"/>
    <n v="4"/>
    <x v="4"/>
    <n v="2"/>
    <s v="Single"/>
    <n v="13734"/>
    <n v="3"/>
    <x v="1"/>
    <n v="18"/>
    <n v="3"/>
    <n v="3"/>
    <n v="0"/>
    <n v="21"/>
    <n v="6"/>
    <n v="3"/>
    <n v="7"/>
    <n v="7"/>
    <n v="1"/>
    <n v="0"/>
    <s v="Bachelor"/>
    <s v="Very High"/>
    <s v="High"/>
    <x v="3"/>
    <s v="Medium"/>
    <s v="Excellent"/>
    <s v="High"/>
    <x v="1"/>
    <s v="No_stock"/>
    <x v="0"/>
  </r>
  <r>
    <x v="39"/>
    <x v="1"/>
    <x v="0"/>
    <n v="699"/>
    <x v="1"/>
    <n v="1"/>
    <n v="4"/>
    <x v="0"/>
    <n v="259"/>
    <n v="3"/>
    <x v="1"/>
    <n v="2"/>
    <n v="5"/>
    <x v="5"/>
    <n v="3"/>
    <s v="Married"/>
    <n v="19999"/>
    <n v="0"/>
    <x v="1"/>
    <n v="14"/>
    <n v="3"/>
    <n v="1"/>
    <n v="1"/>
    <n v="34"/>
    <n v="5"/>
    <n v="3"/>
    <n v="33"/>
    <n v="18"/>
    <n v="11"/>
    <n v="9"/>
    <s v="Master"/>
    <s v="High"/>
    <s v="Medium"/>
    <x v="4"/>
    <s v="High"/>
    <s v="Excellent"/>
    <s v="Low"/>
    <x v="1"/>
    <s v="Low"/>
    <x v="0"/>
  </r>
  <r>
    <x v="4"/>
    <x v="1"/>
    <x v="0"/>
    <n v="894"/>
    <x v="1"/>
    <n v="9"/>
    <n v="3"/>
    <x v="2"/>
    <n v="260"/>
    <n v="4"/>
    <x v="0"/>
    <n v="3"/>
    <n v="1"/>
    <x v="1"/>
    <n v="2"/>
    <s v="Single"/>
    <n v="2279"/>
    <n v="1"/>
    <x v="1"/>
    <n v="16"/>
    <n v="3"/>
    <n v="4"/>
    <n v="0"/>
    <n v="7"/>
    <n v="2"/>
    <n v="2"/>
    <n v="7"/>
    <n v="7"/>
    <n v="0"/>
    <n v="3"/>
    <s v="Bachelor"/>
    <s v="Very High"/>
    <s v="High"/>
    <x v="1"/>
    <s v="Medium"/>
    <s v="Excellent"/>
    <s v="Very High"/>
    <x v="2"/>
    <s v="No_stock"/>
    <x v="1"/>
  </r>
  <r>
    <x v="10"/>
    <x v="0"/>
    <x v="0"/>
    <n v="556"/>
    <x v="1"/>
    <n v="23"/>
    <n v="2"/>
    <x v="0"/>
    <n v="261"/>
    <n v="2"/>
    <x v="1"/>
    <n v="2"/>
    <n v="2"/>
    <x v="3"/>
    <n v="3"/>
    <s v="Married"/>
    <n v="5916"/>
    <n v="3"/>
    <x v="0"/>
    <n v="13"/>
    <n v="3"/>
    <n v="1"/>
    <n v="0"/>
    <n v="8"/>
    <n v="1"/>
    <n v="3"/>
    <n v="1"/>
    <n v="0"/>
    <n v="0"/>
    <n v="1"/>
    <s v="College"/>
    <s v="Medium"/>
    <s v="Medium"/>
    <x v="0"/>
    <s v="High"/>
    <s v="Excellent"/>
    <s v="Low"/>
    <x v="1"/>
    <s v="No_stock"/>
    <x v="2"/>
  </r>
  <r>
    <x v="23"/>
    <x v="1"/>
    <x v="2"/>
    <n v="1344"/>
    <x v="1"/>
    <n v="7"/>
    <n v="3"/>
    <x v="2"/>
    <n v="262"/>
    <n v="4"/>
    <x v="1"/>
    <n v="4"/>
    <n v="1"/>
    <x v="1"/>
    <n v="4"/>
    <s v="Divorced"/>
    <n v="2089"/>
    <n v="4"/>
    <x v="1"/>
    <n v="14"/>
    <n v="3"/>
    <n v="4"/>
    <n v="3"/>
    <n v="7"/>
    <n v="3"/>
    <n v="4"/>
    <n v="5"/>
    <n v="4"/>
    <n v="2"/>
    <n v="2"/>
    <s v="Bachelor"/>
    <s v="Very High"/>
    <s v="Very High"/>
    <x v="1"/>
    <s v="Very High"/>
    <s v="Excellent"/>
    <s v="Very High"/>
    <x v="3"/>
    <s v="High"/>
    <x v="1"/>
  </r>
  <r>
    <x v="28"/>
    <x v="1"/>
    <x v="2"/>
    <n v="1195"/>
    <x v="1"/>
    <n v="2"/>
    <n v="2"/>
    <x v="2"/>
    <n v="264"/>
    <n v="1"/>
    <x v="1"/>
    <n v="2"/>
    <n v="4"/>
    <x v="5"/>
    <n v="4"/>
    <s v="Married"/>
    <n v="16792"/>
    <n v="9"/>
    <x v="1"/>
    <n v="23"/>
    <n v="4"/>
    <n v="4"/>
    <n v="1"/>
    <n v="22"/>
    <n v="1"/>
    <n v="3"/>
    <n v="20"/>
    <n v="8"/>
    <n v="11"/>
    <n v="8"/>
    <s v="College"/>
    <s v="Low"/>
    <s v="Medium"/>
    <x v="3"/>
    <s v="Very High"/>
    <s v="Outstanding"/>
    <s v="Very High"/>
    <x v="1"/>
    <s v="Low"/>
    <x v="0"/>
  </r>
  <r>
    <x v="2"/>
    <x v="1"/>
    <x v="0"/>
    <n v="290"/>
    <x v="1"/>
    <n v="21"/>
    <n v="3"/>
    <x v="0"/>
    <n v="267"/>
    <n v="2"/>
    <x v="1"/>
    <n v="4"/>
    <n v="1"/>
    <x v="1"/>
    <n v="1"/>
    <s v="Married"/>
    <n v="3564"/>
    <n v="1"/>
    <x v="0"/>
    <n v="12"/>
    <n v="3"/>
    <n v="1"/>
    <n v="1"/>
    <n v="8"/>
    <n v="3"/>
    <n v="2"/>
    <n v="8"/>
    <n v="7"/>
    <n v="1"/>
    <n v="7"/>
    <s v="Bachelor"/>
    <s v="Medium"/>
    <s v="Very High"/>
    <x v="1"/>
    <s v="Low"/>
    <s v="Excellent"/>
    <s v="Low"/>
    <x v="2"/>
    <s v="Low"/>
    <x v="2"/>
  </r>
  <r>
    <x v="10"/>
    <x v="1"/>
    <x v="1"/>
    <n v="138"/>
    <x v="1"/>
    <n v="2"/>
    <n v="3"/>
    <x v="2"/>
    <n v="269"/>
    <n v="2"/>
    <x v="0"/>
    <n v="3"/>
    <n v="2"/>
    <x v="2"/>
    <n v="2"/>
    <s v="Single"/>
    <n v="4425"/>
    <n v="5"/>
    <x v="1"/>
    <n v="11"/>
    <n v="3"/>
    <n v="4"/>
    <n v="0"/>
    <n v="10"/>
    <n v="5"/>
    <n v="3"/>
    <n v="6"/>
    <n v="2"/>
    <n v="1"/>
    <n v="2"/>
    <s v="Bachelor"/>
    <s v="Medium"/>
    <s v="High"/>
    <x v="0"/>
    <s v="Medium"/>
    <s v="Excellent"/>
    <s v="Very High"/>
    <x v="1"/>
    <s v="No_stock"/>
    <x v="0"/>
  </r>
  <r>
    <x v="19"/>
    <x v="1"/>
    <x v="2"/>
    <n v="926"/>
    <x v="1"/>
    <n v="21"/>
    <n v="2"/>
    <x v="2"/>
    <n v="270"/>
    <n v="3"/>
    <x v="0"/>
    <n v="3"/>
    <n v="2"/>
    <x v="3"/>
    <n v="3"/>
    <s v="Divorced"/>
    <n v="5265"/>
    <n v="2"/>
    <x v="1"/>
    <n v="16"/>
    <n v="3"/>
    <n v="2"/>
    <n v="1"/>
    <n v="11"/>
    <n v="5"/>
    <n v="3"/>
    <n v="5"/>
    <n v="3"/>
    <n v="0"/>
    <n v="2"/>
    <s v="College"/>
    <s v="High"/>
    <s v="High"/>
    <x v="0"/>
    <s v="High"/>
    <s v="Excellent"/>
    <s v="Medium"/>
    <x v="1"/>
    <s v="Low"/>
    <x v="2"/>
  </r>
  <r>
    <x v="8"/>
    <x v="1"/>
    <x v="0"/>
    <n v="1261"/>
    <x v="1"/>
    <n v="2"/>
    <n v="4"/>
    <x v="0"/>
    <n v="271"/>
    <n v="4"/>
    <x v="1"/>
    <n v="3"/>
    <n v="2"/>
    <x v="3"/>
    <n v="3"/>
    <s v="Married"/>
    <n v="6553"/>
    <n v="9"/>
    <x v="1"/>
    <n v="14"/>
    <n v="3"/>
    <n v="2"/>
    <n v="0"/>
    <n v="14"/>
    <n v="3"/>
    <n v="3"/>
    <n v="1"/>
    <n v="0"/>
    <n v="0"/>
    <n v="0"/>
    <s v="Master"/>
    <s v="Very High"/>
    <s v="High"/>
    <x v="0"/>
    <s v="High"/>
    <s v="Excellent"/>
    <s v="Medium"/>
    <x v="1"/>
    <s v="No_stock"/>
    <x v="0"/>
  </r>
  <r>
    <x v="8"/>
    <x v="1"/>
    <x v="0"/>
    <n v="1084"/>
    <x v="1"/>
    <n v="29"/>
    <n v="3"/>
    <x v="4"/>
    <n v="273"/>
    <n v="4"/>
    <x v="1"/>
    <n v="3"/>
    <n v="2"/>
    <x v="3"/>
    <n v="4"/>
    <s v="Married"/>
    <n v="6261"/>
    <n v="3"/>
    <x v="1"/>
    <n v="18"/>
    <n v="3"/>
    <n v="1"/>
    <n v="1"/>
    <n v="9"/>
    <n v="3"/>
    <n v="1"/>
    <n v="7"/>
    <n v="7"/>
    <n v="1"/>
    <n v="7"/>
    <s v="Bachelor"/>
    <s v="Very High"/>
    <s v="High"/>
    <x v="0"/>
    <s v="Very High"/>
    <s v="Excellent"/>
    <s v="Low"/>
    <x v="0"/>
    <s v="Low"/>
    <x v="2"/>
  </r>
  <r>
    <x v="4"/>
    <x v="1"/>
    <x v="1"/>
    <n v="472"/>
    <x v="1"/>
    <n v="1"/>
    <n v="1"/>
    <x v="4"/>
    <n v="274"/>
    <n v="3"/>
    <x v="1"/>
    <n v="2"/>
    <n v="2"/>
    <x v="3"/>
    <n v="1"/>
    <s v="Married"/>
    <n v="4298"/>
    <n v="5"/>
    <x v="1"/>
    <n v="19"/>
    <n v="3"/>
    <n v="3"/>
    <n v="1"/>
    <n v="6"/>
    <n v="1"/>
    <n v="3"/>
    <n v="2"/>
    <n v="2"/>
    <n v="2"/>
    <n v="0"/>
    <s v="Before College"/>
    <s v="High"/>
    <s v="Medium"/>
    <x v="0"/>
    <s v="Low"/>
    <s v="Excellent"/>
    <s v="High"/>
    <x v="1"/>
    <s v="Low"/>
    <x v="0"/>
  </r>
  <r>
    <x v="1"/>
    <x v="1"/>
    <x v="2"/>
    <n v="1002"/>
    <x v="1"/>
    <n v="18"/>
    <n v="4"/>
    <x v="0"/>
    <n v="275"/>
    <n v="4"/>
    <x v="1"/>
    <n v="3"/>
    <n v="2"/>
    <x v="3"/>
    <n v="4"/>
    <s v="Divorced"/>
    <n v="6804"/>
    <n v="1"/>
    <x v="0"/>
    <n v="15"/>
    <n v="3"/>
    <n v="1"/>
    <n v="2"/>
    <n v="7"/>
    <n v="0"/>
    <n v="3"/>
    <n v="7"/>
    <n v="7"/>
    <n v="1"/>
    <n v="7"/>
    <s v="Master"/>
    <s v="Very High"/>
    <s v="High"/>
    <x v="0"/>
    <s v="Very High"/>
    <s v="Excellent"/>
    <s v="Low"/>
    <x v="1"/>
    <s v="Medium"/>
    <x v="2"/>
  </r>
  <r>
    <x v="13"/>
    <x v="1"/>
    <x v="1"/>
    <n v="878"/>
    <x v="1"/>
    <n v="10"/>
    <n v="4"/>
    <x v="2"/>
    <n v="277"/>
    <n v="4"/>
    <x v="1"/>
    <n v="3"/>
    <n v="1"/>
    <x v="1"/>
    <n v="3"/>
    <s v="Divorced"/>
    <n v="3815"/>
    <n v="1"/>
    <x v="0"/>
    <n v="17"/>
    <n v="3"/>
    <n v="4"/>
    <n v="1"/>
    <n v="5"/>
    <n v="4"/>
    <n v="4"/>
    <n v="5"/>
    <n v="3"/>
    <n v="2"/>
    <n v="0"/>
    <s v="Master"/>
    <s v="Very High"/>
    <s v="High"/>
    <x v="1"/>
    <s v="High"/>
    <s v="Excellent"/>
    <s v="Very High"/>
    <x v="3"/>
    <s v="Low"/>
    <x v="1"/>
  </r>
  <r>
    <x v="32"/>
    <x v="1"/>
    <x v="0"/>
    <n v="905"/>
    <x v="1"/>
    <n v="19"/>
    <n v="2"/>
    <x v="2"/>
    <n v="281"/>
    <n v="3"/>
    <x v="1"/>
    <n v="3"/>
    <n v="2"/>
    <x v="2"/>
    <n v="4"/>
    <s v="Married"/>
    <n v="2741"/>
    <n v="8"/>
    <x v="0"/>
    <n v="15"/>
    <n v="3"/>
    <n v="3"/>
    <n v="1"/>
    <n v="15"/>
    <n v="2"/>
    <n v="4"/>
    <n v="7"/>
    <n v="2"/>
    <n v="3"/>
    <n v="7"/>
    <s v="College"/>
    <s v="High"/>
    <s v="High"/>
    <x v="0"/>
    <s v="Very High"/>
    <s v="Excellent"/>
    <s v="High"/>
    <x v="3"/>
    <s v="Low"/>
    <x v="2"/>
  </r>
  <r>
    <x v="8"/>
    <x v="0"/>
    <x v="0"/>
    <n v="1180"/>
    <x v="1"/>
    <n v="29"/>
    <n v="1"/>
    <x v="2"/>
    <n v="282"/>
    <n v="2"/>
    <x v="1"/>
    <n v="3"/>
    <n v="2"/>
    <x v="4"/>
    <n v="1"/>
    <s v="Married"/>
    <n v="6673"/>
    <n v="7"/>
    <x v="0"/>
    <n v="19"/>
    <n v="3"/>
    <n v="2"/>
    <n v="0"/>
    <n v="17"/>
    <n v="2"/>
    <n v="3"/>
    <n v="1"/>
    <n v="0"/>
    <n v="0"/>
    <n v="0"/>
    <s v="Before College"/>
    <s v="Medium"/>
    <s v="High"/>
    <x v="0"/>
    <s v="Low"/>
    <s v="Excellent"/>
    <s v="Medium"/>
    <x v="1"/>
    <s v="No_stock"/>
    <x v="2"/>
  </r>
  <r>
    <x v="11"/>
    <x v="0"/>
    <x v="0"/>
    <n v="121"/>
    <x v="0"/>
    <n v="27"/>
    <n v="3"/>
    <x v="3"/>
    <n v="283"/>
    <n v="2"/>
    <x v="0"/>
    <n v="3"/>
    <n v="3"/>
    <x v="0"/>
    <n v="4"/>
    <s v="Married"/>
    <n v="7639"/>
    <n v="1"/>
    <x v="1"/>
    <n v="22"/>
    <n v="4"/>
    <n v="4"/>
    <n v="3"/>
    <n v="10"/>
    <n v="3"/>
    <n v="2"/>
    <n v="10"/>
    <n v="4"/>
    <n v="1"/>
    <n v="9"/>
    <s v="Bachelor"/>
    <s v="Medium"/>
    <s v="High"/>
    <x v="2"/>
    <s v="Very High"/>
    <s v="Outstanding"/>
    <s v="Very High"/>
    <x v="2"/>
    <s v="High"/>
    <x v="2"/>
  </r>
  <r>
    <x v="15"/>
    <x v="1"/>
    <x v="0"/>
    <n v="1136"/>
    <x v="1"/>
    <n v="5"/>
    <n v="3"/>
    <x v="0"/>
    <n v="284"/>
    <n v="4"/>
    <x v="1"/>
    <n v="4"/>
    <n v="1"/>
    <x v="1"/>
    <n v="2"/>
    <s v="Divorced"/>
    <n v="2328"/>
    <n v="1"/>
    <x v="0"/>
    <n v="16"/>
    <n v="3"/>
    <n v="1"/>
    <n v="1"/>
    <n v="4"/>
    <n v="2"/>
    <n v="2"/>
    <n v="4"/>
    <n v="2"/>
    <n v="2"/>
    <n v="2"/>
    <s v="Bachelor"/>
    <s v="Very High"/>
    <s v="Very High"/>
    <x v="1"/>
    <s v="Medium"/>
    <s v="Excellent"/>
    <s v="Low"/>
    <x v="2"/>
    <s v="Low"/>
    <x v="0"/>
  </r>
  <r>
    <x v="9"/>
    <x v="1"/>
    <x v="1"/>
    <n v="635"/>
    <x v="1"/>
    <n v="18"/>
    <n v="1"/>
    <x v="2"/>
    <n v="286"/>
    <n v="2"/>
    <x v="0"/>
    <n v="3"/>
    <n v="1"/>
    <x v="2"/>
    <n v="4"/>
    <s v="Single"/>
    <n v="2153"/>
    <n v="1"/>
    <x v="1"/>
    <n v="13"/>
    <n v="3"/>
    <n v="1"/>
    <n v="0"/>
    <n v="8"/>
    <n v="2"/>
    <n v="3"/>
    <n v="8"/>
    <n v="1"/>
    <n v="1"/>
    <n v="7"/>
    <s v="Before College"/>
    <s v="Medium"/>
    <s v="High"/>
    <x v="1"/>
    <s v="Very High"/>
    <s v="Excellent"/>
    <s v="Low"/>
    <x v="1"/>
    <s v="No_stock"/>
    <x v="2"/>
  </r>
  <r>
    <x v="32"/>
    <x v="1"/>
    <x v="2"/>
    <n v="1151"/>
    <x v="1"/>
    <n v="9"/>
    <n v="5"/>
    <x v="0"/>
    <n v="287"/>
    <n v="4"/>
    <x v="1"/>
    <n v="2"/>
    <n v="2"/>
    <x v="4"/>
    <n v="4"/>
    <s v="Married"/>
    <n v="4876"/>
    <n v="9"/>
    <x v="1"/>
    <n v="14"/>
    <n v="3"/>
    <n v="4"/>
    <n v="1"/>
    <n v="5"/>
    <n v="5"/>
    <n v="1"/>
    <n v="3"/>
    <n v="2"/>
    <n v="0"/>
    <n v="2"/>
    <s v="Doctor"/>
    <s v="Very High"/>
    <s v="Medium"/>
    <x v="0"/>
    <s v="Very High"/>
    <s v="Excellent"/>
    <s v="Very High"/>
    <x v="0"/>
    <s v="Low"/>
    <x v="1"/>
  </r>
  <r>
    <x v="21"/>
    <x v="1"/>
    <x v="0"/>
    <n v="644"/>
    <x v="1"/>
    <n v="1"/>
    <n v="4"/>
    <x v="2"/>
    <n v="288"/>
    <n v="4"/>
    <x v="1"/>
    <n v="3"/>
    <n v="3"/>
    <x v="4"/>
    <n v="1"/>
    <s v="Divorced"/>
    <n v="9396"/>
    <n v="7"/>
    <x v="1"/>
    <n v="16"/>
    <n v="3"/>
    <n v="3"/>
    <n v="1"/>
    <n v="17"/>
    <n v="3"/>
    <n v="3"/>
    <n v="4"/>
    <n v="2"/>
    <n v="0"/>
    <n v="3"/>
    <s v="Master"/>
    <s v="Very High"/>
    <s v="High"/>
    <x v="2"/>
    <s v="Low"/>
    <s v="Excellent"/>
    <s v="High"/>
    <x v="1"/>
    <s v="Low"/>
    <x v="0"/>
  </r>
  <r>
    <x v="5"/>
    <x v="0"/>
    <x v="0"/>
    <n v="1045"/>
    <x v="0"/>
    <n v="4"/>
    <n v="4"/>
    <x v="2"/>
    <n v="291"/>
    <n v="4"/>
    <x v="1"/>
    <n v="1"/>
    <n v="3"/>
    <x v="0"/>
    <n v="4"/>
    <s v="Married"/>
    <n v="10400"/>
    <n v="1"/>
    <x v="1"/>
    <n v="11"/>
    <n v="3"/>
    <n v="3"/>
    <n v="0"/>
    <n v="14"/>
    <n v="2"/>
    <n v="2"/>
    <n v="14"/>
    <n v="8"/>
    <n v="9"/>
    <n v="8"/>
    <s v="Master"/>
    <s v="Very High"/>
    <s v="Low"/>
    <x v="2"/>
    <s v="Very High"/>
    <s v="Excellent"/>
    <s v="High"/>
    <x v="2"/>
    <s v="No_stock"/>
    <x v="0"/>
  </r>
  <r>
    <x v="7"/>
    <x v="1"/>
    <x v="2"/>
    <n v="829"/>
    <x v="1"/>
    <n v="1"/>
    <n v="1"/>
    <x v="0"/>
    <n v="292"/>
    <n v="3"/>
    <x v="1"/>
    <n v="2"/>
    <n v="3"/>
    <x v="3"/>
    <n v="3"/>
    <s v="Single"/>
    <n v="8474"/>
    <n v="1"/>
    <x v="1"/>
    <n v="22"/>
    <n v="4"/>
    <n v="3"/>
    <n v="0"/>
    <n v="12"/>
    <n v="2"/>
    <n v="3"/>
    <n v="11"/>
    <n v="8"/>
    <n v="5"/>
    <n v="8"/>
    <s v="Before College"/>
    <s v="High"/>
    <s v="Medium"/>
    <x v="2"/>
    <s v="High"/>
    <s v="Outstanding"/>
    <s v="High"/>
    <x v="1"/>
    <s v="No_stock"/>
    <x v="0"/>
  </r>
  <r>
    <x v="4"/>
    <x v="1"/>
    <x v="1"/>
    <n v="1242"/>
    <x v="0"/>
    <n v="20"/>
    <n v="3"/>
    <x v="0"/>
    <n v="293"/>
    <n v="4"/>
    <x v="0"/>
    <n v="3"/>
    <n v="2"/>
    <x v="0"/>
    <n v="3"/>
    <s v="Single"/>
    <n v="9981"/>
    <n v="1"/>
    <x v="1"/>
    <n v="14"/>
    <n v="3"/>
    <n v="4"/>
    <n v="0"/>
    <n v="7"/>
    <n v="2"/>
    <n v="3"/>
    <n v="7"/>
    <n v="7"/>
    <n v="0"/>
    <n v="7"/>
    <s v="Bachelor"/>
    <s v="Very High"/>
    <s v="High"/>
    <x v="0"/>
    <s v="High"/>
    <s v="Excellent"/>
    <s v="Very High"/>
    <x v="1"/>
    <s v="No_stock"/>
    <x v="2"/>
  </r>
  <r>
    <x v="31"/>
    <x v="1"/>
    <x v="0"/>
    <n v="1469"/>
    <x v="1"/>
    <n v="8"/>
    <n v="4"/>
    <x v="0"/>
    <n v="296"/>
    <n v="2"/>
    <x v="1"/>
    <n v="2"/>
    <n v="3"/>
    <x v="7"/>
    <n v="2"/>
    <s v="Married"/>
    <n v="12490"/>
    <n v="5"/>
    <x v="1"/>
    <n v="16"/>
    <n v="3"/>
    <n v="4"/>
    <n v="2"/>
    <n v="16"/>
    <n v="5"/>
    <n v="1"/>
    <n v="10"/>
    <n v="9"/>
    <n v="4"/>
    <n v="7"/>
    <s v="Master"/>
    <s v="Medium"/>
    <s v="Medium"/>
    <x v="2"/>
    <s v="Medium"/>
    <s v="Excellent"/>
    <s v="Very High"/>
    <x v="0"/>
    <s v="Medium"/>
    <x v="1"/>
  </r>
  <r>
    <x v="7"/>
    <x v="0"/>
    <x v="0"/>
    <n v="1005"/>
    <x v="1"/>
    <n v="3"/>
    <n v="3"/>
    <x v="4"/>
    <n v="297"/>
    <n v="4"/>
    <x v="0"/>
    <n v="3"/>
    <n v="1"/>
    <x v="1"/>
    <n v="1"/>
    <s v="Single"/>
    <n v="2657"/>
    <n v="5"/>
    <x v="0"/>
    <n v="11"/>
    <n v="3"/>
    <n v="3"/>
    <n v="0"/>
    <n v="8"/>
    <n v="5"/>
    <n v="3"/>
    <n v="5"/>
    <n v="2"/>
    <n v="0"/>
    <n v="4"/>
    <s v="Bachelor"/>
    <s v="Very High"/>
    <s v="High"/>
    <x v="1"/>
    <s v="Low"/>
    <s v="Excellent"/>
    <s v="High"/>
    <x v="1"/>
    <s v="No_stock"/>
    <x v="0"/>
  </r>
  <r>
    <x v="0"/>
    <x v="1"/>
    <x v="0"/>
    <n v="896"/>
    <x v="0"/>
    <n v="6"/>
    <n v="3"/>
    <x v="0"/>
    <n v="298"/>
    <n v="4"/>
    <x v="0"/>
    <n v="3"/>
    <n v="3"/>
    <x v="5"/>
    <n v="4"/>
    <s v="Single"/>
    <n v="13591"/>
    <n v="3"/>
    <x v="0"/>
    <n v="18"/>
    <n v="3"/>
    <n v="3"/>
    <n v="0"/>
    <n v="16"/>
    <n v="3"/>
    <n v="3"/>
    <n v="1"/>
    <n v="0"/>
    <n v="0"/>
    <n v="0"/>
    <s v="Bachelor"/>
    <s v="Very High"/>
    <s v="High"/>
    <x v="2"/>
    <s v="Very High"/>
    <s v="Excellent"/>
    <s v="High"/>
    <x v="1"/>
    <s v="No_stock"/>
    <x v="1"/>
  </r>
  <r>
    <x v="7"/>
    <x v="0"/>
    <x v="1"/>
    <n v="334"/>
    <x v="0"/>
    <n v="26"/>
    <n v="4"/>
    <x v="3"/>
    <n v="299"/>
    <n v="3"/>
    <x v="0"/>
    <n v="2"/>
    <n v="2"/>
    <x v="0"/>
    <n v="1"/>
    <s v="Single"/>
    <n v="6696"/>
    <n v="5"/>
    <x v="1"/>
    <n v="15"/>
    <n v="3"/>
    <n v="3"/>
    <n v="0"/>
    <n v="9"/>
    <n v="5"/>
    <n v="2"/>
    <n v="6"/>
    <n v="3"/>
    <n v="0"/>
    <n v="1"/>
    <s v="Master"/>
    <s v="High"/>
    <s v="Medium"/>
    <x v="0"/>
    <s v="Low"/>
    <s v="Excellent"/>
    <s v="High"/>
    <x v="2"/>
    <s v="No_stock"/>
    <x v="2"/>
  </r>
  <r>
    <x v="11"/>
    <x v="0"/>
    <x v="0"/>
    <n v="992"/>
    <x v="1"/>
    <n v="1"/>
    <n v="3"/>
    <x v="4"/>
    <n v="300"/>
    <n v="3"/>
    <x v="1"/>
    <n v="3"/>
    <n v="1"/>
    <x v="1"/>
    <n v="3"/>
    <s v="Single"/>
    <n v="2058"/>
    <n v="0"/>
    <x v="1"/>
    <n v="14"/>
    <n v="3"/>
    <n v="4"/>
    <n v="0"/>
    <n v="7"/>
    <n v="1"/>
    <n v="2"/>
    <n v="6"/>
    <n v="2"/>
    <n v="1"/>
    <n v="5"/>
    <s v="Bachelor"/>
    <s v="High"/>
    <s v="High"/>
    <x v="1"/>
    <s v="High"/>
    <s v="Excellent"/>
    <s v="Very High"/>
    <x v="2"/>
    <s v="No_stock"/>
    <x v="0"/>
  </r>
  <r>
    <x v="28"/>
    <x v="1"/>
    <x v="2"/>
    <n v="1052"/>
    <x v="0"/>
    <n v="6"/>
    <n v="3"/>
    <x v="2"/>
    <n v="302"/>
    <n v="4"/>
    <x v="0"/>
    <n v="2"/>
    <n v="3"/>
    <x v="0"/>
    <n v="4"/>
    <s v="Single"/>
    <n v="8865"/>
    <n v="6"/>
    <x v="1"/>
    <n v="12"/>
    <n v="3"/>
    <n v="4"/>
    <n v="0"/>
    <n v="23"/>
    <n v="2"/>
    <n v="3"/>
    <n v="19"/>
    <n v="7"/>
    <n v="12"/>
    <n v="8"/>
    <s v="Bachelor"/>
    <s v="Very High"/>
    <s v="Medium"/>
    <x v="2"/>
    <s v="Very High"/>
    <s v="Excellent"/>
    <s v="Very High"/>
    <x v="1"/>
    <s v="No_stock"/>
    <x v="1"/>
  </r>
  <r>
    <x v="33"/>
    <x v="1"/>
    <x v="0"/>
    <n v="1147"/>
    <x v="0"/>
    <n v="3"/>
    <n v="3"/>
    <x v="3"/>
    <n v="303"/>
    <n v="4"/>
    <x v="0"/>
    <n v="3"/>
    <n v="2"/>
    <x v="0"/>
    <n v="1"/>
    <s v="Married"/>
    <n v="5940"/>
    <n v="2"/>
    <x v="1"/>
    <n v="14"/>
    <n v="3"/>
    <n v="4"/>
    <n v="1"/>
    <n v="16"/>
    <n v="4"/>
    <n v="3"/>
    <n v="6"/>
    <n v="2"/>
    <n v="0"/>
    <n v="5"/>
    <s v="Bachelor"/>
    <s v="Very High"/>
    <s v="High"/>
    <x v="0"/>
    <s v="Low"/>
    <s v="Excellent"/>
    <s v="Very High"/>
    <x v="1"/>
    <s v="Low"/>
    <x v="0"/>
  </r>
  <r>
    <x v="9"/>
    <x v="1"/>
    <x v="0"/>
    <n v="1396"/>
    <x v="1"/>
    <n v="5"/>
    <n v="2"/>
    <x v="0"/>
    <n v="304"/>
    <n v="4"/>
    <x v="1"/>
    <n v="3"/>
    <n v="2"/>
    <x v="2"/>
    <n v="2"/>
    <s v="Single"/>
    <n v="5914"/>
    <n v="8"/>
    <x v="1"/>
    <n v="16"/>
    <n v="3"/>
    <n v="4"/>
    <n v="0"/>
    <n v="16"/>
    <n v="3"/>
    <n v="4"/>
    <n v="13"/>
    <n v="11"/>
    <n v="3"/>
    <n v="7"/>
    <s v="College"/>
    <s v="Very High"/>
    <s v="High"/>
    <x v="0"/>
    <s v="Medium"/>
    <s v="Excellent"/>
    <s v="Very High"/>
    <x v="3"/>
    <s v="No_stock"/>
    <x v="0"/>
  </r>
  <r>
    <x v="3"/>
    <x v="1"/>
    <x v="0"/>
    <n v="147"/>
    <x v="1"/>
    <n v="4"/>
    <n v="4"/>
    <x v="2"/>
    <n v="305"/>
    <n v="3"/>
    <x v="0"/>
    <n v="2"/>
    <n v="1"/>
    <x v="1"/>
    <n v="2"/>
    <s v="Married"/>
    <n v="2622"/>
    <n v="6"/>
    <x v="1"/>
    <n v="21"/>
    <n v="4"/>
    <n v="4"/>
    <n v="0"/>
    <n v="7"/>
    <n v="3"/>
    <n v="3"/>
    <n v="3"/>
    <n v="2"/>
    <n v="1"/>
    <n v="1"/>
    <s v="Master"/>
    <s v="High"/>
    <s v="Medium"/>
    <x v="1"/>
    <s v="Medium"/>
    <s v="Outstanding"/>
    <s v="Very High"/>
    <x v="1"/>
    <s v="No_stock"/>
    <x v="0"/>
  </r>
  <r>
    <x v="2"/>
    <x v="1"/>
    <x v="1"/>
    <n v="663"/>
    <x v="1"/>
    <n v="11"/>
    <n v="3"/>
    <x v="1"/>
    <n v="306"/>
    <n v="2"/>
    <x v="1"/>
    <n v="3"/>
    <n v="3"/>
    <x v="7"/>
    <n v="4"/>
    <s v="Divorced"/>
    <n v="12185"/>
    <n v="1"/>
    <x v="0"/>
    <n v="14"/>
    <n v="3"/>
    <n v="3"/>
    <n v="3"/>
    <n v="10"/>
    <n v="1"/>
    <n v="3"/>
    <n v="10"/>
    <n v="8"/>
    <n v="0"/>
    <n v="7"/>
    <s v="Bachelor"/>
    <s v="Medium"/>
    <s v="High"/>
    <x v="2"/>
    <s v="Very High"/>
    <s v="Excellent"/>
    <s v="High"/>
    <x v="1"/>
    <s v="High"/>
    <x v="1"/>
  </r>
  <r>
    <x v="8"/>
    <x v="1"/>
    <x v="0"/>
    <n v="119"/>
    <x v="0"/>
    <n v="3"/>
    <n v="3"/>
    <x v="0"/>
    <n v="307"/>
    <n v="1"/>
    <x v="1"/>
    <n v="3"/>
    <n v="3"/>
    <x v="0"/>
    <n v="3"/>
    <s v="Divorced"/>
    <n v="10609"/>
    <n v="0"/>
    <x v="1"/>
    <n v="12"/>
    <n v="3"/>
    <n v="3"/>
    <n v="2"/>
    <n v="17"/>
    <n v="6"/>
    <n v="2"/>
    <n v="16"/>
    <n v="10"/>
    <n v="5"/>
    <n v="13"/>
    <s v="Bachelor"/>
    <s v="Low"/>
    <s v="High"/>
    <x v="2"/>
    <s v="High"/>
    <s v="Excellent"/>
    <s v="High"/>
    <x v="2"/>
    <s v="Medium"/>
    <x v="0"/>
  </r>
  <r>
    <x v="12"/>
    <x v="1"/>
    <x v="2"/>
    <n v="979"/>
    <x v="1"/>
    <n v="1"/>
    <n v="4"/>
    <x v="2"/>
    <n v="308"/>
    <n v="3"/>
    <x v="1"/>
    <n v="1"/>
    <n v="2"/>
    <x v="3"/>
    <n v="3"/>
    <s v="Married"/>
    <n v="4345"/>
    <n v="0"/>
    <x v="1"/>
    <n v="12"/>
    <n v="3"/>
    <n v="4"/>
    <n v="1"/>
    <n v="6"/>
    <n v="2"/>
    <n v="3"/>
    <n v="5"/>
    <n v="4"/>
    <n v="1"/>
    <n v="4"/>
    <s v="Master"/>
    <s v="High"/>
    <s v="Low"/>
    <x v="0"/>
    <s v="High"/>
    <s v="Excellent"/>
    <s v="Very High"/>
    <x v="1"/>
    <s v="Low"/>
    <x v="0"/>
  </r>
  <r>
    <x v="6"/>
    <x v="1"/>
    <x v="0"/>
    <n v="142"/>
    <x v="1"/>
    <n v="3"/>
    <n v="3"/>
    <x v="0"/>
    <n v="309"/>
    <n v="3"/>
    <x v="1"/>
    <n v="2"/>
    <n v="1"/>
    <x v="1"/>
    <n v="4"/>
    <s v="Married"/>
    <n v="2177"/>
    <n v="3"/>
    <x v="1"/>
    <n v="17"/>
    <n v="3"/>
    <n v="1"/>
    <n v="1"/>
    <n v="7"/>
    <n v="6"/>
    <n v="3"/>
    <n v="1"/>
    <n v="0"/>
    <n v="0"/>
    <n v="0"/>
    <s v="Bachelor"/>
    <s v="High"/>
    <s v="Medium"/>
    <x v="1"/>
    <s v="Very High"/>
    <s v="Excellent"/>
    <s v="Low"/>
    <x v="1"/>
    <s v="Low"/>
    <x v="0"/>
  </r>
  <r>
    <x v="2"/>
    <x v="1"/>
    <x v="1"/>
    <n v="319"/>
    <x v="0"/>
    <n v="4"/>
    <n v="4"/>
    <x v="3"/>
    <n v="311"/>
    <n v="1"/>
    <x v="1"/>
    <n v="3"/>
    <n v="1"/>
    <x v="6"/>
    <n v="4"/>
    <s v="Divorced"/>
    <n v="2793"/>
    <n v="4"/>
    <x v="1"/>
    <n v="17"/>
    <n v="3"/>
    <n v="3"/>
    <n v="1"/>
    <n v="13"/>
    <n v="2"/>
    <n v="3"/>
    <n v="9"/>
    <n v="8"/>
    <n v="5"/>
    <n v="8"/>
    <s v="Master"/>
    <s v="Low"/>
    <s v="High"/>
    <x v="1"/>
    <s v="Very High"/>
    <s v="Excellent"/>
    <s v="High"/>
    <x v="1"/>
    <s v="Low"/>
    <x v="0"/>
  </r>
  <r>
    <x v="11"/>
    <x v="1"/>
    <x v="1"/>
    <n v="1413"/>
    <x v="0"/>
    <n v="1"/>
    <n v="1"/>
    <x v="2"/>
    <n v="312"/>
    <n v="2"/>
    <x v="0"/>
    <n v="3"/>
    <n v="3"/>
    <x v="0"/>
    <n v="4"/>
    <s v="Married"/>
    <n v="7918"/>
    <n v="1"/>
    <x v="1"/>
    <n v="14"/>
    <n v="3"/>
    <n v="4"/>
    <n v="1"/>
    <n v="11"/>
    <n v="5"/>
    <n v="3"/>
    <n v="11"/>
    <n v="10"/>
    <n v="4"/>
    <n v="1"/>
    <s v="Before College"/>
    <s v="Medium"/>
    <s v="High"/>
    <x v="2"/>
    <s v="Very High"/>
    <s v="Excellent"/>
    <s v="Very High"/>
    <x v="1"/>
    <s v="Low"/>
    <x v="0"/>
  </r>
  <r>
    <x v="10"/>
    <x v="1"/>
    <x v="1"/>
    <n v="944"/>
    <x v="0"/>
    <n v="1"/>
    <n v="3"/>
    <x v="3"/>
    <n v="314"/>
    <n v="3"/>
    <x v="0"/>
    <n v="3"/>
    <n v="3"/>
    <x v="0"/>
    <n v="3"/>
    <s v="Single"/>
    <n v="8789"/>
    <n v="1"/>
    <x v="1"/>
    <n v="14"/>
    <n v="3"/>
    <n v="1"/>
    <n v="0"/>
    <n v="10"/>
    <n v="3"/>
    <n v="4"/>
    <n v="10"/>
    <n v="7"/>
    <n v="0"/>
    <n v="8"/>
    <s v="Bachelor"/>
    <s v="High"/>
    <s v="High"/>
    <x v="2"/>
    <s v="High"/>
    <s v="Excellent"/>
    <s v="Low"/>
    <x v="3"/>
    <s v="No_stock"/>
    <x v="0"/>
  </r>
  <r>
    <x v="11"/>
    <x v="0"/>
    <x v="0"/>
    <n v="896"/>
    <x v="1"/>
    <n v="18"/>
    <n v="1"/>
    <x v="2"/>
    <n v="315"/>
    <n v="3"/>
    <x v="1"/>
    <n v="2"/>
    <n v="1"/>
    <x v="1"/>
    <n v="4"/>
    <s v="Single"/>
    <n v="2389"/>
    <n v="1"/>
    <x v="0"/>
    <n v="13"/>
    <n v="3"/>
    <n v="3"/>
    <n v="0"/>
    <n v="4"/>
    <n v="3"/>
    <n v="2"/>
    <n v="4"/>
    <n v="3"/>
    <n v="0"/>
    <n v="1"/>
    <s v="Before College"/>
    <s v="High"/>
    <s v="Medium"/>
    <x v="1"/>
    <s v="Very High"/>
    <s v="Excellent"/>
    <s v="High"/>
    <x v="2"/>
    <s v="No_stock"/>
    <x v="2"/>
  </r>
  <r>
    <x v="39"/>
    <x v="1"/>
    <x v="0"/>
    <n v="1323"/>
    <x v="1"/>
    <n v="2"/>
    <n v="3"/>
    <x v="0"/>
    <n v="316"/>
    <n v="3"/>
    <x v="0"/>
    <n v="2"/>
    <n v="1"/>
    <x v="2"/>
    <n v="4"/>
    <s v="Single"/>
    <n v="3212"/>
    <n v="7"/>
    <x v="1"/>
    <n v="15"/>
    <n v="3"/>
    <n v="2"/>
    <n v="0"/>
    <n v="6"/>
    <n v="3"/>
    <n v="2"/>
    <n v="2"/>
    <n v="2"/>
    <n v="2"/>
    <n v="2"/>
    <s v="Bachelor"/>
    <s v="High"/>
    <s v="Medium"/>
    <x v="1"/>
    <s v="Very High"/>
    <s v="Excellent"/>
    <s v="Medium"/>
    <x v="2"/>
    <s v="No_stock"/>
    <x v="0"/>
  </r>
  <r>
    <x v="19"/>
    <x v="1"/>
    <x v="0"/>
    <n v="532"/>
    <x v="1"/>
    <n v="4"/>
    <n v="2"/>
    <x v="4"/>
    <n v="319"/>
    <n v="3"/>
    <x v="1"/>
    <n v="3"/>
    <n v="5"/>
    <x v="5"/>
    <n v="4"/>
    <s v="Married"/>
    <n v="19232"/>
    <n v="1"/>
    <x v="1"/>
    <n v="11"/>
    <n v="3"/>
    <n v="4"/>
    <n v="0"/>
    <n v="22"/>
    <n v="3"/>
    <n v="3"/>
    <n v="22"/>
    <n v="17"/>
    <n v="11"/>
    <n v="15"/>
    <s v="College"/>
    <s v="High"/>
    <s v="High"/>
    <x v="4"/>
    <s v="Very High"/>
    <s v="Excellent"/>
    <s v="Very High"/>
    <x v="1"/>
    <s v="No_stock"/>
    <x v="0"/>
  </r>
  <r>
    <x v="6"/>
    <x v="1"/>
    <x v="0"/>
    <n v="818"/>
    <x v="2"/>
    <n v="6"/>
    <n v="2"/>
    <x v="2"/>
    <n v="321"/>
    <n v="2"/>
    <x v="1"/>
    <n v="3"/>
    <n v="1"/>
    <x v="8"/>
    <n v="3"/>
    <s v="Married"/>
    <n v="2267"/>
    <n v="8"/>
    <x v="1"/>
    <n v="17"/>
    <n v="3"/>
    <n v="4"/>
    <n v="0"/>
    <n v="7"/>
    <n v="2"/>
    <n v="2"/>
    <n v="2"/>
    <n v="2"/>
    <n v="2"/>
    <n v="2"/>
    <s v="College"/>
    <s v="Medium"/>
    <s v="High"/>
    <x v="1"/>
    <s v="High"/>
    <s v="Excellent"/>
    <s v="Very High"/>
    <x v="2"/>
    <s v="No_stock"/>
    <x v="1"/>
  </r>
  <r>
    <x v="24"/>
    <x v="1"/>
    <x v="0"/>
    <n v="854"/>
    <x v="0"/>
    <n v="1"/>
    <n v="4"/>
    <x v="2"/>
    <n v="323"/>
    <n v="4"/>
    <x v="0"/>
    <n v="3"/>
    <n v="5"/>
    <x v="5"/>
    <n v="4"/>
    <s v="Divorced"/>
    <n v="19517"/>
    <n v="3"/>
    <x v="1"/>
    <n v="11"/>
    <n v="3"/>
    <n v="3"/>
    <n v="1"/>
    <n v="32"/>
    <n v="3"/>
    <n v="2"/>
    <n v="7"/>
    <n v="0"/>
    <n v="0"/>
    <n v="6"/>
    <s v="Master"/>
    <s v="Very High"/>
    <s v="High"/>
    <x v="4"/>
    <s v="Very High"/>
    <s v="Excellent"/>
    <s v="High"/>
    <x v="2"/>
    <s v="Low"/>
    <x v="0"/>
  </r>
  <r>
    <x v="3"/>
    <x v="0"/>
    <x v="0"/>
    <n v="813"/>
    <x v="1"/>
    <n v="14"/>
    <n v="3"/>
    <x v="2"/>
    <n v="325"/>
    <n v="3"/>
    <x v="1"/>
    <n v="3"/>
    <n v="1"/>
    <x v="2"/>
    <n v="4"/>
    <s v="Married"/>
    <n v="2436"/>
    <n v="5"/>
    <x v="0"/>
    <n v="13"/>
    <n v="3"/>
    <n v="3"/>
    <n v="1"/>
    <n v="8"/>
    <n v="2"/>
    <n v="1"/>
    <n v="5"/>
    <n v="4"/>
    <n v="0"/>
    <n v="4"/>
    <s v="Bachelor"/>
    <s v="High"/>
    <s v="High"/>
    <x v="1"/>
    <s v="Very High"/>
    <s v="Excellent"/>
    <s v="High"/>
    <x v="0"/>
    <s v="Low"/>
    <x v="1"/>
  </r>
  <r>
    <x v="23"/>
    <x v="1"/>
    <x v="0"/>
    <n v="1034"/>
    <x v="0"/>
    <n v="16"/>
    <n v="3"/>
    <x v="3"/>
    <n v="327"/>
    <n v="4"/>
    <x v="0"/>
    <n v="3"/>
    <n v="4"/>
    <x v="5"/>
    <n v="4"/>
    <s v="Married"/>
    <n v="16064"/>
    <n v="5"/>
    <x v="0"/>
    <n v="22"/>
    <n v="4"/>
    <n v="3"/>
    <n v="1"/>
    <n v="22"/>
    <n v="3"/>
    <n v="3"/>
    <n v="17"/>
    <n v="13"/>
    <n v="1"/>
    <n v="9"/>
    <s v="Bachelor"/>
    <s v="Very High"/>
    <s v="High"/>
    <x v="3"/>
    <s v="Very High"/>
    <s v="Outstanding"/>
    <s v="High"/>
    <x v="1"/>
    <s v="Low"/>
    <x v="2"/>
  </r>
  <r>
    <x v="3"/>
    <x v="0"/>
    <x v="0"/>
    <n v="465"/>
    <x v="1"/>
    <n v="2"/>
    <n v="2"/>
    <x v="0"/>
    <n v="328"/>
    <n v="1"/>
    <x v="0"/>
    <n v="3"/>
    <n v="1"/>
    <x v="2"/>
    <n v="1"/>
    <s v="Married"/>
    <n v="2707"/>
    <n v="7"/>
    <x v="1"/>
    <n v="20"/>
    <n v="4"/>
    <n v="1"/>
    <n v="0"/>
    <n v="13"/>
    <n v="3"/>
    <n v="4"/>
    <n v="9"/>
    <n v="7"/>
    <n v="1"/>
    <n v="7"/>
    <s v="College"/>
    <s v="Low"/>
    <s v="High"/>
    <x v="1"/>
    <s v="Low"/>
    <s v="Outstanding"/>
    <s v="Low"/>
    <x v="3"/>
    <s v="No_stock"/>
    <x v="0"/>
  </r>
  <r>
    <x v="39"/>
    <x v="1"/>
    <x v="2"/>
    <n v="771"/>
    <x v="0"/>
    <n v="2"/>
    <n v="4"/>
    <x v="0"/>
    <n v="329"/>
    <n v="1"/>
    <x v="1"/>
    <n v="2"/>
    <n v="5"/>
    <x v="5"/>
    <n v="3"/>
    <s v="Single"/>
    <n v="19068"/>
    <n v="1"/>
    <x v="0"/>
    <n v="18"/>
    <n v="3"/>
    <n v="4"/>
    <n v="0"/>
    <n v="33"/>
    <n v="2"/>
    <n v="4"/>
    <n v="33"/>
    <n v="7"/>
    <n v="15"/>
    <n v="12"/>
    <s v="Master"/>
    <s v="Low"/>
    <s v="Medium"/>
    <x v="4"/>
    <s v="High"/>
    <s v="Excellent"/>
    <s v="Very High"/>
    <x v="3"/>
    <s v="No_stock"/>
    <x v="0"/>
  </r>
  <r>
    <x v="5"/>
    <x v="1"/>
    <x v="0"/>
    <n v="1401"/>
    <x v="0"/>
    <n v="4"/>
    <n v="2"/>
    <x v="0"/>
    <n v="330"/>
    <n v="3"/>
    <x v="0"/>
    <n v="3"/>
    <n v="1"/>
    <x v="6"/>
    <n v="2"/>
    <s v="Married"/>
    <n v="3931"/>
    <n v="2"/>
    <x v="1"/>
    <n v="11"/>
    <n v="3"/>
    <n v="1"/>
    <n v="1"/>
    <n v="6"/>
    <n v="5"/>
    <n v="3"/>
    <n v="4"/>
    <n v="3"/>
    <n v="1"/>
    <n v="2"/>
    <s v="College"/>
    <s v="High"/>
    <s v="High"/>
    <x v="1"/>
    <s v="Medium"/>
    <s v="Excellent"/>
    <s v="Low"/>
    <x v="1"/>
    <s v="Low"/>
    <x v="0"/>
  </r>
  <r>
    <x v="5"/>
    <x v="0"/>
    <x v="0"/>
    <n v="515"/>
    <x v="1"/>
    <n v="1"/>
    <n v="3"/>
    <x v="0"/>
    <n v="331"/>
    <n v="4"/>
    <x v="1"/>
    <n v="2"/>
    <n v="1"/>
    <x v="2"/>
    <n v="3"/>
    <s v="Single"/>
    <n v="3730"/>
    <n v="0"/>
    <x v="0"/>
    <n v="14"/>
    <n v="3"/>
    <n v="4"/>
    <n v="0"/>
    <n v="4"/>
    <n v="2"/>
    <n v="1"/>
    <n v="3"/>
    <n v="2"/>
    <n v="1"/>
    <n v="2"/>
    <s v="Bachelor"/>
    <s v="Very High"/>
    <s v="Medium"/>
    <x v="1"/>
    <s v="High"/>
    <s v="Excellent"/>
    <s v="Very High"/>
    <x v="0"/>
    <s v="No_stock"/>
    <x v="0"/>
  </r>
  <r>
    <x v="22"/>
    <x v="1"/>
    <x v="0"/>
    <n v="1431"/>
    <x v="1"/>
    <n v="1"/>
    <n v="4"/>
    <x v="2"/>
    <n v="332"/>
    <n v="3"/>
    <x v="0"/>
    <n v="3"/>
    <n v="1"/>
    <x v="2"/>
    <n v="3"/>
    <s v="Divorced"/>
    <n v="2232"/>
    <n v="7"/>
    <x v="1"/>
    <n v="14"/>
    <n v="3"/>
    <n v="3"/>
    <n v="3"/>
    <n v="7"/>
    <n v="1"/>
    <n v="3"/>
    <n v="3"/>
    <n v="2"/>
    <n v="1"/>
    <n v="2"/>
    <s v="Master"/>
    <s v="High"/>
    <s v="High"/>
    <x v="1"/>
    <s v="High"/>
    <s v="Excellent"/>
    <s v="High"/>
    <x v="1"/>
    <s v="High"/>
    <x v="0"/>
  </r>
  <r>
    <x v="5"/>
    <x v="1"/>
    <x v="2"/>
    <n v="976"/>
    <x v="0"/>
    <n v="26"/>
    <n v="4"/>
    <x v="3"/>
    <n v="333"/>
    <n v="3"/>
    <x v="1"/>
    <n v="3"/>
    <n v="2"/>
    <x v="0"/>
    <n v="4"/>
    <s v="Married"/>
    <n v="4465"/>
    <n v="0"/>
    <x v="1"/>
    <n v="18"/>
    <n v="3"/>
    <n v="1"/>
    <n v="0"/>
    <n v="4"/>
    <n v="2"/>
    <n v="3"/>
    <n v="3"/>
    <n v="2"/>
    <n v="2"/>
    <n v="2"/>
    <s v="Master"/>
    <s v="High"/>
    <s v="High"/>
    <x v="0"/>
    <s v="Very High"/>
    <s v="Excellent"/>
    <s v="Low"/>
    <x v="1"/>
    <s v="No_stock"/>
    <x v="2"/>
  </r>
  <r>
    <x v="0"/>
    <x v="1"/>
    <x v="0"/>
    <n v="1411"/>
    <x v="1"/>
    <n v="19"/>
    <n v="2"/>
    <x v="0"/>
    <n v="334"/>
    <n v="3"/>
    <x v="1"/>
    <n v="3"/>
    <n v="2"/>
    <x v="1"/>
    <n v="1"/>
    <s v="Divorced"/>
    <n v="3072"/>
    <n v="2"/>
    <x v="1"/>
    <n v="16"/>
    <n v="3"/>
    <n v="1"/>
    <n v="2"/>
    <n v="17"/>
    <n v="2"/>
    <n v="2"/>
    <n v="1"/>
    <n v="0"/>
    <n v="0"/>
    <n v="0"/>
    <s v="College"/>
    <s v="High"/>
    <s v="High"/>
    <x v="0"/>
    <s v="Low"/>
    <s v="Excellent"/>
    <s v="Low"/>
    <x v="2"/>
    <s v="Medium"/>
    <x v="2"/>
  </r>
  <r>
    <x v="32"/>
    <x v="1"/>
    <x v="0"/>
    <n v="1300"/>
    <x v="1"/>
    <n v="24"/>
    <n v="2"/>
    <x v="4"/>
    <n v="335"/>
    <n v="1"/>
    <x v="1"/>
    <n v="3"/>
    <n v="2"/>
    <x v="1"/>
    <n v="4"/>
    <s v="Divorced"/>
    <n v="3319"/>
    <n v="1"/>
    <x v="1"/>
    <n v="17"/>
    <n v="3"/>
    <n v="1"/>
    <n v="2"/>
    <n v="9"/>
    <n v="3"/>
    <n v="3"/>
    <n v="9"/>
    <n v="8"/>
    <n v="4"/>
    <n v="7"/>
    <s v="College"/>
    <s v="Low"/>
    <s v="High"/>
    <x v="0"/>
    <s v="Very High"/>
    <s v="Excellent"/>
    <s v="Low"/>
    <x v="1"/>
    <s v="Medium"/>
    <x v="2"/>
  </r>
  <r>
    <x v="28"/>
    <x v="1"/>
    <x v="0"/>
    <n v="252"/>
    <x v="1"/>
    <n v="1"/>
    <n v="3"/>
    <x v="1"/>
    <n v="336"/>
    <n v="3"/>
    <x v="1"/>
    <n v="4"/>
    <n v="5"/>
    <x v="5"/>
    <n v="4"/>
    <s v="Married"/>
    <n v="19202"/>
    <n v="0"/>
    <x v="1"/>
    <n v="11"/>
    <n v="3"/>
    <n v="3"/>
    <n v="1"/>
    <n v="25"/>
    <n v="2"/>
    <n v="3"/>
    <n v="24"/>
    <n v="0"/>
    <n v="1"/>
    <n v="7"/>
    <s v="Bachelor"/>
    <s v="High"/>
    <s v="Very High"/>
    <x v="4"/>
    <s v="Very High"/>
    <s v="Excellent"/>
    <s v="High"/>
    <x v="1"/>
    <s v="Low"/>
    <x v="0"/>
  </r>
  <r>
    <x v="12"/>
    <x v="1"/>
    <x v="1"/>
    <n v="1327"/>
    <x v="1"/>
    <n v="3"/>
    <n v="4"/>
    <x v="2"/>
    <n v="337"/>
    <n v="2"/>
    <x v="1"/>
    <n v="3"/>
    <n v="3"/>
    <x v="7"/>
    <n v="3"/>
    <s v="Divorced"/>
    <n v="13675"/>
    <n v="9"/>
    <x v="1"/>
    <n v="12"/>
    <n v="3"/>
    <n v="1"/>
    <n v="1"/>
    <n v="9"/>
    <n v="3"/>
    <n v="3"/>
    <n v="2"/>
    <n v="2"/>
    <n v="2"/>
    <n v="2"/>
    <s v="Master"/>
    <s v="Medium"/>
    <s v="High"/>
    <x v="2"/>
    <s v="High"/>
    <s v="Excellent"/>
    <s v="Low"/>
    <x v="1"/>
    <s v="Low"/>
    <x v="0"/>
  </r>
  <r>
    <x v="3"/>
    <x v="1"/>
    <x v="0"/>
    <n v="832"/>
    <x v="1"/>
    <n v="5"/>
    <n v="4"/>
    <x v="0"/>
    <n v="338"/>
    <n v="3"/>
    <x v="0"/>
    <n v="2"/>
    <n v="1"/>
    <x v="1"/>
    <n v="4"/>
    <s v="Married"/>
    <n v="2911"/>
    <n v="1"/>
    <x v="1"/>
    <n v="13"/>
    <n v="3"/>
    <n v="3"/>
    <n v="1"/>
    <n v="2"/>
    <n v="2"/>
    <n v="2"/>
    <n v="2"/>
    <n v="2"/>
    <n v="0"/>
    <n v="2"/>
    <s v="Master"/>
    <s v="High"/>
    <s v="Medium"/>
    <x v="1"/>
    <s v="Very High"/>
    <s v="Excellent"/>
    <s v="High"/>
    <x v="2"/>
    <s v="Low"/>
    <x v="0"/>
  </r>
  <r>
    <x v="13"/>
    <x v="1"/>
    <x v="0"/>
    <n v="470"/>
    <x v="1"/>
    <n v="2"/>
    <n v="4"/>
    <x v="0"/>
    <n v="339"/>
    <n v="4"/>
    <x v="1"/>
    <n v="2"/>
    <n v="2"/>
    <x v="3"/>
    <n v="1"/>
    <s v="Married"/>
    <n v="5957"/>
    <n v="6"/>
    <x v="1"/>
    <n v="13"/>
    <n v="3"/>
    <n v="2"/>
    <n v="1"/>
    <n v="13"/>
    <n v="3"/>
    <n v="3"/>
    <n v="11"/>
    <n v="9"/>
    <n v="5"/>
    <n v="9"/>
    <s v="Master"/>
    <s v="Very High"/>
    <s v="Medium"/>
    <x v="0"/>
    <s v="Low"/>
    <s v="Excellent"/>
    <s v="Medium"/>
    <x v="1"/>
    <s v="Low"/>
    <x v="0"/>
  </r>
  <r>
    <x v="2"/>
    <x v="1"/>
    <x v="0"/>
    <n v="1017"/>
    <x v="1"/>
    <n v="1"/>
    <n v="2"/>
    <x v="2"/>
    <n v="340"/>
    <n v="3"/>
    <x v="0"/>
    <n v="2"/>
    <n v="1"/>
    <x v="1"/>
    <n v="1"/>
    <s v="Married"/>
    <n v="3920"/>
    <n v="2"/>
    <x v="1"/>
    <n v="14"/>
    <n v="3"/>
    <n v="1"/>
    <n v="1"/>
    <n v="17"/>
    <n v="2"/>
    <n v="2"/>
    <n v="3"/>
    <n v="1"/>
    <n v="0"/>
    <n v="2"/>
    <s v="College"/>
    <s v="High"/>
    <s v="Medium"/>
    <x v="1"/>
    <s v="Low"/>
    <s v="Excellent"/>
    <s v="Low"/>
    <x v="2"/>
    <s v="Low"/>
    <x v="0"/>
  </r>
  <r>
    <x v="28"/>
    <x v="1"/>
    <x v="1"/>
    <n v="1199"/>
    <x v="1"/>
    <n v="7"/>
    <n v="4"/>
    <x v="0"/>
    <n v="341"/>
    <n v="1"/>
    <x v="1"/>
    <n v="4"/>
    <n v="2"/>
    <x v="3"/>
    <n v="3"/>
    <s v="Married"/>
    <n v="6434"/>
    <n v="4"/>
    <x v="1"/>
    <n v="17"/>
    <n v="3"/>
    <n v="4"/>
    <n v="1"/>
    <n v="9"/>
    <n v="1"/>
    <n v="3"/>
    <n v="3"/>
    <n v="2"/>
    <n v="0"/>
    <n v="2"/>
    <s v="Master"/>
    <s v="Low"/>
    <s v="Very High"/>
    <x v="0"/>
    <s v="High"/>
    <s v="Excellent"/>
    <s v="Very High"/>
    <x v="1"/>
    <s v="Low"/>
    <x v="1"/>
  </r>
  <r>
    <x v="2"/>
    <x v="0"/>
    <x v="1"/>
    <n v="504"/>
    <x v="1"/>
    <n v="10"/>
    <n v="3"/>
    <x v="2"/>
    <n v="342"/>
    <n v="1"/>
    <x v="1"/>
    <n v="3"/>
    <n v="3"/>
    <x v="3"/>
    <n v="3"/>
    <s v="Divorced"/>
    <n v="10048"/>
    <n v="6"/>
    <x v="1"/>
    <n v="11"/>
    <n v="3"/>
    <n v="2"/>
    <n v="2"/>
    <n v="17"/>
    <n v="5"/>
    <n v="3"/>
    <n v="1"/>
    <n v="0"/>
    <n v="0"/>
    <n v="0"/>
    <s v="Bachelor"/>
    <s v="Low"/>
    <s v="High"/>
    <x v="2"/>
    <s v="High"/>
    <s v="Excellent"/>
    <s v="Medium"/>
    <x v="1"/>
    <s v="Medium"/>
    <x v="1"/>
  </r>
  <r>
    <x v="22"/>
    <x v="1"/>
    <x v="1"/>
    <n v="505"/>
    <x v="1"/>
    <n v="2"/>
    <n v="4"/>
    <x v="4"/>
    <n v="343"/>
    <n v="3"/>
    <x v="0"/>
    <n v="3"/>
    <n v="3"/>
    <x v="4"/>
    <n v="3"/>
    <s v="Single"/>
    <n v="10938"/>
    <n v="0"/>
    <x v="1"/>
    <n v="25"/>
    <n v="4"/>
    <n v="4"/>
    <n v="0"/>
    <n v="20"/>
    <n v="1"/>
    <n v="3"/>
    <n v="19"/>
    <n v="6"/>
    <n v="11"/>
    <n v="8"/>
    <s v="Master"/>
    <s v="High"/>
    <s v="High"/>
    <x v="2"/>
    <s v="High"/>
    <s v="Outstanding"/>
    <s v="Very High"/>
    <x v="1"/>
    <s v="No_stock"/>
    <x v="0"/>
  </r>
  <r>
    <x v="11"/>
    <x v="1"/>
    <x v="0"/>
    <n v="665"/>
    <x v="1"/>
    <n v="15"/>
    <n v="3"/>
    <x v="0"/>
    <n v="346"/>
    <n v="3"/>
    <x v="1"/>
    <n v="3"/>
    <n v="1"/>
    <x v="1"/>
    <n v="4"/>
    <s v="Single"/>
    <n v="2340"/>
    <n v="1"/>
    <x v="1"/>
    <n v="19"/>
    <n v="3"/>
    <n v="1"/>
    <n v="0"/>
    <n v="6"/>
    <n v="1"/>
    <n v="3"/>
    <n v="6"/>
    <n v="5"/>
    <n v="1"/>
    <n v="5"/>
    <s v="Bachelor"/>
    <s v="High"/>
    <s v="High"/>
    <x v="1"/>
    <s v="Very High"/>
    <s v="Excellent"/>
    <s v="Low"/>
    <x v="1"/>
    <s v="No_stock"/>
    <x v="1"/>
  </r>
  <r>
    <x v="19"/>
    <x v="1"/>
    <x v="0"/>
    <n v="916"/>
    <x v="1"/>
    <n v="17"/>
    <n v="2"/>
    <x v="0"/>
    <n v="347"/>
    <n v="4"/>
    <x v="0"/>
    <n v="4"/>
    <n v="2"/>
    <x v="1"/>
    <n v="1"/>
    <s v="Single"/>
    <n v="6545"/>
    <n v="3"/>
    <x v="0"/>
    <n v="13"/>
    <n v="3"/>
    <n v="3"/>
    <n v="0"/>
    <n v="10"/>
    <n v="1"/>
    <n v="3"/>
    <n v="3"/>
    <n v="2"/>
    <n v="0"/>
    <n v="2"/>
    <s v="College"/>
    <s v="Very High"/>
    <s v="Very High"/>
    <x v="0"/>
    <s v="Low"/>
    <s v="Excellent"/>
    <s v="High"/>
    <x v="1"/>
    <s v="No_stock"/>
    <x v="2"/>
  </r>
  <r>
    <x v="11"/>
    <x v="1"/>
    <x v="0"/>
    <n v="1247"/>
    <x v="0"/>
    <n v="20"/>
    <n v="2"/>
    <x v="3"/>
    <n v="349"/>
    <n v="4"/>
    <x v="1"/>
    <n v="3"/>
    <n v="2"/>
    <x v="0"/>
    <n v="4"/>
    <s v="Divorced"/>
    <n v="6931"/>
    <n v="2"/>
    <x v="1"/>
    <n v="14"/>
    <n v="3"/>
    <n v="4"/>
    <n v="1"/>
    <n v="10"/>
    <n v="2"/>
    <n v="3"/>
    <n v="3"/>
    <n v="2"/>
    <n v="0"/>
    <n v="2"/>
    <s v="College"/>
    <s v="Very High"/>
    <s v="High"/>
    <x v="0"/>
    <s v="Very High"/>
    <s v="Excellent"/>
    <s v="Very High"/>
    <x v="1"/>
    <s v="Low"/>
    <x v="2"/>
  </r>
  <r>
    <x v="36"/>
    <x v="1"/>
    <x v="0"/>
    <n v="685"/>
    <x v="1"/>
    <n v="1"/>
    <n v="3"/>
    <x v="0"/>
    <n v="350"/>
    <n v="1"/>
    <x v="0"/>
    <n v="3"/>
    <n v="2"/>
    <x v="3"/>
    <n v="3"/>
    <s v="Married"/>
    <n v="4898"/>
    <n v="0"/>
    <x v="1"/>
    <n v="12"/>
    <n v="3"/>
    <n v="4"/>
    <n v="2"/>
    <n v="5"/>
    <n v="3"/>
    <n v="3"/>
    <n v="4"/>
    <n v="2"/>
    <n v="1"/>
    <n v="2"/>
    <s v="Bachelor"/>
    <s v="Low"/>
    <s v="High"/>
    <x v="0"/>
    <s v="High"/>
    <s v="Excellent"/>
    <s v="Very High"/>
    <x v="1"/>
    <s v="Medium"/>
    <x v="0"/>
  </r>
  <r>
    <x v="19"/>
    <x v="1"/>
    <x v="0"/>
    <n v="269"/>
    <x v="1"/>
    <n v="2"/>
    <n v="3"/>
    <x v="2"/>
    <n v="351"/>
    <n v="4"/>
    <x v="0"/>
    <n v="2"/>
    <n v="1"/>
    <x v="2"/>
    <n v="1"/>
    <s v="Divorced"/>
    <n v="2593"/>
    <n v="0"/>
    <x v="0"/>
    <n v="11"/>
    <n v="3"/>
    <n v="3"/>
    <n v="1"/>
    <n v="10"/>
    <n v="4"/>
    <n v="3"/>
    <n v="9"/>
    <n v="6"/>
    <n v="7"/>
    <n v="8"/>
    <s v="Bachelor"/>
    <s v="Very High"/>
    <s v="Medium"/>
    <x v="1"/>
    <s v="Low"/>
    <s v="Excellent"/>
    <s v="High"/>
    <x v="1"/>
    <s v="Low"/>
    <x v="0"/>
  </r>
  <r>
    <x v="32"/>
    <x v="1"/>
    <x v="0"/>
    <n v="1416"/>
    <x v="1"/>
    <n v="2"/>
    <n v="2"/>
    <x v="2"/>
    <n v="352"/>
    <n v="1"/>
    <x v="1"/>
    <n v="3"/>
    <n v="5"/>
    <x v="7"/>
    <n v="3"/>
    <s v="Divorced"/>
    <n v="19436"/>
    <n v="0"/>
    <x v="1"/>
    <n v="19"/>
    <n v="3"/>
    <n v="4"/>
    <n v="1"/>
    <n v="22"/>
    <n v="5"/>
    <n v="3"/>
    <n v="21"/>
    <n v="7"/>
    <n v="3"/>
    <n v="9"/>
    <s v="College"/>
    <s v="Low"/>
    <s v="High"/>
    <x v="4"/>
    <s v="High"/>
    <s v="Excellent"/>
    <s v="Very High"/>
    <x v="1"/>
    <s v="Low"/>
    <x v="0"/>
  </r>
  <r>
    <x v="31"/>
    <x v="1"/>
    <x v="0"/>
    <n v="833"/>
    <x v="1"/>
    <n v="1"/>
    <n v="3"/>
    <x v="0"/>
    <n v="353"/>
    <n v="3"/>
    <x v="1"/>
    <n v="3"/>
    <n v="1"/>
    <x v="1"/>
    <n v="4"/>
    <s v="Married"/>
    <n v="2723"/>
    <n v="1"/>
    <x v="1"/>
    <n v="11"/>
    <n v="3"/>
    <n v="2"/>
    <n v="0"/>
    <n v="1"/>
    <n v="0"/>
    <n v="2"/>
    <n v="1"/>
    <n v="0"/>
    <n v="0"/>
    <n v="0"/>
    <s v="Bachelor"/>
    <s v="High"/>
    <s v="High"/>
    <x v="1"/>
    <s v="Very High"/>
    <s v="Excellent"/>
    <s v="Medium"/>
    <x v="2"/>
    <s v="No_stock"/>
    <x v="0"/>
  </r>
  <r>
    <x v="12"/>
    <x v="0"/>
    <x v="1"/>
    <n v="307"/>
    <x v="1"/>
    <n v="29"/>
    <n v="2"/>
    <x v="2"/>
    <n v="355"/>
    <n v="3"/>
    <x v="1"/>
    <n v="2"/>
    <n v="1"/>
    <x v="2"/>
    <n v="2"/>
    <s v="Single"/>
    <n v="3479"/>
    <n v="0"/>
    <x v="1"/>
    <n v="11"/>
    <n v="3"/>
    <n v="2"/>
    <n v="0"/>
    <n v="6"/>
    <n v="2"/>
    <n v="4"/>
    <n v="5"/>
    <n v="4"/>
    <n v="1"/>
    <n v="4"/>
    <s v="College"/>
    <s v="High"/>
    <s v="Medium"/>
    <x v="1"/>
    <s v="Medium"/>
    <s v="Excellent"/>
    <s v="Medium"/>
    <x v="3"/>
    <s v="No_stock"/>
    <x v="2"/>
  </r>
  <r>
    <x v="5"/>
    <x v="1"/>
    <x v="1"/>
    <n v="1311"/>
    <x v="1"/>
    <n v="7"/>
    <n v="3"/>
    <x v="0"/>
    <n v="359"/>
    <n v="2"/>
    <x v="1"/>
    <n v="4"/>
    <n v="1"/>
    <x v="2"/>
    <n v="2"/>
    <s v="Married"/>
    <n v="2794"/>
    <n v="1"/>
    <x v="1"/>
    <n v="20"/>
    <n v="4"/>
    <n v="3"/>
    <n v="0"/>
    <n v="5"/>
    <n v="3"/>
    <n v="1"/>
    <n v="5"/>
    <n v="1"/>
    <n v="0"/>
    <n v="3"/>
    <s v="Bachelor"/>
    <s v="Medium"/>
    <s v="Very High"/>
    <x v="1"/>
    <s v="Medium"/>
    <s v="Outstanding"/>
    <s v="High"/>
    <x v="0"/>
    <s v="No_stock"/>
    <x v="1"/>
  </r>
  <r>
    <x v="8"/>
    <x v="1"/>
    <x v="2"/>
    <n v="1327"/>
    <x v="0"/>
    <n v="2"/>
    <n v="2"/>
    <x v="0"/>
    <n v="361"/>
    <n v="4"/>
    <x v="1"/>
    <n v="2"/>
    <n v="2"/>
    <x v="0"/>
    <n v="4"/>
    <s v="Married"/>
    <n v="5249"/>
    <n v="3"/>
    <x v="1"/>
    <n v="18"/>
    <n v="3"/>
    <n v="4"/>
    <n v="1"/>
    <n v="13"/>
    <n v="0"/>
    <n v="3"/>
    <n v="8"/>
    <n v="7"/>
    <n v="7"/>
    <n v="5"/>
    <s v="College"/>
    <s v="Very High"/>
    <s v="Medium"/>
    <x v="0"/>
    <s v="Very High"/>
    <s v="Excellent"/>
    <s v="Very High"/>
    <x v="1"/>
    <s v="Low"/>
    <x v="0"/>
  </r>
  <r>
    <x v="5"/>
    <x v="1"/>
    <x v="0"/>
    <n v="128"/>
    <x v="1"/>
    <n v="2"/>
    <n v="1"/>
    <x v="4"/>
    <n v="362"/>
    <n v="4"/>
    <x v="1"/>
    <n v="2"/>
    <n v="2"/>
    <x v="2"/>
    <n v="1"/>
    <s v="Single"/>
    <n v="2176"/>
    <n v="4"/>
    <x v="1"/>
    <n v="13"/>
    <n v="3"/>
    <n v="4"/>
    <n v="0"/>
    <n v="9"/>
    <n v="5"/>
    <n v="3"/>
    <n v="6"/>
    <n v="2"/>
    <n v="0"/>
    <n v="4"/>
    <s v="Before College"/>
    <s v="Very High"/>
    <s v="Medium"/>
    <x v="0"/>
    <s v="Low"/>
    <s v="Excellent"/>
    <s v="Very High"/>
    <x v="1"/>
    <s v="No_stock"/>
    <x v="0"/>
  </r>
  <r>
    <x v="21"/>
    <x v="1"/>
    <x v="0"/>
    <n v="488"/>
    <x v="0"/>
    <n v="2"/>
    <n v="3"/>
    <x v="4"/>
    <n v="363"/>
    <n v="3"/>
    <x v="0"/>
    <n v="1"/>
    <n v="4"/>
    <x v="5"/>
    <n v="2"/>
    <s v="Married"/>
    <n v="16872"/>
    <n v="3"/>
    <x v="0"/>
    <n v="12"/>
    <n v="3"/>
    <n v="2"/>
    <n v="1"/>
    <n v="28"/>
    <n v="2"/>
    <n v="2"/>
    <n v="7"/>
    <n v="7"/>
    <n v="7"/>
    <n v="7"/>
    <s v="Bachelor"/>
    <s v="High"/>
    <s v="Low"/>
    <x v="3"/>
    <s v="Medium"/>
    <s v="Excellent"/>
    <s v="Medium"/>
    <x v="2"/>
    <s v="Low"/>
    <x v="0"/>
  </r>
  <r>
    <x v="14"/>
    <x v="0"/>
    <x v="0"/>
    <n v="529"/>
    <x v="1"/>
    <n v="2"/>
    <n v="4"/>
    <x v="0"/>
    <n v="364"/>
    <n v="1"/>
    <x v="1"/>
    <n v="3"/>
    <n v="1"/>
    <x v="2"/>
    <n v="3"/>
    <s v="Single"/>
    <n v="3485"/>
    <n v="2"/>
    <x v="1"/>
    <n v="11"/>
    <n v="3"/>
    <n v="3"/>
    <n v="0"/>
    <n v="5"/>
    <n v="5"/>
    <n v="1"/>
    <n v="0"/>
    <n v="0"/>
    <n v="0"/>
    <n v="0"/>
    <s v="Master"/>
    <s v="Low"/>
    <s v="High"/>
    <x v="1"/>
    <s v="High"/>
    <s v="Excellent"/>
    <s v="High"/>
    <x v="0"/>
    <s v="No_stock"/>
    <x v="0"/>
  </r>
  <r>
    <x v="11"/>
    <x v="1"/>
    <x v="0"/>
    <n v="1210"/>
    <x v="0"/>
    <n v="2"/>
    <n v="3"/>
    <x v="2"/>
    <n v="366"/>
    <n v="1"/>
    <x v="1"/>
    <n v="2"/>
    <n v="2"/>
    <x v="0"/>
    <n v="2"/>
    <s v="Married"/>
    <n v="6644"/>
    <n v="2"/>
    <x v="1"/>
    <n v="19"/>
    <n v="3"/>
    <n v="2"/>
    <n v="2"/>
    <n v="10"/>
    <n v="2"/>
    <n v="3"/>
    <n v="0"/>
    <n v="0"/>
    <n v="0"/>
    <n v="0"/>
    <s v="Bachelor"/>
    <s v="Low"/>
    <s v="Medium"/>
    <x v="0"/>
    <s v="Medium"/>
    <s v="Excellent"/>
    <s v="Medium"/>
    <x v="1"/>
    <s v="Medium"/>
    <x v="0"/>
  </r>
  <r>
    <x v="12"/>
    <x v="1"/>
    <x v="0"/>
    <n v="1463"/>
    <x v="1"/>
    <n v="23"/>
    <n v="3"/>
    <x v="2"/>
    <n v="367"/>
    <n v="2"/>
    <x v="1"/>
    <n v="2"/>
    <n v="2"/>
    <x v="4"/>
    <n v="4"/>
    <s v="Married"/>
    <n v="5582"/>
    <n v="0"/>
    <x v="1"/>
    <n v="21"/>
    <n v="4"/>
    <n v="2"/>
    <n v="1"/>
    <n v="10"/>
    <n v="2"/>
    <n v="3"/>
    <n v="9"/>
    <n v="0"/>
    <n v="7"/>
    <n v="8"/>
    <s v="Bachelor"/>
    <s v="Medium"/>
    <s v="Medium"/>
    <x v="0"/>
    <s v="Very High"/>
    <s v="Outstanding"/>
    <s v="Medium"/>
    <x v="1"/>
    <s v="Low"/>
    <x v="2"/>
  </r>
  <r>
    <x v="36"/>
    <x v="1"/>
    <x v="2"/>
    <n v="675"/>
    <x v="1"/>
    <n v="5"/>
    <n v="2"/>
    <x v="0"/>
    <n v="369"/>
    <n v="2"/>
    <x v="1"/>
    <n v="4"/>
    <n v="2"/>
    <x v="4"/>
    <n v="1"/>
    <s v="Divorced"/>
    <n v="4000"/>
    <n v="1"/>
    <x v="1"/>
    <n v="12"/>
    <n v="3"/>
    <n v="4"/>
    <n v="2"/>
    <n v="6"/>
    <n v="2"/>
    <n v="3"/>
    <n v="6"/>
    <n v="3"/>
    <n v="1"/>
    <n v="5"/>
    <s v="College"/>
    <s v="Medium"/>
    <s v="Very High"/>
    <x v="0"/>
    <s v="Low"/>
    <s v="Excellent"/>
    <s v="Very High"/>
    <x v="1"/>
    <s v="Medium"/>
    <x v="0"/>
  </r>
  <r>
    <x v="28"/>
    <x v="1"/>
    <x v="0"/>
    <n v="1385"/>
    <x v="1"/>
    <n v="20"/>
    <n v="2"/>
    <x v="2"/>
    <n v="372"/>
    <n v="3"/>
    <x v="1"/>
    <n v="3"/>
    <n v="4"/>
    <x v="4"/>
    <n v="4"/>
    <s v="Married"/>
    <n v="13496"/>
    <n v="0"/>
    <x v="0"/>
    <n v="14"/>
    <n v="3"/>
    <n v="2"/>
    <n v="0"/>
    <n v="21"/>
    <n v="2"/>
    <n v="3"/>
    <n v="20"/>
    <n v="7"/>
    <n v="4"/>
    <n v="10"/>
    <s v="College"/>
    <s v="High"/>
    <s v="High"/>
    <x v="3"/>
    <s v="Very High"/>
    <s v="Excellent"/>
    <s v="Medium"/>
    <x v="1"/>
    <s v="No_stock"/>
    <x v="2"/>
  </r>
  <r>
    <x v="9"/>
    <x v="1"/>
    <x v="0"/>
    <n v="1403"/>
    <x v="1"/>
    <n v="6"/>
    <n v="3"/>
    <x v="0"/>
    <n v="373"/>
    <n v="4"/>
    <x v="1"/>
    <n v="3"/>
    <n v="1"/>
    <x v="2"/>
    <n v="4"/>
    <s v="Married"/>
    <n v="3210"/>
    <n v="0"/>
    <x v="1"/>
    <n v="11"/>
    <n v="3"/>
    <n v="3"/>
    <n v="1"/>
    <n v="16"/>
    <n v="4"/>
    <n v="3"/>
    <n v="15"/>
    <n v="13"/>
    <n v="10"/>
    <n v="11"/>
    <s v="Bachelor"/>
    <s v="Very High"/>
    <s v="High"/>
    <x v="1"/>
    <s v="Very High"/>
    <s v="Excellent"/>
    <s v="High"/>
    <x v="1"/>
    <s v="Low"/>
    <x v="1"/>
  </r>
  <r>
    <x v="27"/>
    <x v="1"/>
    <x v="0"/>
    <n v="452"/>
    <x v="1"/>
    <n v="1"/>
    <n v="3"/>
    <x v="2"/>
    <n v="374"/>
    <n v="4"/>
    <x v="1"/>
    <n v="3"/>
    <n v="5"/>
    <x v="5"/>
    <n v="1"/>
    <s v="Single"/>
    <n v="19045"/>
    <n v="0"/>
    <x v="0"/>
    <n v="14"/>
    <n v="3"/>
    <n v="3"/>
    <n v="0"/>
    <n v="37"/>
    <n v="2"/>
    <n v="3"/>
    <n v="36"/>
    <n v="10"/>
    <n v="4"/>
    <n v="13"/>
    <s v="Bachelor"/>
    <s v="Very High"/>
    <s v="High"/>
    <x v="4"/>
    <s v="Low"/>
    <s v="Excellent"/>
    <s v="High"/>
    <x v="1"/>
    <s v="No_stock"/>
    <x v="0"/>
  </r>
  <r>
    <x v="40"/>
    <x v="0"/>
    <x v="2"/>
    <n v="666"/>
    <x v="1"/>
    <n v="29"/>
    <n v="4"/>
    <x v="0"/>
    <n v="376"/>
    <n v="1"/>
    <x v="1"/>
    <n v="3"/>
    <n v="3"/>
    <x v="5"/>
    <n v="2"/>
    <s v="Married"/>
    <n v="11849"/>
    <n v="1"/>
    <x v="0"/>
    <n v="12"/>
    <n v="3"/>
    <n v="4"/>
    <n v="1"/>
    <n v="10"/>
    <n v="2"/>
    <n v="2"/>
    <n v="10"/>
    <n v="7"/>
    <n v="9"/>
    <n v="9"/>
    <s v="Master"/>
    <s v="Low"/>
    <s v="High"/>
    <x v="2"/>
    <s v="Medium"/>
    <s v="Excellent"/>
    <s v="Very High"/>
    <x v="2"/>
    <s v="Low"/>
    <x v="2"/>
  </r>
  <r>
    <x v="14"/>
    <x v="1"/>
    <x v="0"/>
    <n v="1158"/>
    <x v="1"/>
    <n v="9"/>
    <n v="3"/>
    <x v="2"/>
    <n v="377"/>
    <n v="4"/>
    <x v="1"/>
    <n v="3"/>
    <n v="1"/>
    <x v="1"/>
    <n v="4"/>
    <s v="Married"/>
    <n v="2070"/>
    <n v="1"/>
    <x v="1"/>
    <n v="23"/>
    <n v="4"/>
    <n v="4"/>
    <n v="1"/>
    <n v="5"/>
    <n v="3"/>
    <n v="2"/>
    <n v="5"/>
    <n v="2"/>
    <n v="0"/>
    <n v="4"/>
    <s v="Bachelor"/>
    <s v="Very High"/>
    <s v="High"/>
    <x v="1"/>
    <s v="Very High"/>
    <s v="Outstanding"/>
    <s v="Very High"/>
    <x v="2"/>
    <s v="Low"/>
    <x v="1"/>
  </r>
  <r>
    <x v="2"/>
    <x v="1"/>
    <x v="0"/>
    <n v="228"/>
    <x v="0"/>
    <n v="6"/>
    <n v="4"/>
    <x v="2"/>
    <n v="378"/>
    <n v="3"/>
    <x v="1"/>
    <n v="3"/>
    <n v="2"/>
    <x v="0"/>
    <n v="4"/>
    <s v="Married"/>
    <n v="6502"/>
    <n v="4"/>
    <x v="1"/>
    <n v="14"/>
    <n v="3"/>
    <n v="2"/>
    <n v="1"/>
    <n v="7"/>
    <n v="5"/>
    <n v="4"/>
    <n v="5"/>
    <n v="4"/>
    <n v="0"/>
    <n v="1"/>
    <s v="Master"/>
    <s v="High"/>
    <s v="High"/>
    <x v="0"/>
    <s v="Very High"/>
    <s v="Excellent"/>
    <s v="Medium"/>
    <x v="3"/>
    <s v="Low"/>
    <x v="1"/>
  </r>
  <r>
    <x v="18"/>
    <x v="1"/>
    <x v="0"/>
    <n v="996"/>
    <x v="1"/>
    <n v="3"/>
    <n v="2"/>
    <x v="2"/>
    <n v="379"/>
    <n v="4"/>
    <x v="1"/>
    <n v="2"/>
    <n v="1"/>
    <x v="1"/>
    <n v="3"/>
    <s v="Single"/>
    <n v="3230"/>
    <n v="1"/>
    <x v="1"/>
    <n v="17"/>
    <n v="3"/>
    <n v="1"/>
    <n v="0"/>
    <n v="3"/>
    <n v="4"/>
    <n v="4"/>
    <n v="3"/>
    <n v="2"/>
    <n v="1"/>
    <n v="0"/>
    <s v="College"/>
    <s v="Very High"/>
    <s v="Medium"/>
    <x v="1"/>
    <s v="High"/>
    <s v="Excellent"/>
    <s v="Low"/>
    <x v="3"/>
    <s v="No_stock"/>
    <x v="0"/>
  </r>
  <r>
    <x v="2"/>
    <x v="1"/>
    <x v="2"/>
    <n v="728"/>
    <x v="1"/>
    <n v="1"/>
    <n v="4"/>
    <x v="2"/>
    <n v="380"/>
    <n v="1"/>
    <x v="0"/>
    <n v="3"/>
    <n v="3"/>
    <x v="7"/>
    <n v="4"/>
    <s v="Divorced"/>
    <n v="13603"/>
    <n v="2"/>
    <x v="0"/>
    <n v="18"/>
    <n v="3"/>
    <n v="1"/>
    <n v="2"/>
    <n v="15"/>
    <n v="2"/>
    <n v="3"/>
    <n v="5"/>
    <n v="2"/>
    <n v="0"/>
    <n v="2"/>
    <s v="Master"/>
    <s v="Low"/>
    <s v="High"/>
    <x v="2"/>
    <s v="Very High"/>
    <s v="Excellent"/>
    <s v="Low"/>
    <x v="1"/>
    <s v="Medium"/>
    <x v="0"/>
  </r>
  <r>
    <x v="10"/>
    <x v="1"/>
    <x v="0"/>
    <n v="1315"/>
    <x v="1"/>
    <n v="22"/>
    <n v="3"/>
    <x v="0"/>
    <n v="381"/>
    <n v="2"/>
    <x v="0"/>
    <n v="4"/>
    <n v="3"/>
    <x v="5"/>
    <n v="2"/>
    <s v="Divorced"/>
    <n v="11996"/>
    <n v="7"/>
    <x v="1"/>
    <n v="18"/>
    <n v="3"/>
    <n v="2"/>
    <n v="1"/>
    <n v="10"/>
    <n v="6"/>
    <n v="2"/>
    <n v="7"/>
    <n v="7"/>
    <n v="6"/>
    <n v="2"/>
    <s v="Bachelor"/>
    <s v="Medium"/>
    <s v="Very High"/>
    <x v="2"/>
    <s v="Medium"/>
    <s v="Excellent"/>
    <s v="Medium"/>
    <x v="2"/>
    <s v="Low"/>
    <x v="2"/>
  </r>
  <r>
    <x v="8"/>
    <x v="1"/>
    <x v="0"/>
    <n v="322"/>
    <x v="0"/>
    <n v="7"/>
    <n v="2"/>
    <x v="2"/>
    <n v="382"/>
    <n v="1"/>
    <x v="0"/>
    <n v="4"/>
    <n v="2"/>
    <x v="0"/>
    <n v="1"/>
    <s v="Divorced"/>
    <n v="5605"/>
    <n v="1"/>
    <x v="0"/>
    <n v="24"/>
    <n v="4"/>
    <n v="3"/>
    <n v="1"/>
    <n v="8"/>
    <n v="3"/>
    <n v="3"/>
    <n v="8"/>
    <n v="0"/>
    <n v="7"/>
    <n v="7"/>
    <s v="College"/>
    <s v="Low"/>
    <s v="Very High"/>
    <x v="0"/>
    <s v="Low"/>
    <s v="Outstanding"/>
    <s v="High"/>
    <x v="1"/>
    <s v="Low"/>
    <x v="1"/>
  </r>
  <r>
    <x v="25"/>
    <x v="1"/>
    <x v="1"/>
    <n v="1479"/>
    <x v="1"/>
    <n v="1"/>
    <n v="3"/>
    <x v="0"/>
    <n v="384"/>
    <n v="3"/>
    <x v="0"/>
    <n v="3"/>
    <n v="2"/>
    <x v="3"/>
    <n v="2"/>
    <s v="Divorced"/>
    <n v="6397"/>
    <n v="1"/>
    <x v="1"/>
    <n v="20"/>
    <n v="4"/>
    <n v="1"/>
    <n v="1"/>
    <n v="6"/>
    <n v="6"/>
    <n v="1"/>
    <n v="6"/>
    <n v="5"/>
    <n v="1"/>
    <n v="4"/>
    <s v="Bachelor"/>
    <s v="High"/>
    <s v="High"/>
    <x v="0"/>
    <s v="Medium"/>
    <s v="Outstanding"/>
    <s v="Low"/>
    <x v="0"/>
    <s v="Low"/>
    <x v="0"/>
  </r>
  <r>
    <x v="24"/>
    <x v="1"/>
    <x v="0"/>
    <n v="797"/>
    <x v="1"/>
    <n v="4"/>
    <n v="1"/>
    <x v="0"/>
    <n v="385"/>
    <n v="1"/>
    <x v="1"/>
    <n v="3"/>
    <n v="5"/>
    <x v="7"/>
    <n v="2"/>
    <s v="Divorced"/>
    <n v="19144"/>
    <n v="3"/>
    <x v="1"/>
    <n v="14"/>
    <n v="3"/>
    <n v="1"/>
    <n v="2"/>
    <n v="28"/>
    <n v="4"/>
    <n v="2"/>
    <n v="10"/>
    <n v="4"/>
    <n v="1"/>
    <n v="6"/>
    <s v="Before College"/>
    <s v="Low"/>
    <s v="High"/>
    <x v="4"/>
    <s v="Medium"/>
    <s v="Excellent"/>
    <s v="Low"/>
    <x v="2"/>
    <s v="Medium"/>
    <x v="0"/>
  </r>
  <r>
    <x v="16"/>
    <x v="1"/>
    <x v="0"/>
    <n v="1070"/>
    <x v="1"/>
    <n v="3"/>
    <n v="4"/>
    <x v="2"/>
    <n v="386"/>
    <n v="3"/>
    <x v="1"/>
    <n v="3"/>
    <n v="4"/>
    <x v="7"/>
    <n v="3"/>
    <s v="Married"/>
    <n v="17584"/>
    <n v="3"/>
    <x v="0"/>
    <n v="16"/>
    <n v="3"/>
    <n v="4"/>
    <n v="3"/>
    <n v="21"/>
    <n v="5"/>
    <n v="2"/>
    <n v="5"/>
    <n v="3"/>
    <n v="1"/>
    <n v="3"/>
    <s v="Master"/>
    <s v="High"/>
    <s v="High"/>
    <x v="3"/>
    <s v="High"/>
    <s v="Excellent"/>
    <s v="Very High"/>
    <x v="2"/>
    <s v="High"/>
    <x v="0"/>
  </r>
  <r>
    <x v="19"/>
    <x v="1"/>
    <x v="0"/>
    <n v="635"/>
    <x v="0"/>
    <n v="1"/>
    <n v="1"/>
    <x v="0"/>
    <n v="387"/>
    <n v="2"/>
    <x v="1"/>
    <n v="3"/>
    <n v="2"/>
    <x v="0"/>
    <n v="3"/>
    <s v="Married"/>
    <n v="4907"/>
    <n v="1"/>
    <x v="1"/>
    <n v="25"/>
    <n v="4"/>
    <n v="3"/>
    <n v="0"/>
    <n v="20"/>
    <n v="3"/>
    <n v="3"/>
    <n v="20"/>
    <n v="16"/>
    <n v="11"/>
    <n v="6"/>
    <s v="Before College"/>
    <s v="Medium"/>
    <s v="High"/>
    <x v="0"/>
    <s v="High"/>
    <s v="Outstanding"/>
    <s v="High"/>
    <x v="1"/>
    <s v="No_stock"/>
    <x v="0"/>
  </r>
  <r>
    <x v="11"/>
    <x v="1"/>
    <x v="1"/>
    <n v="442"/>
    <x v="0"/>
    <n v="2"/>
    <n v="2"/>
    <x v="0"/>
    <n v="388"/>
    <n v="2"/>
    <x v="1"/>
    <n v="3"/>
    <n v="2"/>
    <x v="0"/>
    <n v="4"/>
    <s v="Single"/>
    <n v="4554"/>
    <n v="1"/>
    <x v="1"/>
    <n v="18"/>
    <n v="3"/>
    <n v="1"/>
    <n v="0"/>
    <n v="10"/>
    <n v="3"/>
    <n v="2"/>
    <n v="10"/>
    <n v="7"/>
    <n v="0"/>
    <n v="9"/>
    <s v="College"/>
    <s v="Medium"/>
    <s v="High"/>
    <x v="0"/>
    <s v="Very High"/>
    <s v="Excellent"/>
    <s v="Low"/>
    <x v="2"/>
    <s v="No_stock"/>
    <x v="0"/>
  </r>
  <r>
    <x v="27"/>
    <x v="1"/>
    <x v="0"/>
    <n v="147"/>
    <x v="1"/>
    <n v="20"/>
    <n v="2"/>
    <x v="4"/>
    <n v="389"/>
    <n v="2"/>
    <x v="1"/>
    <n v="3"/>
    <n v="2"/>
    <x v="2"/>
    <n v="4"/>
    <s v="Married"/>
    <n v="5415"/>
    <n v="3"/>
    <x v="0"/>
    <n v="19"/>
    <n v="3"/>
    <n v="4"/>
    <n v="1"/>
    <n v="12"/>
    <n v="4"/>
    <n v="3"/>
    <n v="10"/>
    <n v="7"/>
    <n v="0"/>
    <n v="8"/>
    <s v="College"/>
    <s v="Medium"/>
    <s v="High"/>
    <x v="0"/>
    <s v="Very High"/>
    <s v="Excellent"/>
    <s v="Very High"/>
    <x v="1"/>
    <s v="Low"/>
    <x v="2"/>
  </r>
  <r>
    <x v="25"/>
    <x v="1"/>
    <x v="1"/>
    <n v="496"/>
    <x v="1"/>
    <n v="11"/>
    <n v="2"/>
    <x v="2"/>
    <n v="390"/>
    <n v="1"/>
    <x v="1"/>
    <n v="3"/>
    <n v="2"/>
    <x v="4"/>
    <n v="1"/>
    <s v="Married"/>
    <n v="4741"/>
    <n v="1"/>
    <x v="0"/>
    <n v="13"/>
    <n v="3"/>
    <n v="3"/>
    <n v="1"/>
    <n v="5"/>
    <n v="3"/>
    <n v="3"/>
    <n v="5"/>
    <n v="3"/>
    <n v="3"/>
    <n v="3"/>
    <s v="College"/>
    <s v="Low"/>
    <s v="High"/>
    <x v="0"/>
    <s v="Low"/>
    <s v="Excellent"/>
    <s v="High"/>
    <x v="1"/>
    <s v="Low"/>
    <x v="1"/>
  </r>
  <r>
    <x v="2"/>
    <x v="1"/>
    <x v="0"/>
    <n v="1372"/>
    <x v="1"/>
    <n v="1"/>
    <n v="3"/>
    <x v="0"/>
    <n v="391"/>
    <n v="4"/>
    <x v="0"/>
    <n v="3"/>
    <n v="1"/>
    <x v="1"/>
    <n v="4"/>
    <s v="Single"/>
    <n v="2115"/>
    <n v="1"/>
    <x v="1"/>
    <n v="12"/>
    <n v="3"/>
    <n v="2"/>
    <n v="0"/>
    <n v="17"/>
    <n v="3"/>
    <n v="3"/>
    <n v="17"/>
    <n v="12"/>
    <n v="5"/>
    <n v="7"/>
    <s v="Bachelor"/>
    <s v="Very High"/>
    <s v="High"/>
    <x v="1"/>
    <s v="Very High"/>
    <s v="Excellent"/>
    <s v="Medium"/>
    <x v="1"/>
    <s v="No_stock"/>
    <x v="0"/>
  </r>
  <r>
    <x v="20"/>
    <x v="0"/>
    <x v="1"/>
    <n v="920"/>
    <x v="1"/>
    <n v="24"/>
    <n v="3"/>
    <x v="0"/>
    <n v="392"/>
    <n v="4"/>
    <x v="1"/>
    <n v="3"/>
    <n v="1"/>
    <x v="2"/>
    <n v="3"/>
    <s v="Divorced"/>
    <n v="3161"/>
    <n v="3"/>
    <x v="0"/>
    <n v="22"/>
    <n v="4"/>
    <n v="4"/>
    <n v="1"/>
    <n v="19"/>
    <n v="0"/>
    <n v="1"/>
    <n v="1"/>
    <n v="0"/>
    <n v="0"/>
    <n v="0"/>
    <s v="Bachelor"/>
    <s v="Very High"/>
    <s v="High"/>
    <x v="1"/>
    <s v="High"/>
    <s v="Outstanding"/>
    <s v="Very High"/>
    <x v="0"/>
    <s v="Low"/>
    <x v="2"/>
  </r>
  <r>
    <x v="8"/>
    <x v="1"/>
    <x v="0"/>
    <n v="688"/>
    <x v="1"/>
    <n v="23"/>
    <n v="4"/>
    <x v="0"/>
    <n v="393"/>
    <n v="4"/>
    <x v="1"/>
    <n v="3"/>
    <n v="2"/>
    <x v="4"/>
    <n v="4"/>
    <s v="Divorced"/>
    <n v="5745"/>
    <n v="9"/>
    <x v="1"/>
    <n v="14"/>
    <n v="3"/>
    <n v="2"/>
    <n v="1"/>
    <n v="10"/>
    <n v="2"/>
    <n v="3"/>
    <n v="2"/>
    <n v="2"/>
    <n v="1"/>
    <n v="2"/>
    <s v="Master"/>
    <s v="Very High"/>
    <s v="High"/>
    <x v="0"/>
    <s v="Very High"/>
    <s v="Excellent"/>
    <s v="Medium"/>
    <x v="1"/>
    <s v="Low"/>
    <x v="2"/>
  </r>
  <r>
    <x v="25"/>
    <x v="0"/>
    <x v="0"/>
    <n v="1449"/>
    <x v="1"/>
    <n v="16"/>
    <n v="4"/>
    <x v="2"/>
    <n v="394"/>
    <n v="1"/>
    <x v="1"/>
    <n v="3"/>
    <n v="1"/>
    <x v="2"/>
    <n v="2"/>
    <s v="Divorced"/>
    <n v="2373"/>
    <n v="2"/>
    <x v="0"/>
    <n v="13"/>
    <n v="3"/>
    <n v="4"/>
    <n v="1"/>
    <n v="5"/>
    <n v="2"/>
    <n v="3"/>
    <n v="3"/>
    <n v="2"/>
    <n v="0"/>
    <n v="2"/>
    <s v="Master"/>
    <s v="Low"/>
    <s v="High"/>
    <x v="1"/>
    <s v="Medium"/>
    <s v="Excellent"/>
    <s v="Very High"/>
    <x v="1"/>
    <s v="Low"/>
    <x v="2"/>
  </r>
  <r>
    <x v="14"/>
    <x v="1"/>
    <x v="0"/>
    <n v="1117"/>
    <x v="1"/>
    <n v="8"/>
    <n v="2"/>
    <x v="0"/>
    <n v="395"/>
    <n v="4"/>
    <x v="0"/>
    <n v="3"/>
    <n v="1"/>
    <x v="1"/>
    <n v="4"/>
    <s v="Single"/>
    <n v="3310"/>
    <n v="1"/>
    <x v="1"/>
    <n v="21"/>
    <n v="4"/>
    <n v="4"/>
    <n v="0"/>
    <n v="5"/>
    <n v="3"/>
    <n v="3"/>
    <n v="5"/>
    <n v="3"/>
    <n v="0"/>
    <n v="2"/>
    <s v="College"/>
    <s v="Very High"/>
    <s v="High"/>
    <x v="1"/>
    <s v="Very High"/>
    <s v="Outstanding"/>
    <s v="Very High"/>
    <x v="1"/>
    <s v="No_stock"/>
    <x v="1"/>
  </r>
  <r>
    <x v="1"/>
    <x v="1"/>
    <x v="1"/>
    <n v="636"/>
    <x v="1"/>
    <n v="10"/>
    <n v="4"/>
    <x v="0"/>
    <n v="396"/>
    <n v="3"/>
    <x v="0"/>
    <n v="3"/>
    <n v="5"/>
    <x v="7"/>
    <n v="1"/>
    <s v="Single"/>
    <n v="18665"/>
    <n v="9"/>
    <x v="0"/>
    <n v="11"/>
    <n v="3"/>
    <n v="4"/>
    <n v="0"/>
    <n v="22"/>
    <n v="4"/>
    <n v="3"/>
    <n v="3"/>
    <n v="2"/>
    <n v="1"/>
    <n v="2"/>
    <s v="Master"/>
    <s v="High"/>
    <s v="High"/>
    <x v="4"/>
    <s v="Low"/>
    <s v="Excellent"/>
    <s v="Very High"/>
    <x v="1"/>
    <s v="No_stock"/>
    <x v="1"/>
  </r>
  <r>
    <x v="9"/>
    <x v="1"/>
    <x v="0"/>
    <n v="506"/>
    <x v="1"/>
    <n v="3"/>
    <n v="3"/>
    <x v="4"/>
    <n v="397"/>
    <n v="3"/>
    <x v="1"/>
    <n v="3"/>
    <n v="2"/>
    <x v="1"/>
    <n v="2"/>
    <s v="Single"/>
    <n v="4485"/>
    <n v="4"/>
    <x v="1"/>
    <n v="12"/>
    <n v="3"/>
    <n v="4"/>
    <n v="0"/>
    <n v="10"/>
    <n v="2"/>
    <n v="3"/>
    <n v="8"/>
    <n v="0"/>
    <n v="7"/>
    <n v="7"/>
    <s v="Bachelor"/>
    <s v="High"/>
    <s v="High"/>
    <x v="0"/>
    <s v="Medium"/>
    <s v="Excellent"/>
    <s v="Very High"/>
    <x v="1"/>
    <s v="No_stock"/>
    <x v="0"/>
  </r>
  <r>
    <x v="12"/>
    <x v="1"/>
    <x v="1"/>
    <n v="444"/>
    <x v="0"/>
    <n v="5"/>
    <n v="3"/>
    <x v="3"/>
    <n v="399"/>
    <n v="4"/>
    <x v="0"/>
    <n v="3"/>
    <n v="1"/>
    <x v="6"/>
    <n v="2"/>
    <s v="Divorced"/>
    <n v="2789"/>
    <n v="1"/>
    <x v="1"/>
    <n v="11"/>
    <n v="3"/>
    <n v="3"/>
    <n v="1"/>
    <n v="2"/>
    <n v="5"/>
    <n v="2"/>
    <n v="2"/>
    <n v="2"/>
    <n v="2"/>
    <n v="2"/>
    <s v="Bachelor"/>
    <s v="Very High"/>
    <s v="High"/>
    <x v="1"/>
    <s v="Medium"/>
    <s v="Excellent"/>
    <s v="High"/>
    <x v="2"/>
    <s v="Low"/>
    <x v="0"/>
  </r>
  <r>
    <x v="25"/>
    <x v="0"/>
    <x v="0"/>
    <n v="950"/>
    <x v="0"/>
    <n v="4"/>
    <n v="4"/>
    <x v="3"/>
    <n v="401"/>
    <n v="4"/>
    <x v="1"/>
    <n v="2"/>
    <n v="2"/>
    <x v="0"/>
    <n v="4"/>
    <s v="Single"/>
    <n v="5828"/>
    <n v="1"/>
    <x v="0"/>
    <n v="12"/>
    <n v="3"/>
    <n v="2"/>
    <n v="0"/>
    <n v="8"/>
    <n v="0"/>
    <n v="3"/>
    <n v="8"/>
    <n v="7"/>
    <n v="7"/>
    <n v="4"/>
    <s v="Master"/>
    <s v="Very High"/>
    <s v="Medium"/>
    <x v="0"/>
    <s v="Very High"/>
    <s v="Excellent"/>
    <s v="Medium"/>
    <x v="1"/>
    <s v="No_stock"/>
    <x v="0"/>
  </r>
  <r>
    <x v="2"/>
    <x v="1"/>
    <x v="1"/>
    <n v="889"/>
    <x v="1"/>
    <n v="9"/>
    <n v="3"/>
    <x v="2"/>
    <n v="403"/>
    <n v="2"/>
    <x v="1"/>
    <n v="3"/>
    <n v="1"/>
    <x v="1"/>
    <n v="4"/>
    <s v="Married"/>
    <n v="2326"/>
    <n v="1"/>
    <x v="0"/>
    <n v="12"/>
    <n v="3"/>
    <n v="3"/>
    <n v="3"/>
    <n v="4"/>
    <n v="3"/>
    <n v="2"/>
    <n v="4"/>
    <n v="2"/>
    <n v="1"/>
    <n v="2"/>
    <s v="Bachelor"/>
    <s v="Medium"/>
    <s v="High"/>
    <x v="1"/>
    <s v="Very High"/>
    <s v="Excellent"/>
    <s v="High"/>
    <x v="2"/>
    <s v="High"/>
    <x v="1"/>
  </r>
  <r>
    <x v="19"/>
    <x v="1"/>
    <x v="1"/>
    <n v="555"/>
    <x v="0"/>
    <n v="26"/>
    <n v="3"/>
    <x v="3"/>
    <n v="404"/>
    <n v="3"/>
    <x v="0"/>
    <n v="3"/>
    <n v="4"/>
    <x v="0"/>
    <n v="2"/>
    <s v="Married"/>
    <n v="13525"/>
    <n v="5"/>
    <x v="1"/>
    <n v="14"/>
    <n v="3"/>
    <n v="4"/>
    <n v="1"/>
    <n v="23"/>
    <n v="2"/>
    <n v="4"/>
    <n v="20"/>
    <n v="4"/>
    <n v="4"/>
    <n v="8"/>
    <s v="Bachelor"/>
    <s v="High"/>
    <s v="High"/>
    <x v="3"/>
    <s v="Medium"/>
    <s v="Excellent"/>
    <s v="Very High"/>
    <x v="3"/>
    <s v="Low"/>
    <x v="2"/>
  </r>
  <r>
    <x v="41"/>
    <x v="0"/>
    <x v="0"/>
    <n v="230"/>
    <x v="1"/>
    <n v="3"/>
    <n v="3"/>
    <x v="0"/>
    <n v="405"/>
    <n v="3"/>
    <x v="1"/>
    <n v="3"/>
    <n v="1"/>
    <x v="2"/>
    <n v="3"/>
    <s v="Single"/>
    <n v="1420"/>
    <n v="1"/>
    <x v="1"/>
    <n v="13"/>
    <n v="3"/>
    <n v="3"/>
    <n v="0"/>
    <n v="0"/>
    <n v="2"/>
    <n v="3"/>
    <n v="0"/>
    <n v="0"/>
    <n v="0"/>
    <n v="0"/>
    <s v="Bachelor"/>
    <s v="High"/>
    <s v="High"/>
    <x v="1"/>
    <s v="High"/>
    <s v="Excellent"/>
    <s v="High"/>
    <x v="1"/>
    <s v="No_stock"/>
    <x v="0"/>
  </r>
  <r>
    <x v="10"/>
    <x v="1"/>
    <x v="0"/>
    <n v="1232"/>
    <x v="0"/>
    <n v="16"/>
    <n v="3"/>
    <x v="3"/>
    <n v="406"/>
    <n v="3"/>
    <x v="1"/>
    <n v="3"/>
    <n v="3"/>
    <x v="0"/>
    <n v="2"/>
    <s v="Married"/>
    <n v="8020"/>
    <n v="0"/>
    <x v="1"/>
    <n v="15"/>
    <n v="3"/>
    <n v="3"/>
    <n v="2"/>
    <n v="12"/>
    <n v="3"/>
    <n v="2"/>
    <n v="11"/>
    <n v="9"/>
    <n v="6"/>
    <n v="9"/>
    <s v="Bachelor"/>
    <s v="High"/>
    <s v="High"/>
    <x v="2"/>
    <s v="Medium"/>
    <s v="Excellent"/>
    <s v="High"/>
    <x v="2"/>
    <s v="Medium"/>
    <x v="2"/>
  </r>
  <r>
    <x v="9"/>
    <x v="1"/>
    <x v="1"/>
    <n v="566"/>
    <x v="1"/>
    <n v="18"/>
    <n v="4"/>
    <x v="0"/>
    <n v="407"/>
    <n v="3"/>
    <x v="1"/>
    <n v="4"/>
    <n v="1"/>
    <x v="2"/>
    <n v="4"/>
    <s v="Married"/>
    <n v="3688"/>
    <n v="4"/>
    <x v="1"/>
    <n v="18"/>
    <n v="3"/>
    <n v="4"/>
    <n v="2"/>
    <n v="4"/>
    <n v="2"/>
    <n v="3"/>
    <n v="1"/>
    <n v="0"/>
    <n v="0"/>
    <n v="0"/>
    <s v="Master"/>
    <s v="High"/>
    <s v="Very High"/>
    <x v="1"/>
    <s v="Very High"/>
    <s v="Excellent"/>
    <s v="Very High"/>
    <x v="1"/>
    <s v="Medium"/>
    <x v="2"/>
  </r>
  <r>
    <x v="31"/>
    <x v="1"/>
    <x v="0"/>
    <n v="1302"/>
    <x v="1"/>
    <n v="2"/>
    <n v="3"/>
    <x v="2"/>
    <n v="408"/>
    <n v="4"/>
    <x v="1"/>
    <n v="1"/>
    <n v="2"/>
    <x v="3"/>
    <n v="2"/>
    <s v="Divorced"/>
    <n v="5482"/>
    <n v="5"/>
    <x v="1"/>
    <n v="18"/>
    <n v="3"/>
    <n v="4"/>
    <n v="1"/>
    <n v="13"/>
    <n v="3"/>
    <n v="3"/>
    <n v="4"/>
    <n v="1"/>
    <n v="1"/>
    <n v="2"/>
    <s v="Bachelor"/>
    <s v="Very High"/>
    <s v="Low"/>
    <x v="0"/>
    <s v="Medium"/>
    <s v="Excellent"/>
    <s v="Very High"/>
    <x v="1"/>
    <s v="Low"/>
    <x v="0"/>
  </r>
  <r>
    <x v="0"/>
    <x v="1"/>
    <x v="0"/>
    <n v="334"/>
    <x v="0"/>
    <n v="2"/>
    <n v="4"/>
    <x v="0"/>
    <n v="410"/>
    <n v="4"/>
    <x v="1"/>
    <n v="3"/>
    <n v="4"/>
    <x v="5"/>
    <n v="2"/>
    <s v="Single"/>
    <n v="16015"/>
    <n v="1"/>
    <x v="1"/>
    <n v="19"/>
    <n v="3"/>
    <n v="2"/>
    <n v="0"/>
    <n v="22"/>
    <n v="2"/>
    <n v="3"/>
    <n v="22"/>
    <n v="10"/>
    <n v="0"/>
    <n v="4"/>
    <s v="Master"/>
    <s v="Very High"/>
    <s v="High"/>
    <x v="3"/>
    <s v="Medium"/>
    <s v="Excellent"/>
    <s v="Medium"/>
    <x v="1"/>
    <s v="No_stock"/>
    <x v="0"/>
  </r>
  <r>
    <x v="41"/>
    <x v="1"/>
    <x v="0"/>
    <n v="812"/>
    <x v="0"/>
    <n v="10"/>
    <n v="3"/>
    <x v="2"/>
    <n v="411"/>
    <n v="4"/>
    <x v="0"/>
    <n v="2"/>
    <n v="1"/>
    <x v="6"/>
    <n v="3"/>
    <s v="Single"/>
    <n v="1200"/>
    <n v="1"/>
    <x v="1"/>
    <n v="12"/>
    <n v="3"/>
    <n v="1"/>
    <n v="0"/>
    <n v="0"/>
    <n v="2"/>
    <n v="3"/>
    <n v="0"/>
    <n v="0"/>
    <n v="0"/>
    <n v="0"/>
    <s v="Bachelor"/>
    <s v="Very High"/>
    <s v="Medium"/>
    <x v="1"/>
    <s v="High"/>
    <s v="Excellent"/>
    <s v="Low"/>
    <x v="1"/>
    <s v="No_stock"/>
    <x v="1"/>
  </r>
  <r>
    <x v="14"/>
    <x v="1"/>
    <x v="0"/>
    <n v="1476"/>
    <x v="1"/>
    <n v="16"/>
    <n v="2"/>
    <x v="2"/>
    <n v="412"/>
    <n v="2"/>
    <x v="1"/>
    <n v="4"/>
    <n v="2"/>
    <x v="4"/>
    <n v="1"/>
    <s v="Single"/>
    <n v="5661"/>
    <n v="0"/>
    <x v="1"/>
    <n v="19"/>
    <n v="3"/>
    <n v="3"/>
    <n v="0"/>
    <n v="9"/>
    <n v="2"/>
    <n v="3"/>
    <n v="8"/>
    <n v="3"/>
    <n v="0"/>
    <n v="7"/>
    <s v="College"/>
    <s v="Medium"/>
    <s v="Very High"/>
    <x v="0"/>
    <s v="Low"/>
    <s v="Excellent"/>
    <s v="High"/>
    <x v="1"/>
    <s v="No_stock"/>
    <x v="2"/>
  </r>
  <r>
    <x v="12"/>
    <x v="1"/>
    <x v="0"/>
    <n v="218"/>
    <x v="0"/>
    <n v="7"/>
    <n v="3"/>
    <x v="4"/>
    <n v="416"/>
    <n v="2"/>
    <x v="1"/>
    <n v="4"/>
    <n v="2"/>
    <x v="0"/>
    <n v="4"/>
    <s v="Married"/>
    <n v="6929"/>
    <n v="4"/>
    <x v="1"/>
    <n v="11"/>
    <n v="3"/>
    <n v="2"/>
    <n v="1"/>
    <n v="10"/>
    <n v="3"/>
    <n v="2"/>
    <n v="8"/>
    <n v="7"/>
    <n v="7"/>
    <n v="7"/>
    <s v="Bachelor"/>
    <s v="Medium"/>
    <s v="Very High"/>
    <x v="0"/>
    <s v="Very High"/>
    <s v="Excellent"/>
    <s v="Medium"/>
    <x v="2"/>
    <s v="Low"/>
    <x v="1"/>
  </r>
  <r>
    <x v="22"/>
    <x v="1"/>
    <x v="0"/>
    <n v="1132"/>
    <x v="1"/>
    <n v="1"/>
    <n v="3"/>
    <x v="2"/>
    <n v="417"/>
    <n v="3"/>
    <x v="1"/>
    <n v="4"/>
    <n v="3"/>
    <x v="4"/>
    <n v="4"/>
    <s v="Divorced"/>
    <n v="9613"/>
    <n v="0"/>
    <x v="1"/>
    <n v="17"/>
    <n v="3"/>
    <n v="1"/>
    <n v="3"/>
    <n v="19"/>
    <n v="5"/>
    <n v="2"/>
    <n v="18"/>
    <n v="10"/>
    <n v="3"/>
    <n v="7"/>
    <s v="Bachelor"/>
    <s v="High"/>
    <s v="Very High"/>
    <x v="2"/>
    <s v="Very High"/>
    <s v="Excellent"/>
    <s v="Low"/>
    <x v="2"/>
    <s v="High"/>
    <x v="0"/>
  </r>
  <r>
    <x v="9"/>
    <x v="1"/>
    <x v="2"/>
    <n v="1105"/>
    <x v="1"/>
    <n v="24"/>
    <n v="4"/>
    <x v="0"/>
    <n v="419"/>
    <n v="2"/>
    <x v="0"/>
    <n v="3"/>
    <n v="2"/>
    <x v="2"/>
    <n v="2"/>
    <s v="Married"/>
    <n v="5674"/>
    <n v="7"/>
    <x v="1"/>
    <n v="15"/>
    <n v="3"/>
    <n v="3"/>
    <n v="1"/>
    <n v="11"/>
    <n v="3"/>
    <n v="3"/>
    <n v="9"/>
    <n v="8"/>
    <n v="0"/>
    <n v="8"/>
    <s v="Master"/>
    <s v="Medium"/>
    <s v="High"/>
    <x v="0"/>
    <s v="Medium"/>
    <s v="Excellent"/>
    <s v="High"/>
    <x v="1"/>
    <s v="Low"/>
    <x v="2"/>
  </r>
  <r>
    <x v="5"/>
    <x v="1"/>
    <x v="0"/>
    <n v="906"/>
    <x v="0"/>
    <n v="7"/>
    <n v="3"/>
    <x v="0"/>
    <n v="420"/>
    <n v="4"/>
    <x v="1"/>
    <n v="2"/>
    <n v="2"/>
    <x v="0"/>
    <n v="3"/>
    <s v="Married"/>
    <n v="5484"/>
    <n v="1"/>
    <x v="1"/>
    <n v="14"/>
    <n v="3"/>
    <n v="3"/>
    <n v="1"/>
    <n v="13"/>
    <n v="3"/>
    <n v="2"/>
    <n v="13"/>
    <n v="8"/>
    <n v="4"/>
    <n v="8"/>
    <s v="Bachelor"/>
    <s v="Very High"/>
    <s v="Medium"/>
    <x v="0"/>
    <s v="High"/>
    <s v="Excellent"/>
    <s v="High"/>
    <x v="2"/>
    <s v="Low"/>
    <x v="1"/>
  </r>
  <r>
    <x v="8"/>
    <x v="1"/>
    <x v="0"/>
    <n v="849"/>
    <x v="1"/>
    <n v="25"/>
    <n v="2"/>
    <x v="0"/>
    <n v="421"/>
    <n v="1"/>
    <x v="0"/>
    <n v="2"/>
    <n v="3"/>
    <x v="7"/>
    <n v="2"/>
    <s v="Married"/>
    <n v="12061"/>
    <n v="3"/>
    <x v="1"/>
    <n v="17"/>
    <n v="3"/>
    <n v="3"/>
    <n v="1"/>
    <n v="19"/>
    <n v="2"/>
    <n v="3"/>
    <n v="10"/>
    <n v="8"/>
    <n v="0"/>
    <n v="1"/>
    <s v="College"/>
    <s v="Low"/>
    <s v="Medium"/>
    <x v="2"/>
    <s v="Medium"/>
    <s v="Excellent"/>
    <s v="High"/>
    <x v="1"/>
    <s v="Low"/>
    <x v="2"/>
  </r>
  <r>
    <x v="34"/>
    <x v="1"/>
    <x v="2"/>
    <n v="390"/>
    <x v="1"/>
    <n v="1"/>
    <n v="4"/>
    <x v="0"/>
    <n v="422"/>
    <n v="4"/>
    <x v="1"/>
    <n v="1"/>
    <n v="2"/>
    <x v="4"/>
    <n v="3"/>
    <s v="Divorced"/>
    <n v="5660"/>
    <n v="2"/>
    <x v="0"/>
    <n v="13"/>
    <n v="3"/>
    <n v="4"/>
    <n v="1"/>
    <n v="12"/>
    <n v="2"/>
    <n v="3"/>
    <n v="5"/>
    <n v="3"/>
    <n v="1"/>
    <n v="2"/>
    <s v="Master"/>
    <s v="Very High"/>
    <s v="Low"/>
    <x v="0"/>
    <s v="High"/>
    <s v="Excellent"/>
    <s v="Very High"/>
    <x v="1"/>
    <s v="Low"/>
    <x v="0"/>
  </r>
  <r>
    <x v="12"/>
    <x v="1"/>
    <x v="0"/>
    <n v="691"/>
    <x v="1"/>
    <n v="5"/>
    <n v="4"/>
    <x v="4"/>
    <n v="423"/>
    <n v="3"/>
    <x v="1"/>
    <n v="3"/>
    <n v="1"/>
    <x v="1"/>
    <n v="4"/>
    <s v="Married"/>
    <n v="4821"/>
    <n v="0"/>
    <x v="0"/>
    <n v="12"/>
    <n v="3"/>
    <n v="3"/>
    <n v="1"/>
    <n v="6"/>
    <n v="4"/>
    <n v="3"/>
    <n v="5"/>
    <n v="2"/>
    <n v="0"/>
    <n v="3"/>
    <s v="Master"/>
    <s v="High"/>
    <s v="High"/>
    <x v="1"/>
    <s v="Very High"/>
    <s v="Excellent"/>
    <s v="High"/>
    <x v="1"/>
    <s v="Low"/>
    <x v="0"/>
  </r>
  <r>
    <x v="12"/>
    <x v="1"/>
    <x v="0"/>
    <n v="106"/>
    <x v="2"/>
    <n v="2"/>
    <n v="3"/>
    <x v="5"/>
    <n v="424"/>
    <n v="1"/>
    <x v="1"/>
    <n v="2"/>
    <n v="2"/>
    <x v="8"/>
    <n v="1"/>
    <s v="Married"/>
    <n v="6410"/>
    <n v="3"/>
    <x v="1"/>
    <n v="12"/>
    <n v="3"/>
    <n v="4"/>
    <n v="0"/>
    <n v="9"/>
    <n v="1"/>
    <n v="3"/>
    <n v="2"/>
    <n v="2"/>
    <n v="1"/>
    <n v="0"/>
    <s v="Bachelor"/>
    <s v="Low"/>
    <s v="Medium"/>
    <x v="0"/>
    <s v="Low"/>
    <s v="Excellent"/>
    <s v="Very High"/>
    <x v="1"/>
    <s v="No_stock"/>
    <x v="0"/>
  </r>
  <r>
    <x v="28"/>
    <x v="1"/>
    <x v="1"/>
    <n v="1249"/>
    <x v="1"/>
    <n v="7"/>
    <n v="3"/>
    <x v="0"/>
    <n v="425"/>
    <n v="1"/>
    <x v="1"/>
    <n v="3"/>
    <n v="3"/>
    <x v="2"/>
    <n v="1"/>
    <s v="Divorced"/>
    <n v="5210"/>
    <n v="1"/>
    <x v="1"/>
    <n v="18"/>
    <n v="3"/>
    <n v="1"/>
    <n v="1"/>
    <n v="24"/>
    <n v="2"/>
    <n v="3"/>
    <n v="24"/>
    <n v="9"/>
    <n v="9"/>
    <n v="11"/>
    <s v="Bachelor"/>
    <s v="Low"/>
    <s v="High"/>
    <x v="2"/>
    <s v="Low"/>
    <s v="Excellent"/>
    <s v="Low"/>
    <x v="1"/>
    <s v="Low"/>
    <x v="1"/>
  </r>
  <r>
    <x v="12"/>
    <x v="1"/>
    <x v="0"/>
    <n v="192"/>
    <x v="1"/>
    <n v="2"/>
    <n v="4"/>
    <x v="0"/>
    <n v="426"/>
    <n v="3"/>
    <x v="1"/>
    <n v="3"/>
    <n v="1"/>
    <x v="1"/>
    <n v="4"/>
    <s v="Divorced"/>
    <n v="2695"/>
    <n v="0"/>
    <x v="0"/>
    <n v="18"/>
    <n v="3"/>
    <n v="2"/>
    <n v="1"/>
    <n v="3"/>
    <n v="2"/>
    <n v="1"/>
    <n v="2"/>
    <n v="2"/>
    <n v="2"/>
    <n v="2"/>
    <s v="Master"/>
    <s v="High"/>
    <s v="High"/>
    <x v="1"/>
    <s v="Very High"/>
    <s v="Excellent"/>
    <s v="Medium"/>
    <x v="0"/>
    <s v="Low"/>
    <x v="0"/>
  </r>
  <r>
    <x v="3"/>
    <x v="1"/>
    <x v="1"/>
    <n v="553"/>
    <x v="1"/>
    <n v="5"/>
    <n v="4"/>
    <x v="0"/>
    <n v="428"/>
    <n v="4"/>
    <x v="0"/>
    <n v="3"/>
    <n v="3"/>
    <x v="5"/>
    <n v="2"/>
    <s v="Married"/>
    <n v="11878"/>
    <n v="6"/>
    <x v="1"/>
    <n v="11"/>
    <n v="3"/>
    <n v="2"/>
    <n v="2"/>
    <n v="12"/>
    <n v="2"/>
    <n v="3"/>
    <n v="10"/>
    <n v="6"/>
    <n v="8"/>
    <n v="8"/>
    <s v="Master"/>
    <s v="Very High"/>
    <s v="High"/>
    <x v="2"/>
    <s v="Medium"/>
    <s v="Excellent"/>
    <s v="Medium"/>
    <x v="1"/>
    <s v="Medium"/>
    <x v="0"/>
  </r>
  <r>
    <x v="22"/>
    <x v="1"/>
    <x v="0"/>
    <n v="117"/>
    <x v="1"/>
    <n v="10"/>
    <n v="1"/>
    <x v="2"/>
    <n v="429"/>
    <n v="3"/>
    <x v="1"/>
    <n v="3"/>
    <n v="4"/>
    <x v="5"/>
    <n v="1"/>
    <s v="Married"/>
    <n v="17068"/>
    <n v="1"/>
    <x v="0"/>
    <n v="14"/>
    <n v="3"/>
    <n v="4"/>
    <n v="0"/>
    <n v="21"/>
    <n v="3"/>
    <n v="3"/>
    <n v="21"/>
    <n v="9"/>
    <n v="11"/>
    <n v="10"/>
    <s v="Before College"/>
    <s v="High"/>
    <s v="High"/>
    <x v="3"/>
    <s v="Low"/>
    <s v="Excellent"/>
    <s v="Very High"/>
    <x v="1"/>
    <s v="No_stock"/>
    <x v="1"/>
  </r>
  <r>
    <x v="23"/>
    <x v="1"/>
    <x v="1"/>
    <n v="185"/>
    <x v="1"/>
    <n v="10"/>
    <n v="4"/>
    <x v="0"/>
    <n v="430"/>
    <n v="3"/>
    <x v="0"/>
    <n v="3"/>
    <n v="1"/>
    <x v="2"/>
    <n v="4"/>
    <s v="Single"/>
    <n v="2455"/>
    <n v="0"/>
    <x v="1"/>
    <n v="19"/>
    <n v="3"/>
    <n v="1"/>
    <n v="0"/>
    <n v="9"/>
    <n v="5"/>
    <n v="3"/>
    <n v="8"/>
    <n v="7"/>
    <n v="1"/>
    <n v="7"/>
    <s v="Master"/>
    <s v="High"/>
    <s v="High"/>
    <x v="1"/>
    <s v="Very High"/>
    <s v="Excellent"/>
    <s v="Low"/>
    <x v="1"/>
    <s v="No_stock"/>
    <x v="1"/>
  </r>
  <r>
    <x v="1"/>
    <x v="1"/>
    <x v="0"/>
    <n v="1091"/>
    <x v="1"/>
    <n v="1"/>
    <n v="2"/>
    <x v="4"/>
    <n v="431"/>
    <n v="3"/>
    <x v="0"/>
    <n v="2"/>
    <n v="4"/>
    <x v="4"/>
    <n v="3"/>
    <s v="Single"/>
    <n v="13964"/>
    <n v="7"/>
    <x v="0"/>
    <n v="12"/>
    <n v="3"/>
    <n v="4"/>
    <n v="0"/>
    <n v="25"/>
    <n v="2"/>
    <n v="3"/>
    <n v="7"/>
    <n v="1"/>
    <n v="0"/>
    <n v="7"/>
    <s v="College"/>
    <s v="High"/>
    <s v="Medium"/>
    <x v="3"/>
    <s v="High"/>
    <s v="Excellent"/>
    <s v="Very High"/>
    <x v="1"/>
    <s v="No_stock"/>
    <x v="0"/>
  </r>
  <r>
    <x v="39"/>
    <x v="0"/>
    <x v="0"/>
    <n v="723"/>
    <x v="1"/>
    <n v="8"/>
    <n v="4"/>
    <x v="2"/>
    <n v="433"/>
    <n v="3"/>
    <x v="1"/>
    <n v="2"/>
    <n v="2"/>
    <x v="1"/>
    <n v="2"/>
    <s v="Married"/>
    <n v="4941"/>
    <n v="2"/>
    <x v="1"/>
    <n v="15"/>
    <n v="3"/>
    <n v="1"/>
    <n v="0"/>
    <n v="11"/>
    <n v="3"/>
    <n v="2"/>
    <n v="8"/>
    <n v="2"/>
    <n v="7"/>
    <n v="7"/>
    <s v="Master"/>
    <s v="High"/>
    <s v="Medium"/>
    <x v="0"/>
    <s v="Medium"/>
    <s v="Excellent"/>
    <s v="Low"/>
    <x v="2"/>
    <s v="No_stock"/>
    <x v="1"/>
  </r>
  <r>
    <x v="4"/>
    <x v="1"/>
    <x v="0"/>
    <n v="1220"/>
    <x v="1"/>
    <n v="5"/>
    <n v="3"/>
    <x v="0"/>
    <n v="434"/>
    <n v="3"/>
    <x v="0"/>
    <n v="3"/>
    <n v="1"/>
    <x v="1"/>
    <n v="2"/>
    <s v="Single"/>
    <n v="2478"/>
    <n v="1"/>
    <x v="0"/>
    <n v="12"/>
    <n v="3"/>
    <n v="2"/>
    <n v="0"/>
    <n v="4"/>
    <n v="2"/>
    <n v="2"/>
    <n v="4"/>
    <n v="3"/>
    <n v="1"/>
    <n v="2"/>
    <s v="Bachelor"/>
    <s v="High"/>
    <s v="High"/>
    <x v="1"/>
    <s v="Medium"/>
    <s v="Excellent"/>
    <s v="Medium"/>
    <x v="2"/>
    <s v="No_stock"/>
    <x v="0"/>
  </r>
  <r>
    <x v="5"/>
    <x v="1"/>
    <x v="0"/>
    <n v="588"/>
    <x v="0"/>
    <n v="8"/>
    <n v="2"/>
    <x v="4"/>
    <n v="436"/>
    <n v="3"/>
    <x v="0"/>
    <n v="2"/>
    <n v="2"/>
    <x v="0"/>
    <n v="2"/>
    <s v="Married"/>
    <n v="5228"/>
    <n v="1"/>
    <x v="0"/>
    <n v="11"/>
    <n v="3"/>
    <n v="4"/>
    <n v="0"/>
    <n v="13"/>
    <n v="2"/>
    <n v="3"/>
    <n v="13"/>
    <n v="12"/>
    <n v="11"/>
    <n v="9"/>
    <s v="College"/>
    <s v="High"/>
    <s v="Medium"/>
    <x v="0"/>
    <s v="Medium"/>
    <s v="Excellent"/>
    <s v="Very High"/>
    <x v="1"/>
    <s v="No_stock"/>
    <x v="1"/>
  </r>
  <r>
    <x v="4"/>
    <x v="1"/>
    <x v="0"/>
    <n v="1377"/>
    <x v="0"/>
    <n v="2"/>
    <n v="3"/>
    <x v="0"/>
    <n v="437"/>
    <n v="4"/>
    <x v="1"/>
    <n v="3"/>
    <n v="2"/>
    <x v="0"/>
    <n v="3"/>
    <s v="Single"/>
    <n v="4478"/>
    <n v="1"/>
    <x v="0"/>
    <n v="11"/>
    <n v="3"/>
    <n v="1"/>
    <n v="0"/>
    <n v="5"/>
    <n v="3"/>
    <n v="3"/>
    <n v="5"/>
    <n v="4"/>
    <n v="0"/>
    <n v="4"/>
    <s v="Bachelor"/>
    <s v="Very High"/>
    <s v="High"/>
    <x v="0"/>
    <s v="High"/>
    <s v="Excellent"/>
    <s v="Low"/>
    <x v="1"/>
    <s v="No_stock"/>
    <x v="0"/>
  </r>
  <r>
    <x v="12"/>
    <x v="1"/>
    <x v="0"/>
    <n v="691"/>
    <x v="0"/>
    <n v="7"/>
    <n v="3"/>
    <x v="3"/>
    <n v="438"/>
    <n v="4"/>
    <x v="1"/>
    <n v="3"/>
    <n v="2"/>
    <x v="0"/>
    <n v="4"/>
    <s v="Divorced"/>
    <n v="7547"/>
    <n v="4"/>
    <x v="1"/>
    <n v="12"/>
    <n v="3"/>
    <n v="4"/>
    <n v="3"/>
    <n v="13"/>
    <n v="3"/>
    <n v="3"/>
    <n v="7"/>
    <n v="7"/>
    <n v="1"/>
    <n v="7"/>
    <s v="Bachelor"/>
    <s v="Very High"/>
    <s v="High"/>
    <x v="0"/>
    <s v="Very High"/>
    <s v="Excellent"/>
    <s v="Very High"/>
    <x v="1"/>
    <s v="High"/>
    <x v="1"/>
  </r>
  <r>
    <x v="5"/>
    <x v="1"/>
    <x v="0"/>
    <n v="1018"/>
    <x v="1"/>
    <n v="2"/>
    <n v="4"/>
    <x v="2"/>
    <n v="439"/>
    <n v="1"/>
    <x v="0"/>
    <n v="4"/>
    <n v="2"/>
    <x v="1"/>
    <n v="4"/>
    <s v="Single"/>
    <n v="5055"/>
    <n v="7"/>
    <x v="1"/>
    <n v="16"/>
    <n v="3"/>
    <n v="3"/>
    <n v="0"/>
    <n v="10"/>
    <n v="0"/>
    <n v="2"/>
    <n v="7"/>
    <n v="7"/>
    <n v="0"/>
    <n v="7"/>
    <s v="Master"/>
    <s v="Low"/>
    <s v="Very High"/>
    <x v="0"/>
    <s v="Very High"/>
    <s v="Excellent"/>
    <s v="High"/>
    <x v="2"/>
    <s v="No_stock"/>
    <x v="0"/>
  </r>
  <r>
    <x v="14"/>
    <x v="0"/>
    <x v="0"/>
    <n v="1157"/>
    <x v="1"/>
    <n v="2"/>
    <n v="4"/>
    <x v="2"/>
    <n v="440"/>
    <n v="1"/>
    <x v="1"/>
    <n v="1"/>
    <n v="1"/>
    <x v="1"/>
    <n v="4"/>
    <s v="Married"/>
    <n v="3464"/>
    <n v="5"/>
    <x v="0"/>
    <n v="13"/>
    <n v="3"/>
    <n v="4"/>
    <n v="0"/>
    <n v="5"/>
    <n v="4"/>
    <n v="2"/>
    <n v="3"/>
    <n v="2"/>
    <n v="2"/>
    <n v="2"/>
    <s v="Master"/>
    <s v="Low"/>
    <s v="Low"/>
    <x v="1"/>
    <s v="Very High"/>
    <s v="Excellent"/>
    <s v="Very High"/>
    <x v="2"/>
    <s v="No_stock"/>
    <x v="0"/>
  </r>
  <r>
    <x v="7"/>
    <x v="1"/>
    <x v="0"/>
    <n v="1275"/>
    <x v="1"/>
    <n v="28"/>
    <n v="2"/>
    <x v="2"/>
    <n v="441"/>
    <n v="4"/>
    <x v="0"/>
    <n v="3"/>
    <n v="2"/>
    <x v="1"/>
    <n v="4"/>
    <s v="Married"/>
    <n v="5775"/>
    <n v="1"/>
    <x v="1"/>
    <n v="13"/>
    <n v="3"/>
    <n v="4"/>
    <n v="2"/>
    <n v="11"/>
    <n v="2"/>
    <n v="3"/>
    <n v="10"/>
    <n v="8"/>
    <n v="1"/>
    <n v="9"/>
    <s v="College"/>
    <s v="Very High"/>
    <s v="High"/>
    <x v="0"/>
    <s v="Very High"/>
    <s v="Excellent"/>
    <s v="Very High"/>
    <x v="1"/>
    <s v="Medium"/>
    <x v="2"/>
  </r>
  <r>
    <x v="12"/>
    <x v="1"/>
    <x v="1"/>
    <n v="798"/>
    <x v="1"/>
    <n v="7"/>
    <n v="2"/>
    <x v="0"/>
    <n v="442"/>
    <n v="3"/>
    <x v="0"/>
    <n v="2"/>
    <n v="3"/>
    <x v="3"/>
    <n v="3"/>
    <s v="Married"/>
    <n v="8943"/>
    <n v="1"/>
    <x v="1"/>
    <n v="24"/>
    <n v="4"/>
    <n v="1"/>
    <n v="1"/>
    <n v="10"/>
    <n v="2"/>
    <n v="3"/>
    <n v="10"/>
    <n v="9"/>
    <n v="8"/>
    <n v="9"/>
    <s v="College"/>
    <s v="High"/>
    <s v="Medium"/>
    <x v="2"/>
    <s v="High"/>
    <s v="Outstanding"/>
    <s v="Low"/>
    <x v="1"/>
    <s v="Low"/>
    <x v="1"/>
  </r>
  <r>
    <x v="22"/>
    <x v="1"/>
    <x v="1"/>
    <n v="672"/>
    <x v="1"/>
    <n v="7"/>
    <n v="2"/>
    <x v="2"/>
    <n v="444"/>
    <n v="3"/>
    <x v="1"/>
    <n v="2"/>
    <n v="5"/>
    <x v="5"/>
    <n v="4"/>
    <s v="Married"/>
    <n v="19272"/>
    <n v="1"/>
    <x v="1"/>
    <n v="15"/>
    <n v="3"/>
    <n v="1"/>
    <n v="1"/>
    <n v="21"/>
    <n v="2"/>
    <n v="3"/>
    <n v="21"/>
    <n v="9"/>
    <n v="13"/>
    <n v="3"/>
    <s v="College"/>
    <s v="High"/>
    <s v="Medium"/>
    <x v="4"/>
    <s v="Very High"/>
    <s v="Excellent"/>
    <s v="Low"/>
    <x v="1"/>
    <s v="Low"/>
    <x v="1"/>
  </r>
  <r>
    <x v="22"/>
    <x v="0"/>
    <x v="0"/>
    <n v="1162"/>
    <x v="0"/>
    <n v="3"/>
    <n v="2"/>
    <x v="2"/>
    <n v="445"/>
    <n v="4"/>
    <x v="0"/>
    <n v="3"/>
    <n v="2"/>
    <x v="0"/>
    <n v="3"/>
    <s v="Married"/>
    <n v="5238"/>
    <n v="4"/>
    <x v="0"/>
    <n v="18"/>
    <n v="3"/>
    <n v="1"/>
    <n v="0"/>
    <n v="12"/>
    <n v="3"/>
    <n v="2"/>
    <n v="1"/>
    <n v="0"/>
    <n v="0"/>
    <n v="0"/>
    <s v="College"/>
    <s v="Very High"/>
    <s v="High"/>
    <x v="0"/>
    <s v="High"/>
    <s v="Excellent"/>
    <s v="Low"/>
    <x v="2"/>
    <s v="No_stock"/>
    <x v="0"/>
  </r>
  <r>
    <x v="3"/>
    <x v="1"/>
    <x v="1"/>
    <n v="508"/>
    <x v="0"/>
    <n v="10"/>
    <n v="3"/>
    <x v="3"/>
    <n v="446"/>
    <n v="2"/>
    <x v="1"/>
    <n v="2"/>
    <n v="2"/>
    <x v="0"/>
    <n v="4"/>
    <s v="Single"/>
    <n v="4682"/>
    <n v="3"/>
    <x v="1"/>
    <n v="14"/>
    <n v="3"/>
    <n v="3"/>
    <n v="0"/>
    <n v="9"/>
    <n v="6"/>
    <n v="2"/>
    <n v="7"/>
    <n v="7"/>
    <n v="0"/>
    <n v="1"/>
    <s v="Bachelor"/>
    <s v="Medium"/>
    <s v="Medium"/>
    <x v="0"/>
    <s v="Very High"/>
    <s v="Excellent"/>
    <s v="High"/>
    <x v="2"/>
    <s v="No_stock"/>
    <x v="1"/>
  </r>
  <r>
    <x v="40"/>
    <x v="1"/>
    <x v="0"/>
    <n v="1482"/>
    <x v="1"/>
    <n v="5"/>
    <n v="5"/>
    <x v="0"/>
    <n v="447"/>
    <n v="4"/>
    <x v="1"/>
    <n v="3"/>
    <n v="5"/>
    <x v="7"/>
    <n v="3"/>
    <s v="Married"/>
    <n v="18300"/>
    <n v="4"/>
    <x v="1"/>
    <n v="11"/>
    <n v="3"/>
    <n v="2"/>
    <n v="1"/>
    <n v="21"/>
    <n v="2"/>
    <n v="3"/>
    <n v="3"/>
    <n v="2"/>
    <n v="1"/>
    <n v="1"/>
    <s v="Doctor"/>
    <s v="Very High"/>
    <s v="High"/>
    <x v="4"/>
    <s v="High"/>
    <s v="Excellent"/>
    <s v="Medium"/>
    <x v="1"/>
    <s v="Low"/>
    <x v="0"/>
  </r>
  <r>
    <x v="23"/>
    <x v="1"/>
    <x v="1"/>
    <n v="559"/>
    <x v="1"/>
    <n v="10"/>
    <n v="4"/>
    <x v="0"/>
    <n v="448"/>
    <n v="3"/>
    <x v="0"/>
    <n v="2"/>
    <n v="2"/>
    <x v="2"/>
    <n v="3"/>
    <s v="Divorced"/>
    <n v="5257"/>
    <n v="1"/>
    <x v="1"/>
    <n v="11"/>
    <n v="3"/>
    <n v="2"/>
    <n v="1"/>
    <n v="9"/>
    <n v="3"/>
    <n v="4"/>
    <n v="9"/>
    <n v="7"/>
    <n v="0"/>
    <n v="0"/>
    <s v="Master"/>
    <s v="High"/>
    <s v="Medium"/>
    <x v="0"/>
    <s v="High"/>
    <s v="Excellent"/>
    <s v="Medium"/>
    <x v="3"/>
    <s v="Low"/>
    <x v="1"/>
  </r>
  <r>
    <x v="4"/>
    <x v="1"/>
    <x v="2"/>
    <n v="210"/>
    <x v="0"/>
    <n v="1"/>
    <n v="1"/>
    <x v="3"/>
    <n v="449"/>
    <n v="3"/>
    <x v="1"/>
    <n v="3"/>
    <n v="2"/>
    <x v="0"/>
    <n v="2"/>
    <s v="Married"/>
    <n v="6349"/>
    <n v="0"/>
    <x v="0"/>
    <n v="13"/>
    <n v="3"/>
    <n v="4"/>
    <n v="1"/>
    <n v="6"/>
    <n v="0"/>
    <n v="3"/>
    <n v="5"/>
    <n v="4"/>
    <n v="1"/>
    <n v="4"/>
    <s v="Before College"/>
    <s v="High"/>
    <s v="High"/>
    <x v="0"/>
    <s v="Medium"/>
    <s v="Excellent"/>
    <s v="Very High"/>
    <x v="1"/>
    <s v="Low"/>
    <x v="0"/>
  </r>
  <r>
    <x v="33"/>
    <x v="1"/>
    <x v="1"/>
    <n v="928"/>
    <x v="1"/>
    <n v="20"/>
    <n v="4"/>
    <x v="0"/>
    <n v="450"/>
    <n v="4"/>
    <x v="0"/>
    <n v="3"/>
    <n v="2"/>
    <x v="1"/>
    <n v="3"/>
    <s v="Single"/>
    <n v="4869"/>
    <n v="3"/>
    <x v="1"/>
    <n v="12"/>
    <n v="3"/>
    <n v="4"/>
    <n v="0"/>
    <n v="20"/>
    <n v="4"/>
    <n v="2"/>
    <n v="4"/>
    <n v="3"/>
    <n v="0"/>
    <n v="3"/>
    <s v="Master"/>
    <s v="Very High"/>
    <s v="High"/>
    <x v="0"/>
    <s v="High"/>
    <s v="Excellent"/>
    <s v="Very High"/>
    <x v="2"/>
    <s v="No_stock"/>
    <x v="2"/>
  </r>
  <r>
    <x v="23"/>
    <x v="1"/>
    <x v="0"/>
    <n v="1001"/>
    <x v="1"/>
    <n v="7"/>
    <n v="3"/>
    <x v="0"/>
    <n v="451"/>
    <n v="3"/>
    <x v="0"/>
    <n v="3"/>
    <n v="3"/>
    <x v="4"/>
    <n v="1"/>
    <s v="Married"/>
    <n v="9985"/>
    <n v="8"/>
    <x v="1"/>
    <n v="16"/>
    <n v="3"/>
    <n v="1"/>
    <n v="1"/>
    <n v="10"/>
    <n v="1"/>
    <n v="2"/>
    <n v="1"/>
    <n v="0"/>
    <n v="0"/>
    <n v="0"/>
    <s v="Bachelor"/>
    <s v="High"/>
    <s v="High"/>
    <x v="2"/>
    <s v="Low"/>
    <s v="Excellent"/>
    <s v="Low"/>
    <x v="2"/>
    <s v="Low"/>
    <x v="1"/>
  </r>
  <r>
    <x v="28"/>
    <x v="1"/>
    <x v="0"/>
    <n v="549"/>
    <x v="1"/>
    <n v="8"/>
    <n v="4"/>
    <x v="1"/>
    <n v="452"/>
    <n v="4"/>
    <x v="1"/>
    <n v="3"/>
    <n v="2"/>
    <x v="1"/>
    <n v="4"/>
    <s v="Married"/>
    <n v="3697"/>
    <n v="9"/>
    <x v="1"/>
    <n v="14"/>
    <n v="3"/>
    <n v="1"/>
    <n v="2"/>
    <n v="12"/>
    <n v="3"/>
    <n v="3"/>
    <n v="10"/>
    <n v="9"/>
    <n v="9"/>
    <n v="8"/>
    <s v="Master"/>
    <s v="Very High"/>
    <s v="High"/>
    <x v="0"/>
    <s v="Very High"/>
    <s v="Excellent"/>
    <s v="Low"/>
    <x v="1"/>
    <s v="Medium"/>
    <x v="1"/>
  </r>
  <r>
    <x v="32"/>
    <x v="1"/>
    <x v="0"/>
    <n v="1124"/>
    <x v="0"/>
    <n v="1"/>
    <n v="2"/>
    <x v="2"/>
    <n v="453"/>
    <n v="2"/>
    <x v="1"/>
    <n v="1"/>
    <n v="2"/>
    <x v="0"/>
    <n v="4"/>
    <s v="Married"/>
    <n v="7457"/>
    <n v="2"/>
    <x v="0"/>
    <n v="22"/>
    <n v="4"/>
    <n v="3"/>
    <n v="3"/>
    <n v="6"/>
    <n v="2"/>
    <n v="2"/>
    <n v="4"/>
    <n v="3"/>
    <n v="0"/>
    <n v="2"/>
    <s v="College"/>
    <s v="Medium"/>
    <s v="Low"/>
    <x v="0"/>
    <s v="Very High"/>
    <s v="Outstanding"/>
    <s v="High"/>
    <x v="2"/>
    <s v="High"/>
    <x v="0"/>
  </r>
  <r>
    <x v="11"/>
    <x v="0"/>
    <x v="0"/>
    <n v="318"/>
    <x v="1"/>
    <n v="8"/>
    <n v="4"/>
    <x v="1"/>
    <n v="454"/>
    <n v="2"/>
    <x v="1"/>
    <n v="1"/>
    <n v="1"/>
    <x v="2"/>
    <n v="1"/>
    <s v="Married"/>
    <n v="2119"/>
    <n v="1"/>
    <x v="0"/>
    <n v="11"/>
    <n v="3"/>
    <n v="4"/>
    <n v="0"/>
    <n v="7"/>
    <n v="4"/>
    <n v="2"/>
    <n v="7"/>
    <n v="7"/>
    <n v="0"/>
    <n v="7"/>
    <s v="Master"/>
    <s v="Medium"/>
    <s v="Low"/>
    <x v="1"/>
    <s v="Low"/>
    <s v="Excellent"/>
    <s v="Very High"/>
    <x v="2"/>
    <s v="No_stock"/>
    <x v="1"/>
  </r>
  <r>
    <x v="11"/>
    <x v="1"/>
    <x v="0"/>
    <n v="738"/>
    <x v="1"/>
    <n v="9"/>
    <n v="5"/>
    <x v="1"/>
    <n v="455"/>
    <n v="2"/>
    <x v="1"/>
    <n v="2"/>
    <n v="1"/>
    <x v="2"/>
    <n v="4"/>
    <s v="Single"/>
    <n v="3983"/>
    <n v="0"/>
    <x v="1"/>
    <n v="17"/>
    <n v="3"/>
    <n v="3"/>
    <n v="0"/>
    <n v="4"/>
    <n v="2"/>
    <n v="3"/>
    <n v="3"/>
    <n v="2"/>
    <n v="2"/>
    <n v="2"/>
    <s v="Doctor"/>
    <s v="Medium"/>
    <s v="Medium"/>
    <x v="1"/>
    <s v="Very High"/>
    <s v="Excellent"/>
    <s v="High"/>
    <x v="1"/>
    <s v="No_stock"/>
    <x v="1"/>
  </r>
  <r>
    <x v="7"/>
    <x v="1"/>
    <x v="0"/>
    <n v="570"/>
    <x v="0"/>
    <n v="5"/>
    <n v="3"/>
    <x v="3"/>
    <n v="456"/>
    <n v="4"/>
    <x v="0"/>
    <n v="2"/>
    <n v="2"/>
    <x v="0"/>
    <n v="3"/>
    <s v="Divorced"/>
    <n v="6118"/>
    <n v="1"/>
    <x v="1"/>
    <n v="13"/>
    <n v="3"/>
    <n v="3"/>
    <n v="3"/>
    <n v="10"/>
    <n v="2"/>
    <n v="3"/>
    <n v="10"/>
    <n v="9"/>
    <n v="1"/>
    <n v="2"/>
    <s v="Bachelor"/>
    <s v="Very High"/>
    <s v="Medium"/>
    <x v="0"/>
    <s v="High"/>
    <s v="Excellent"/>
    <s v="High"/>
    <x v="1"/>
    <s v="High"/>
    <x v="0"/>
  </r>
  <r>
    <x v="4"/>
    <x v="1"/>
    <x v="0"/>
    <n v="1130"/>
    <x v="0"/>
    <n v="8"/>
    <n v="4"/>
    <x v="3"/>
    <n v="458"/>
    <n v="2"/>
    <x v="0"/>
    <n v="3"/>
    <n v="2"/>
    <x v="0"/>
    <n v="2"/>
    <s v="Married"/>
    <n v="6214"/>
    <n v="1"/>
    <x v="1"/>
    <n v="18"/>
    <n v="3"/>
    <n v="1"/>
    <n v="1"/>
    <n v="8"/>
    <n v="3"/>
    <n v="3"/>
    <n v="8"/>
    <n v="7"/>
    <n v="0"/>
    <n v="7"/>
    <s v="Master"/>
    <s v="Medium"/>
    <s v="High"/>
    <x v="0"/>
    <s v="Medium"/>
    <s v="Excellent"/>
    <s v="Low"/>
    <x v="1"/>
    <s v="Low"/>
    <x v="1"/>
  </r>
  <r>
    <x v="2"/>
    <x v="1"/>
    <x v="0"/>
    <n v="1192"/>
    <x v="1"/>
    <n v="5"/>
    <n v="2"/>
    <x v="2"/>
    <n v="460"/>
    <n v="4"/>
    <x v="1"/>
    <n v="3"/>
    <n v="2"/>
    <x v="3"/>
    <n v="4"/>
    <s v="Divorced"/>
    <n v="6347"/>
    <n v="7"/>
    <x v="1"/>
    <n v="16"/>
    <n v="3"/>
    <n v="3"/>
    <n v="2"/>
    <n v="8"/>
    <n v="2"/>
    <n v="2"/>
    <n v="6"/>
    <n v="2"/>
    <n v="0"/>
    <n v="4"/>
    <s v="College"/>
    <s v="Very High"/>
    <s v="High"/>
    <x v="0"/>
    <s v="Very High"/>
    <s v="Excellent"/>
    <s v="High"/>
    <x v="2"/>
    <s v="Medium"/>
    <x v="0"/>
  </r>
  <r>
    <x v="8"/>
    <x v="1"/>
    <x v="0"/>
    <n v="343"/>
    <x v="1"/>
    <n v="15"/>
    <n v="2"/>
    <x v="0"/>
    <n v="461"/>
    <n v="3"/>
    <x v="1"/>
    <n v="2"/>
    <n v="3"/>
    <x v="7"/>
    <n v="4"/>
    <s v="Divorced"/>
    <n v="11510"/>
    <n v="0"/>
    <x v="0"/>
    <n v="14"/>
    <n v="3"/>
    <n v="2"/>
    <n v="1"/>
    <n v="12"/>
    <n v="3"/>
    <n v="3"/>
    <n v="11"/>
    <n v="10"/>
    <n v="2"/>
    <n v="9"/>
    <s v="College"/>
    <s v="High"/>
    <s v="Medium"/>
    <x v="2"/>
    <s v="Very High"/>
    <s v="Excellent"/>
    <s v="Medium"/>
    <x v="1"/>
    <s v="Low"/>
    <x v="1"/>
  </r>
  <r>
    <x v="12"/>
    <x v="1"/>
    <x v="0"/>
    <n v="1232"/>
    <x v="1"/>
    <n v="7"/>
    <n v="4"/>
    <x v="2"/>
    <n v="462"/>
    <n v="3"/>
    <x v="0"/>
    <n v="3"/>
    <n v="3"/>
    <x v="3"/>
    <n v="4"/>
    <s v="Single"/>
    <n v="7143"/>
    <n v="1"/>
    <x v="0"/>
    <n v="14"/>
    <n v="3"/>
    <n v="3"/>
    <n v="0"/>
    <n v="11"/>
    <n v="2"/>
    <n v="2"/>
    <n v="11"/>
    <n v="9"/>
    <n v="4"/>
    <n v="10"/>
    <s v="Master"/>
    <s v="High"/>
    <s v="High"/>
    <x v="2"/>
    <s v="Very High"/>
    <s v="Excellent"/>
    <s v="High"/>
    <x v="2"/>
    <s v="No_stock"/>
    <x v="1"/>
  </r>
  <r>
    <x v="11"/>
    <x v="1"/>
    <x v="0"/>
    <n v="144"/>
    <x v="0"/>
    <n v="10"/>
    <n v="1"/>
    <x v="3"/>
    <n v="463"/>
    <n v="4"/>
    <x v="0"/>
    <n v="2"/>
    <n v="2"/>
    <x v="0"/>
    <n v="2"/>
    <s v="Divorced"/>
    <n v="8268"/>
    <n v="1"/>
    <x v="0"/>
    <n v="14"/>
    <n v="3"/>
    <n v="1"/>
    <n v="2"/>
    <n v="7"/>
    <n v="2"/>
    <n v="3"/>
    <n v="7"/>
    <n v="7"/>
    <n v="1"/>
    <n v="7"/>
    <s v="Before College"/>
    <s v="Very High"/>
    <s v="Medium"/>
    <x v="0"/>
    <s v="Medium"/>
    <s v="Excellent"/>
    <s v="Low"/>
    <x v="1"/>
    <s v="Medium"/>
    <x v="1"/>
  </r>
  <r>
    <x v="10"/>
    <x v="1"/>
    <x v="0"/>
    <n v="1296"/>
    <x v="1"/>
    <n v="5"/>
    <n v="4"/>
    <x v="4"/>
    <n v="464"/>
    <n v="3"/>
    <x v="1"/>
    <n v="3"/>
    <n v="3"/>
    <x v="3"/>
    <n v="2"/>
    <s v="Single"/>
    <n v="8095"/>
    <n v="0"/>
    <x v="1"/>
    <n v="13"/>
    <n v="3"/>
    <n v="4"/>
    <n v="0"/>
    <n v="17"/>
    <n v="5"/>
    <n v="3"/>
    <n v="16"/>
    <n v="6"/>
    <n v="0"/>
    <n v="13"/>
    <s v="Master"/>
    <s v="High"/>
    <s v="High"/>
    <x v="2"/>
    <s v="Medium"/>
    <s v="Excellent"/>
    <s v="Very High"/>
    <x v="1"/>
    <s v="No_stock"/>
    <x v="0"/>
  </r>
  <r>
    <x v="30"/>
    <x v="1"/>
    <x v="0"/>
    <n v="1309"/>
    <x v="1"/>
    <n v="26"/>
    <n v="1"/>
    <x v="0"/>
    <n v="465"/>
    <n v="3"/>
    <x v="1"/>
    <n v="3"/>
    <n v="1"/>
    <x v="1"/>
    <n v="4"/>
    <s v="Divorced"/>
    <n v="2904"/>
    <n v="1"/>
    <x v="1"/>
    <n v="12"/>
    <n v="3"/>
    <n v="3"/>
    <n v="2"/>
    <n v="4"/>
    <n v="2"/>
    <n v="2"/>
    <n v="4"/>
    <n v="2"/>
    <n v="0"/>
    <n v="2"/>
    <s v="Before College"/>
    <s v="High"/>
    <s v="High"/>
    <x v="1"/>
    <s v="Very High"/>
    <s v="Excellent"/>
    <s v="High"/>
    <x v="2"/>
    <s v="Medium"/>
    <x v="2"/>
  </r>
  <r>
    <x v="0"/>
    <x v="1"/>
    <x v="0"/>
    <n v="483"/>
    <x v="1"/>
    <n v="6"/>
    <n v="3"/>
    <x v="2"/>
    <n v="466"/>
    <n v="4"/>
    <x v="1"/>
    <n v="2"/>
    <n v="2"/>
    <x v="3"/>
    <n v="2"/>
    <s v="Single"/>
    <n v="6032"/>
    <n v="6"/>
    <x v="0"/>
    <n v="15"/>
    <n v="3"/>
    <n v="4"/>
    <n v="0"/>
    <n v="8"/>
    <n v="3"/>
    <n v="3"/>
    <n v="5"/>
    <n v="4"/>
    <n v="1"/>
    <n v="2"/>
    <s v="Bachelor"/>
    <s v="Very High"/>
    <s v="Medium"/>
    <x v="0"/>
    <s v="Medium"/>
    <s v="Excellent"/>
    <s v="Very High"/>
    <x v="1"/>
    <s v="No_stock"/>
    <x v="1"/>
  </r>
  <r>
    <x v="40"/>
    <x v="1"/>
    <x v="1"/>
    <n v="1309"/>
    <x v="0"/>
    <n v="4"/>
    <n v="1"/>
    <x v="2"/>
    <n v="467"/>
    <n v="2"/>
    <x v="1"/>
    <n v="3"/>
    <n v="2"/>
    <x v="6"/>
    <n v="3"/>
    <s v="Single"/>
    <n v="2976"/>
    <n v="3"/>
    <x v="1"/>
    <n v="19"/>
    <n v="3"/>
    <n v="1"/>
    <n v="0"/>
    <n v="5"/>
    <n v="3"/>
    <n v="3"/>
    <n v="0"/>
    <n v="0"/>
    <n v="0"/>
    <n v="0"/>
    <s v="Before College"/>
    <s v="Medium"/>
    <s v="High"/>
    <x v="0"/>
    <s v="High"/>
    <s v="Excellent"/>
    <s v="Low"/>
    <x v="1"/>
    <s v="No_stock"/>
    <x v="0"/>
  </r>
  <r>
    <x v="19"/>
    <x v="1"/>
    <x v="0"/>
    <n v="810"/>
    <x v="1"/>
    <n v="23"/>
    <n v="5"/>
    <x v="0"/>
    <n v="468"/>
    <n v="1"/>
    <x v="0"/>
    <n v="3"/>
    <n v="4"/>
    <x v="7"/>
    <n v="4"/>
    <s v="Single"/>
    <n v="15992"/>
    <n v="2"/>
    <x v="1"/>
    <n v="14"/>
    <n v="3"/>
    <n v="2"/>
    <n v="0"/>
    <n v="16"/>
    <n v="2"/>
    <n v="3"/>
    <n v="1"/>
    <n v="0"/>
    <n v="0"/>
    <n v="0"/>
    <s v="Doctor"/>
    <s v="Low"/>
    <s v="High"/>
    <x v="3"/>
    <s v="Very High"/>
    <s v="Excellent"/>
    <s v="Medium"/>
    <x v="1"/>
    <s v="No_stock"/>
    <x v="2"/>
  </r>
  <r>
    <x v="11"/>
    <x v="1"/>
    <x v="2"/>
    <n v="746"/>
    <x v="0"/>
    <n v="2"/>
    <n v="3"/>
    <x v="0"/>
    <n v="469"/>
    <n v="4"/>
    <x v="1"/>
    <n v="3"/>
    <n v="2"/>
    <x v="0"/>
    <n v="3"/>
    <s v="Married"/>
    <n v="4649"/>
    <n v="1"/>
    <x v="1"/>
    <n v="14"/>
    <n v="3"/>
    <n v="1"/>
    <n v="1"/>
    <n v="4"/>
    <n v="3"/>
    <n v="2"/>
    <n v="4"/>
    <n v="3"/>
    <n v="0"/>
    <n v="2"/>
    <s v="Bachelor"/>
    <s v="Very High"/>
    <s v="High"/>
    <x v="0"/>
    <s v="High"/>
    <s v="Excellent"/>
    <s v="Low"/>
    <x v="2"/>
    <s v="Low"/>
    <x v="0"/>
  </r>
  <r>
    <x v="19"/>
    <x v="1"/>
    <x v="0"/>
    <n v="544"/>
    <x v="2"/>
    <n v="2"/>
    <n v="1"/>
    <x v="4"/>
    <n v="470"/>
    <n v="3"/>
    <x v="1"/>
    <n v="3"/>
    <n v="1"/>
    <x v="8"/>
    <n v="3"/>
    <s v="Divorced"/>
    <n v="2696"/>
    <n v="0"/>
    <x v="0"/>
    <n v="11"/>
    <n v="3"/>
    <n v="3"/>
    <n v="1"/>
    <n v="4"/>
    <n v="5"/>
    <n v="3"/>
    <n v="3"/>
    <n v="2"/>
    <n v="1"/>
    <n v="0"/>
    <s v="Before College"/>
    <s v="High"/>
    <s v="High"/>
    <x v="1"/>
    <s v="High"/>
    <s v="Excellent"/>
    <s v="High"/>
    <x v="1"/>
    <s v="Low"/>
    <x v="0"/>
  </r>
  <r>
    <x v="5"/>
    <x v="1"/>
    <x v="0"/>
    <n v="1062"/>
    <x v="1"/>
    <n v="2"/>
    <n v="3"/>
    <x v="2"/>
    <n v="471"/>
    <n v="3"/>
    <x v="0"/>
    <n v="3"/>
    <n v="1"/>
    <x v="2"/>
    <n v="2"/>
    <s v="Married"/>
    <n v="2370"/>
    <n v="1"/>
    <x v="1"/>
    <n v="13"/>
    <n v="3"/>
    <n v="3"/>
    <n v="1"/>
    <n v="8"/>
    <n v="4"/>
    <n v="3"/>
    <n v="8"/>
    <n v="0"/>
    <n v="0"/>
    <n v="7"/>
    <s v="Bachelor"/>
    <s v="High"/>
    <s v="High"/>
    <x v="1"/>
    <s v="Medium"/>
    <s v="Excellent"/>
    <s v="High"/>
    <x v="1"/>
    <s v="Low"/>
    <x v="0"/>
  </r>
  <r>
    <x v="26"/>
    <x v="1"/>
    <x v="0"/>
    <n v="530"/>
    <x v="0"/>
    <n v="29"/>
    <n v="1"/>
    <x v="2"/>
    <n v="473"/>
    <n v="1"/>
    <x v="0"/>
    <n v="3"/>
    <n v="3"/>
    <x v="5"/>
    <n v="3"/>
    <s v="Married"/>
    <n v="12504"/>
    <n v="3"/>
    <x v="1"/>
    <n v="21"/>
    <n v="4"/>
    <n v="2"/>
    <n v="1"/>
    <n v="15"/>
    <n v="3"/>
    <n v="1"/>
    <n v="0"/>
    <n v="0"/>
    <n v="0"/>
    <n v="0"/>
    <s v="Before College"/>
    <s v="Low"/>
    <s v="High"/>
    <x v="2"/>
    <s v="High"/>
    <s v="Outstanding"/>
    <s v="Medium"/>
    <x v="0"/>
    <s v="Low"/>
    <x v="2"/>
  </r>
  <r>
    <x v="2"/>
    <x v="1"/>
    <x v="0"/>
    <n v="1319"/>
    <x v="1"/>
    <n v="6"/>
    <n v="3"/>
    <x v="2"/>
    <n v="474"/>
    <n v="3"/>
    <x v="1"/>
    <n v="4"/>
    <n v="2"/>
    <x v="1"/>
    <n v="1"/>
    <s v="Divorced"/>
    <n v="5974"/>
    <n v="4"/>
    <x v="0"/>
    <n v="13"/>
    <n v="3"/>
    <n v="1"/>
    <n v="2"/>
    <n v="13"/>
    <n v="2"/>
    <n v="3"/>
    <n v="7"/>
    <n v="7"/>
    <n v="6"/>
    <n v="7"/>
    <s v="Bachelor"/>
    <s v="High"/>
    <s v="Very High"/>
    <x v="0"/>
    <s v="Low"/>
    <s v="Excellent"/>
    <s v="Low"/>
    <x v="1"/>
    <s v="Medium"/>
    <x v="1"/>
  </r>
  <r>
    <x v="7"/>
    <x v="1"/>
    <x v="2"/>
    <n v="641"/>
    <x v="0"/>
    <n v="25"/>
    <n v="2"/>
    <x v="4"/>
    <n v="475"/>
    <n v="4"/>
    <x v="0"/>
    <n v="3"/>
    <n v="2"/>
    <x v="0"/>
    <n v="3"/>
    <s v="Married"/>
    <n v="4736"/>
    <n v="7"/>
    <x v="0"/>
    <n v="12"/>
    <n v="3"/>
    <n v="2"/>
    <n v="1"/>
    <n v="4"/>
    <n v="2"/>
    <n v="4"/>
    <n v="2"/>
    <n v="2"/>
    <n v="2"/>
    <n v="2"/>
    <s v="College"/>
    <s v="Very High"/>
    <s v="High"/>
    <x v="0"/>
    <s v="High"/>
    <s v="Excellent"/>
    <s v="Medium"/>
    <x v="3"/>
    <s v="Low"/>
    <x v="2"/>
  </r>
  <r>
    <x v="25"/>
    <x v="1"/>
    <x v="0"/>
    <n v="933"/>
    <x v="0"/>
    <n v="1"/>
    <n v="3"/>
    <x v="0"/>
    <n v="476"/>
    <n v="3"/>
    <x v="1"/>
    <n v="3"/>
    <n v="2"/>
    <x v="0"/>
    <n v="3"/>
    <s v="Married"/>
    <n v="5296"/>
    <n v="1"/>
    <x v="1"/>
    <n v="17"/>
    <n v="3"/>
    <n v="2"/>
    <n v="1"/>
    <n v="8"/>
    <n v="3"/>
    <n v="3"/>
    <n v="8"/>
    <n v="7"/>
    <n v="7"/>
    <n v="7"/>
    <s v="Bachelor"/>
    <s v="High"/>
    <s v="High"/>
    <x v="0"/>
    <s v="High"/>
    <s v="Excellent"/>
    <s v="Medium"/>
    <x v="1"/>
    <s v="Low"/>
    <x v="0"/>
  </r>
  <r>
    <x v="19"/>
    <x v="1"/>
    <x v="0"/>
    <n v="1332"/>
    <x v="1"/>
    <n v="2"/>
    <n v="4"/>
    <x v="1"/>
    <n v="477"/>
    <n v="1"/>
    <x v="1"/>
    <n v="2"/>
    <n v="2"/>
    <x v="4"/>
    <n v="4"/>
    <s v="Single"/>
    <n v="6781"/>
    <n v="3"/>
    <x v="1"/>
    <n v="23"/>
    <n v="4"/>
    <n v="2"/>
    <n v="0"/>
    <n v="14"/>
    <n v="6"/>
    <n v="3"/>
    <n v="1"/>
    <n v="0"/>
    <n v="0"/>
    <n v="0"/>
    <s v="Master"/>
    <s v="Low"/>
    <s v="Medium"/>
    <x v="0"/>
    <s v="Very High"/>
    <s v="Outstanding"/>
    <s v="Medium"/>
    <x v="1"/>
    <s v="No_stock"/>
    <x v="0"/>
  </r>
  <r>
    <x v="18"/>
    <x v="0"/>
    <x v="1"/>
    <n v="756"/>
    <x v="0"/>
    <n v="1"/>
    <n v="1"/>
    <x v="4"/>
    <n v="478"/>
    <n v="1"/>
    <x v="0"/>
    <n v="2"/>
    <n v="1"/>
    <x v="6"/>
    <n v="2"/>
    <s v="Single"/>
    <n v="2174"/>
    <n v="1"/>
    <x v="0"/>
    <n v="11"/>
    <n v="3"/>
    <n v="3"/>
    <n v="0"/>
    <n v="3"/>
    <n v="3"/>
    <n v="3"/>
    <n v="3"/>
    <n v="2"/>
    <n v="1"/>
    <n v="2"/>
    <s v="Before College"/>
    <s v="Low"/>
    <s v="Medium"/>
    <x v="1"/>
    <s v="Medium"/>
    <s v="Excellent"/>
    <s v="High"/>
    <x v="1"/>
    <s v="No_stock"/>
    <x v="0"/>
  </r>
  <r>
    <x v="9"/>
    <x v="1"/>
    <x v="2"/>
    <n v="845"/>
    <x v="0"/>
    <n v="1"/>
    <n v="5"/>
    <x v="2"/>
    <n v="479"/>
    <n v="4"/>
    <x v="0"/>
    <n v="3"/>
    <n v="2"/>
    <x v="0"/>
    <n v="4"/>
    <s v="Single"/>
    <n v="6653"/>
    <n v="4"/>
    <x v="1"/>
    <n v="15"/>
    <n v="3"/>
    <n v="2"/>
    <n v="0"/>
    <n v="7"/>
    <n v="6"/>
    <n v="3"/>
    <n v="1"/>
    <n v="0"/>
    <n v="0"/>
    <n v="0"/>
    <s v="Doctor"/>
    <s v="Very High"/>
    <s v="High"/>
    <x v="0"/>
    <s v="Very High"/>
    <s v="Excellent"/>
    <s v="Medium"/>
    <x v="1"/>
    <s v="No_stock"/>
    <x v="0"/>
  </r>
  <r>
    <x v="9"/>
    <x v="1"/>
    <x v="1"/>
    <n v="541"/>
    <x v="0"/>
    <n v="3"/>
    <n v="4"/>
    <x v="2"/>
    <n v="481"/>
    <n v="1"/>
    <x v="1"/>
    <n v="2"/>
    <n v="3"/>
    <x v="0"/>
    <n v="4"/>
    <s v="Married"/>
    <n v="9699"/>
    <n v="4"/>
    <x v="1"/>
    <n v="11"/>
    <n v="3"/>
    <n v="1"/>
    <n v="1"/>
    <n v="16"/>
    <n v="2"/>
    <n v="3"/>
    <n v="13"/>
    <n v="9"/>
    <n v="1"/>
    <n v="12"/>
    <s v="Master"/>
    <s v="Low"/>
    <s v="Medium"/>
    <x v="2"/>
    <s v="Very High"/>
    <s v="Excellent"/>
    <s v="Low"/>
    <x v="1"/>
    <s v="Low"/>
    <x v="0"/>
  </r>
  <r>
    <x v="38"/>
    <x v="1"/>
    <x v="0"/>
    <n v="593"/>
    <x v="1"/>
    <n v="1"/>
    <n v="4"/>
    <x v="2"/>
    <n v="482"/>
    <n v="4"/>
    <x v="1"/>
    <n v="3"/>
    <n v="2"/>
    <x v="4"/>
    <n v="3"/>
    <s v="Married"/>
    <n v="6755"/>
    <n v="2"/>
    <x v="1"/>
    <n v="11"/>
    <n v="3"/>
    <n v="3"/>
    <n v="0"/>
    <n v="15"/>
    <n v="2"/>
    <n v="3"/>
    <n v="3"/>
    <n v="2"/>
    <n v="1"/>
    <n v="2"/>
    <s v="Master"/>
    <s v="Very High"/>
    <s v="High"/>
    <x v="0"/>
    <s v="High"/>
    <s v="Excellent"/>
    <s v="High"/>
    <x v="1"/>
    <s v="No_stock"/>
    <x v="0"/>
  </r>
  <r>
    <x v="32"/>
    <x v="1"/>
    <x v="0"/>
    <n v="1171"/>
    <x v="1"/>
    <n v="10"/>
    <n v="4"/>
    <x v="0"/>
    <n v="483"/>
    <n v="4"/>
    <x v="0"/>
    <n v="4"/>
    <n v="1"/>
    <x v="2"/>
    <n v="3"/>
    <s v="Married"/>
    <n v="2213"/>
    <n v="3"/>
    <x v="0"/>
    <n v="13"/>
    <n v="3"/>
    <n v="3"/>
    <n v="1"/>
    <n v="10"/>
    <n v="3"/>
    <n v="3"/>
    <n v="7"/>
    <n v="7"/>
    <n v="1"/>
    <n v="7"/>
    <s v="Master"/>
    <s v="Very High"/>
    <s v="Very High"/>
    <x v="1"/>
    <s v="High"/>
    <s v="Excellent"/>
    <s v="High"/>
    <x v="1"/>
    <s v="Low"/>
    <x v="1"/>
  </r>
  <r>
    <x v="18"/>
    <x v="1"/>
    <x v="2"/>
    <n v="895"/>
    <x v="0"/>
    <n v="9"/>
    <n v="2"/>
    <x v="2"/>
    <n v="484"/>
    <n v="1"/>
    <x v="1"/>
    <n v="3"/>
    <n v="1"/>
    <x v="6"/>
    <n v="4"/>
    <s v="Single"/>
    <n v="2610"/>
    <n v="1"/>
    <x v="1"/>
    <n v="24"/>
    <n v="4"/>
    <n v="3"/>
    <n v="0"/>
    <n v="3"/>
    <n v="3"/>
    <n v="2"/>
    <n v="3"/>
    <n v="2"/>
    <n v="2"/>
    <n v="2"/>
    <s v="College"/>
    <s v="Low"/>
    <s v="High"/>
    <x v="1"/>
    <s v="Very High"/>
    <s v="Outstanding"/>
    <s v="High"/>
    <x v="2"/>
    <s v="No_stock"/>
    <x v="1"/>
  </r>
  <r>
    <x v="3"/>
    <x v="0"/>
    <x v="0"/>
    <n v="350"/>
    <x v="0"/>
    <n v="5"/>
    <n v="3"/>
    <x v="3"/>
    <n v="485"/>
    <n v="4"/>
    <x v="0"/>
    <n v="3"/>
    <n v="1"/>
    <x v="6"/>
    <n v="3"/>
    <s v="Single"/>
    <n v="2851"/>
    <n v="1"/>
    <x v="0"/>
    <n v="13"/>
    <n v="3"/>
    <n v="2"/>
    <n v="0"/>
    <n v="1"/>
    <n v="2"/>
    <n v="3"/>
    <n v="1"/>
    <n v="0"/>
    <n v="0"/>
    <n v="0"/>
    <s v="Bachelor"/>
    <s v="Very High"/>
    <s v="High"/>
    <x v="1"/>
    <s v="High"/>
    <s v="Excellent"/>
    <s v="Medium"/>
    <x v="1"/>
    <s v="No_stock"/>
    <x v="0"/>
  </r>
  <r>
    <x v="2"/>
    <x v="1"/>
    <x v="0"/>
    <n v="921"/>
    <x v="1"/>
    <n v="10"/>
    <n v="3"/>
    <x v="2"/>
    <n v="486"/>
    <n v="3"/>
    <x v="0"/>
    <n v="3"/>
    <n v="1"/>
    <x v="2"/>
    <n v="1"/>
    <s v="Married"/>
    <n v="3452"/>
    <n v="6"/>
    <x v="1"/>
    <n v="20"/>
    <n v="4"/>
    <n v="2"/>
    <n v="1"/>
    <n v="17"/>
    <n v="3"/>
    <n v="3"/>
    <n v="5"/>
    <n v="4"/>
    <n v="0"/>
    <n v="3"/>
    <s v="Bachelor"/>
    <s v="High"/>
    <s v="High"/>
    <x v="1"/>
    <s v="Low"/>
    <s v="Outstanding"/>
    <s v="Medium"/>
    <x v="1"/>
    <s v="Low"/>
    <x v="1"/>
  </r>
  <r>
    <x v="21"/>
    <x v="1"/>
    <x v="2"/>
    <n v="1144"/>
    <x v="1"/>
    <n v="7"/>
    <n v="4"/>
    <x v="2"/>
    <n v="487"/>
    <n v="3"/>
    <x v="0"/>
    <n v="3"/>
    <n v="2"/>
    <x v="3"/>
    <n v="3"/>
    <s v="Married"/>
    <n v="5258"/>
    <n v="2"/>
    <x v="1"/>
    <n v="14"/>
    <n v="3"/>
    <n v="3"/>
    <n v="0"/>
    <n v="7"/>
    <n v="2"/>
    <n v="4"/>
    <n v="1"/>
    <n v="0"/>
    <n v="0"/>
    <n v="0"/>
    <s v="Master"/>
    <s v="High"/>
    <s v="High"/>
    <x v="0"/>
    <s v="High"/>
    <s v="Excellent"/>
    <s v="High"/>
    <x v="3"/>
    <s v="No_stock"/>
    <x v="1"/>
  </r>
  <r>
    <x v="0"/>
    <x v="0"/>
    <x v="1"/>
    <n v="143"/>
    <x v="0"/>
    <n v="4"/>
    <n v="3"/>
    <x v="3"/>
    <n v="488"/>
    <n v="1"/>
    <x v="1"/>
    <n v="3"/>
    <n v="2"/>
    <x v="0"/>
    <n v="2"/>
    <s v="Single"/>
    <n v="9355"/>
    <n v="1"/>
    <x v="1"/>
    <n v="18"/>
    <n v="3"/>
    <n v="3"/>
    <n v="0"/>
    <n v="8"/>
    <n v="5"/>
    <n v="3"/>
    <n v="8"/>
    <n v="7"/>
    <n v="7"/>
    <n v="7"/>
    <s v="Bachelor"/>
    <s v="Low"/>
    <s v="High"/>
    <x v="0"/>
    <s v="Medium"/>
    <s v="Excellent"/>
    <s v="High"/>
    <x v="1"/>
    <s v="No_stock"/>
    <x v="0"/>
  </r>
  <r>
    <x v="24"/>
    <x v="1"/>
    <x v="0"/>
    <n v="1046"/>
    <x v="1"/>
    <n v="10"/>
    <n v="3"/>
    <x v="4"/>
    <n v="491"/>
    <n v="4"/>
    <x v="1"/>
    <n v="2"/>
    <n v="3"/>
    <x v="4"/>
    <n v="4"/>
    <s v="Single"/>
    <n v="10496"/>
    <n v="6"/>
    <x v="1"/>
    <n v="15"/>
    <n v="3"/>
    <n v="4"/>
    <n v="0"/>
    <n v="20"/>
    <n v="2"/>
    <n v="3"/>
    <n v="4"/>
    <n v="3"/>
    <n v="1"/>
    <n v="3"/>
    <s v="Bachelor"/>
    <s v="Very High"/>
    <s v="Medium"/>
    <x v="2"/>
    <s v="Very High"/>
    <s v="Excellent"/>
    <s v="Very High"/>
    <x v="1"/>
    <s v="No_stock"/>
    <x v="1"/>
  </r>
  <r>
    <x v="32"/>
    <x v="0"/>
    <x v="0"/>
    <n v="575"/>
    <x v="0"/>
    <n v="22"/>
    <n v="2"/>
    <x v="3"/>
    <n v="492"/>
    <n v="3"/>
    <x v="1"/>
    <n v="2"/>
    <n v="2"/>
    <x v="0"/>
    <n v="3"/>
    <s v="Married"/>
    <n v="6380"/>
    <n v="2"/>
    <x v="0"/>
    <n v="12"/>
    <n v="3"/>
    <n v="1"/>
    <n v="2"/>
    <n v="8"/>
    <n v="6"/>
    <n v="3"/>
    <n v="6"/>
    <n v="4"/>
    <n v="1"/>
    <n v="0"/>
    <s v="College"/>
    <s v="High"/>
    <s v="Medium"/>
    <x v="0"/>
    <s v="High"/>
    <s v="Excellent"/>
    <s v="Low"/>
    <x v="1"/>
    <s v="Medium"/>
    <x v="2"/>
  </r>
  <r>
    <x v="12"/>
    <x v="1"/>
    <x v="0"/>
    <n v="408"/>
    <x v="1"/>
    <n v="9"/>
    <n v="4"/>
    <x v="0"/>
    <n v="493"/>
    <n v="3"/>
    <x v="1"/>
    <n v="2"/>
    <n v="1"/>
    <x v="1"/>
    <n v="2"/>
    <s v="Single"/>
    <n v="2657"/>
    <n v="0"/>
    <x v="0"/>
    <n v="16"/>
    <n v="3"/>
    <n v="4"/>
    <n v="0"/>
    <n v="3"/>
    <n v="5"/>
    <n v="3"/>
    <n v="2"/>
    <n v="2"/>
    <n v="2"/>
    <n v="2"/>
    <s v="Master"/>
    <s v="High"/>
    <s v="Medium"/>
    <x v="1"/>
    <s v="Medium"/>
    <s v="Excellent"/>
    <s v="Very High"/>
    <x v="1"/>
    <s v="No_stock"/>
    <x v="1"/>
  </r>
  <r>
    <x v="18"/>
    <x v="0"/>
    <x v="0"/>
    <n v="156"/>
    <x v="0"/>
    <n v="12"/>
    <n v="3"/>
    <x v="0"/>
    <n v="494"/>
    <n v="3"/>
    <x v="0"/>
    <n v="4"/>
    <n v="1"/>
    <x v="6"/>
    <n v="2"/>
    <s v="Single"/>
    <n v="2716"/>
    <n v="1"/>
    <x v="1"/>
    <n v="15"/>
    <n v="3"/>
    <n v="4"/>
    <n v="0"/>
    <n v="1"/>
    <n v="0"/>
    <n v="3"/>
    <n v="1"/>
    <n v="0"/>
    <n v="0"/>
    <n v="0"/>
    <s v="Bachelor"/>
    <s v="High"/>
    <s v="Very High"/>
    <x v="1"/>
    <s v="Medium"/>
    <s v="Excellent"/>
    <s v="Very High"/>
    <x v="1"/>
    <s v="No_stock"/>
    <x v="1"/>
  </r>
  <r>
    <x v="11"/>
    <x v="1"/>
    <x v="0"/>
    <n v="1283"/>
    <x v="1"/>
    <n v="23"/>
    <n v="3"/>
    <x v="0"/>
    <n v="495"/>
    <n v="4"/>
    <x v="1"/>
    <n v="3"/>
    <n v="1"/>
    <x v="1"/>
    <n v="4"/>
    <s v="Single"/>
    <n v="2201"/>
    <n v="9"/>
    <x v="1"/>
    <n v="16"/>
    <n v="3"/>
    <n v="4"/>
    <n v="0"/>
    <n v="6"/>
    <n v="4"/>
    <n v="3"/>
    <n v="3"/>
    <n v="2"/>
    <n v="1"/>
    <n v="2"/>
    <s v="Bachelor"/>
    <s v="Very High"/>
    <s v="High"/>
    <x v="1"/>
    <s v="Very High"/>
    <s v="Excellent"/>
    <s v="Very High"/>
    <x v="1"/>
    <s v="No_stock"/>
    <x v="2"/>
  </r>
  <r>
    <x v="10"/>
    <x v="1"/>
    <x v="0"/>
    <n v="755"/>
    <x v="1"/>
    <n v="9"/>
    <n v="4"/>
    <x v="0"/>
    <n v="496"/>
    <n v="3"/>
    <x v="1"/>
    <n v="2"/>
    <n v="2"/>
    <x v="4"/>
    <n v="2"/>
    <s v="Single"/>
    <n v="6540"/>
    <n v="9"/>
    <x v="1"/>
    <n v="19"/>
    <n v="3"/>
    <n v="3"/>
    <n v="0"/>
    <n v="10"/>
    <n v="5"/>
    <n v="3"/>
    <n v="1"/>
    <n v="1"/>
    <n v="0"/>
    <n v="0"/>
    <s v="Master"/>
    <s v="High"/>
    <s v="Medium"/>
    <x v="0"/>
    <s v="Medium"/>
    <s v="Excellent"/>
    <s v="High"/>
    <x v="1"/>
    <s v="No_stock"/>
    <x v="1"/>
  </r>
  <r>
    <x v="4"/>
    <x v="1"/>
    <x v="0"/>
    <n v="1469"/>
    <x v="1"/>
    <n v="1"/>
    <n v="2"/>
    <x v="2"/>
    <n v="497"/>
    <n v="4"/>
    <x v="1"/>
    <n v="3"/>
    <n v="1"/>
    <x v="2"/>
    <n v="2"/>
    <s v="Divorced"/>
    <n v="3816"/>
    <n v="1"/>
    <x v="1"/>
    <n v="11"/>
    <n v="3"/>
    <n v="2"/>
    <n v="1"/>
    <n v="5"/>
    <n v="2"/>
    <n v="3"/>
    <n v="5"/>
    <n v="2"/>
    <n v="0"/>
    <n v="4"/>
    <s v="College"/>
    <s v="Very High"/>
    <s v="High"/>
    <x v="1"/>
    <s v="Medium"/>
    <s v="Excellent"/>
    <s v="Medium"/>
    <x v="1"/>
    <s v="Low"/>
    <x v="0"/>
  </r>
  <r>
    <x v="14"/>
    <x v="1"/>
    <x v="0"/>
    <n v="304"/>
    <x v="0"/>
    <n v="9"/>
    <n v="4"/>
    <x v="0"/>
    <n v="498"/>
    <n v="2"/>
    <x v="1"/>
    <n v="3"/>
    <n v="2"/>
    <x v="0"/>
    <n v="4"/>
    <s v="Single"/>
    <n v="5253"/>
    <n v="1"/>
    <x v="1"/>
    <n v="16"/>
    <n v="3"/>
    <n v="4"/>
    <n v="0"/>
    <n v="7"/>
    <n v="1"/>
    <n v="3"/>
    <n v="7"/>
    <n v="5"/>
    <n v="0"/>
    <n v="7"/>
    <s v="Master"/>
    <s v="Medium"/>
    <s v="High"/>
    <x v="0"/>
    <s v="Very High"/>
    <s v="Excellent"/>
    <s v="Very High"/>
    <x v="1"/>
    <s v="No_stock"/>
    <x v="1"/>
  </r>
  <r>
    <x v="1"/>
    <x v="1"/>
    <x v="0"/>
    <n v="1261"/>
    <x v="1"/>
    <n v="7"/>
    <n v="3"/>
    <x v="1"/>
    <n v="499"/>
    <n v="2"/>
    <x v="1"/>
    <n v="2"/>
    <n v="3"/>
    <x v="4"/>
    <n v="3"/>
    <s v="Single"/>
    <n v="10965"/>
    <n v="8"/>
    <x v="1"/>
    <n v="24"/>
    <n v="4"/>
    <n v="3"/>
    <n v="0"/>
    <n v="26"/>
    <n v="2"/>
    <n v="3"/>
    <n v="5"/>
    <n v="2"/>
    <n v="0"/>
    <n v="0"/>
    <s v="Bachelor"/>
    <s v="Medium"/>
    <s v="Medium"/>
    <x v="2"/>
    <s v="High"/>
    <s v="Outstanding"/>
    <s v="High"/>
    <x v="1"/>
    <s v="No_stock"/>
    <x v="1"/>
  </r>
  <r>
    <x v="31"/>
    <x v="1"/>
    <x v="0"/>
    <n v="1178"/>
    <x v="0"/>
    <n v="14"/>
    <n v="2"/>
    <x v="0"/>
    <n v="500"/>
    <n v="3"/>
    <x v="0"/>
    <n v="3"/>
    <n v="2"/>
    <x v="0"/>
    <n v="4"/>
    <s v="Married"/>
    <n v="4936"/>
    <n v="4"/>
    <x v="1"/>
    <n v="11"/>
    <n v="3"/>
    <n v="3"/>
    <n v="1"/>
    <n v="18"/>
    <n v="2"/>
    <n v="2"/>
    <n v="7"/>
    <n v="7"/>
    <n v="0"/>
    <n v="7"/>
    <s v="College"/>
    <s v="High"/>
    <s v="High"/>
    <x v="0"/>
    <s v="Very High"/>
    <s v="Excellent"/>
    <s v="High"/>
    <x v="2"/>
    <s v="Low"/>
    <x v="1"/>
  </r>
  <r>
    <x v="9"/>
    <x v="1"/>
    <x v="0"/>
    <n v="329"/>
    <x v="1"/>
    <n v="2"/>
    <n v="3"/>
    <x v="0"/>
    <n v="501"/>
    <n v="4"/>
    <x v="0"/>
    <n v="3"/>
    <n v="1"/>
    <x v="1"/>
    <n v="3"/>
    <s v="Married"/>
    <n v="2543"/>
    <n v="4"/>
    <x v="1"/>
    <n v="13"/>
    <n v="3"/>
    <n v="2"/>
    <n v="1"/>
    <n v="6"/>
    <n v="3"/>
    <n v="3"/>
    <n v="2"/>
    <n v="2"/>
    <n v="2"/>
    <n v="2"/>
    <s v="Bachelor"/>
    <s v="Very High"/>
    <s v="High"/>
    <x v="1"/>
    <s v="High"/>
    <s v="Excellent"/>
    <s v="Medium"/>
    <x v="1"/>
    <s v="Low"/>
    <x v="0"/>
  </r>
  <r>
    <x v="13"/>
    <x v="0"/>
    <x v="2"/>
    <n v="1362"/>
    <x v="0"/>
    <n v="19"/>
    <n v="3"/>
    <x v="3"/>
    <n v="502"/>
    <n v="1"/>
    <x v="1"/>
    <n v="4"/>
    <n v="2"/>
    <x v="0"/>
    <n v="4"/>
    <s v="Single"/>
    <n v="5304"/>
    <n v="8"/>
    <x v="0"/>
    <n v="13"/>
    <n v="3"/>
    <n v="2"/>
    <n v="0"/>
    <n v="9"/>
    <n v="3"/>
    <n v="2"/>
    <n v="5"/>
    <n v="2"/>
    <n v="0"/>
    <n v="4"/>
    <s v="Bachelor"/>
    <s v="Low"/>
    <s v="Very High"/>
    <x v="0"/>
    <s v="Very High"/>
    <s v="Excellent"/>
    <s v="Medium"/>
    <x v="2"/>
    <s v="No_stock"/>
    <x v="2"/>
  </r>
  <r>
    <x v="27"/>
    <x v="1"/>
    <x v="0"/>
    <n v="1311"/>
    <x v="1"/>
    <n v="2"/>
    <n v="3"/>
    <x v="0"/>
    <n v="505"/>
    <n v="3"/>
    <x v="0"/>
    <n v="3"/>
    <n v="4"/>
    <x v="5"/>
    <n v="4"/>
    <s v="Single"/>
    <n v="16659"/>
    <n v="2"/>
    <x v="0"/>
    <n v="13"/>
    <n v="3"/>
    <n v="3"/>
    <n v="0"/>
    <n v="30"/>
    <n v="2"/>
    <n v="3"/>
    <n v="5"/>
    <n v="4"/>
    <n v="1"/>
    <n v="2"/>
    <s v="Bachelor"/>
    <s v="High"/>
    <s v="High"/>
    <x v="3"/>
    <s v="Very High"/>
    <s v="Excellent"/>
    <s v="High"/>
    <x v="1"/>
    <s v="No_stock"/>
    <x v="0"/>
  </r>
  <r>
    <x v="17"/>
    <x v="1"/>
    <x v="0"/>
    <n v="1371"/>
    <x v="0"/>
    <n v="10"/>
    <n v="4"/>
    <x v="3"/>
    <n v="507"/>
    <n v="4"/>
    <x v="0"/>
    <n v="3"/>
    <n v="2"/>
    <x v="0"/>
    <n v="3"/>
    <s v="Divorced"/>
    <n v="4260"/>
    <n v="1"/>
    <x v="0"/>
    <n v="12"/>
    <n v="3"/>
    <n v="4"/>
    <n v="1"/>
    <n v="5"/>
    <n v="2"/>
    <n v="4"/>
    <n v="5"/>
    <n v="2"/>
    <n v="0"/>
    <n v="3"/>
    <s v="Master"/>
    <s v="Very High"/>
    <s v="High"/>
    <x v="0"/>
    <s v="High"/>
    <s v="Excellent"/>
    <s v="Very High"/>
    <x v="3"/>
    <s v="Low"/>
    <x v="1"/>
  </r>
  <r>
    <x v="7"/>
    <x v="1"/>
    <x v="0"/>
    <n v="202"/>
    <x v="0"/>
    <n v="2"/>
    <n v="1"/>
    <x v="4"/>
    <n v="508"/>
    <n v="3"/>
    <x v="1"/>
    <n v="3"/>
    <n v="1"/>
    <x v="6"/>
    <n v="2"/>
    <s v="Married"/>
    <n v="2476"/>
    <n v="1"/>
    <x v="1"/>
    <n v="18"/>
    <n v="3"/>
    <n v="1"/>
    <n v="1"/>
    <n v="1"/>
    <n v="3"/>
    <n v="3"/>
    <n v="1"/>
    <n v="0"/>
    <n v="0"/>
    <n v="0"/>
    <s v="Before College"/>
    <s v="High"/>
    <s v="High"/>
    <x v="1"/>
    <s v="Medium"/>
    <s v="Excellent"/>
    <s v="Low"/>
    <x v="1"/>
    <s v="Low"/>
    <x v="0"/>
  </r>
  <r>
    <x v="25"/>
    <x v="0"/>
    <x v="1"/>
    <n v="575"/>
    <x v="1"/>
    <n v="3"/>
    <n v="1"/>
    <x v="4"/>
    <n v="510"/>
    <n v="3"/>
    <x v="1"/>
    <n v="3"/>
    <n v="1"/>
    <x v="1"/>
    <n v="1"/>
    <s v="Single"/>
    <n v="3102"/>
    <n v="0"/>
    <x v="1"/>
    <n v="22"/>
    <n v="4"/>
    <n v="3"/>
    <n v="0"/>
    <n v="7"/>
    <n v="2"/>
    <n v="3"/>
    <n v="6"/>
    <n v="4"/>
    <n v="0"/>
    <n v="4"/>
    <s v="Before College"/>
    <s v="High"/>
    <s v="High"/>
    <x v="1"/>
    <s v="Low"/>
    <s v="Outstanding"/>
    <s v="High"/>
    <x v="1"/>
    <s v="No_stock"/>
    <x v="0"/>
  </r>
  <r>
    <x v="15"/>
    <x v="1"/>
    <x v="0"/>
    <n v="253"/>
    <x v="1"/>
    <n v="11"/>
    <n v="3"/>
    <x v="2"/>
    <n v="511"/>
    <n v="1"/>
    <x v="0"/>
    <n v="3"/>
    <n v="1"/>
    <x v="1"/>
    <n v="2"/>
    <s v="Married"/>
    <n v="2244"/>
    <n v="1"/>
    <x v="1"/>
    <n v="13"/>
    <n v="3"/>
    <n v="4"/>
    <n v="1"/>
    <n v="2"/>
    <n v="1"/>
    <n v="3"/>
    <n v="2"/>
    <n v="1"/>
    <n v="1"/>
    <n v="2"/>
    <s v="Bachelor"/>
    <s v="Low"/>
    <s v="High"/>
    <x v="1"/>
    <s v="Medium"/>
    <s v="Excellent"/>
    <s v="Very High"/>
    <x v="1"/>
    <s v="Low"/>
    <x v="1"/>
  </r>
  <r>
    <x v="9"/>
    <x v="1"/>
    <x v="0"/>
    <n v="164"/>
    <x v="0"/>
    <n v="2"/>
    <n v="2"/>
    <x v="2"/>
    <n v="513"/>
    <n v="2"/>
    <x v="1"/>
    <n v="2"/>
    <n v="3"/>
    <x v="0"/>
    <n v="3"/>
    <s v="Married"/>
    <n v="7596"/>
    <n v="1"/>
    <x v="1"/>
    <n v="13"/>
    <n v="3"/>
    <n v="2"/>
    <n v="2"/>
    <n v="10"/>
    <n v="2"/>
    <n v="3"/>
    <n v="10"/>
    <n v="9"/>
    <n v="9"/>
    <n v="0"/>
    <s v="College"/>
    <s v="Medium"/>
    <s v="Medium"/>
    <x v="2"/>
    <s v="High"/>
    <s v="Excellent"/>
    <s v="Medium"/>
    <x v="1"/>
    <s v="Medium"/>
    <x v="0"/>
  </r>
  <r>
    <x v="7"/>
    <x v="0"/>
    <x v="1"/>
    <n v="464"/>
    <x v="1"/>
    <n v="4"/>
    <n v="3"/>
    <x v="4"/>
    <n v="514"/>
    <n v="3"/>
    <x v="1"/>
    <n v="3"/>
    <n v="1"/>
    <x v="1"/>
    <n v="4"/>
    <s v="Single"/>
    <n v="2285"/>
    <n v="9"/>
    <x v="0"/>
    <n v="23"/>
    <n v="4"/>
    <n v="3"/>
    <n v="0"/>
    <n v="3"/>
    <n v="4"/>
    <n v="3"/>
    <n v="1"/>
    <n v="0"/>
    <n v="0"/>
    <n v="0"/>
    <s v="Bachelor"/>
    <s v="High"/>
    <s v="High"/>
    <x v="1"/>
    <s v="Very High"/>
    <s v="Outstanding"/>
    <s v="High"/>
    <x v="1"/>
    <s v="No_stock"/>
    <x v="0"/>
  </r>
  <r>
    <x v="2"/>
    <x v="1"/>
    <x v="0"/>
    <n v="1107"/>
    <x v="1"/>
    <n v="14"/>
    <n v="3"/>
    <x v="0"/>
    <n v="515"/>
    <n v="4"/>
    <x v="0"/>
    <n v="3"/>
    <n v="1"/>
    <x v="2"/>
    <n v="1"/>
    <s v="Divorced"/>
    <n v="3034"/>
    <n v="1"/>
    <x v="1"/>
    <n v="12"/>
    <n v="3"/>
    <n v="3"/>
    <n v="1"/>
    <n v="18"/>
    <n v="2"/>
    <n v="2"/>
    <n v="18"/>
    <n v="7"/>
    <n v="12"/>
    <n v="17"/>
    <s v="Bachelor"/>
    <s v="Very High"/>
    <s v="High"/>
    <x v="1"/>
    <s v="Low"/>
    <s v="Excellent"/>
    <s v="High"/>
    <x v="2"/>
    <s v="Low"/>
    <x v="1"/>
  </r>
  <r>
    <x v="32"/>
    <x v="1"/>
    <x v="0"/>
    <n v="759"/>
    <x v="0"/>
    <n v="2"/>
    <n v="2"/>
    <x v="3"/>
    <n v="516"/>
    <n v="4"/>
    <x v="0"/>
    <n v="3"/>
    <n v="2"/>
    <x v="0"/>
    <n v="2"/>
    <s v="Divorced"/>
    <n v="5715"/>
    <n v="7"/>
    <x v="1"/>
    <n v="12"/>
    <n v="3"/>
    <n v="3"/>
    <n v="2"/>
    <n v="8"/>
    <n v="5"/>
    <n v="3"/>
    <n v="5"/>
    <n v="4"/>
    <n v="1"/>
    <n v="3"/>
    <s v="College"/>
    <s v="Very High"/>
    <s v="High"/>
    <x v="0"/>
    <s v="Medium"/>
    <s v="Excellent"/>
    <s v="High"/>
    <x v="1"/>
    <s v="Medium"/>
    <x v="0"/>
  </r>
  <r>
    <x v="19"/>
    <x v="1"/>
    <x v="0"/>
    <n v="201"/>
    <x v="1"/>
    <n v="1"/>
    <n v="4"/>
    <x v="0"/>
    <n v="517"/>
    <n v="2"/>
    <x v="0"/>
    <n v="3"/>
    <n v="1"/>
    <x v="2"/>
    <n v="1"/>
    <s v="Divorced"/>
    <n v="2576"/>
    <n v="3"/>
    <x v="1"/>
    <n v="16"/>
    <n v="3"/>
    <n v="2"/>
    <n v="1"/>
    <n v="8"/>
    <n v="5"/>
    <n v="3"/>
    <n v="5"/>
    <n v="2"/>
    <n v="1"/>
    <n v="2"/>
    <s v="Master"/>
    <s v="Medium"/>
    <s v="High"/>
    <x v="1"/>
    <s v="Low"/>
    <s v="Excellent"/>
    <s v="Medium"/>
    <x v="1"/>
    <s v="Low"/>
    <x v="0"/>
  </r>
  <r>
    <x v="2"/>
    <x v="1"/>
    <x v="0"/>
    <n v="1305"/>
    <x v="1"/>
    <n v="10"/>
    <n v="4"/>
    <x v="0"/>
    <n v="518"/>
    <n v="3"/>
    <x v="1"/>
    <n v="3"/>
    <n v="2"/>
    <x v="3"/>
    <n v="2"/>
    <s v="Single"/>
    <n v="4197"/>
    <n v="2"/>
    <x v="0"/>
    <n v="12"/>
    <n v="3"/>
    <n v="4"/>
    <n v="0"/>
    <n v="18"/>
    <n v="2"/>
    <n v="2"/>
    <n v="1"/>
    <n v="0"/>
    <n v="0"/>
    <n v="1"/>
    <s v="Master"/>
    <s v="High"/>
    <s v="High"/>
    <x v="0"/>
    <s v="Medium"/>
    <s v="Excellent"/>
    <s v="Very High"/>
    <x v="2"/>
    <s v="No_stock"/>
    <x v="1"/>
  </r>
  <r>
    <x v="23"/>
    <x v="1"/>
    <x v="0"/>
    <n v="982"/>
    <x v="1"/>
    <n v="12"/>
    <n v="3"/>
    <x v="0"/>
    <n v="520"/>
    <n v="1"/>
    <x v="1"/>
    <n v="2"/>
    <n v="4"/>
    <x v="7"/>
    <n v="2"/>
    <s v="Divorced"/>
    <n v="14336"/>
    <n v="1"/>
    <x v="1"/>
    <n v="11"/>
    <n v="3"/>
    <n v="3"/>
    <n v="1"/>
    <n v="25"/>
    <n v="3"/>
    <n v="3"/>
    <n v="25"/>
    <n v="10"/>
    <n v="3"/>
    <n v="9"/>
    <s v="Bachelor"/>
    <s v="Low"/>
    <s v="Medium"/>
    <x v="3"/>
    <s v="Medium"/>
    <s v="Excellent"/>
    <s v="High"/>
    <x v="1"/>
    <s v="Low"/>
    <x v="1"/>
  </r>
  <r>
    <x v="32"/>
    <x v="1"/>
    <x v="0"/>
    <n v="555"/>
    <x v="1"/>
    <n v="2"/>
    <n v="3"/>
    <x v="2"/>
    <n v="521"/>
    <n v="2"/>
    <x v="0"/>
    <n v="2"/>
    <n v="2"/>
    <x v="2"/>
    <n v="3"/>
    <s v="Married"/>
    <n v="3448"/>
    <n v="6"/>
    <x v="1"/>
    <n v="22"/>
    <n v="4"/>
    <n v="2"/>
    <n v="1"/>
    <n v="20"/>
    <n v="3"/>
    <n v="3"/>
    <n v="1"/>
    <n v="0"/>
    <n v="0"/>
    <n v="0"/>
    <s v="Bachelor"/>
    <s v="Medium"/>
    <s v="Medium"/>
    <x v="0"/>
    <s v="High"/>
    <s v="Outstanding"/>
    <s v="Medium"/>
    <x v="1"/>
    <s v="Low"/>
    <x v="0"/>
  </r>
  <r>
    <x v="33"/>
    <x v="1"/>
    <x v="0"/>
    <n v="821"/>
    <x v="1"/>
    <n v="5"/>
    <n v="2"/>
    <x v="2"/>
    <n v="522"/>
    <n v="1"/>
    <x v="1"/>
    <n v="3"/>
    <n v="5"/>
    <x v="7"/>
    <n v="1"/>
    <s v="Married"/>
    <n v="19406"/>
    <n v="4"/>
    <x v="1"/>
    <n v="11"/>
    <n v="3"/>
    <n v="3"/>
    <n v="1"/>
    <n v="24"/>
    <n v="4"/>
    <n v="2"/>
    <n v="4"/>
    <n v="2"/>
    <n v="1"/>
    <n v="2"/>
    <s v="College"/>
    <s v="Low"/>
    <s v="High"/>
    <x v="4"/>
    <s v="Low"/>
    <s v="Excellent"/>
    <s v="High"/>
    <x v="2"/>
    <s v="Low"/>
    <x v="0"/>
  </r>
  <r>
    <x v="13"/>
    <x v="1"/>
    <x v="2"/>
    <n v="1381"/>
    <x v="0"/>
    <n v="4"/>
    <n v="4"/>
    <x v="3"/>
    <n v="523"/>
    <n v="3"/>
    <x v="0"/>
    <n v="3"/>
    <n v="2"/>
    <x v="0"/>
    <n v="3"/>
    <s v="Married"/>
    <n v="6538"/>
    <n v="9"/>
    <x v="1"/>
    <n v="15"/>
    <n v="3"/>
    <n v="1"/>
    <n v="1"/>
    <n v="6"/>
    <n v="3"/>
    <n v="3"/>
    <n v="3"/>
    <n v="2"/>
    <n v="1"/>
    <n v="2"/>
    <s v="Master"/>
    <s v="High"/>
    <s v="High"/>
    <x v="0"/>
    <s v="High"/>
    <s v="Excellent"/>
    <s v="Low"/>
    <x v="1"/>
    <s v="Low"/>
    <x v="0"/>
  </r>
  <r>
    <x v="12"/>
    <x v="1"/>
    <x v="0"/>
    <n v="480"/>
    <x v="1"/>
    <n v="7"/>
    <n v="2"/>
    <x v="2"/>
    <n v="524"/>
    <n v="2"/>
    <x v="0"/>
    <n v="3"/>
    <n v="2"/>
    <x v="3"/>
    <n v="1"/>
    <s v="Married"/>
    <n v="4306"/>
    <n v="1"/>
    <x v="1"/>
    <n v="12"/>
    <n v="3"/>
    <n v="2"/>
    <n v="1"/>
    <n v="13"/>
    <n v="5"/>
    <n v="1"/>
    <n v="13"/>
    <n v="10"/>
    <n v="3"/>
    <n v="12"/>
    <s v="College"/>
    <s v="Medium"/>
    <s v="High"/>
    <x v="0"/>
    <s v="Low"/>
    <s v="Excellent"/>
    <s v="Medium"/>
    <x v="0"/>
    <s v="Low"/>
    <x v="1"/>
  </r>
  <r>
    <x v="23"/>
    <x v="1"/>
    <x v="1"/>
    <n v="313"/>
    <x v="1"/>
    <n v="21"/>
    <n v="3"/>
    <x v="2"/>
    <n v="525"/>
    <n v="4"/>
    <x v="1"/>
    <n v="3"/>
    <n v="1"/>
    <x v="2"/>
    <n v="4"/>
    <s v="Married"/>
    <n v="2258"/>
    <n v="7"/>
    <x v="1"/>
    <n v="20"/>
    <n v="4"/>
    <n v="1"/>
    <n v="1"/>
    <n v="8"/>
    <n v="1"/>
    <n v="3"/>
    <n v="3"/>
    <n v="2"/>
    <n v="1"/>
    <n v="2"/>
    <s v="Bachelor"/>
    <s v="Very High"/>
    <s v="High"/>
    <x v="1"/>
    <s v="Very High"/>
    <s v="Outstanding"/>
    <s v="Low"/>
    <x v="1"/>
    <s v="Low"/>
    <x v="2"/>
  </r>
  <r>
    <x v="23"/>
    <x v="1"/>
    <x v="0"/>
    <n v="1473"/>
    <x v="1"/>
    <n v="8"/>
    <n v="4"/>
    <x v="1"/>
    <n v="526"/>
    <n v="3"/>
    <x v="0"/>
    <n v="3"/>
    <n v="2"/>
    <x v="4"/>
    <n v="3"/>
    <s v="Divorced"/>
    <n v="4522"/>
    <n v="4"/>
    <x v="0"/>
    <n v="14"/>
    <n v="3"/>
    <n v="4"/>
    <n v="0"/>
    <n v="8"/>
    <n v="3"/>
    <n v="3"/>
    <n v="5"/>
    <n v="2"/>
    <n v="0"/>
    <n v="2"/>
    <s v="Master"/>
    <s v="High"/>
    <s v="High"/>
    <x v="0"/>
    <s v="High"/>
    <s v="Excellent"/>
    <s v="Very High"/>
    <x v="1"/>
    <s v="No_stock"/>
    <x v="1"/>
  </r>
  <r>
    <x v="36"/>
    <x v="1"/>
    <x v="0"/>
    <n v="891"/>
    <x v="0"/>
    <n v="4"/>
    <n v="2"/>
    <x v="0"/>
    <n v="527"/>
    <n v="2"/>
    <x v="0"/>
    <n v="2"/>
    <n v="2"/>
    <x v="0"/>
    <n v="4"/>
    <s v="Single"/>
    <n v="4487"/>
    <n v="1"/>
    <x v="0"/>
    <n v="11"/>
    <n v="3"/>
    <n v="2"/>
    <n v="0"/>
    <n v="5"/>
    <n v="3"/>
    <n v="3"/>
    <n v="5"/>
    <n v="4"/>
    <n v="1"/>
    <n v="3"/>
    <s v="College"/>
    <s v="Medium"/>
    <s v="Medium"/>
    <x v="0"/>
    <s v="Very High"/>
    <s v="Excellent"/>
    <s v="Medium"/>
    <x v="1"/>
    <s v="No_stock"/>
    <x v="0"/>
  </r>
  <r>
    <x v="2"/>
    <x v="1"/>
    <x v="2"/>
    <n v="1063"/>
    <x v="1"/>
    <n v="25"/>
    <n v="5"/>
    <x v="2"/>
    <n v="529"/>
    <n v="2"/>
    <x v="0"/>
    <n v="3"/>
    <n v="2"/>
    <x v="1"/>
    <n v="3"/>
    <s v="Married"/>
    <n v="4449"/>
    <n v="3"/>
    <x v="0"/>
    <n v="15"/>
    <n v="3"/>
    <n v="1"/>
    <n v="2"/>
    <n v="15"/>
    <n v="2"/>
    <n v="3"/>
    <n v="13"/>
    <n v="11"/>
    <n v="10"/>
    <n v="7"/>
    <s v="Doctor"/>
    <s v="Medium"/>
    <s v="High"/>
    <x v="0"/>
    <s v="High"/>
    <s v="Excellent"/>
    <s v="Low"/>
    <x v="1"/>
    <s v="Medium"/>
    <x v="2"/>
  </r>
  <r>
    <x v="12"/>
    <x v="1"/>
    <x v="0"/>
    <n v="329"/>
    <x v="1"/>
    <n v="1"/>
    <n v="2"/>
    <x v="0"/>
    <n v="530"/>
    <n v="4"/>
    <x v="1"/>
    <n v="2"/>
    <n v="1"/>
    <x v="2"/>
    <n v="1"/>
    <s v="Married"/>
    <n v="2218"/>
    <n v="1"/>
    <x v="1"/>
    <n v="12"/>
    <n v="3"/>
    <n v="3"/>
    <n v="1"/>
    <n v="4"/>
    <n v="3"/>
    <n v="3"/>
    <n v="4"/>
    <n v="2"/>
    <n v="3"/>
    <n v="2"/>
    <s v="College"/>
    <s v="Very High"/>
    <s v="Medium"/>
    <x v="1"/>
    <s v="Low"/>
    <s v="Excellent"/>
    <s v="High"/>
    <x v="1"/>
    <s v="Low"/>
    <x v="0"/>
  </r>
  <r>
    <x v="22"/>
    <x v="1"/>
    <x v="1"/>
    <n v="1218"/>
    <x v="1"/>
    <n v="1"/>
    <n v="1"/>
    <x v="0"/>
    <n v="531"/>
    <n v="2"/>
    <x v="1"/>
    <n v="3"/>
    <n v="5"/>
    <x v="5"/>
    <n v="3"/>
    <s v="Divorced"/>
    <n v="19197"/>
    <n v="1"/>
    <x v="0"/>
    <n v="14"/>
    <n v="3"/>
    <n v="3"/>
    <n v="1"/>
    <n v="21"/>
    <n v="3"/>
    <n v="3"/>
    <n v="21"/>
    <n v="8"/>
    <n v="1"/>
    <n v="6"/>
    <s v="Before College"/>
    <s v="Medium"/>
    <s v="High"/>
    <x v="4"/>
    <s v="High"/>
    <s v="Excellent"/>
    <s v="High"/>
    <x v="1"/>
    <s v="Low"/>
    <x v="0"/>
  </r>
  <r>
    <x v="29"/>
    <x v="1"/>
    <x v="1"/>
    <n v="906"/>
    <x v="0"/>
    <n v="6"/>
    <n v="3"/>
    <x v="0"/>
    <n v="532"/>
    <n v="3"/>
    <x v="0"/>
    <n v="4"/>
    <n v="4"/>
    <x v="0"/>
    <n v="1"/>
    <s v="Married"/>
    <n v="13212"/>
    <n v="9"/>
    <x v="1"/>
    <n v="11"/>
    <n v="3"/>
    <n v="4"/>
    <n v="3"/>
    <n v="36"/>
    <n v="0"/>
    <n v="2"/>
    <n v="7"/>
    <n v="7"/>
    <n v="7"/>
    <n v="7"/>
    <s v="Bachelor"/>
    <s v="High"/>
    <s v="Very High"/>
    <x v="3"/>
    <s v="Low"/>
    <s v="Excellent"/>
    <s v="Very High"/>
    <x v="2"/>
    <s v="High"/>
    <x v="1"/>
  </r>
  <r>
    <x v="7"/>
    <x v="1"/>
    <x v="0"/>
    <n v="1082"/>
    <x v="0"/>
    <n v="12"/>
    <n v="3"/>
    <x v="4"/>
    <n v="533"/>
    <n v="2"/>
    <x v="0"/>
    <n v="3"/>
    <n v="2"/>
    <x v="0"/>
    <n v="3"/>
    <s v="Single"/>
    <n v="6577"/>
    <n v="0"/>
    <x v="1"/>
    <n v="11"/>
    <n v="3"/>
    <n v="2"/>
    <n v="0"/>
    <n v="6"/>
    <n v="6"/>
    <n v="3"/>
    <n v="5"/>
    <n v="4"/>
    <n v="4"/>
    <n v="4"/>
    <s v="Bachelor"/>
    <s v="Medium"/>
    <s v="High"/>
    <x v="0"/>
    <s v="High"/>
    <s v="Excellent"/>
    <s v="Medium"/>
    <x v="1"/>
    <s v="No_stock"/>
    <x v="1"/>
  </r>
  <r>
    <x v="0"/>
    <x v="1"/>
    <x v="0"/>
    <n v="645"/>
    <x v="0"/>
    <n v="1"/>
    <n v="3"/>
    <x v="3"/>
    <n v="534"/>
    <n v="2"/>
    <x v="1"/>
    <n v="4"/>
    <n v="3"/>
    <x v="0"/>
    <n v="1"/>
    <s v="Married"/>
    <n v="8392"/>
    <n v="1"/>
    <x v="1"/>
    <n v="16"/>
    <n v="3"/>
    <n v="3"/>
    <n v="1"/>
    <n v="10"/>
    <n v="2"/>
    <n v="3"/>
    <n v="10"/>
    <n v="7"/>
    <n v="0"/>
    <n v="7"/>
    <s v="Bachelor"/>
    <s v="Medium"/>
    <s v="Very High"/>
    <x v="2"/>
    <s v="Low"/>
    <s v="Excellent"/>
    <s v="High"/>
    <x v="1"/>
    <s v="Low"/>
    <x v="0"/>
  </r>
  <r>
    <x v="14"/>
    <x v="1"/>
    <x v="0"/>
    <n v="1300"/>
    <x v="1"/>
    <n v="17"/>
    <n v="2"/>
    <x v="2"/>
    <n v="536"/>
    <n v="3"/>
    <x v="1"/>
    <n v="3"/>
    <n v="2"/>
    <x v="2"/>
    <n v="1"/>
    <s v="Divorced"/>
    <n v="4558"/>
    <n v="1"/>
    <x v="1"/>
    <n v="12"/>
    <n v="3"/>
    <n v="4"/>
    <n v="1"/>
    <n v="10"/>
    <n v="2"/>
    <n v="3"/>
    <n v="10"/>
    <n v="0"/>
    <n v="1"/>
    <n v="8"/>
    <s v="College"/>
    <s v="High"/>
    <s v="High"/>
    <x v="0"/>
    <s v="Low"/>
    <s v="Excellent"/>
    <s v="Very High"/>
    <x v="1"/>
    <s v="Low"/>
    <x v="2"/>
  </r>
  <r>
    <x v="36"/>
    <x v="0"/>
    <x v="0"/>
    <n v="688"/>
    <x v="1"/>
    <n v="3"/>
    <n v="3"/>
    <x v="2"/>
    <n v="538"/>
    <n v="1"/>
    <x v="1"/>
    <n v="3"/>
    <n v="1"/>
    <x v="2"/>
    <n v="1"/>
    <s v="Married"/>
    <n v="4031"/>
    <n v="5"/>
    <x v="1"/>
    <n v="13"/>
    <n v="3"/>
    <n v="3"/>
    <n v="1"/>
    <n v="6"/>
    <n v="5"/>
    <n v="3"/>
    <n v="2"/>
    <n v="2"/>
    <n v="0"/>
    <n v="2"/>
    <s v="Bachelor"/>
    <s v="Low"/>
    <s v="High"/>
    <x v="1"/>
    <s v="Low"/>
    <s v="Excellent"/>
    <s v="High"/>
    <x v="1"/>
    <s v="Low"/>
    <x v="0"/>
  </r>
  <r>
    <x v="39"/>
    <x v="1"/>
    <x v="0"/>
    <n v="319"/>
    <x v="1"/>
    <n v="3"/>
    <n v="3"/>
    <x v="2"/>
    <n v="543"/>
    <n v="4"/>
    <x v="1"/>
    <n v="2"/>
    <n v="3"/>
    <x v="3"/>
    <n v="3"/>
    <s v="Married"/>
    <n v="7969"/>
    <n v="2"/>
    <x v="0"/>
    <n v="14"/>
    <n v="3"/>
    <n v="3"/>
    <n v="0"/>
    <n v="28"/>
    <n v="4"/>
    <n v="3"/>
    <n v="5"/>
    <n v="4"/>
    <n v="0"/>
    <n v="4"/>
    <s v="Bachelor"/>
    <s v="Very High"/>
    <s v="Medium"/>
    <x v="2"/>
    <s v="High"/>
    <s v="Excellent"/>
    <s v="High"/>
    <x v="1"/>
    <s v="No_stock"/>
    <x v="0"/>
  </r>
  <r>
    <x v="28"/>
    <x v="1"/>
    <x v="0"/>
    <n v="192"/>
    <x v="1"/>
    <n v="10"/>
    <n v="2"/>
    <x v="0"/>
    <n v="544"/>
    <n v="1"/>
    <x v="1"/>
    <n v="3"/>
    <n v="1"/>
    <x v="1"/>
    <n v="4"/>
    <s v="Married"/>
    <n v="2654"/>
    <n v="3"/>
    <x v="1"/>
    <n v="21"/>
    <n v="4"/>
    <n v="4"/>
    <n v="2"/>
    <n v="8"/>
    <n v="3"/>
    <n v="2"/>
    <n v="2"/>
    <n v="2"/>
    <n v="0"/>
    <n v="2"/>
    <s v="College"/>
    <s v="Low"/>
    <s v="High"/>
    <x v="1"/>
    <s v="Very High"/>
    <s v="Outstanding"/>
    <s v="Very High"/>
    <x v="2"/>
    <s v="Medium"/>
    <x v="1"/>
  </r>
  <r>
    <x v="39"/>
    <x v="1"/>
    <x v="0"/>
    <n v="1490"/>
    <x v="1"/>
    <n v="4"/>
    <n v="2"/>
    <x v="0"/>
    <n v="546"/>
    <n v="4"/>
    <x v="0"/>
    <n v="3"/>
    <n v="4"/>
    <x v="5"/>
    <n v="4"/>
    <s v="Married"/>
    <n v="16555"/>
    <n v="2"/>
    <x v="1"/>
    <n v="13"/>
    <n v="3"/>
    <n v="4"/>
    <n v="0"/>
    <n v="31"/>
    <n v="2"/>
    <n v="1"/>
    <n v="5"/>
    <n v="2"/>
    <n v="1"/>
    <n v="4"/>
    <s v="College"/>
    <s v="Very High"/>
    <s v="High"/>
    <x v="3"/>
    <s v="Very High"/>
    <s v="Excellent"/>
    <s v="Very High"/>
    <x v="0"/>
    <s v="No_stock"/>
    <x v="0"/>
  </r>
  <r>
    <x v="19"/>
    <x v="1"/>
    <x v="1"/>
    <n v="532"/>
    <x v="1"/>
    <n v="29"/>
    <n v="2"/>
    <x v="0"/>
    <n v="547"/>
    <n v="1"/>
    <x v="0"/>
    <n v="3"/>
    <n v="2"/>
    <x v="1"/>
    <n v="3"/>
    <s v="Divorced"/>
    <n v="4556"/>
    <n v="2"/>
    <x v="1"/>
    <n v="11"/>
    <n v="3"/>
    <n v="2"/>
    <n v="1"/>
    <n v="19"/>
    <n v="3"/>
    <n v="3"/>
    <n v="5"/>
    <n v="4"/>
    <n v="0"/>
    <n v="2"/>
    <s v="College"/>
    <s v="Low"/>
    <s v="High"/>
    <x v="0"/>
    <s v="High"/>
    <s v="Excellent"/>
    <s v="Medium"/>
    <x v="1"/>
    <s v="Low"/>
    <x v="2"/>
  </r>
  <r>
    <x v="7"/>
    <x v="1"/>
    <x v="0"/>
    <n v="317"/>
    <x v="1"/>
    <n v="2"/>
    <n v="3"/>
    <x v="0"/>
    <n v="548"/>
    <n v="3"/>
    <x v="0"/>
    <n v="1"/>
    <n v="2"/>
    <x v="3"/>
    <n v="4"/>
    <s v="Single"/>
    <n v="6091"/>
    <n v="2"/>
    <x v="1"/>
    <n v="20"/>
    <n v="4"/>
    <n v="3"/>
    <n v="0"/>
    <n v="11"/>
    <n v="2"/>
    <n v="3"/>
    <n v="5"/>
    <n v="4"/>
    <n v="0"/>
    <n v="2"/>
    <s v="Bachelor"/>
    <s v="High"/>
    <s v="Low"/>
    <x v="0"/>
    <s v="Very High"/>
    <s v="Outstanding"/>
    <s v="High"/>
    <x v="1"/>
    <s v="No_stock"/>
    <x v="0"/>
  </r>
  <r>
    <x v="42"/>
    <x v="1"/>
    <x v="0"/>
    <n v="422"/>
    <x v="1"/>
    <n v="7"/>
    <n v="3"/>
    <x v="0"/>
    <n v="549"/>
    <n v="1"/>
    <x v="0"/>
    <n v="3"/>
    <n v="5"/>
    <x v="5"/>
    <n v="1"/>
    <s v="Married"/>
    <n v="19566"/>
    <n v="5"/>
    <x v="1"/>
    <n v="11"/>
    <n v="3"/>
    <n v="4"/>
    <n v="0"/>
    <n v="33"/>
    <n v="5"/>
    <n v="1"/>
    <n v="29"/>
    <n v="8"/>
    <n v="11"/>
    <n v="10"/>
    <s v="Bachelor"/>
    <s v="Low"/>
    <s v="High"/>
    <x v="4"/>
    <s v="Low"/>
    <s v="Excellent"/>
    <s v="Very High"/>
    <x v="0"/>
    <s v="No_stock"/>
    <x v="1"/>
  </r>
  <r>
    <x v="21"/>
    <x v="1"/>
    <x v="0"/>
    <n v="1485"/>
    <x v="1"/>
    <n v="18"/>
    <n v="3"/>
    <x v="2"/>
    <n v="550"/>
    <n v="3"/>
    <x v="0"/>
    <n v="3"/>
    <n v="2"/>
    <x v="3"/>
    <n v="3"/>
    <s v="Divorced"/>
    <n v="4810"/>
    <n v="2"/>
    <x v="1"/>
    <n v="14"/>
    <n v="3"/>
    <n v="3"/>
    <n v="1"/>
    <n v="19"/>
    <n v="5"/>
    <n v="2"/>
    <n v="10"/>
    <n v="7"/>
    <n v="0"/>
    <n v="8"/>
    <s v="Bachelor"/>
    <s v="High"/>
    <s v="High"/>
    <x v="0"/>
    <s v="High"/>
    <s v="Excellent"/>
    <s v="High"/>
    <x v="2"/>
    <s v="Low"/>
    <x v="2"/>
  </r>
  <r>
    <x v="19"/>
    <x v="1"/>
    <x v="1"/>
    <n v="1368"/>
    <x v="1"/>
    <n v="28"/>
    <n v="4"/>
    <x v="4"/>
    <n v="551"/>
    <n v="4"/>
    <x v="0"/>
    <n v="2"/>
    <n v="2"/>
    <x v="4"/>
    <n v="4"/>
    <s v="Married"/>
    <n v="4523"/>
    <n v="0"/>
    <x v="1"/>
    <n v="11"/>
    <n v="3"/>
    <n v="4"/>
    <n v="3"/>
    <n v="7"/>
    <n v="4"/>
    <n v="4"/>
    <n v="6"/>
    <n v="5"/>
    <n v="0"/>
    <n v="4"/>
    <s v="Master"/>
    <s v="Very High"/>
    <s v="Medium"/>
    <x v="0"/>
    <s v="Very High"/>
    <s v="Excellent"/>
    <s v="Very High"/>
    <x v="3"/>
    <s v="High"/>
    <x v="2"/>
  </r>
  <r>
    <x v="17"/>
    <x v="0"/>
    <x v="0"/>
    <n v="1448"/>
    <x v="0"/>
    <n v="1"/>
    <n v="1"/>
    <x v="4"/>
    <n v="554"/>
    <n v="1"/>
    <x v="0"/>
    <n v="3"/>
    <n v="1"/>
    <x v="6"/>
    <n v="2"/>
    <s v="Single"/>
    <n v="3202"/>
    <n v="1"/>
    <x v="0"/>
    <n v="16"/>
    <n v="3"/>
    <n v="2"/>
    <n v="0"/>
    <n v="6"/>
    <n v="4"/>
    <n v="3"/>
    <n v="5"/>
    <n v="3"/>
    <n v="1"/>
    <n v="4"/>
    <s v="Before College"/>
    <s v="Low"/>
    <s v="High"/>
    <x v="1"/>
    <s v="Medium"/>
    <s v="Excellent"/>
    <s v="Medium"/>
    <x v="1"/>
    <s v="No_stock"/>
    <x v="0"/>
  </r>
  <r>
    <x v="13"/>
    <x v="0"/>
    <x v="1"/>
    <n v="296"/>
    <x v="0"/>
    <n v="6"/>
    <n v="2"/>
    <x v="3"/>
    <n v="555"/>
    <n v="4"/>
    <x v="0"/>
    <n v="1"/>
    <n v="1"/>
    <x v="6"/>
    <n v="3"/>
    <s v="Divorced"/>
    <n v="2351"/>
    <n v="0"/>
    <x v="1"/>
    <n v="16"/>
    <n v="3"/>
    <n v="4"/>
    <n v="1"/>
    <n v="3"/>
    <n v="3"/>
    <n v="2"/>
    <n v="2"/>
    <n v="2"/>
    <n v="1"/>
    <n v="0"/>
    <s v="College"/>
    <s v="Very High"/>
    <s v="Low"/>
    <x v="1"/>
    <s v="High"/>
    <s v="Excellent"/>
    <s v="Very High"/>
    <x v="2"/>
    <s v="Low"/>
    <x v="1"/>
  </r>
  <r>
    <x v="8"/>
    <x v="1"/>
    <x v="1"/>
    <n v="1490"/>
    <x v="1"/>
    <n v="2"/>
    <n v="2"/>
    <x v="0"/>
    <n v="556"/>
    <n v="4"/>
    <x v="1"/>
    <n v="3"/>
    <n v="1"/>
    <x v="2"/>
    <n v="4"/>
    <s v="Married"/>
    <n v="1702"/>
    <n v="1"/>
    <x v="0"/>
    <n v="23"/>
    <n v="4"/>
    <n v="3"/>
    <n v="1"/>
    <n v="1"/>
    <n v="3"/>
    <n v="3"/>
    <n v="1"/>
    <n v="0"/>
    <n v="0"/>
    <n v="0"/>
    <s v="College"/>
    <s v="Very High"/>
    <s v="High"/>
    <x v="1"/>
    <s v="Very High"/>
    <s v="Outstanding"/>
    <s v="High"/>
    <x v="1"/>
    <s v="Low"/>
    <x v="0"/>
  </r>
  <r>
    <x v="32"/>
    <x v="1"/>
    <x v="0"/>
    <n v="1398"/>
    <x v="0"/>
    <n v="2"/>
    <n v="4"/>
    <x v="0"/>
    <n v="558"/>
    <n v="3"/>
    <x v="0"/>
    <n v="3"/>
    <n v="5"/>
    <x v="5"/>
    <n v="3"/>
    <s v="Married"/>
    <n v="18041"/>
    <n v="0"/>
    <x v="1"/>
    <n v="14"/>
    <n v="3"/>
    <n v="4"/>
    <n v="0"/>
    <n v="21"/>
    <n v="2"/>
    <n v="3"/>
    <n v="20"/>
    <n v="15"/>
    <n v="1"/>
    <n v="12"/>
    <s v="Master"/>
    <s v="High"/>
    <s v="High"/>
    <x v="4"/>
    <s v="High"/>
    <s v="Excellent"/>
    <s v="Very High"/>
    <x v="1"/>
    <s v="No_stock"/>
    <x v="0"/>
  </r>
  <r>
    <x v="25"/>
    <x v="1"/>
    <x v="0"/>
    <n v="1349"/>
    <x v="1"/>
    <n v="23"/>
    <n v="3"/>
    <x v="0"/>
    <n v="560"/>
    <n v="1"/>
    <x v="0"/>
    <n v="3"/>
    <n v="1"/>
    <x v="1"/>
    <n v="4"/>
    <s v="Divorced"/>
    <n v="2886"/>
    <n v="1"/>
    <x v="1"/>
    <n v="22"/>
    <n v="4"/>
    <n v="2"/>
    <n v="2"/>
    <n v="3"/>
    <n v="3"/>
    <n v="1"/>
    <n v="3"/>
    <n v="2"/>
    <n v="0"/>
    <n v="2"/>
    <s v="Bachelor"/>
    <s v="Low"/>
    <s v="High"/>
    <x v="1"/>
    <s v="Very High"/>
    <s v="Outstanding"/>
    <s v="Medium"/>
    <x v="0"/>
    <s v="Medium"/>
    <x v="2"/>
  </r>
  <r>
    <x v="7"/>
    <x v="1"/>
    <x v="2"/>
    <n v="1400"/>
    <x v="1"/>
    <n v="3"/>
    <n v="3"/>
    <x v="0"/>
    <n v="562"/>
    <n v="3"/>
    <x v="1"/>
    <n v="3"/>
    <n v="1"/>
    <x v="2"/>
    <n v="4"/>
    <s v="Married"/>
    <n v="2097"/>
    <n v="4"/>
    <x v="1"/>
    <n v="15"/>
    <n v="3"/>
    <n v="3"/>
    <n v="1"/>
    <n v="9"/>
    <n v="3"/>
    <n v="1"/>
    <n v="5"/>
    <n v="3"/>
    <n v="1"/>
    <n v="4"/>
    <s v="Bachelor"/>
    <s v="High"/>
    <s v="High"/>
    <x v="1"/>
    <s v="Very High"/>
    <s v="Excellent"/>
    <s v="High"/>
    <x v="0"/>
    <s v="Low"/>
    <x v="0"/>
  </r>
  <r>
    <x v="11"/>
    <x v="1"/>
    <x v="0"/>
    <n v="986"/>
    <x v="1"/>
    <n v="3"/>
    <n v="4"/>
    <x v="2"/>
    <n v="564"/>
    <n v="2"/>
    <x v="1"/>
    <n v="2"/>
    <n v="3"/>
    <x v="7"/>
    <n v="3"/>
    <s v="Married"/>
    <n v="11935"/>
    <n v="1"/>
    <x v="1"/>
    <n v="18"/>
    <n v="3"/>
    <n v="3"/>
    <n v="0"/>
    <n v="10"/>
    <n v="2"/>
    <n v="3"/>
    <n v="10"/>
    <n v="2"/>
    <n v="0"/>
    <n v="7"/>
    <s v="Master"/>
    <s v="Medium"/>
    <s v="Medium"/>
    <x v="2"/>
    <s v="High"/>
    <s v="Excellent"/>
    <s v="High"/>
    <x v="1"/>
    <s v="No_stock"/>
    <x v="0"/>
  </r>
  <r>
    <x v="11"/>
    <x v="0"/>
    <x v="0"/>
    <n v="408"/>
    <x v="1"/>
    <n v="25"/>
    <n v="5"/>
    <x v="4"/>
    <n v="565"/>
    <n v="3"/>
    <x v="0"/>
    <n v="2"/>
    <n v="1"/>
    <x v="1"/>
    <n v="2"/>
    <s v="Married"/>
    <n v="2546"/>
    <n v="5"/>
    <x v="1"/>
    <n v="16"/>
    <n v="3"/>
    <n v="2"/>
    <n v="0"/>
    <n v="6"/>
    <n v="2"/>
    <n v="4"/>
    <n v="2"/>
    <n v="2"/>
    <n v="1"/>
    <n v="1"/>
    <s v="Doctor"/>
    <s v="High"/>
    <s v="Medium"/>
    <x v="1"/>
    <s v="Medium"/>
    <s v="Excellent"/>
    <s v="Medium"/>
    <x v="3"/>
    <s v="No_stock"/>
    <x v="2"/>
  </r>
  <r>
    <x v="37"/>
    <x v="0"/>
    <x v="0"/>
    <n v="489"/>
    <x v="2"/>
    <n v="2"/>
    <n v="2"/>
    <x v="4"/>
    <n v="566"/>
    <n v="1"/>
    <x v="1"/>
    <n v="2"/>
    <n v="1"/>
    <x v="8"/>
    <n v="4"/>
    <s v="Single"/>
    <n v="2564"/>
    <n v="1"/>
    <x v="1"/>
    <n v="12"/>
    <n v="3"/>
    <n v="3"/>
    <n v="0"/>
    <n v="1"/>
    <n v="3"/>
    <n v="4"/>
    <n v="1"/>
    <n v="0"/>
    <n v="0"/>
    <n v="0"/>
    <s v="College"/>
    <s v="Low"/>
    <s v="Medium"/>
    <x v="1"/>
    <s v="Very High"/>
    <s v="Excellent"/>
    <s v="High"/>
    <x v="3"/>
    <s v="No_stock"/>
    <x v="0"/>
  </r>
  <r>
    <x v="7"/>
    <x v="1"/>
    <x v="2"/>
    <n v="1398"/>
    <x v="0"/>
    <n v="22"/>
    <n v="4"/>
    <x v="1"/>
    <n v="567"/>
    <n v="3"/>
    <x v="0"/>
    <n v="3"/>
    <n v="3"/>
    <x v="0"/>
    <n v="1"/>
    <s v="Married"/>
    <n v="8412"/>
    <n v="0"/>
    <x v="1"/>
    <n v="11"/>
    <n v="3"/>
    <n v="3"/>
    <n v="0"/>
    <n v="10"/>
    <n v="3"/>
    <n v="3"/>
    <n v="9"/>
    <n v="8"/>
    <n v="7"/>
    <n v="8"/>
    <s v="Master"/>
    <s v="High"/>
    <s v="High"/>
    <x v="2"/>
    <s v="Low"/>
    <s v="Excellent"/>
    <s v="High"/>
    <x v="1"/>
    <s v="No_stock"/>
    <x v="2"/>
  </r>
  <r>
    <x v="38"/>
    <x v="1"/>
    <x v="0"/>
    <n v="210"/>
    <x v="0"/>
    <n v="29"/>
    <n v="3"/>
    <x v="3"/>
    <n v="568"/>
    <n v="1"/>
    <x v="1"/>
    <n v="2"/>
    <n v="4"/>
    <x v="5"/>
    <n v="4"/>
    <s v="Divorced"/>
    <n v="14118"/>
    <n v="3"/>
    <x v="1"/>
    <n v="12"/>
    <n v="3"/>
    <n v="3"/>
    <n v="1"/>
    <n v="32"/>
    <n v="3"/>
    <n v="2"/>
    <n v="1"/>
    <n v="0"/>
    <n v="0"/>
    <n v="0"/>
    <s v="Bachelor"/>
    <s v="Low"/>
    <s v="Medium"/>
    <x v="3"/>
    <s v="Very High"/>
    <s v="Excellent"/>
    <s v="High"/>
    <x v="2"/>
    <s v="Low"/>
    <x v="2"/>
  </r>
  <r>
    <x v="24"/>
    <x v="1"/>
    <x v="0"/>
    <n v="1099"/>
    <x v="1"/>
    <n v="29"/>
    <n v="4"/>
    <x v="0"/>
    <n v="569"/>
    <n v="2"/>
    <x v="1"/>
    <n v="2"/>
    <n v="4"/>
    <x v="5"/>
    <n v="3"/>
    <s v="Married"/>
    <n v="17046"/>
    <n v="0"/>
    <x v="1"/>
    <n v="15"/>
    <n v="3"/>
    <n v="2"/>
    <n v="1"/>
    <n v="28"/>
    <n v="2"/>
    <n v="3"/>
    <n v="27"/>
    <n v="10"/>
    <n v="15"/>
    <n v="7"/>
    <s v="Master"/>
    <s v="Medium"/>
    <s v="Medium"/>
    <x v="3"/>
    <s v="High"/>
    <s v="Excellent"/>
    <s v="Medium"/>
    <x v="1"/>
    <s v="Low"/>
    <x v="2"/>
  </r>
  <r>
    <x v="7"/>
    <x v="1"/>
    <x v="2"/>
    <n v="1116"/>
    <x v="1"/>
    <n v="2"/>
    <n v="3"/>
    <x v="2"/>
    <n v="571"/>
    <n v="3"/>
    <x v="0"/>
    <n v="3"/>
    <n v="1"/>
    <x v="2"/>
    <n v="4"/>
    <s v="Single"/>
    <n v="2564"/>
    <n v="0"/>
    <x v="1"/>
    <n v="14"/>
    <n v="3"/>
    <n v="3"/>
    <n v="0"/>
    <n v="12"/>
    <n v="2"/>
    <n v="2"/>
    <n v="11"/>
    <n v="7"/>
    <n v="6"/>
    <n v="7"/>
    <s v="Bachelor"/>
    <s v="High"/>
    <s v="High"/>
    <x v="1"/>
    <s v="Very High"/>
    <s v="Excellent"/>
    <s v="High"/>
    <x v="2"/>
    <s v="No_stock"/>
    <x v="0"/>
  </r>
  <r>
    <x v="42"/>
    <x v="1"/>
    <x v="1"/>
    <n v="1499"/>
    <x v="0"/>
    <n v="28"/>
    <n v="3"/>
    <x v="3"/>
    <n v="573"/>
    <n v="3"/>
    <x v="0"/>
    <n v="2"/>
    <n v="3"/>
    <x v="0"/>
    <n v="1"/>
    <s v="Married"/>
    <n v="10266"/>
    <n v="4"/>
    <x v="1"/>
    <n v="19"/>
    <n v="3"/>
    <n v="4"/>
    <n v="0"/>
    <n v="22"/>
    <n v="5"/>
    <n v="4"/>
    <n v="18"/>
    <n v="13"/>
    <n v="13"/>
    <n v="11"/>
    <s v="Bachelor"/>
    <s v="High"/>
    <s v="Medium"/>
    <x v="2"/>
    <s v="Low"/>
    <s v="Excellent"/>
    <s v="Very High"/>
    <x v="3"/>
    <s v="No_stock"/>
    <x v="2"/>
  </r>
  <r>
    <x v="40"/>
    <x v="1"/>
    <x v="0"/>
    <n v="983"/>
    <x v="1"/>
    <n v="2"/>
    <n v="2"/>
    <x v="2"/>
    <n v="574"/>
    <n v="1"/>
    <x v="0"/>
    <n v="3"/>
    <n v="2"/>
    <x v="3"/>
    <n v="4"/>
    <s v="Divorced"/>
    <n v="5070"/>
    <n v="5"/>
    <x v="1"/>
    <n v="13"/>
    <n v="3"/>
    <n v="3"/>
    <n v="3"/>
    <n v="20"/>
    <n v="2"/>
    <n v="3"/>
    <n v="5"/>
    <n v="0"/>
    <n v="0"/>
    <n v="4"/>
    <s v="College"/>
    <s v="Low"/>
    <s v="High"/>
    <x v="0"/>
    <s v="Very High"/>
    <s v="Excellent"/>
    <s v="High"/>
    <x v="1"/>
    <s v="High"/>
    <x v="0"/>
  </r>
  <r>
    <x v="21"/>
    <x v="1"/>
    <x v="0"/>
    <n v="1009"/>
    <x v="1"/>
    <n v="2"/>
    <n v="3"/>
    <x v="0"/>
    <n v="575"/>
    <n v="1"/>
    <x v="1"/>
    <n v="3"/>
    <n v="4"/>
    <x v="7"/>
    <n v="3"/>
    <s v="Married"/>
    <n v="17861"/>
    <n v="6"/>
    <x v="1"/>
    <n v="13"/>
    <n v="3"/>
    <n v="3"/>
    <n v="0"/>
    <n v="26"/>
    <n v="2"/>
    <n v="1"/>
    <n v="3"/>
    <n v="2"/>
    <n v="0"/>
    <n v="1"/>
    <s v="Bachelor"/>
    <s v="Low"/>
    <s v="High"/>
    <x v="3"/>
    <s v="High"/>
    <s v="Excellent"/>
    <s v="High"/>
    <x v="0"/>
    <s v="No_stock"/>
    <x v="0"/>
  </r>
  <r>
    <x v="10"/>
    <x v="1"/>
    <x v="0"/>
    <n v="144"/>
    <x v="1"/>
    <n v="22"/>
    <n v="3"/>
    <x v="0"/>
    <n v="577"/>
    <n v="4"/>
    <x v="1"/>
    <n v="1"/>
    <n v="1"/>
    <x v="2"/>
    <n v="3"/>
    <s v="Single"/>
    <n v="4230"/>
    <n v="0"/>
    <x v="1"/>
    <n v="15"/>
    <n v="3"/>
    <n v="3"/>
    <n v="0"/>
    <n v="6"/>
    <n v="2"/>
    <n v="3"/>
    <n v="5"/>
    <n v="4"/>
    <n v="4"/>
    <n v="3"/>
    <s v="Bachelor"/>
    <s v="Very High"/>
    <s v="Low"/>
    <x v="1"/>
    <s v="High"/>
    <s v="Excellent"/>
    <s v="High"/>
    <x v="1"/>
    <s v="No_stock"/>
    <x v="2"/>
  </r>
  <r>
    <x v="33"/>
    <x v="1"/>
    <x v="0"/>
    <n v="548"/>
    <x v="1"/>
    <n v="8"/>
    <n v="4"/>
    <x v="0"/>
    <n v="578"/>
    <n v="3"/>
    <x v="0"/>
    <n v="3"/>
    <n v="2"/>
    <x v="2"/>
    <n v="3"/>
    <s v="Single"/>
    <n v="3780"/>
    <n v="7"/>
    <x v="1"/>
    <n v="11"/>
    <n v="3"/>
    <n v="3"/>
    <n v="0"/>
    <n v="19"/>
    <n v="3"/>
    <n v="3"/>
    <n v="1"/>
    <n v="0"/>
    <n v="0"/>
    <n v="0"/>
    <s v="Master"/>
    <s v="High"/>
    <s v="High"/>
    <x v="0"/>
    <s v="High"/>
    <s v="Excellent"/>
    <s v="High"/>
    <x v="1"/>
    <s v="No_stock"/>
    <x v="1"/>
  </r>
  <r>
    <x v="13"/>
    <x v="1"/>
    <x v="0"/>
    <n v="1303"/>
    <x v="1"/>
    <n v="2"/>
    <n v="4"/>
    <x v="0"/>
    <n v="579"/>
    <n v="4"/>
    <x v="1"/>
    <n v="2"/>
    <n v="1"/>
    <x v="1"/>
    <n v="3"/>
    <s v="Divorced"/>
    <n v="2768"/>
    <n v="3"/>
    <x v="1"/>
    <n v="12"/>
    <n v="3"/>
    <n v="3"/>
    <n v="1"/>
    <n v="14"/>
    <n v="3"/>
    <n v="3"/>
    <n v="7"/>
    <n v="3"/>
    <n v="5"/>
    <n v="7"/>
    <s v="Master"/>
    <s v="Very High"/>
    <s v="Medium"/>
    <x v="1"/>
    <s v="High"/>
    <s v="Excellent"/>
    <s v="High"/>
    <x v="1"/>
    <s v="Low"/>
    <x v="0"/>
  </r>
  <r>
    <x v="21"/>
    <x v="1"/>
    <x v="0"/>
    <n v="1125"/>
    <x v="0"/>
    <n v="10"/>
    <n v="3"/>
    <x v="3"/>
    <n v="580"/>
    <n v="3"/>
    <x v="0"/>
    <n v="2"/>
    <n v="3"/>
    <x v="0"/>
    <n v="4"/>
    <s v="Married"/>
    <n v="9071"/>
    <n v="2"/>
    <x v="0"/>
    <n v="19"/>
    <n v="3"/>
    <n v="3"/>
    <n v="1"/>
    <n v="15"/>
    <n v="3"/>
    <n v="3"/>
    <n v="3"/>
    <n v="2"/>
    <n v="1"/>
    <n v="2"/>
    <s v="Bachelor"/>
    <s v="High"/>
    <s v="Medium"/>
    <x v="2"/>
    <s v="Very High"/>
    <s v="Excellent"/>
    <s v="High"/>
    <x v="1"/>
    <s v="Low"/>
    <x v="1"/>
  </r>
  <r>
    <x v="12"/>
    <x v="1"/>
    <x v="0"/>
    <n v="1274"/>
    <x v="1"/>
    <n v="9"/>
    <n v="1"/>
    <x v="0"/>
    <n v="581"/>
    <n v="3"/>
    <x v="1"/>
    <n v="3"/>
    <n v="3"/>
    <x v="3"/>
    <n v="2"/>
    <s v="Divorced"/>
    <n v="10648"/>
    <n v="1"/>
    <x v="1"/>
    <n v="25"/>
    <n v="4"/>
    <n v="4"/>
    <n v="1"/>
    <n v="13"/>
    <n v="6"/>
    <n v="4"/>
    <n v="13"/>
    <n v="8"/>
    <n v="0"/>
    <n v="8"/>
    <s v="Before College"/>
    <s v="High"/>
    <s v="High"/>
    <x v="2"/>
    <s v="Medium"/>
    <s v="Outstanding"/>
    <s v="Very High"/>
    <x v="3"/>
    <s v="Low"/>
    <x v="1"/>
  </r>
  <r>
    <x v="3"/>
    <x v="0"/>
    <x v="0"/>
    <n v="1277"/>
    <x v="1"/>
    <n v="15"/>
    <n v="1"/>
    <x v="2"/>
    <n v="582"/>
    <n v="2"/>
    <x v="1"/>
    <n v="3"/>
    <n v="3"/>
    <x v="5"/>
    <n v="3"/>
    <s v="Married"/>
    <n v="13610"/>
    <n v="7"/>
    <x v="0"/>
    <n v="12"/>
    <n v="3"/>
    <n v="4"/>
    <n v="0"/>
    <n v="15"/>
    <n v="2"/>
    <n v="4"/>
    <n v="7"/>
    <n v="6"/>
    <n v="7"/>
    <n v="7"/>
    <s v="Before College"/>
    <s v="Medium"/>
    <s v="High"/>
    <x v="2"/>
    <s v="High"/>
    <s v="Excellent"/>
    <s v="Very High"/>
    <x v="3"/>
    <s v="No_stock"/>
    <x v="1"/>
  </r>
  <r>
    <x v="3"/>
    <x v="0"/>
    <x v="0"/>
    <n v="587"/>
    <x v="1"/>
    <n v="10"/>
    <n v="1"/>
    <x v="2"/>
    <n v="584"/>
    <n v="1"/>
    <x v="1"/>
    <n v="1"/>
    <n v="1"/>
    <x v="2"/>
    <n v="4"/>
    <s v="Divorced"/>
    <n v="3408"/>
    <n v="7"/>
    <x v="1"/>
    <n v="13"/>
    <n v="3"/>
    <n v="1"/>
    <n v="3"/>
    <n v="8"/>
    <n v="2"/>
    <n v="3"/>
    <n v="4"/>
    <n v="3"/>
    <n v="1"/>
    <n v="3"/>
    <s v="Before College"/>
    <s v="Low"/>
    <s v="Low"/>
    <x v="1"/>
    <s v="Very High"/>
    <s v="Excellent"/>
    <s v="Low"/>
    <x v="1"/>
    <s v="High"/>
    <x v="1"/>
  </r>
  <r>
    <x v="7"/>
    <x v="1"/>
    <x v="0"/>
    <n v="413"/>
    <x v="0"/>
    <n v="7"/>
    <n v="1"/>
    <x v="3"/>
    <n v="585"/>
    <n v="4"/>
    <x v="1"/>
    <n v="3"/>
    <n v="1"/>
    <x v="6"/>
    <n v="2"/>
    <s v="Single"/>
    <n v="2983"/>
    <n v="0"/>
    <x v="1"/>
    <n v="14"/>
    <n v="3"/>
    <n v="1"/>
    <n v="0"/>
    <n v="4"/>
    <n v="3"/>
    <n v="3"/>
    <n v="3"/>
    <n v="2"/>
    <n v="1"/>
    <n v="2"/>
    <s v="Before College"/>
    <s v="Very High"/>
    <s v="High"/>
    <x v="1"/>
    <s v="Medium"/>
    <s v="Excellent"/>
    <s v="Low"/>
    <x v="1"/>
    <s v="No_stock"/>
    <x v="1"/>
  </r>
  <r>
    <x v="10"/>
    <x v="1"/>
    <x v="0"/>
    <n v="1276"/>
    <x v="1"/>
    <n v="16"/>
    <n v="3"/>
    <x v="0"/>
    <n v="586"/>
    <n v="4"/>
    <x v="1"/>
    <n v="3"/>
    <n v="3"/>
    <x v="4"/>
    <n v="3"/>
    <s v="Married"/>
    <n v="7632"/>
    <n v="4"/>
    <x v="0"/>
    <n v="12"/>
    <n v="3"/>
    <n v="3"/>
    <n v="0"/>
    <n v="10"/>
    <n v="2"/>
    <n v="3"/>
    <n v="8"/>
    <n v="7"/>
    <n v="0"/>
    <n v="0"/>
    <s v="Bachelor"/>
    <s v="Very High"/>
    <s v="High"/>
    <x v="2"/>
    <s v="High"/>
    <s v="Excellent"/>
    <s v="High"/>
    <x v="1"/>
    <s v="No_stock"/>
    <x v="2"/>
  </r>
  <r>
    <x v="12"/>
    <x v="0"/>
    <x v="1"/>
    <n v="534"/>
    <x v="1"/>
    <n v="20"/>
    <n v="3"/>
    <x v="0"/>
    <n v="587"/>
    <n v="1"/>
    <x v="1"/>
    <n v="3"/>
    <n v="3"/>
    <x v="4"/>
    <n v="3"/>
    <s v="Married"/>
    <n v="9824"/>
    <n v="3"/>
    <x v="1"/>
    <n v="12"/>
    <n v="3"/>
    <n v="1"/>
    <n v="0"/>
    <n v="12"/>
    <n v="2"/>
    <n v="3"/>
    <n v="1"/>
    <n v="0"/>
    <n v="0"/>
    <n v="0"/>
    <s v="Bachelor"/>
    <s v="Low"/>
    <s v="High"/>
    <x v="2"/>
    <s v="High"/>
    <s v="Excellent"/>
    <s v="Low"/>
    <x v="1"/>
    <s v="No_stock"/>
    <x v="2"/>
  </r>
  <r>
    <x v="13"/>
    <x v="0"/>
    <x v="1"/>
    <n v="988"/>
    <x v="2"/>
    <n v="23"/>
    <n v="3"/>
    <x v="5"/>
    <n v="590"/>
    <n v="2"/>
    <x v="0"/>
    <n v="3"/>
    <n v="3"/>
    <x v="8"/>
    <n v="1"/>
    <s v="Divorced"/>
    <n v="9950"/>
    <n v="9"/>
    <x v="0"/>
    <n v="15"/>
    <n v="3"/>
    <n v="3"/>
    <n v="3"/>
    <n v="11"/>
    <n v="2"/>
    <n v="3"/>
    <n v="3"/>
    <n v="2"/>
    <n v="0"/>
    <n v="2"/>
    <s v="Bachelor"/>
    <s v="Medium"/>
    <s v="High"/>
    <x v="2"/>
    <s v="Low"/>
    <s v="Excellent"/>
    <s v="High"/>
    <x v="1"/>
    <s v="High"/>
    <x v="2"/>
  </r>
  <r>
    <x v="19"/>
    <x v="1"/>
    <x v="1"/>
    <n v="1474"/>
    <x v="1"/>
    <n v="5"/>
    <n v="2"/>
    <x v="1"/>
    <n v="591"/>
    <n v="2"/>
    <x v="1"/>
    <n v="3"/>
    <n v="1"/>
    <x v="2"/>
    <n v="3"/>
    <s v="Married"/>
    <n v="2093"/>
    <n v="4"/>
    <x v="1"/>
    <n v="17"/>
    <n v="3"/>
    <n v="4"/>
    <n v="1"/>
    <n v="8"/>
    <n v="4"/>
    <n v="3"/>
    <n v="2"/>
    <n v="2"/>
    <n v="2"/>
    <n v="0"/>
    <s v="College"/>
    <s v="Medium"/>
    <s v="High"/>
    <x v="1"/>
    <s v="High"/>
    <s v="Excellent"/>
    <s v="Very High"/>
    <x v="1"/>
    <s v="Low"/>
    <x v="0"/>
  </r>
  <r>
    <x v="9"/>
    <x v="1"/>
    <x v="2"/>
    <n v="635"/>
    <x v="0"/>
    <n v="10"/>
    <n v="4"/>
    <x v="2"/>
    <n v="592"/>
    <n v="2"/>
    <x v="1"/>
    <n v="3"/>
    <n v="3"/>
    <x v="0"/>
    <n v="4"/>
    <s v="Single"/>
    <n v="9980"/>
    <n v="1"/>
    <x v="1"/>
    <n v="14"/>
    <n v="3"/>
    <n v="4"/>
    <n v="0"/>
    <n v="10"/>
    <n v="3"/>
    <n v="2"/>
    <n v="10"/>
    <n v="3"/>
    <n v="9"/>
    <n v="7"/>
    <s v="Master"/>
    <s v="Medium"/>
    <s v="High"/>
    <x v="2"/>
    <s v="Very High"/>
    <s v="Excellent"/>
    <s v="Very High"/>
    <x v="2"/>
    <s v="No_stock"/>
    <x v="1"/>
  </r>
  <r>
    <x v="15"/>
    <x v="0"/>
    <x v="1"/>
    <n v="1368"/>
    <x v="1"/>
    <n v="4"/>
    <n v="1"/>
    <x v="4"/>
    <n v="593"/>
    <n v="3"/>
    <x v="1"/>
    <n v="2"/>
    <n v="1"/>
    <x v="2"/>
    <n v="3"/>
    <s v="Single"/>
    <n v="3894"/>
    <n v="5"/>
    <x v="1"/>
    <n v="16"/>
    <n v="3"/>
    <n v="3"/>
    <n v="0"/>
    <n v="4"/>
    <n v="3"/>
    <n v="3"/>
    <n v="2"/>
    <n v="2"/>
    <n v="1"/>
    <n v="2"/>
    <s v="Before College"/>
    <s v="High"/>
    <s v="Medium"/>
    <x v="1"/>
    <s v="High"/>
    <s v="Excellent"/>
    <s v="High"/>
    <x v="1"/>
    <s v="No_stock"/>
    <x v="0"/>
  </r>
  <r>
    <x v="26"/>
    <x v="1"/>
    <x v="0"/>
    <n v="163"/>
    <x v="0"/>
    <n v="2"/>
    <n v="5"/>
    <x v="3"/>
    <n v="595"/>
    <n v="2"/>
    <x v="0"/>
    <n v="3"/>
    <n v="2"/>
    <x v="0"/>
    <n v="4"/>
    <s v="Married"/>
    <n v="4051"/>
    <n v="2"/>
    <x v="1"/>
    <n v="14"/>
    <n v="3"/>
    <n v="1"/>
    <n v="1"/>
    <n v="14"/>
    <n v="2"/>
    <n v="3"/>
    <n v="9"/>
    <n v="7"/>
    <n v="6"/>
    <n v="7"/>
    <s v="Doctor"/>
    <s v="Medium"/>
    <s v="High"/>
    <x v="0"/>
    <s v="Very High"/>
    <s v="Excellent"/>
    <s v="Low"/>
    <x v="1"/>
    <s v="Low"/>
    <x v="0"/>
  </r>
  <r>
    <x v="27"/>
    <x v="1"/>
    <x v="0"/>
    <n v="1117"/>
    <x v="0"/>
    <n v="18"/>
    <n v="5"/>
    <x v="0"/>
    <n v="597"/>
    <n v="1"/>
    <x v="0"/>
    <n v="3"/>
    <n v="4"/>
    <x v="5"/>
    <n v="2"/>
    <s v="Single"/>
    <n v="16835"/>
    <n v="3"/>
    <x v="1"/>
    <n v="23"/>
    <n v="4"/>
    <n v="4"/>
    <n v="0"/>
    <n v="37"/>
    <n v="2"/>
    <n v="3"/>
    <n v="10"/>
    <n v="9"/>
    <n v="7"/>
    <n v="7"/>
    <s v="Doctor"/>
    <s v="Low"/>
    <s v="High"/>
    <x v="3"/>
    <s v="Medium"/>
    <s v="Outstanding"/>
    <s v="Very High"/>
    <x v="1"/>
    <s v="No_stock"/>
    <x v="2"/>
  </r>
  <r>
    <x v="0"/>
    <x v="1"/>
    <x v="2"/>
    <n v="267"/>
    <x v="0"/>
    <n v="10"/>
    <n v="2"/>
    <x v="0"/>
    <n v="599"/>
    <n v="4"/>
    <x v="1"/>
    <n v="3"/>
    <n v="2"/>
    <x v="0"/>
    <n v="4"/>
    <s v="Single"/>
    <n v="6230"/>
    <n v="7"/>
    <x v="1"/>
    <n v="14"/>
    <n v="3"/>
    <n v="4"/>
    <n v="0"/>
    <n v="16"/>
    <n v="3"/>
    <n v="3"/>
    <n v="14"/>
    <n v="3"/>
    <n v="1"/>
    <n v="10"/>
    <s v="College"/>
    <s v="Very High"/>
    <s v="High"/>
    <x v="0"/>
    <s v="Very High"/>
    <s v="Excellent"/>
    <s v="Very High"/>
    <x v="1"/>
    <s v="No_stock"/>
    <x v="1"/>
  </r>
  <r>
    <x v="10"/>
    <x v="1"/>
    <x v="0"/>
    <n v="619"/>
    <x v="0"/>
    <n v="1"/>
    <n v="3"/>
    <x v="3"/>
    <n v="600"/>
    <n v="2"/>
    <x v="1"/>
    <n v="3"/>
    <n v="2"/>
    <x v="0"/>
    <n v="3"/>
    <s v="Married"/>
    <n v="4717"/>
    <n v="9"/>
    <x v="1"/>
    <n v="11"/>
    <n v="3"/>
    <n v="3"/>
    <n v="0"/>
    <n v="15"/>
    <n v="2"/>
    <n v="3"/>
    <n v="11"/>
    <n v="9"/>
    <n v="6"/>
    <n v="9"/>
    <s v="Bachelor"/>
    <s v="Medium"/>
    <s v="High"/>
    <x v="0"/>
    <s v="High"/>
    <s v="Excellent"/>
    <s v="High"/>
    <x v="1"/>
    <s v="No_stock"/>
    <x v="0"/>
  </r>
  <r>
    <x v="32"/>
    <x v="1"/>
    <x v="0"/>
    <n v="302"/>
    <x v="1"/>
    <n v="6"/>
    <n v="3"/>
    <x v="0"/>
    <n v="601"/>
    <n v="2"/>
    <x v="0"/>
    <n v="3"/>
    <n v="4"/>
    <x v="3"/>
    <n v="3"/>
    <s v="Single"/>
    <n v="13237"/>
    <n v="7"/>
    <x v="1"/>
    <n v="15"/>
    <n v="3"/>
    <n v="3"/>
    <n v="0"/>
    <n v="22"/>
    <n v="3"/>
    <n v="3"/>
    <n v="20"/>
    <n v="6"/>
    <n v="5"/>
    <n v="13"/>
    <s v="Bachelor"/>
    <s v="Medium"/>
    <s v="High"/>
    <x v="3"/>
    <s v="High"/>
    <s v="Excellent"/>
    <s v="High"/>
    <x v="1"/>
    <s v="No_stock"/>
    <x v="1"/>
  </r>
  <r>
    <x v="22"/>
    <x v="1"/>
    <x v="1"/>
    <n v="443"/>
    <x v="1"/>
    <n v="8"/>
    <n v="1"/>
    <x v="0"/>
    <n v="602"/>
    <n v="3"/>
    <x v="0"/>
    <n v="3"/>
    <n v="1"/>
    <x v="2"/>
    <n v="3"/>
    <s v="Married"/>
    <n v="3755"/>
    <n v="1"/>
    <x v="1"/>
    <n v="11"/>
    <n v="3"/>
    <n v="1"/>
    <n v="1"/>
    <n v="8"/>
    <n v="3"/>
    <n v="3"/>
    <n v="8"/>
    <n v="3"/>
    <n v="0"/>
    <n v="7"/>
    <s v="Before College"/>
    <s v="High"/>
    <s v="High"/>
    <x v="1"/>
    <s v="High"/>
    <s v="Excellent"/>
    <s v="Low"/>
    <x v="1"/>
    <s v="Low"/>
    <x v="1"/>
  </r>
  <r>
    <x v="12"/>
    <x v="1"/>
    <x v="0"/>
    <n v="828"/>
    <x v="0"/>
    <n v="2"/>
    <n v="1"/>
    <x v="0"/>
    <n v="604"/>
    <n v="2"/>
    <x v="1"/>
    <n v="3"/>
    <n v="2"/>
    <x v="0"/>
    <n v="4"/>
    <s v="Single"/>
    <n v="6582"/>
    <n v="4"/>
    <x v="0"/>
    <n v="13"/>
    <n v="3"/>
    <n v="3"/>
    <n v="0"/>
    <n v="10"/>
    <n v="2"/>
    <n v="4"/>
    <n v="6"/>
    <n v="5"/>
    <n v="0"/>
    <n v="5"/>
    <s v="Before College"/>
    <s v="Medium"/>
    <s v="High"/>
    <x v="0"/>
    <s v="Very High"/>
    <s v="Excellent"/>
    <s v="High"/>
    <x v="3"/>
    <s v="No_stock"/>
    <x v="0"/>
  </r>
  <r>
    <x v="19"/>
    <x v="1"/>
    <x v="0"/>
    <n v="319"/>
    <x v="1"/>
    <n v="24"/>
    <n v="3"/>
    <x v="2"/>
    <n v="605"/>
    <n v="4"/>
    <x v="1"/>
    <n v="3"/>
    <n v="3"/>
    <x v="3"/>
    <n v="1"/>
    <s v="Married"/>
    <n v="7406"/>
    <n v="1"/>
    <x v="0"/>
    <n v="21"/>
    <n v="4"/>
    <n v="4"/>
    <n v="1"/>
    <n v="10"/>
    <n v="5"/>
    <n v="2"/>
    <n v="10"/>
    <n v="9"/>
    <n v="5"/>
    <n v="8"/>
    <s v="Bachelor"/>
    <s v="Very High"/>
    <s v="High"/>
    <x v="2"/>
    <s v="Low"/>
    <s v="Outstanding"/>
    <s v="Very High"/>
    <x v="2"/>
    <s v="Low"/>
    <x v="2"/>
  </r>
  <r>
    <x v="28"/>
    <x v="1"/>
    <x v="0"/>
    <n v="561"/>
    <x v="0"/>
    <n v="2"/>
    <n v="3"/>
    <x v="1"/>
    <n v="606"/>
    <n v="4"/>
    <x v="1"/>
    <n v="3"/>
    <n v="2"/>
    <x v="0"/>
    <n v="2"/>
    <s v="Married"/>
    <n v="4805"/>
    <n v="0"/>
    <x v="1"/>
    <n v="19"/>
    <n v="3"/>
    <n v="2"/>
    <n v="1"/>
    <n v="9"/>
    <n v="3"/>
    <n v="4"/>
    <n v="8"/>
    <n v="7"/>
    <n v="3"/>
    <n v="7"/>
    <s v="Bachelor"/>
    <s v="Very High"/>
    <s v="High"/>
    <x v="0"/>
    <s v="Medium"/>
    <s v="Excellent"/>
    <s v="Medium"/>
    <x v="3"/>
    <s v="Low"/>
    <x v="0"/>
  </r>
  <r>
    <x v="25"/>
    <x v="0"/>
    <x v="1"/>
    <n v="426"/>
    <x v="2"/>
    <n v="17"/>
    <n v="4"/>
    <x v="0"/>
    <n v="608"/>
    <n v="2"/>
    <x v="0"/>
    <n v="3"/>
    <n v="1"/>
    <x v="8"/>
    <n v="3"/>
    <s v="Divorced"/>
    <n v="2741"/>
    <n v="0"/>
    <x v="0"/>
    <n v="11"/>
    <n v="3"/>
    <n v="2"/>
    <n v="1"/>
    <n v="8"/>
    <n v="2"/>
    <n v="2"/>
    <n v="7"/>
    <n v="7"/>
    <n v="1"/>
    <n v="0"/>
    <s v="Master"/>
    <s v="Medium"/>
    <s v="High"/>
    <x v="1"/>
    <s v="High"/>
    <s v="Excellent"/>
    <s v="Medium"/>
    <x v="2"/>
    <s v="Low"/>
    <x v="2"/>
  </r>
  <r>
    <x v="11"/>
    <x v="1"/>
    <x v="0"/>
    <n v="232"/>
    <x v="1"/>
    <n v="19"/>
    <n v="3"/>
    <x v="4"/>
    <n v="611"/>
    <n v="4"/>
    <x v="1"/>
    <n v="3"/>
    <n v="2"/>
    <x v="3"/>
    <n v="4"/>
    <s v="Divorced"/>
    <n v="4262"/>
    <n v="4"/>
    <x v="1"/>
    <n v="12"/>
    <n v="3"/>
    <n v="2"/>
    <n v="2"/>
    <n v="8"/>
    <n v="2"/>
    <n v="4"/>
    <n v="3"/>
    <n v="2"/>
    <n v="1"/>
    <n v="2"/>
    <s v="Bachelor"/>
    <s v="Very High"/>
    <s v="High"/>
    <x v="0"/>
    <s v="Very High"/>
    <s v="Excellent"/>
    <s v="Medium"/>
    <x v="3"/>
    <s v="Medium"/>
    <x v="2"/>
  </r>
  <r>
    <x v="3"/>
    <x v="1"/>
    <x v="0"/>
    <n v="922"/>
    <x v="1"/>
    <n v="1"/>
    <n v="5"/>
    <x v="2"/>
    <n v="612"/>
    <n v="1"/>
    <x v="0"/>
    <n v="4"/>
    <n v="4"/>
    <x v="7"/>
    <n v="3"/>
    <s v="Divorced"/>
    <n v="16184"/>
    <n v="4"/>
    <x v="1"/>
    <n v="19"/>
    <n v="3"/>
    <n v="3"/>
    <n v="1"/>
    <n v="10"/>
    <n v="2"/>
    <n v="3"/>
    <n v="6"/>
    <n v="1"/>
    <n v="0"/>
    <n v="5"/>
    <s v="Doctor"/>
    <s v="Low"/>
    <s v="Very High"/>
    <x v="3"/>
    <s v="High"/>
    <s v="Excellent"/>
    <s v="High"/>
    <x v="1"/>
    <s v="Low"/>
    <x v="0"/>
  </r>
  <r>
    <x v="12"/>
    <x v="1"/>
    <x v="0"/>
    <n v="688"/>
    <x v="0"/>
    <n v="7"/>
    <n v="3"/>
    <x v="0"/>
    <n v="613"/>
    <n v="3"/>
    <x v="1"/>
    <n v="2"/>
    <n v="3"/>
    <x v="5"/>
    <n v="4"/>
    <s v="Divorced"/>
    <n v="11557"/>
    <n v="9"/>
    <x v="1"/>
    <n v="21"/>
    <n v="4"/>
    <n v="3"/>
    <n v="1"/>
    <n v="10"/>
    <n v="3"/>
    <n v="2"/>
    <n v="5"/>
    <n v="4"/>
    <n v="0"/>
    <n v="1"/>
    <s v="Bachelor"/>
    <s v="High"/>
    <s v="Medium"/>
    <x v="2"/>
    <s v="Very High"/>
    <s v="Outstanding"/>
    <s v="High"/>
    <x v="2"/>
    <s v="Low"/>
    <x v="1"/>
  </r>
  <r>
    <x v="41"/>
    <x v="0"/>
    <x v="1"/>
    <n v="1306"/>
    <x v="0"/>
    <n v="5"/>
    <n v="3"/>
    <x v="3"/>
    <n v="614"/>
    <n v="2"/>
    <x v="1"/>
    <n v="3"/>
    <n v="1"/>
    <x v="6"/>
    <n v="2"/>
    <s v="Single"/>
    <n v="1878"/>
    <n v="1"/>
    <x v="0"/>
    <n v="14"/>
    <n v="3"/>
    <n v="4"/>
    <n v="0"/>
    <n v="0"/>
    <n v="3"/>
    <n v="3"/>
    <n v="0"/>
    <n v="0"/>
    <n v="0"/>
    <n v="0"/>
    <s v="Bachelor"/>
    <s v="Medium"/>
    <s v="High"/>
    <x v="1"/>
    <s v="Medium"/>
    <s v="Excellent"/>
    <s v="Very High"/>
    <x v="1"/>
    <s v="No_stock"/>
    <x v="0"/>
  </r>
  <r>
    <x v="32"/>
    <x v="1"/>
    <x v="2"/>
    <n v="1094"/>
    <x v="0"/>
    <n v="28"/>
    <n v="3"/>
    <x v="1"/>
    <n v="615"/>
    <n v="3"/>
    <x v="1"/>
    <n v="1"/>
    <n v="3"/>
    <x v="0"/>
    <n v="1"/>
    <s v="Divorced"/>
    <n v="10932"/>
    <n v="3"/>
    <x v="1"/>
    <n v="15"/>
    <n v="3"/>
    <n v="3"/>
    <n v="1"/>
    <n v="20"/>
    <n v="2"/>
    <n v="3"/>
    <n v="1"/>
    <n v="0"/>
    <n v="0"/>
    <n v="1"/>
    <s v="Bachelor"/>
    <s v="High"/>
    <s v="Low"/>
    <x v="2"/>
    <s v="Low"/>
    <s v="Excellent"/>
    <s v="High"/>
    <x v="1"/>
    <s v="Low"/>
    <x v="2"/>
  </r>
  <r>
    <x v="0"/>
    <x v="1"/>
    <x v="2"/>
    <n v="509"/>
    <x v="1"/>
    <n v="2"/>
    <n v="4"/>
    <x v="1"/>
    <n v="616"/>
    <n v="1"/>
    <x v="0"/>
    <n v="2"/>
    <n v="2"/>
    <x v="4"/>
    <n v="3"/>
    <s v="Single"/>
    <n v="6811"/>
    <n v="2"/>
    <x v="0"/>
    <n v="17"/>
    <n v="3"/>
    <n v="1"/>
    <n v="0"/>
    <n v="10"/>
    <n v="3"/>
    <n v="3"/>
    <n v="8"/>
    <n v="7"/>
    <n v="0"/>
    <n v="7"/>
    <s v="Master"/>
    <s v="Low"/>
    <s v="Medium"/>
    <x v="0"/>
    <s v="High"/>
    <s v="Excellent"/>
    <s v="Low"/>
    <x v="1"/>
    <s v="No_stock"/>
    <x v="0"/>
  </r>
  <r>
    <x v="25"/>
    <x v="1"/>
    <x v="0"/>
    <n v="775"/>
    <x v="0"/>
    <n v="29"/>
    <n v="2"/>
    <x v="2"/>
    <n v="618"/>
    <n v="1"/>
    <x v="1"/>
    <n v="3"/>
    <n v="2"/>
    <x v="0"/>
    <n v="3"/>
    <s v="Divorced"/>
    <n v="4306"/>
    <n v="5"/>
    <x v="1"/>
    <n v="12"/>
    <n v="3"/>
    <n v="1"/>
    <n v="2"/>
    <n v="8"/>
    <n v="5"/>
    <n v="3"/>
    <n v="0"/>
    <n v="0"/>
    <n v="0"/>
    <n v="0"/>
    <s v="College"/>
    <s v="Low"/>
    <s v="High"/>
    <x v="0"/>
    <s v="High"/>
    <s v="Excellent"/>
    <s v="Low"/>
    <x v="1"/>
    <s v="Medium"/>
    <x v="2"/>
  </r>
  <r>
    <x v="10"/>
    <x v="1"/>
    <x v="0"/>
    <n v="195"/>
    <x v="0"/>
    <n v="1"/>
    <n v="3"/>
    <x v="2"/>
    <n v="620"/>
    <n v="1"/>
    <x v="0"/>
    <n v="3"/>
    <n v="2"/>
    <x v="0"/>
    <n v="3"/>
    <s v="Single"/>
    <n v="4859"/>
    <n v="1"/>
    <x v="1"/>
    <n v="16"/>
    <n v="3"/>
    <n v="4"/>
    <n v="0"/>
    <n v="5"/>
    <n v="3"/>
    <n v="3"/>
    <n v="5"/>
    <n v="4"/>
    <n v="0"/>
    <n v="3"/>
    <s v="Bachelor"/>
    <s v="Low"/>
    <s v="High"/>
    <x v="0"/>
    <s v="High"/>
    <s v="Excellent"/>
    <s v="Very High"/>
    <x v="1"/>
    <s v="No_stock"/>
    <x v="0"/>
  </r>
  <r>
    <x v="13"/>
    <x v="1"/>
    <x v="0"/>
    <n v="258"/>
    <x v="0"/>
    <n v="21"/>
    <n v="4"/>
    <x v="0"/>
    <n v="621"/>
    <n v="4"/>
    <x v="1"/>
    <n v="4"/>
    <n v="2"/>
    <x v="0"/>
    <n v="4"/>
    <s v="Single"/>
    <n v="5337"/>
    <n v="1"/>
    <x v="1"/>
    <n v="12"/>
    <n v="3"/>
    <n v="4"/>
    <n v="0"/>
    <n v="10"/>
    <n v="3"/>
    <n v="3"/>
    <n v="10"/>
    <n v="7"/>
    <n v="5"/>
    <n v="7"/>
    <s v="Master"/>
    <s v="Very High"/>
    <s v="Very High"/>
    <x v="0"/>
    <s v="Very High"/>
    <s v="Excellent"/>
    <s v="Very High"/>
    <x v="1"/>
    <s v="No_stock"/>
    <x v="2"/>
  </r>
  <r>
    <x v="25"/>
    <x v="0"/>
    <x v="0"/>
    <n v="471"/>
    <x v="1"/>
    <n v="24"/>
    <n v="3"/>
    <x v="4"/>
    <n v="622"/>
    <n v="3"/>
    <x v="1"/>
    <n v="1"/>
    <n v="1"/>
    <x v="2"/>
    <n v="4"/>
    <s v="Single"/>
    <n v="2340"/>
    <n v="1"/>
    <x v="0"/>
    <n v="18"/>
    <n v="3"/>
    <n v="2"/>
    <n v="0"/>
    <n v="1"/>
    <n v="3"/>
    <n v="1"/>
    <n v="1"/>
    <n v="0"/>
    <n v="0"/>
    <n v="0"/>
    <s v="Bachelor"/>
    <s v="High"/>
    <s v="Low"/>
    <x v="1"/>
    <s v="Very High"/>
    <s v="Excellent"/>
    <s v="Medium"/>
    <x v="0"/>
    <s v="No_stock"/>
    <x v="2"/>
  </r>
  <r>
    <x v="2"/>
    <x v="1"/>
    <x v="0"/>
    <n v="799"/>
    <x v="1"/>
    <n v="1"/>
    <n v="3"/>
    <x v="4"/>
    <n v="623"/>
    <n v="2"/>
    <x v="0"/>
    <n v="3"/>
    <n v="3"/>
    <x v="3"/>
    <n v="4"/>
    <s v="Single"/>
    <n v="7491"/>
    <n v="4"/>
    <x v="1"/>
    <n v="17"/>
    <n v="3"/>
    <n v="4"/>
    <n v="0"/>
    <n v="12"/>
    <n v="3"/>
    <n v="4"/>
    <n v="6"/>
    <n v="5"/>
    <n v="1"/>
    <n v="2"/>
    <s v="Bachelor"/>
    <s v="Medium"/>
    <s v="High"/>
    <x v="2"/>
    <s v="Very High"/>
    <s v="Excellent"/>
    <s v="Very High"/>
    <x v="3"/>
    <s v="No_stock"/>
    <x v="0"/>
  </r>
  <r>
    <x v="21"/>
    <x v="1"/>
    <x v="1"/>
    <n v="1034"/>
    <x v="1"/>
    <n v="18"/>
    <n v="1"/>
    <x v="2"/>
    <n v="624"/>
    <n v="1"/>
    <x v="0"/>
    <n v="3"/>
    <n v="3"/>
    <x v="4"/>
    <n v="3"/>
    <s v="Married"/>
    <n v="10527"/>
    <n v="5"/>
    <x v="1"/>
    <n v="11"/>
    <n v="3"/>
    <n v="4"/>
    <n v="0"/>
    <n v="28"/>
    <n v="3"/>
    <n v="2"/>
    <n v="2"/>
    <n v="2"/>
    <n v="1"/>
    <n v="2"/>
    <s v="Before College"/>
    <s v="Low"/>
    <s v="High"/>
    <x v="2"/>
    <s v="High"/>
    <s v="Excellent"/>
    <s v="Very High"/>
    <x v="2"/>
    <s v="No_stock"/>
    <x v="2"/>
  </r>
  <r>
    <x v="0"/>
    <x v="1"/>
    <x v="0"/>
    <n v="1276"/>
    <x v="0"/>
    <n v="2"/>
    <n v="5"/>
    <x v="0"/>
    <n v="625"/>
    <n v="2"/>
    <x v="0"/>
    <n v="3"/>
    <n v="4"/>
    <x v="5"/>
    <n v="1"/>
    <s v="Married"/>
    <n v="16595"/>
    <n v="7"/>
    <x v="1"/>
    <n v="16"/>
    <n v="3"/>
    <n v="2"/>
    <n v="1"/>
    <n v="22"/>
    <n v="2"/>
    <n v="3"/>
    <n v="18"/>
    <n v="16"/>
    <n v="11"/>
    <n v="8"/>
    <s v="Doctor"/>
    <s v="Medium"/>
    <s v="High"/>
    <x v="3"/>
    <s v="Low"/>
    <s v="Excellent"/>
    <s v="Medium"/>
    <x v="1"/>
    <s v="Low"/>
    <x v="0"/>
  </r>
  <r>
    <x v="2"/>
    <x v="1"/>
    <x v="2"/>
    <n v="142"/>
    <x v="0"/>
    <n v="9"/>
    <n v="4"/>
    <x v="2"/>
    <n v="626"/>
    <n v="1"/>
    <x v="1"/>
    <n v="3"/>
    <n v="3"/>
    <x v="0"/>
    <n v="2"/>
    <s v="Divorced"/>
    <n v="8834"/>
    <n v="1"/>
    <x v="1"/>
    <n v="13"/>
    <n v="3"/>
    <n v="4"/>
    <n v="1"/>
    <n v="9"/>
    <n v="6"/>
    <n v="3"/>
    <n v="9"/>
    <n v="5"/>
    <n v="7"/>
    <n v="7"/>
    <s v="Master"/>
    <s v="Low"/>
    <s v="High"/>
    <x v="2"/>
    <s v="Medium"/>
    <s v="Excellent"/>
    <s v="Very High"/>
    <x v="1"/>
    <s v="Low"/>
    <x v="1"/>
  </r>
  <r>
    <x v="39"/>
    <x v="1"/>
    <x v="0"/>
    <n v="956"/>
    <x v="1"/>
    <n v="6"/>
    <n v="2"/>
    <x v="4"/>
    <n v="630"/>
    <n v="4"/>
    <x v="1"/>
    <n v="3"/>
    <n v="2"/>
    <x v="1"/>
    <n v="1"/>
    <s v="Divorced"/>
    <n v="5577"/>
    <n v="3"/>
    <x v="0"/>
    <n v="12"/>
    <n v="3"/>
    <n v="2"/>
    <n v="2"/>
    <n v="18"/>
    <n v="3"/>
    <n v="3"/>
    <n v="10"/>
    <n v="9"/>
    <n v="6"/>
    <n v="9"/>
    <s v="College"/>
    <s v="Very High"/>
    <s v="High"/>
    <x v="0"/>
    <s v="Low"/>
    <s v="Excellent"/>
    <s v="Medium"/>
    <x v="1"/>
    <s v="Medium"/>
    <x v="1"/>
  </r>
  <r>
    <x v="5"/>
    <x v="0"/>
    <x v="2"/>
    <n v="1474"/>
    <x v="0"/>
    <n v="11"/>
    <n v="4"/>
    <x v="1"/>
    <n v="631"/>
    <n v="4"/>
    <x v="1"/>
    <n v="4"/>
    <n v="2"/>
    <x v="0"/>
    <n v="3"/>
    <s v="Married"/>
    <n v="4707"/>
    <n v="8"/>
    <x v="1"/>
    <n v="12"/>
    <n v="3"/>
    <n v="4"/>
    <n v="0"/>
    <n v="6"/>
    <n v="2"/>
    <n v="3"/>
    <n v="4"/>
    <n v="2"/>
    <n v="1"/>
    <n v="2"/>
    <s v="Master"/>
    <s v="Very High"/>
    <s v="Very High"/>
    <x v="0"/>
    <s v="High"/>
    <s v="Excellent"/>
    <s v="Very High"/>
    <x v="1"/>
    <s v="No_stock"/>
    <x v="1"/>
  </r>
  <r>
    <x v="17"/>
    <x v="1"/>
    <x v="1"/>
    <n v="535"/>
    <x v="0"/>
    <n v="24"/>
    <n v="3"/>
    <x v="2"/>
    <n v="632"/>
    <n v="4"/>
    <x v="1"/>
    <n v="3"/>
    <n v="1"/>
    <x v="6"/>
    <n v="4"/>
    <s v="Married"/>
    <n v="2400"/>
    <n v="0"/>
    <x v="1"/>
    <n v="13"/>
    <n v="3"/>
    <n v="3"/>
    <n v="2"/>
    <n v="3"/>
    <n v="3"/>
    <n v="3"/>
    <n v="2"/>
    <n v="2"/>
    <n v="2"/>
    <n v="1"/>
    <s v="Bachelor"/>
    <s v="Very High"/>
    <s v="High"/>
    <x v="1"/>
    <s v="Very High"/>
    <s v="Excellent"/>
    <s v="High"/>
    <x v="1"/>
    <s v="Medium"/>
    <x v="2"/>
  </r>
  <r>
    <x v="8"/>
    <x v="1"/>
    <x v="0"/>
    <n v="1495"/>
    <x v="1"/>
    <n v="10"/>
    <n v="3"/>
    <x v="2"/>
    <n v="634"/>
    <n v="3"/>
    <x v="0"/>
    <n v="3"/>
    <n v="2"/>
    <x v="4"/>
    <n v="3"/>
    <s v="Married"/>
    <n v="9824"/>
    <n v="3"/>
    <x v="1"/>
    <n v="19"/>
    <n v="3"/>
    <n v="3"/>
    <n v="1"/>
    <n v="18"/>
    <n v="4"/>
    <n v="3"/>
    <n v="1"/>
    <n v="0"/>
    <n v="0"/>
    <n v="0"/>
    <s v="Bachelor"/>
    <s v="High"/>
    <s v="High"/>
    <x v="0"/>
    <s v="High"/>
    <s v="Excellent"/>
    <s v="High"/>
    <x v="1"/>
    <s v="Low"/>
    <x v="1"/>
  </r>
  <r>
    <x v="2"/>
    <x v="1"/>
    <x v="0"/>
    <n v="446"/>
    <x v="1"/>
    <n v="1"/>
    <n v="4"/>
    <x v="0"/>
    <n v="635"/>
    <n v="2"/>
    <x v="0"/>
    <n v="3"/>
    <n v="2"/>
    <x v="3"/>
    <n v="2"/>
    <s v="Married"/>
    <n v="6447"/>
    <n v="6"/>
    <x v="1"/>
    <n v="12"/>
    <n v="3"/>
    <n v="2"/>
    <n v="1"/>
    <n v="8"/>
    <n v="2"/>
    <n v="2"/>
    <n v="6"/>
    <n v="5"/>
    <n v="4"/>
    <n v="3"/>
    <s v="Master"/>
    <s v="Medium"/>
    <s v="High"/>
    <x v="0"/>
    <s v="Medium"/>
    <s v="Excellent"/>
    <s v="Medium"/>
    <x v="2"/>
    <s v="Low"/>
    <x v="0"/>
  </r>
  <r>
    <x v="1"/>
    <x v="1"/>
    <x v="0"/>
    <n v="1245"/>
    <x v="1"/>
    <n v="18"/>
    <n v="4"/>
    <x v="0"/>
    <n v="638"/>
    <n v="4"/>
    <x v="1"/>
    <n v="2"/>
    <n v="5"/>
    <x v="7"/>
    <n v="3"/>
    <s v="Divorced"/>
    <n v="19502"/>
    <n v="1"/>
    <x v="0"/>
    <n v="17"/>
    <n v="3"/>
    <n v="3"/>
    <n v="1"/>
    <n v="31"/>
    <n v="5"/>
    <n v="3"/>
    <n v="31"/>
    <n v="9"/>
    <n v="0"/>
    <n v="9"/>
    <s v="Master"/>
    <s v="Very High"/>
    <s v="Medium"/>
    <x v="4"/>
    <s v="High"/>
    <s v="Excellent"/>
    <s v="High"/>
    <x v="1"/>
    <s v="Low"/>
    <x v="2"/>
  </r>
  <r>
    <x v="17"/>
    <x v="1"/>
    <x v="0"/>
    <n v="691"/>
    <x v="1"/>
    <n v="23"/>
    <n v="3"/>
    <x v="2"/>
    <n v="639"/>
    <n v="2"/>
    <x v="1"/>
    <n v="4"/>
    <n v="1"/>
    <x v="1"/>
    <n v="4"/>
    <s v="Married"/>
    <n v="2725"/>
    <n v="1"/>
    <x v="0"/>
    <n v="11"/>
    <n v="3"/>
    <n v="2"/>
    <n v="2"/>
    <n v="6"/>
    <n v="3"/>
    <n v="3"/>
    <n v="6"/>
    <n v="5"/>
    <n v="1"/>
    <n v="4"/>
    <s v="Bachelor"/>
    <s v="Medium"/>
    <s v="Very High"/>
    <x v="1"/>
    <s v="Very High"/>
    <s v="Excellent"/>
    <s v="Medium"/>
    <x v="1"/>
    <s v="Medium"/>
    <x v="2"/>
  </r>
  <r>
    <x v="25"/>
    <x v="1"/>
    <x v="0"/>
    <n v="703"/>
    <x v="0"/>
    <n v="28"/>
    <n v="2"/>
    <x v="3"/>
    <n v="641"/>
    <n v="1"/>
    <x v="1"/>
    <n v="3"/>
    <n v="2"/>
    <x v="0"/>
    <n v="2"/>
    <s v="Married"/>
    <n v="6272"/>
    <n v="1"/>
    <x v="1"/>
    <n v="20"/>
    <n v="4"/>
    <n v="4"/>
    <n v="2"/>
    <n v="6"/>
    <n v="5"/>
    <n v="4"/>
    <n v="5"/>
    <n v="3"/>
    <n v="1"/>
    <n v="4"/>
    <s v="College"/>
    <s v="Low"/>
    <s v="High"/>
    <x v="0"/>
    <s v="Medium"/>
    <s v="Outstanding"/>
    <s v="Very High"/>
    <x v="3"/>
    <s v="Medium"/>
    <x v="2"/>
  </r>
  <r>
    <x v="17"/>
    <x v="1"/>
    <x v="0"/>
    <n v="823"/>
    <x v="1"/>
    <n v="17"/>
    <n v="2"/>
    <x v="1"/>
    <n v="643"/>
    <n v="4"/>
    <x v="1"/>
    <n v="2"/>
    <n v="1"/>
    <x v="2"/>
    <n v="2"/>
    <s v="Married"/>
    <n v="2127"/>
    <n v="1"/>
    <x v="1"/>
    <n v="21"/>
    <n v="4"/>
    <n v="4"/>
    <n v="1"/>
    <n v="1"/>
    <n v="2"/>
    <n v="3"/>
    <n v="1"/>
    <n v="0"/>
    <n v="0"/>
    <n v="0"/>
    <s v="College"/>
    <s v="Very High"/>
    <s v="Medium"/>
    <x v="1"/>
    <s v="Medium"/>
    <s v="Outstanding"/>
    <s v="Very High"/>
    <x v="1"/>
    <s v="Low"/>
    <x v="2"/>
  </r>
  <r>
    <x v="24"/>
    <x v="1"/>
    <x v="1"/>
    <n v="1246"/>
    <x v="2"/>
    <n v="3"/>
    <n v="3"/>
    <x v="2"/>
    <n v="644"/>
    <n v="1"/>
    <x v="1"/>
    <n v="3"/>
    <n v="5"/>
    <x v="5"/>
    <n v="2"/>
    <s v="Married"/>
    <n v="18200"/>
    <n v="1"/>
    <x v="1"/>
    <n v="11"/>
    <n v="3"/>
    <n v="3"/>
    <n v="1"/>
    <n v="32"/>
    <n v="2"/>
    <n v="3"/>
    <n v="32"/>
    <n v="5"/>
    <n v="10"/>
    <n v="7"/>
    <s v="Bachelor"/>
    <s v="Low"/>
    <s v="High"/>
    <x v="4"/>
    <s v="Medium"/>
    <s v="Excellent"/>
    <s v="High"/>
    <x v="1"/>
    <s v="Low"/>
    <x v="0"/>
  </r>
  <r>
    <x v="36"/>
    <x v="1"/>
    <x v="0"/>
    <n v="622"/>
    <x v="0"/>
    <n v="13"/>
    <n v="1"/>
    <x v="2"/>
    <n v="645"/>
    <n v="2"/>
    <x v="1"/>
    <n v="3"/>
    <n v="1"/>
    <x v="6"/>
    <n v="3"/>
    <s v="Married"/>
    <n v="2096"/>
    <n v="1"/>
    <x v="1"/>
    <n v="11"/>
    <n v="3"/>
    <n v="3"/>
    <n v="0"/>
    <n v="7"/>
    <n v="1"/>
    <n v="3"/>
    <n v="7"/>
    <n v="4"/>
    <n v="0"/>
    <n v="6"/>
    <s v="Before College"/>
    <s v="Medium"/>
    <s v="High"/>
    <x v="1"/>
    <s v="High"/>
    <s v="Excellent"/>
    <s v="High"/>
    <x v="1"/>
    <s v="No_stock"/>
    <x v="1"/>
  </r>
  <r>
    <x v="17"/>
    <x v="0"/>
    <x v="1"/>
    <n v="1287"/>
    <x v="1"/>
    <n v="7"/>
    <n v="3"/>
    <x v="0"/>
    <n v="647"/>
    <n v="1"/>
    <x v="0"/>
    <n v="3"/>
    <n v="1"/>
    <x v="2"/>
    <n v="3"/>
    <s v="Married"/>
    <n v="2886"/>
    <n v="1"/>
    <x v="0"/>
    <n v="16"/>
    <n v="3"/>
    <n v="4"/>
    <n v="1"/>
    <n v="6"/>
    <n v="4"/>
    <n v="3"/>
    <n v="6"/>
    <n v="3"/>
    <n v="1"/>
    <n v="2"/>
    <s v="Bachelor"/>
    <s v="Low"/>
    <s v="High"/>
    <x v="1"/>
    <s v="High"/>
    <s v="Excellent"/>
    <s v="Very High"/>
    <x v="1"/>
    <s v="Low"/>
    <x v="1"/>
  </r>
  <r>
    <x v="7"/>
    <x v="0"/>
    <x v="1"/>
    <n v="448"/>
    <x v="0"/>
    <n v="12"/>
    <n v="4"/>
    <x v="0"/>
    <n v="648"/>
    <n v="2"/>
    <x v="1"/>
    <n v="2"/>
    <n v="1"/>
    <x v="6"/>
    <n v="1"/>
    <s v="Married"/>
    <n v="2033"/>
    <n v="1"/>
    <x v="1"/>
    <n v="18"/>
    <n v="3"/>
    <n v="3"/>
    <n v="1"/>
    <n v="1"/>
    <n v="2"/>
    <n v="4"/>
    <n v="1"/>
    <n v="0"/>
    <n v="0"/>
    <n v="0"/>
    <s v="Master"/>
    <s v="Medium"/>
    <s v="Medium"/>
    <x v="1"/>
    <s v="Low"/>
    <s v="Excellent"/>
    <s v="High"/>
    <x v="3"/>
    <s v="Low"/>
    <x v="1"/>
  </r>
  <r>
    <x v="13"/>
    <x v="1"/>
    <x v="0"/>
    <n v="254"/>
    <x v="1"/>
    <n v="1"/>
    <n v="2"/>
    <x v="0"/>
    <n v="649"/>
    <n v="2"/>
    <x v="1"/>
    <n v="2"/>
    <n v="1"/>
    <x v="1"/>
    <n v="4"/>
    <s v="Married"/>
    <n v="3622"/>
    <n v="1"/>
    <x v="0"/>
    <n v="13"/>
    <n v="3"/>
    <n v="4"/>
    <n v="1"/>
    <n v="6"/>
    <n v="3"/>
    <n v="3"/>
    <n v="6"/>
    <n v="5"/>
    <n v="1"/>
    <n v="3"/>
    <s v="College"/>
    <s v="Medium"/>
    <s v="Medium"/>
    <x v="1"/>
    <s v="Very High"/>
    <s v="Excellent"/>
    <s v="Very High"/>
    <x v="1"/>
    <s v="Low"/>
    <x v="0"/>
  </r>
  <r>
    <x v="12"/>
    <x v="0"/>
    <x v="0"/>
    <n v="1365"/>
    <x v="0"/>
    <n v="13"/>
    <n v="4"/>
    <x v="2"/>
    <n v="650"/>
    <n v="2"/>
    <x v="1"/>
    <n v="3"/>
    <n v="2"/>
    <x v="0"/>
    <n v="1"/>
    <s v="Divorced"/>
    <n v="4233"/>
    <n v="2"/>
    <x v="1"/>
    <n v="17"/>
    <n v="3"/>
    <n v="3"/>
    <n v="0"/>
    <n v="9"/>
    <n v="2"/>
    <n v="1"/>
    <n v="3"/>
    <n v="1"/>
    <n v="1"/>
    <n v="2"/>
    <s v="Master"/>
    <s v="Medium"/>
    <s v="High"/>
    <x v="0"/>
    <s v="Low"/>
    <s v="Excellent"/>
    <s v="High"/>
    <x v="0"/>
    <s v="No_stock"/>
    <x v="1"/>
  </r>
  <r>
    <x v="10"/>
    <x v="1"/>
    <x v="0"/>
    <n v="538"/>
    <x v="1"/>
    <n v="25"/>
    <n v="2"/>
    <x v="1"/>
    <n v="652"/>
    <n v="1"/>
    <x v="1"/>
    <n v="2"/>
    <n v="2"/>
    <x v="2"/>
    <n v="4"/>
    <s v="Single"/>
    <n v="3681"/>
    <n v="4"/>
    <x v="1"/>
    <n v="14"/>
    <n v="3"/>
    <n v="4"/>
    <n v="0"/>
    <n v="9"/>
    <n v="3"/>
    <n v="3"/>
    <n v="3"/>
    <n v="2"/>
    <n v="0"/>
    <n v="2"/>
    <s v="College"/>
    <s v="Low"/>
    <s v="Medium"/>
    <x v="0"/>
    <s v="Very High"/>
    <s v="Excellent"/>
    <s v="Very High"/>
    <x v="1"/>
    <s v="No_stock"/>
    <x v="2"/>
  </r>
  <r>
    <x v="12"/>
    <x v="1"/>
    <x v="0"/>
    <n v="525"/>
    <x v="0"/>
    <n v="6"/>
    <n v="4"/>
    <x v="2"/>
    <n v="653"/>
    <n v="1"/>
    <x v="1"/>
    <n v="4"/>
    <n v="2"/>
    <x v="0"/>
    <n v="4"/>
    <s v="Divorced"/>
    <n v="5460"/>
    <n v="4"/>
    <x v="1"/>
    <n v="22"/>
    <n v="4"/>
    <n v="4"/>
    <n v="2"/>
    <n v="13"/>
    <n v="4"/>
    <n v="4"/>
    <n v="7"/>
    <n v="7"/>
    <n v="5"/>
    <n v="7"/>
    <s v="Master"/>
    <s v="Low"/>
    <s v="Very High"/>
    <x v="0"/>
    <s v="Very High"/>
    <s v="Outstanding"/>
    <s v="Very High"/>
    <x v="3"/>
    <s v="Medium"/>
    <x v="1"/>
  </r>
  <r>
    <x v="4"/>
    <x v="1"/>
    <x v="0"/>
    <n v="798"/>
    <x v="1"/>
    <n v="6"/>
    <n v="4"/>
    <x v="2"/>
    <n v="655"/>
    <n v="1"/>
    <x v="0"/>
    <n v="2"/>
    <n v="1"/>
    <x v="1"/>
    <n v="3"/>
    <s v="Divorced"/>
    <n v="2187"/>
    <n v="0"/>
    <x v="1"/>
    <n v="12"/>
    <n v="3"/>
    <n v="3"/>
    <n v="2"/>
    <n v="6"/>
    <n v="5"/>
    <n v="2"/>
    <n v="5"/>
    <n v="3"/>
    <n v="0"/>
    <n v="3"/>
    <s v="Master"/>
    <s v="Low"/>
    <s v="Medium"/>
    <x v="1"/>
    <s v="High"/>
    <s v="Excellent"/>
    <s v="High"/>
    <x v="2"/>
    <s v="Medium"/>
    <x v="1"/>
  </r>
  <r>
    <x v="2"/>
    <x v="1"/>
    <x v="0"/>
    <n v="558"/>
    <x v="0"/>
    <n v="2"/>
    <n v="3"/>
    <x v="3"/>
    <n v="656"/>
    <n v="4"/>
    <x v="1"/>
    <n v="3"/>
    <n v="2"/>
    <x v="0"/>
    <n v="3"/>
    <s v="Married"/>
    <n v="9602"/>
    <n v="4"/>
    <x v="0"/>
    <n v="11"/>
    <n v="3"/>
    <n v="3"/>
    <n v="1"/>
    <n v="17"/>
    <n v="3"/>
    <n v="2"/>
    <n v="3"/>
    <n v="0"/>
    <n v="1"/>
    <n v="0"/>
    <s v="Bachelor"/>
    <s v="Very High"/>
    <s v="High"/>
    <x v="0"/>
    <s v="High"/>
    <s v="Excellent"/>
    <s v="High"/>
    <x v="2"/>
    <s v="Low"/>
    <x v="0"/>
  </r>
  <r>
    <x v="35"/>
    <x v="1"/>
    <x v="0"/>
    <n v="959"/>
    <x v="1"/>
    <n v="1"/>
    <n v="3"/>
    <x v="0"/>
    <n v="657"/>
    <n v="4"/>
    <x v="0"/>
    <n v="2"/>
    <n v="1"/>
    <x v="1"/>
    <n v="2"/>
    <s v="Single"/>
    <n v="2836"/>
    <n v="1"/>
    <x v="1"/>
    <n v="13"/>
    <n v="3"/>
    <n v="4"/>
    <n v="0"/>
    <n v="1"/>
    <n v="0"/>
    <n v="4"/>
    <n v="1"/>
    <n v="0"/>
    <n v="0"/>
    <n v="0"/>
    <s v="Bachelor"/>
    <s v="Very High"/>
    <s v="Medium"/>
    <x v="1"/>
    <s v="Medium"/>
    <s v="Excellent"/>
    <s v="Very High"/>
    <x v="3"/>
    <s v="No_stock"/>
    <x v="0"/>
  </r>
  <r>
    <x v="19"/>
    <x v="1"/>
    <x v="0"/>
    <n v="622"/>
    <x v="1"/>
    <n v="2"/>
    <n v="4"/>
    <x v="0"/>
    <n v="659"/>
    <n v="3"/>
    <x v="0"/>
    <n v="3"/>
    <n v="2"/>
    <x v="4"/>
    <n v="4"/>
    <s v="Married"/>
    <n v="4089"/>
    <n v="1"/>
    <x v="1"/>
    <n v="13"/>
    <n v="3"/>
    <n v="2"/>
    <n v="2"/>
    <n v="10"/>
    <n v="4"/>
    <n v="3"/>
    <n v="10"/>
    <n v="2"/>
    <n v="2"/>
    <n v="2"/>
    <s v="Master"/>
    <s v="High"/>
    <s v="High"/>
    <x v="0"/>
    <s v="Very High"/>
    <s v="Excellent"/>
    <s v="Medium"/>
    <x v="1"/>
    <s v="Medium"/>
    <x v="0"/>
  </r>
  <r>
    <x v="23"/>
    <x v="1"/>
    <x v="0"/>
    <n v="782"/>
    <x v="1"/>
    <n v="6"/>
    <n v="4"/>
    <x v="1"/>
    <n v="661"/>
    <n v="2"/>
    <x v="1"/>
    <n v="2"/>
    <n v="4"/>
    <x v="7"/>
    <n v="4"/>
    <s v="Divorced"/>
    <n v="16627"/>
    <n v="4"/>
    <x v="0"/>
    <n v="14"/>
    <n v="3"/>
    <n v="3"/>
    <n v="1"/>
    <n v="21"/>
    <n v="3"/>
    <n v="2"/>
    <n v="1"/>
    <n v="0"/>
    <n v="0"/>
    <n v="0"/>
    <s v="Master"/>
    <s v="Medium"/>
    <s v="Medium"/>
    <x v="3"/>
    <s v="Very High"/>
    <s v="Excellent"/>
    <s v="High"/>
    <x v="2"/>
    <s v="Low"/>
    <x v="1"/>
  </r>
  <r>
    <x v="8"/>
    <x v="1"/>
    <x v="0"/>
    <n v="362"/>
    <x v="1"/>
    <n v="1"/>
    <n v="1"/>
    <x v="0"/>
    <n v="662"/>
    <n v="3"/>
    <x v="0"/>
    <n v="3"/>
    <n v="1"/>
    <x v="1"/>
    <n v="1"/>
    <s v="Single"/>
    <n v="2619"/>
    <n v="3"/>
    <x v="1"/>
    <n v="17"/>
    <n v="3"/>
    <n v="4"/>
    <n v="0"/>
    <n v="8"/>
    <n v="3"/>
    <n v="2"/>
    <n v="0"/>
    <n v="0"/>
    <n v="0"/>
    <n v="0"/>
    <s v="Before College"/>
    <s v="High"/>
    <s v="High"/>
    <x v="1"/>
    <s v="Low"/>
    <s v="Excellent"/>
    <s v="Very High"/>
    <x v="2"/>
    <s v="No_stock"/>
    <x v="0"/>
  </r>
  <r>
    <x v="23"/>
    <x v="1"/>
    <x v="1"/>
    <n v="1001"/>
    <x v="1"/>
    <n v="9"/>
    <n v="5"/>
    <x v="2"/>
    <n v="663"/>
    <n v="4"/>
    <x v="1"/>
    <n v="3"/>
    <n v="2"/>
    <x v="2"/>
    <n v="3"/>
    <s v="Divorced"/>
    <n v="5679"/>
    <n v="3"/>
    <x v="0"/>
    <n v="13"/>
    <n v="3"/>
    <n v="2"/>
    <n v="1"/>
    <n v="10"/>
    <n v="3"/>
    <n v="3"/>
    <n v="8"/>
    <n v="7"/>
    <n v="4"/>
    <n v="7"/>
    <s v="Doctor"/>
    <s v="Very High"/>
    <s v="High"/>
    <x v="0"/>
    <s v="High"/>
    <s v="Excellent"/>
    <s v="Medium"/>
    <x v="1"/>
    <s v="Low"/>
    <x v="1"/>
  </r>
  <r>
    <x v="26"/>
    <x v="1"/>
    <x v="0"/>
    <n v="1236"/>
    <x v="1"/>
    <n v="1"/>
    <n v="4"/>
    <x v="0"/>
    <n v="664"/>
    <n v="4"/>
    <x v="0"/>
    <n v="2"/>
    <n v="4"/>
    <x v="5"/>
    <n v="1"/>
    <s v="Married"/>
    <n v="15402"/>
    <n v="7"/>
    <x v="1"/>
    <n v="11"/>
    <n v="3"/>
    <n v="1"/>
    <n v="1"/>
    <n v="21"/>
    <n v="3"/>
    <n v="1"/>
    <n v="3"/>
    <n v="2"/>
    <n v="0"/>
    <n v="2"/>
    <s v="Master"/>
    <s v="Very High"/>
    <s v="Medium"/>
    <x v="3"/>
    <s v="Low"/>
    <s v="Excellent"/>
    <s v="Low"/>
    <x v="0"/>
    <s v="Low"/>
    <x v="0"/>
  </r>
  <r>
    <x v="20"/>
    <x v="1"/>
    <x v="0"/>
    <n v="1112"/>
    <x v="2"/>
    <n v="1"/>
    <n v="4"/>
    <x v="0"/>
    <n v="665"/>
    <n v="1"/>
    <x v="0"/>
    <n v="2"/>
    <n v="2"/>
    <x v="8"/>
    <n v="3"/>
    <s v="Single"/>
    <n v="5985"/>
    <n v="4"/>
    <x v="1"/>
    <n v="11"/>
    <n v="3"/>
    <n v="2"/>
    <n v="0"/>
    <n v="10"/>
    <n v="1"/>
    <n v="4"/>
    <n v="2"/>
    <n v="2"/>
    <n v="0"/>
    <n v="2"/>
    <s v="Master"/>
    <s v="Low"/>
    <s v="Medium"/>
    <x v="0"/>
    <s v="High"/>
    <s v="Excellent"/>
    <s v="Medium"/>
    <x v="3"/>
    <s v="No_stock"/>
    <x v="0"/>
  </r>
  <r>
    <x v="13"/>
    <x v="1"/>
    <x v="0"/>
    <n v="204"/>
    <x v="0"/>
    <n v="14"/>
    <n v="3"/>
    <x v="4"/>
    <n v="666"/>
    <n v="3"/>
    <x v="0"/>
    <n v="3"/>
    <n v="1"/>
    <x v="6"/>
    <n v="3"/>
    <s v="Divorced"/>
    <n v="2579"/>
    <n v="1"/>
    <x v="0"/>
    <n v="18"/>
    <n v="3"/>
    <n v="4"/>
    <n v="2"/>
    <n v="8"/>
    <n v="3"/>
    <n v="3"/>
    <n v="8"/>
    <n v="2"/>
    <n v="0"/>
    <n v="6"/>
    <s v="Bachelor"/>
    <s v="High"/>
    <s v="High"/>
    <x v="1"/>
    <s v="High"/>
    <s v="Excellent"/>
    <s v="Very High"/>
    <x v="1"/>
    <s v="Medium"/>
    <x v="1"/>
  </r>
  <r>
    <x v="4"/>
    <x v="0"/>
    <x v="0"/>
    <n v="1420"/>
    <x v="0"/>
    <n v="2"/>
    <n v="1"/>
    <x v="3"/>
    <n v="667"/>
    <n v="3"/>
    <x v="1"/>
    <n v="3"/>
    <n v="1"/>
    <x v="6"/>
    <n v="1"/>
    <s v="Divorced"/>
    <n v="3041"/>
    <n v="0"/>
    <x v="1"/>
    <n v="11"/>
    <n v="3"/>
    <n v="2"/>
    <n v="1"/>
    <n v="5"/>
    <n v="3"/>
    <n v="3"/>
    <n v="4"/>
    <n v="3"/>
    <n v="0"/>
    <n v="2"/>
    <s v="Before College"/>
    <s v="High"/>
    <s v="High"/>
    <x v="1"/>
    <s v="Low"/>
    <s v="Excellent"/>
    <s v="Medium"/>
    <x v="1"/>
    <s v="Low"/>
    <x v="0"/>
  </r>
  <r>
    <x v="18"/>
    <x v="1"/>
    <x v="0"/>
    <n v="1343"/>
    <x v="0"/>
    <n v="22"/>
    <n v="1"/>
    <x v="4"/>
    <n v="669"/>
    <n v="3"/>
    <x v="1"/>
    <n v="3"/>
    <n v="1"/>
    <x v="6"/>
    <n v="3"/>
    <s v="Single"/>
    <n v="3447"/>
    <n v="1"/>
    <x v="1"/>
    <n v="11"/>
    <n v="3"/>
    <n v="3"/>
    <n v="0"/>
    <n v="3"/>
    <n v="2"/>
    <n v="3"/>
    <n v="3"/>
    <n v="2"/>
    <n v="1"/>
    <n v="2"/>
    <s v="Before College"/>
    <s v="High"/>
    <s v="High"/>
    <x v="1"/>
    <s v="High"/>
    <s v="Excellent"/>
    <s v="High"/>
    <x v="1"/>
    <s v="No_stock"/>
    <x v="2"/>
  </r>
  <r>
    <x v="20"/>
    <x v="1"/>
    <x v="0"/>
    <n v="1315"/>
    <x v="1"/>
    <n v="3"/>
    <n v="4"/>
    <x v="1"/>
    <n v="671"/>
    <n v="4"/>
    <x v="1"/>
    <n v="3"/>
    <n v="5"/>
    <x v="5"/>
    <n v="4"/>
    <s v="Married"/>
    <n v="19513"/>
    <n v="4"/>
    <x v="0"/>
    <n v="12"/>
    <n v="3"/>
    <n v="1"/>
    <n v="1"/>
    <n v="26"/>
    <n v="2"/>
    <n v="4"/>
    <n v="2"/>
    <n v="2"/>
    <n v="0"/>
    <n v="1"/>
    <s v="Master"/>
    <s v="Very High"/>
    <s v="High"/>
    <x v="4"/>
    <s v="Very High"/>
    <s v="Excellent"/>
    <s v="Low"/>
    <x v="3"/>
    <s v="Low"/>
    <x v="0"/>
  </r>
  <r>
    <x v="15"/>
    <x v="1"/>
    <x v="0"/>
    <n v="604"/>
    <x v="1"/>
    <n v="6"/>
    <n v="1"/>
    <x v="2"/>
    <n v="675"/>
    <n v="1"/>
    <x v="1"/>
    <n v="3"/>
    <n v="1"/>
    <x v="1"/>
    <n v="3"/>
    <s v="Married"/>
    <n v="2773"/>
    <n v="0"/>
    <x v="1"/>
    <n v="20"/>
    <n v="4"/>
    <n v="4"/>
    <n v="0"/>
    <n v="3"/>
    <n v="3"/>
    <n v="3"/>
    <n v="2"/>
    <n v="2"/>
    <n v="2"/>
    <n v="2"/>
    <s v="Before College"/>
    <s v="Low"/>
    <s v="High"/>
    <x v="1"/>
    <s v="High"/>
    <s v="Outstanding"/>
    <s v="Very High"/>
    <x v="1"/>
    <s v="No_stock"/>
    <x v="1"/>
  </r>
  <r>
    <x v="3"/>
    <x v="1"/>
    <x v="0"/>
    <n v="1216"/>
    <x v="0"/>
    <n v="8"/>
    <n v="4"/>
    <x v="3"/>
    <n v="677"/>
    <n v="3"/>
    <x v="1"/>
    <n v="3"/>
    <n v="2"/>
    <x v="0"/>
    <n v="3"/>
    <s v="Divorced"/>
    <n v="7104"/>
    <n v="0"/>
    <x v="1"/>
    <n v="12"/>
    <n v="3"/>
    <n v="4"/>
    <n v="0"/>
    <n v="6"/>
    <n v="3"/>
    <n v="3"/>
    <n v="5"/>
    <n v="0"/>
    <n v="1"/>
    <n v="2"/>
    <s v="Master"/>
    <s v="High"/>
    <s v="High"/>
    <x v="0"/>
    <s v="High"/>
    <s v="Excellent"/>
    <s v="Very High"/>
    <x v="1"/>
    <s v="No_stock"/>
    <x v="1"/>
  </r>
  <r>
    <x v="5"/>
    <x v="1"/>
    <x v="0"/>
    <n v="646"/>
    <x v="1"/>
    <n v="9"/>
    <n v="4"/>
    <x v="0"/>
    <n v="679"/>
    <n v="1"/>
    <x v="0"/>
    <n v="3"/>
    <n v="2"/>
    <x v="1"/>
    <n v="4"/>
    <s v="Married"/>
    <n v="6322"/>
    <n v="1"/>
    <x v="0"/>
    <n v="12"/>
    <n v="3"/>
    <n v="4"/>
    <n v="1"/>
    <n v="6"/>
    <n v="2"/>
    <n v="2"/>
    <n v="6"/>
    <n v="4"/>
    <n v="0"/>
    <n v="5"/>
    <s v="Master"/>
    <s v="Low"/>
    <s v="High"/>
    <x v="0"/>
    <s v="Very High"/>
    <s v="Excellent"/>
    <s v="Very High"/>
    <x v="2"/>
    <s v="Low"/>
    <x v="1"/>
  </r>
  <r>
    <x v="7"/>
    <x v="1"/>
    <x v="1"/>
    <n v="160"/>
    <x v="1"/>
    <n v="3"/>
    <n v="3"/>
    <x v="2"/>
    <n v="680"/>
    <n v="3"/>
    <x v="0"/>
    <n v="3"/>
    <n v="1"/>
    <x v="1"/>
    <n v="3"/>
    <s v="Divorced"/>
    <n v="2083"/>
    <n v="1"/>
    <x v="1"/>
    <n v="20"/>
    <n v="4"/>
    <n v="3"/>
    <n v="1"/>
    <n v="1"/>
    <n v="2"/>
    <n v="3"/>
    <n v="1"/>
    <n v="0"/>
    <n v="0"/>
    <n v="0"/>
    <s v="Bachelor"/>
    <s v="High"/>
    <s v="High"/>
    <x v="1"/>
    <s v="High"/>
    <s v="Outstanding"/>
    <s v="High"/>
    <x v="1"/>
    <s v="Low"/>
    <x v="0"/>
  </r>
  <r>
    <x v="16"/>
    <x v="1"/>
    <x v="0"/>
    <n v="238"/>
    <x v="0"/>
    <n v="1"/>
    <n v="1"/>
    <x v="2"/>
    <n v="682"/>
    <n v="4"/>
    <x v="0"/>
    <n v="3"/>
    <n v="2"/>
    <x v="0"/>
    <n v="1"/>
    <s v="Single"/>
    <n v="8381"/>
    <n v="7"/>
    <x v="1"/>
    <n v="20"/>
    <n v="4"/>
    <n v="4"/>
    <n v="0"/>
    <n v="18"/>
    <n v="2"/>
    <n v="4"/>
    <n v="14"/>
    <n v="7"/>
    <n v="8"/>
    <n v="10"/>
    <s v="Before College"/>
    <s v="Very High"/>
    <s v="High"/>
    <x v="0"/>
    <s v="Low"/>
    <s v="Outstanding"/>
    <s v="Very High"/>
    <x v="3"/>
    <s v="No_stock"/>
    <x v="0"/>
  </r>
  <r>
    <x v="13"/>
    <x v="1"/>
    <x v="0"/>
    <n v="1397"/>
    <x v="1"/>
    <n v="1"/>
    <n v="5"/>
    <x v="0"/>
    <n v="683"/>
    <n v="2"/>
    <x v="1"/>
    <n v="3"/>
    <n v="1"/>
    <x v="1"/>
    <n v="4"/>
    <s v="Married"/>
    <n v="2691"/>
    <n v="1"/>
    <x v="1"/>
    <n v="12"/>
    <n v="3"/>
    <n v="4"/>
    <n v="1"/>
    <n v="10"/>
    <n v="4"/>
    <n v="2"/>
    <n v="10"/>
    <n v="9"/>
    <n v="8"/>
    <n v="8"/>
    <s v="Doctor"/>
    <s v="Medium"/>
    <s v="High"/>
    <x v="1"/>
    <s v="Very High"/>
    <s v="Excellent"/>
    <s v="Very High"/>
    <x v="2"/>
    <s v="Low"/>
    <x v="0"/>
  </r>
  <r>
    <x v="28"/>
    <x v="0"/>
    <x v="1"/>
    <n v="306"/>
    <x v="0"/>
    <n v="26"/>
    <n v="4"/>
    <x v="0"/>
    <n v="684"/>
    <n v="1"/>
    <x v="0"/>
    <n v="3"/>
    <n v="2"/>
    <x v="0"/>
    <n v="1"/>
    <s v="Married"/>
    <n v="4286"/>
    <n v="2"/>
    <x v="1"/>
    <n v="14"/>
    <n v="3"/>
    <n v="4"/>
    <n v="2"/>
    <n v="5"/>
    <n v="4"/>
    <n v="3"/>
    <n v="1"/>
    <n v="1"/>
    <n v="0"/>
    <n v="0"/>
    <s v="Master"/>
    <s v="Low"/>
    <s v="High"/>
    <x v="0"/>
    <s v="Low"/>
    <s v="Excellent"/>
    <s v="Very High"/>
    <x v="1"/>
    <s v="Medium"/>
    <x v="2"/>
  </r>
  <r>
    <x v="25"/>
    <x v="1"/>
    <x v="0"/>
    <n v="991"/>
    <x v="1"/>
    <n v="6"/>
    <n v="3"/>
    <x v="0"/>
    <n v="686"/>
    <n v="3"/>
    <x v="0"/>
    <n v="3"/>
    <n v="1"/>
    <x v="2"/>
    <n v="4"/>
    <s v="Married"/>
    <n v="2659"/>
    <n v="1"/>
    <x v="0"/>
    <n v="13"/>
    <n v="3"/>
    <n v="3"/>
    <n v="1"/>
    <n v="3"/>
    <n v="2"/>
    <n v="3"/>
    <n v="3"/>
    <n v="2"/>
    <n v="0"/>
    <n v="2"/>
    <s v="Bachelor"/>
    <s v="High"/>
    <s v="High"/>
    <x v="1"/>
    <s v="Very High"/>
    <s v="Excellent"/>
    <s v="High"/>
    <x v="1"/>
    <s v="Low"/>
    <x v="1"/>
  </r>
  <r>
    <x v="2"/>
    <x v="1"/>
    <x v="0"/>
    <n v="482"/>
    <x v="1"/>
    <n v="3"/>
    <n v="3"/>
    <x v="1"/>
    <n v="689"/>
    <n v="3"/>
    <x v="1"/>
    <n v="3"/>
    <n v="3"/>
    <x v="3"/>
    <n v="3"/>
    <s v="Married"/>
    <n v="9434"/>
    <n v="1"/>
    <x v="1"/>
    <n v="15"/>
    <n v="3"/>
    <n v="3"/>
    <n v="1"/>
    <n v="10"/>
    <n v="2"/>
    <n v="3"/>
    <n v="10"/>
    <n v="7"/>
    <n v="7"/>
    <n v="8"/>
    <s v="Bachelor"/>
    <s v="High"/>
    <s v="High"/>
    <x v="2"/>
    <s v="High"/>
    <s v="Excellent"/>
    <s v="High"/>
    <x v="1"/>
    <s v="Low"/>
    <x v="0"/>
  </r>
  <r>
    <x v="11"/>
    <x v="1"/>
    <x v="0"/>
    <n v="1176"/>
    <x v="0"/>
    <n v="3"/>
    <n v="2"/>
    <x v="2"/>
    <n v="690"/>
    <n v="2"/>
    <x v="0"/>
    <n v="3"/>
    <n v="2"/>
    <x v="0"/>
    <n v="3"/>
    <s v="Married"/>
    <n v="5561"/>
    <n v="1"/>
    <x v="1"/>
    <n v="14"/>
    <n v="3"/>
    <n v="1"/>
    <n v="1"/>
    <n v="6"/>
    <n v="5"/>
    <n v="2"/>
    <n v="6"/>
    <n v="0"/>
    <n v="1"/>
    <n v="2"/>
    <s v="College"/>
    <s v="Medium"/>
    <s v="High"/>
    <x v="0"/>
    <s v="High"/>
    <s v="Excellent"/>
    <s v="Low"/>
    <x v="2"/>
    <s v="Low"/>
    <x v="0"/>
  </r>
  <r>
    <x v="10"/>
    <x v="1"/>
    <x v="0"/>
    <n v="1017"/>
    <x v="1"/>
    <n v="6"/>
    <n v="4"/>
    <x v="0"/>
    <n v="691"/>
    <n v="2"/>
    <x v="1"/>
    <n v="1"/>
    <n v="2"/>
    <x v="1"/>
    <n v="4"/>
    <s v="Single"/>
    <n v="6646"/>
    <n v="1"/>
    <x v="1"/>
    <n v="13"/>
    <n v="3"/>
    <n v="2"/>
    <n v="0"/>
    <n v="17"/>
    <n v="3"/>
    <n v="3"/>
    <n v="17"/>
    <n v="11"/>
    <n v="11"/>
    <n v="8"/>
    <s v="Master"/>
    <s v="Medium"/>
    <s v="Low"/>
    <x v="0"/>
    <s v="Very High"/>
    <s v="Excellent"/>
    <s v="Medium"/>
    <x v="1"/>
    <s v="No_stock"/>
    <x v="1"/>
  </r>
  <r>
    <x v="3"/>
    <x v="1"/>
    <x v="1"/>
    <n v="1296"/>
    <x v="1"/>
    <n v="6"/>
    <n v="3"/>
    <x v="0"/>
    <n v="692"/>
    <n v="3"/>
    <x v="1"/>
    <n v="3"/>
    <n v="2"/>
    <x v="4"/>
    <n v="4"/>
    <s v="Divorced"/>
    <n v="7725"/>
    <n v="3"/>
    <x v="1"/>
    <n v="23"/>
    <n v="4"/>
    <n v="3"/>
    <n v="1"/>
    <n v="15"/>
    <n v="2"/>
    <n v="1"/>
    <n v="13"/>
    <n v="11"/>
    <n v="4"/>
    <n v="7"/>
    <s v="Bachelor"/>
    <s v="High"/>
    <s v="High"/>
    <x v="0"/>
    <s v="Very High"/>
    <s v="Outstanding"/>
    <s v="High"/>
    <x v="0"/>
    <s v="Low"/>
    <x v="1"/>
  </r>
  <r>
    <x v="33"/>
    <x v="1"/>
    <x v="0"/>
    <n v="397"/>
    <x v="2"/>
    <n v="19"/>
    <n v="4"/>
    <x v="2"/>
    <n v="698"/>
    <n v="3"/>
    <x v="1"/>
    <n v="3"/>
    <n v="3"/>
    <x v="8"/>
    <n v="2"/>
    <s v="Married"/>
    <n v="10725"/>
    <n v="2"/>
    <x v="1"/>
    <n v="15"/>
    <n v="3"/>
    <n v="3"/>
    <n v="1"/>
    <n v="16"/>
    <n v="1"/>
    <n v="4"/>
    <n v="9"/>
    <n v="7"/>
    <n v="7"/>
    <n v="1"/>
    <s v="Master"/>
    <s v="High"/>
    <s v="High"/>
    <x v="2"/>
    <s v="Medium"/>
    <s v="Excellent"/>
    <s v="High"/>
    <x v="3"/>
    <s v="Low"/>
    <x v="2"/>
  </r>
  <r>
    <x v="9"/>
    <x v="1"/>
    <x v="0"/>
    <n v="913"/>
    <x v="1"/>
    <n v="9"/>
    <n v="2"/>
    <x v="2"/>
    <n v="699"/>
    <n v="2"/>
    <x v="1"/>
    <n v="2"/>
    <n v="2"/>
    <x v="3"/>
    <n v="2"/>
    <s v="Divorced"/>
    <n v="8847"/>
    <n v="2"/>
    <x v="0"/>
    <n v="11"/>
    <n v="3"/>
    <n v="3"/>
    <n v="1"/>
    <n v="13"/>
    <n v="2"/>
    <n v="3"/>
    <n v="3"/>
    <n v="2"/>
    <n v="0"/>
    <n v="2"/>
    <s v="College"/>
    <s v="Medium"/>
    <s v="Medium"/>
    <x v="0"/>
    <s v="Medium"/>
    <s v="Excellent"/>
    <s v="High"/>
    <x v="1"/>
    <s v="Low"/>
    <x v="1"/>
  </r>
  <r>
    <x v="4"/>
    <x v="1"/>
    <x v="0"/>
    <n v="1115"/>
    <x v="1"/>
    <n v="3"/>
    <n v="4"/>
    <x v="2"/>
    <n v="700"/>
    <n v="1"/>
    <x v="1"/>
    <n v="2"/>
    <n v="1"/>
    <x v="1"/>
    <n v="4"/>
    <s v="Single"/>
    <n v="2045"/>
    <n v="0"/>
    <x v="1"/>
    <n v="13"/>
    <n v="3"/>
    <n v="4"/>
    <n v="0"/>
    <n v="5"/>
    <n v="0"/>
    <n v="3"/>
    <n v="4"/>
    <n v="2"/>
    <n v="1"/>
    <n v="1"/>
    <s v="Master"/>
    <s v="Low"/>
    <s v="Medium"/>
    <x v="1"/>
    <s v="Very High"/>
    <s v="Excellent"/>
    <s v="Very High"/>
    <x v="1"/>
    <s v="No_stock"/>
    <x v="0"/>
  </r>
  <r>
    <x v="35"/>
    <x v="0"/>
    <x v="0"/>
    <n v="1362"/>
    <x v="1"/>
    <n v="10"/>
    <n v="1"/>
    <x v="2"/>
    <n v="701"/>
    <n v="4"/>
    <x v="1"/>
    <n v="3"/>
    <n v="1"/>
    <x v="1"/>
    <n v="3"/>
    <s v="Single"/>
    <n v="1009"/>
    <n v="1"/>
    <x v="0"/>
    <n v="11"/>
    <n v="3"/>
    <n v="4"/>
    <n v="0"/>
    <n v="1"/>
    <n v="5"/>
    <n v="3"/>
    <n v="1"/>
    <n v="0"/>
    <n v="1"/>
    <n v="1"/>
    <s v="Before College"/>
    <s v="Very High"/>
    <s v="High"/>
    <x v="1"/>
    <s v="High"/>
    <s v="Excellent"/>
    <s v="Very High"/>
    <x v="1"/>
    <s v="No_stock"/>
    <x v="1"/>
  </r>
  <r>
    <x v="3"/>
    <x v="0"/>
    <x v="1"/>
    <n v="1076"/>
    <x v="1"/>
    <n v="3"/>
    <n v="3"/>
    <x v="0"/>
    <n v="702"/>
    <n v="1"/>
    <x v="1"/>
    <n v="3"/>
    <n v="1"/>
    <x v="1"/>
    <n v="1"/>
    <s v="Single"/>
    <n v="3348"/>
    <n v="1"/>
    <x v="0"/>
    <n v="11"/>
    <n v="3"/>
    <n v="1"/>
    <n v="0"/>
    <n v="10"/>
    <n v="3"/>
    <n v="3"/>
    <n v="10"/>
    <n v="8"/>
    <n v="9"/>
    <n v="7"/>
    <s v="Bachelor"/>
    <s v="Low"/>
    <s v="High"/>
    <x v="1"/>
    <s v="Low"/>
    <s v="Excellent"/>
    <s v="Low"/>
    <x v="1"/>
    <s v="No_stock"/>
    <x v="0"/>
  </r>
  <r>
    <x v="10"/>
    <x v="1"/>
    <x v="2"/>
    <n v="727"/>
    <x v="1"/>
    <n v="3"/>
    <n v="3"/>
    <x v="0"/>
    <n v="704"/>
    <n v="3"/>
    <x v="1"/>
    <n v="2"/>
    <n v="1"/>
    <x v="2"/>
    <n v="3"/>
    <s v="Married"/>
    <n v="1281"/>
    <n v="1"/>
    <x v="1"/>
    <n v="18"/>
    <n v="3"/>
    <n v="3"/>
    <n v="2"/>
    <n v="1"/>
    <n v="3"/>
    <n v="3"/>
    <n v="1"/>
    <n v="0"/>
    <n v="0"/>
    <n v="0"/>
    <s v="Bachelor"/>
    <s v="High"/>
    <s v="Medium"/>
    <x v="1"/>
    <s v="High"/>
    <s v="Excellent"/>
    <s v="High"/>
    <x v="1"/>
    <s v="Medium"/>
    <x v="0"/>
  </r>
  <r>
    <x v="30"/>
    <x v="1"/>
    <x v="0"/>
    <n v="885"/>
    <x v="1"/>
    <n v="4"/>
    <n v="3"/>
    <x v="2"/>
    <n v="705"/>
    <n v="1"/>
    <x v="1"/>
    <n v="4"/>
    <n v="1"/>
    <x v="1"/>
    <n v="1"/>
    <s v="Married"/>
    <n v="2819"/>
    <n v="2"/>
    <x v="1"/>
    <n v="16"/>
    <n v="3"/>
    <n v="1"/>
    <n v="1"/>
    <n v="5"/>
    <n v="3"/>
    <n v="4"/>
    <n v="3"/>
    <n v="2"/>
    <n v="0"/>
    <n v="2"/>
    <s v="Bachelor"/>
    <s v="Low"/>
    <s v="Very High"/>
    <x v="1"/>
    <s v="Low"/>
    <s v="Excellent"/>
    <s v="Low"/>
    <x v="3"/>
    <s v="Low"/>
    <x v="0"/>
  </r>
  <r>
    <x v="36"/>
    <x v="1"/>
    <x v="0"/>
    <n v="810"/>
    <x v="0"/>
    <n v="8"/>
    <n v="3"/>
    <x v="0"/>
    <n v="707"/>
    <n v="4"/>
    <x v="1"/>
    <n v="4"/>
    <n v="2"/>
    <x v="0"/>
    <n v="2"/>
    <s v="Married"/>
    <n v="4851"/>
    <n v="0"/>
    <x v="1"/>
    <n v="22"/>
    <n v="4"/>
    <n v="3"/>
    <n v="1"/>
    <n v="4"/>
    <n v="4"/>
    <n v="3"/>
    <n v="3"/>
    <n v="2"/>
    <n v="1"/>
    <n v="2"/>
    <s v="Bachelor"/>
    <s v="Very High"/>
    <s v="Very High"/>
    <x v="0"/>
    <s v="Medium"/>
    <s v="Outstanding"/>
    <s v="High"/>
    <x v="1"/>
    <s v="Low"/>
    <x v="1"/>
  </r>
  <r>
    <x v="8"/>
    <x v="1"/>
    <x v="0"/>
    <n v="243"/>
    <x v="0"/>
    <n v="7"/>
    <n v="4"/>
    <x v="3"/>
    <n v="709"/>
    <n v="4"/>
    <x v="0"/>
    <n v="2"/>
    <n v="2"/>
    <x v="0"/>
    <n v="4"/>
    <s v="Single"/>
    <n v="4028"/>
    <n v="0"/>
    <x v="1"/>
    <n v="20"/>
    <n v="4"/>
    <n v="1"/>
    <n v="0"/>
    <n v="8"/>
    <n v="2"/>
    <n v="3"/>
    <n v="7"/>
    <n v="7"/>
    <n v="0"/>
    <n v="5"/>
    <s v="Master"/>
    <s v="Very High"/>
    <s v="Medium"/>
    <x v="0"/>
    <s v="Very High"/>
    <s v="Outstanding"/>
    <s v="Low"/>
    <x v="1"/>
    <s v="No_stock"/>
    <x v="1"/>
  </r>
  <r>
    <x v="11"/>
    <x v="1"/>
    <x v="1"/>
    <n v="806"/>
    <x v="1"/>
    <n v="1"/>
    <n v="4"/>
    <x v="0"/>
    <n v="710"/>
    <n v="2"/>
    <x v="1"/>
    <n v="1"/>
    <n v="1"/>
    <x v="1"/>
    <n v="4"/>
    <s v="Divorced"/>
    <n v="2720"/>
    <n v="1"/>
    <x v="1"/>
    <n v="18"/>
    <n v="3"/>
    <n v="4"/>
    <n v="1"/>
    <n v="10"/>
    <n v="5"/>
    <n v="3"/>
    <n v="10"/>
    <n v="7"/>
    <n v="2"/>
    <n v="8"/>
    <s v="Master"/>
    <s v="Medium"/>
    <s v="Low"/>
    <x v="1"/>
    <s v="Very High"/>
    <s v="Excellent"/>
    <s v="Very High"/>
    <x v="1"/>
    <s v="Low"/>
    <x v="0"/>
  </r>
  <r>
    <x v="26"/>
    <x v="1"/>
    <x v="0"/>
    <n v="817"/>
    <x v="0"/>
    <n v="2"/>
    <n v="1"/>
    <x v="3"/>
    <n v="712"/>
    <n v="2"/>
    <x v="1"/>
    <n v="4"/>
    <n v="2"/>
    <x v="0"/>
    <n v="2"/>
    <s v="Married"/>
    <n v="8120"/>
    <n v="3"/>
    <x v="1"/>
    <n v="12"/>
    <n v="3"/>
    <n v="4"/>
    <n v="0"/>
    <n v="12"/>
    <n v="3"/>
    <n v="3"/>
    <n v="2"/>
    <n v="2"/>
    <n v="2"/>
    <n v="2"/>
    <s v="Before College"/>
    <s v="Medium"/>
    <s v="Very High"/>
    <x v="0"/>
    <s v="Medium"/>
    <s v="Excellent"/>
    <s v="Very High"/>
    <x v="1"/>
    <s v="No_stock"/>
    <x v="0"/>
  </r>
  <r>
    <x v="4"/>
    <x v="1"/>
    <x v="1"/>
    <n v="1410"/>
    <x v="0"/>
    <n v="3"/>
    <n v="1"/>
    <x v="2"/>
    <n v="714"/>
    <n v="4"/>
    <x v="0"/>
    <n v="4"/>
    <n v="2"/>
    <x v="0"/>
    <n v="4"/>
    <s v="Divorced"/>
    <n v="4647"/>
    <n v="1"/>
    <x v="0"/>
    <n v="20"/>
    <n v="4"/>
    <n v="2"/>
    <n v="2"/>
    <n v="6"/>
    <n v="3"/>
    <n v="3"/>
    <n v="6"/>
    <n v="5"/>
    <n v="0"/>
    <n v="4"/>
    <s v="Before College"/>
    <s v="Very High"/>
    <s v="Very High"/>
    <x v="0"/>
    <s v="Very High"/>
    <s v="Outstanding"/>
    <s v="Medium"/>
    <x v="1"/>
    <s v="Medium"/>
    <x v="0"/>
  </r>
  <r>
    <x v="2"/>
    <x v="1"/>
    <x v="0"/>
    <n v="1225"/>
    <x v="1"/>
    <n v="10"/>
    <n v="2"/>
    <x v="0"/>
    <n v="715"/>
    <n v="4"/>
    <x v="1"/>
    <n v="4"/>
    <n v="1"/>
    <x v="1"/>
    <n v="4"/>
    <s v="Single"/>
    <n v="4680"/>
    <n v="3"/>
    <x v="1"/>
    <n v="17"/>
    <n v="3"/>
    <n v="1"/>
    <n v="0"/>
    <n v="4"/>
    <n v="2"/>
    <n v="3"/>
    <n v="1"/>
    <n v="0"/>
    <n v="0"/>
    <n v="0"/>
    <s v="College"/>
    <s v="Very High"/>
    <s v="Very High"/>
    <x v="1"/>
    <s v="Very High"/>
    <s v="Excellent"/>
    <s v="Low"/>
    <x v="1"/>
    <s v="No_stock"/>
    <x v="1"/>
  </r>
  <r>
    <x v="24"/>
    <x v="1"/>
    <x v="0"/>
    <n v="1207"/>
    <x v="1"/>
    <n v="28"/>
    <n v="1"/>
    <x v="2"/>
    <n v="716"/>
    <n v="4"/>
    <x v="1"/>
    <n v="4"/>
    <n v="1"/>
    <x v="2"/>
    <n v="3"/>
    <s v="Married"/>
    <n v="3221"/>
    <n v="1"/>
    <x v="0"/>
    <n v="11"/>
    <n v="3"/>
    <n v="3"/>
    <n v="3"/>
    <n v="20"/>
    <n v="3"/>
    <n v="3"/>
    <n v="20"/>
    <n v="8"/>
    <n v="3"/>
    <n v="8"/>
    <s v="Before College"/>
    <s v="Very High"/>
    <s v="Very High"/>
    <x v="1"/>
    <s v="High"/>
    <s v="Excellent"/>
    <s v="High"/>
    <x v="1"/>
    <s v="High"/>
    <x v="2"/>
  </r>
  <r>
    <x v="13"/>
    <x v="1"/>
    <x v="0"/>
    <n v="1442"/>
    <x v="1"/>
    <n v="9"/>
    <n v="3"/>
    <x v="2"/>
    <n v="717"/>
    <n v="4"/>
    <x v="0"/>
    <n v="2"/>
    <n v="3"/>
    <x v="4"/>
    <n v="2"/>
    <s v="Single"/>
    <n v="8621"/>
    <n v="1"/>
    <x v="1"/>
    <n v="14"/>
    <n v="3"/>
    <n v="2"/>
    <n v="0"/>
    <n v="9"/>
    <n v="3"/>
    <n v="4"/>
    <n v="8"/>
    <n v="7"/>
    <n v="7"/>
    <n v="7"/>
    <s v="Bachelor"/>
    <s v="Very High"/>
    <s v="Medium"/>
    <x v="2"/>
    <s v="Medium"/>
    <s v="Excellent"/>
    <s v="Medium"/>
    <x v="3"/>
    <s v="No_stock"/>
    <x v="1"/>
  </r>
  <r>
    <x v="17"/>
    <x v="0"/>
    <x v="0"/>
    <n v="693"/>
    <x v="0"/>
    <n v="3"/>
    <n v="2"/>
    <x v="0"/>
    <n v="720"/>
    <n v="1"/>
    <x v="0"/>
    <n v="3"/>
    <n v="2"/>
    <x v="0"/>
    <n v="3"/>
    <s v="Single"/>
    <n v="4577"/>
    <n v="9"/>
    <x v="1"/>
    <n v="14"/>
    <n v="3"/>
    <n v="1"/>
    <n v="0"/>
    <n v="4"/>
    <n v="3"/>
    <n v="3"/>
    <n v="2"/>
    <n v="2"/>
    <n v="2"/>
    <n v="0"/>
    <s v="College"/>
    <s v="Low"/>
    <s v="High"/>
    <x v="0"/>
    <s v="High"/>
    <s v="Excellent"/>
    <s v="Low"/>
    <x v="1"/>
    <s v="No_stock"/>
    <x v="0"/>
  </r>
  <r>
    <x v="22"/>
    <x v="1"/>
    <x v="0"/>
    <n v="408"/>
    <x v="1"/>
    <n v="2"/>
    <n v="4"/>
    <x v="4"/>
    <n v="721"/>
    <n v="4"/>
    <x v="0"/>
    <n v="2"/>
    <n v="2"/>
    <x v="4"/>
    <n v="3"/>
    <s v="Single"/>
    <n v="4553"/>
    <n v="1"/>
    <x v="1"/>
    <n v="11"/>
    <n v="3"/>
    <n v="1"/>
    <n v="0"/>
    <n v="20"/>
    <n v="4"/>
    <n v="3"/>
    <n v="20"/>
    <n v="7"/>
    <n v="11"/>
    <n v="10"/>
    <s v="Master"/>
    <s v="Very High"/>
    <s v="Medium"/>
    <x v="0"/>
    <s v="High"/>
    <s v="Excellent"/>
    <s v="Low"/>
    <x v="1"/>
    <s v="No_stock"/>
    <x v="0"/>
  </r>
  <r>
    <x v="5"/>
    <x v="1"/>
    <x v="0"/>
    <n v="929"/>
    <x v="0"/>
    <n v="10"/>
    <n v="3"/>
    <x v="3"/>
    <n v="722"/>
    <n v="4"/>
    <x v="1"/>
    <n v="3"/>
    <n v="2"/>
    <x v="0"/>
    <n v="4"/>
    <s v="Single"/>
    <n v="5396"/>
    <n v="1"/>
    <x v="1"/>
    <n v="12"/>
    <n v="3"/>
    <n v="4"/>
    <n v="0"/>
    <n v="10"/>
    <n v="2"/>
    <n v="2"/>
    <n v="10"/>
    <n v="7"/>
    <n v="0"/>
    <n v="8"/>
    <s v="Bachelor"/>
    <s v="Very High"/>
    <s v="High"/>
    <x v="0"/>
    <s v="Very High"/>
    <s v="Excellent"/>
    <s v="Very High"/>
    <x v="2"/>
    <s v="No_stock"/>
    <x v="1"/>
  </r>
  <r>
    <x v="24"/>
    <x v="0"/>
    <x v="1"/>
    <n v="562"/>
    <x v="0"/>
    <n v="8"/>
    <n v="2"/>
    <x v="4"/>
    <n v="723"/>
    <n v="2"/>
    <x v="1"/>
    <n v="3"/>
    <n v="2"/>
    <x v="0"/>
    <n v="3"/>
    <s v="Married"/>
    <n v="6796"/>
    <n v="3"/>
    <x v="0"/>
    <n v="14"/>
    <n v="3"/>
    <n v="1"/>
    <n v="1"/>
    <n v="18"/>
    <n v="4"/>
    <n v="3"/>
    <n v="4"/>
    <n v="3"/>
    <n v="1"/>
    <n v="3"/>
    <s v="College"/>
    <s v="Medium"/>
    <s v="High"/>
    <x v="0"/>
    <s v="High"/>
    <s v="Excellent"/>
    <s v="Low"/>
    <x v="1"/>
    <s v="Low"/>
    <x v="1"/>
  </r>
  <r>
    <x v="8"/>
    <x v="1"/>
    <x v="0"/>
    <n v="827"/>
    <x v="1"/>
    <n v="1"/>
    <n v="4"/>
    <x v="0"/>
    <n v="724"/>
    <n v="2"/>
    <x v="0"/>
    <n v="4"/>
    <n v="2"/>
    <x v="4"/>
    <n v="4"/>
    <s v="Single"/>
    <n v="7625"/>
    <n v="0"/>
    <x v="1"/>
    <n v="13"/>
    <n v="3"/>
    <n v="3"/>
    <n v="0"/>
    <n v="10"/>
    <n v="4"/>
    <n v="2"/>
    <n v="9"/>
    <n v="7"/>
    <n v="1"/>
    <n v="8"/>
    <s v="Master"/>
    <s v="Medium"/>
    <s v="Very High"/>
    <x v="0"/>
    <s v="Very High"/>
    <s v="Excellent"/>
    <s v="High"/>
    <x v="2"/>
    <s v="No_stock"/>
    <x v="0"/>
  </r>
  <r>
    <x v="4"/>
    <x v="1"/>
    <x v="0"/>
    <n v="608"/>
    <x v="1"/>
    <n v="1"/>
    <n v="2"/>
    <x v="0"/>
    <n v="725"/>
    <n v="3"/>
    <x v="0"/>
    <n v="3"/>
    <n v="3"/>
    <x v="3"/>
    <n v="1"/>
    <s v="Married"/>
    <n v="7412"/>
    <n v="1"/>
    <x v="1"/>
    <n v="11"/>
    <n v="3"/>
    <n v="4"/>
    <n v="0"/>
    <n v="9"/>
    <n v="3"/>
    <n v="3"/>
    <n v="9"/>
    <n v="7"/>
    <n v="0"/>
    <n v="7"/>
    <s v="College"/>
    <s v="High"/>
    <s v="High"/>
    <x v="2"/>
    <s v="Low"/>
    <s v="Excellent"/>
    <s v="Very High"/>
    <x v="1"/>
    <s v="No_stock"/>
    <x v="0"/>
  </r>
  <r>
    <x v="5"/>
    <x v="1"/>
    <x v="0"/>
    <n v="1018"/>
    <x v="1"/>
    <n v="3"/>
    <n v="2"/>
    <x v="0"/>
    <n v="727"/>
    <n v="3"/>
    <x v="0"/>
    <n v="3"/>
    <n v="3"/>
    <x v="7"/>
    <n v="4"/>
    <s v="Single"/>
    <n v="11159"/>
    <n v="3"/>
    <x v="1"/>
    <n v="15"/>
    <n v="3"/>
    <n v="4"/>
    <n v="0"/>
    <n v="10"/>
    <n v="6"/>
    <n v="3"/>
    <n v="7"/>
    <n v="7"/>
    <n v="7"/>
    <n v="7"/>
    <s v="College"/>
    <s v="High"/>
    <s v="High"/>
    <x v="2"/>
    <s v="Very High"/>
    <s v="Excellent"/>
    <s v="Very High"/>
    <x v="1"/>
    <s v="No_stock"/>
    <x v="0"/>
  </r>
  <r>
    <x v="40"/>
    <x v="1"/>
    <x v="0"/>
    <n v="703"/>
    <x v="0"/>
    <n v="14"/>
    <n v="4"/>
    <x v="3"/>
    <n v="728"/>
    <n v="4"/>
    <x v="1"/>
    <n v="3"/>
    <n v="2"/>
    <x v="0"/>
    <n v="1"/>
    <s v="Single"/>
    <n v="4960"/>
    <n v="2"/>
    <x v="1"/>
    <n v="12"/>
    <n v="3"/>
    <n v="4"/>
    <n v="0"/>
    <n v="20"/>
    <n v="2"/>
    <n v="3"/>
    <n v="7"/>
    <n v="7"/>
    <n v="1"/>
    <n v="7"/>
    <s v="Master"/>
    <s v="Very High"/>
    <s v="High"/>
    <x v="0"/>
    <s v="Low"/>
    <s v="Excellent"/>
    <s v="Very High"/>
    <x v="1"/>
    <s v="No_stock"/>
    <x v="1"/>
  </r>
  <r>
    <x v="32"/>
    <x v="1"/>
    <x v="1"/>
    <n v="580"/>
    <x v="0"/>
    <n v="5"/>
    <n v="4"/>
    <x v="0"/>
    <n v="729"/>
    <n v="4"/>
    <x v="1"/>
    <n v="2"/>
    <n v="3"/>
    <x v="0"/>
    <n v="1"/>
    <s v="Married"/>
    <n v="10475"/>
    <n v="5"/>
    <x v="0"/>
    <n v="21"/>
    <n v="4"/>
    <n v="3"/>
    <n v="1"/>
    <n v="20"/>
    <n v="2"/>
    <n v="3"/>
    <n v="18"/>
    <n v="13"/>
    <n v="1"/>
    <n v="12"/>
    <s v="Master"/>
    <s v="Very High"/>
    <s v="Medium"/>
    <x v="2"/>
    <s v="Low"/>
    <s v="Outstanding"/>
    <s v="High"/>
    <x v="1"/>
    <s v="Low"/>
    <x v="0"/>
  </r>
  <r>
    <x v="16"/>
    <x v="1"/>
    <x v="0"/>
    <n v="970"/>
    <x v="1"/>
    <n v="7"/>
    <n v="3"/>
    <x v="0"/>
    <n v="730"/>
    <n v="3"/>
    <x v="1"/>
    <n v="4"/>
    <n v="4"/>
    <x v="7"/>
    <n v="3"/>
    <s v="Married"/>
    <n v="14814"/>
    <n v="3"/>
    <x v="1"/>
    <n v="19"/>
    <n v="3"/>
    <n v="3"/>
    <n v="0"/>
    <n v="32"/>
    <n v="3"/>
    <n v="3"/>
    <n v="5"/>
    <n v="1"/>
    <n v="1"/>
    <n v="3"/>
    <s v="Bachelor"/>
    <s v="High"/>
    <s v="Very High"/>
    <x v="3"/>
    <s v="High"/>
    <s v="Excellent"/>
    <s v="High"/>
    <x v="1"/>
    <s v="No_stock"/>
    <x v="1"/>
  </r>
  <r>
    <x v="0"/>
    <x v="1"/>
    <x v="0"/>
    <n v="427"/>
    <x v="2"/>
    <n v="10"/>
    <n v="4"/>
    <x v="5"/>
    <n v="731"/>
    <n v="2"/>
    <x v="1"/>
    <n v="2"/>
    <n v="5"/>
    <x v="5"/>
    <n v="4"/>
    <s v="Divorced"/>
    <n v="19141"/>
    <n v="3"/>
    <x v="1"/>
    <n v="15"/>
    <n v="3"/>
    <n v="2"/>
    <n v="3"/>
    <n v="23"/>
    <n v="2"/>
    <n v="2"/>
    <n v="21"/>
    <n v="6"/>
    <n v="12"/>
    <n v="6"/>
    <s v="Master"/>
    <s v="Medium"/>
    <s v="Medium"/>
    <x v="4"/>
    <s v="Very High"/>
    <s v="Excellent"/>
    <s v="Medium"/>
    <x v="2"/>
    <s v="High"/>
    <x v="1"/>
  </r>
  <r>
    <x v="42"/>
    <x v="1"/>
    <x v="0"/>
    <n v="1179"/>
    <x v="0"/>
    <n v="16"/>
    <n v="4"/>
    <x v="3"/>
    <n v="732"/>
    <n v="1"/>
    <x v="1"/>
    <n v="3"/>
    <n v="2"/>
    <x v="0"/>
    <n v="1"/>
    <s v="Single"/>
    <n v="5405"/>
    <n v="8"/>
    <x v="1"/>
    <n v="14"/>
    <n v="3"/>
    <n v="4"/>
    <n v="0"/>
    <n v="10"/>
    <n v="1"/>
    <n v="3"/>
    <n v="2"/>
    <n v="2"/>
    <n v="2"/>
    <n v="2"/>
    <s v="Master"/>
    <s v="Low"/>
    <s v="High"/>
    <x v="0"/>
    <s v="Low"/>
    <s v="Excellent"/>
    <s v="Very High"/>
    <x v="1"/>
    <s v="No_stock"/>
    <x v="2"/>
  </r>
  <r>
    <x v="4"/>
    <x v="1"/>
    <x v="1"/>
    <n v="294"/>
    <x v="1"/>
    <n v="10"/>
    <n v="2"/>
    <x v="0"/>
    <n v="733"/>
    <n v="4"/>
    <x v="1"/>
    <n v="3"/>
    <n v="3"/>
    <x v="3"/>
    <n v="1"/>
    <s v="Divorced"/>
    <n v="8793"/>
    <n v="1"/>
    <x v="1"/>
    <n v="21"/>
    <n v="4"/>
    <n v="3"/>
    <n v="2"/>
    <n v="9"/>
    <n v="4"/>
    <n v="2"/>
    <n v="9"/>
    <n v="7"/>
    <n v="1"/>
    <n v="7"/>
    <s v="College"/>
    <s v="Very High"/>
    <s v="High"/>
    <x v="2"/>
    <s v="Low"/>
    <s v="Outstanding"/>
    <s v="High"/>
    <x v="2"/>
    <s v="Medium"/>
    <x v="1"/>
  </r>
  <r>
    <x v="0"/>
    <x v="1"/>
    <x v="0"/>
    <n v="314"/>
    <x v="2"/>
    <n v="1"/>
    <n v="3"/>
    <x v="5"/>
    <n v="734"/>
    <n v="4"/>
    <x v="1"/>
    <n v="2"/>
    <n v="5"/>
    <x v="5"/>
    <n v="3"/>
    <s v="Married"/>
    <n v="19189"/>
    <n v="1"/>
    <x v="1"/>
    <n v="12"/>
    <n v="3"/>
    <n v="2"/>
    <n v="1"/>
    <n v="22"/>
    <n v="3"/>
    <n v="3"/>
    <n v="22"/>
    <n v="7"/>
    <n v="2"/>
    <n v="10"/>
    <s v="Bachelor"/>
    <s v="Very High"/>
    <s v="Medium"/>
    <x v="4"/>
    <s v="High"/>
    <s v="Excellent"/>
    <s v="Medium"/>
    <x v="1"/>
    <s v="Low"/>
    <x v="0"/>
  </r>
  <r>
    <x v="24"/>
    <x v="1"/>
    <x v="0"/>
    <n v="316"/>
    <x v="0"/>
    <n v="8"/>
    <n v="4"/>
    <x v="3"/>
    <n v="738"/>
    <n v="4"/>
    <x v="1"/>
    <n v="3"/>
    <n v="1"/>
    <x v="6"/>
    <n v="2"/>
    <s v="Married"/>
    <n v="3875"/>
    <n v="7"/>
    <x v="1"/>
    <n v="15"/>
    <n v="3"/>
    <n v="4"/>
    <n v="1"/>
    <n v="4"/>
    <n v="2"/>
    <n v="3"/>
    <n v="2"/>
    <n v="2"/>
    <n v="2"/>
    <n v="2"/>
    <s v="Master"/>
    <s v="Very High"/>
    <s v="High"/>
    <x v="1"/>
    <s v="Medium"/>
    <s v="Excellent"/>
    <s v="Very High"/>
    <x v="1"/>
    <s v="Low"/>
    <x v="1"/>
  </r>
  <r>
    <x v="14"/>
    <x v="0"/>
    <x v="0"/>
    <n v="654"/>
    <x v="1"/>
    <n v="1"/>
    <n v="2"/>
    <x v="0"/>
    <n v="741"/>
    <n v="1"/>
    <x v="0"/>
    <n v="1"/>
    <n v="1"/>
    <x v="1"/>
    <n v="2"/>
    <s v="Single"/>
    <n v="2216"/>
    <n v="7"/>
    <x v="0"/>
    <n v="13"/>
    <n v="3"/>
    <n v="4"/>
    <n v="0"/>
    <n v="10"/>
    <n v="4"/>
    <n v="3"/>
    <n v="7"/>
    <n v="7"/>
    <n v="3"/>
    <n v="7"/>
    <s v="College"/>
    <s v="Low"/>
    <s v="Low"/>
    <x v="1"/>
    <s v="Medium"/>
    <s v="Excellent"/>
    <s v="Very High"/>
    <x v="1"/>
    <s v="No_stock"/>
    <x v="0"/>
  </r>
  <r>
    <x v="9"/>
    <x v="1"/>
    <x v="2"/>
    <n v="427"/>
    <x v="1"/>
    <n v="8"/>
    <n v="3"/>
    <x v="0"/>
    <n v="742"/>
    <n v="1"/>
    <x v="0"/>
    <n v="4"/>
    <n v="3"/>
    <x v="7"/>
    <n v="1"/>
    <s v="Married"/>
    <n v="11713"/>
    <n v="9"/>
    <x v="1"/>
    <n v="14"/>
    <n v="3"/>
    <n v="1"/>
    <n v="1"/>
    <n v="10"/>
    <n v="2"/>
    <n v="3"/>
    <n v="8"/>
    <n v="7"/>
    <n v="0"/>
    <n v="5"/>
    <s v="Bachelor"/>
    <s v="Low"/>
    <s v="Very High"/>
    <x v="2"/>
    <s v="Low"/>
    <s v="Excellent"/>
    <s v="Low"/>
    <x v="1"/>
    <s v="Low"/>
    <x v="1"/>
  </r>
  <r>
    <x v="8"/>
    <x v="1"/>
    <x v="0"/>
    <n v="168"/>
    <x v="1"/>
    <n v="1"/>
    <n v="3"/>
    <x v="0"/>
    <n v="743"/>
    <n v="3"/>
    <x v="0"/>
    <n v="3"/>
    <n v="3"/>
    <x v="3"/>
    <n v="3"/>
    <s v="Single"/>
    <n v="7861"/>
    <n v="4"/>
    <x v="0"/>
    <n v="14"/>
    <n v="3"/>
    <n v="4"/>
    <n v="0"/>
    <n v="10"/>
    <n v="4"/>
    <n v="4"/>
    <n v="1"/>
    <n v="0"/>
    <n v="0"/>
    <n v="0"/>
    <s v="Bachelor"/>
    <s v="High"/>
    <s v="High"/>
    <x v="2"/>
    <s v="High"/>
    <s v="Excellent"/>
    <s v="Very High"/>
    <x v="3"/>
    <s v="No_stock"/>
    <x v="0"/>
  </r>
  <r>
    <x v="20"/>
    <x v="1"/>
    <x v="2"/>
    <n v="381"/>
    <x v="1"/>
    <n v="24"/>
    <n v="3"/>
    <x v="2"/>
    <n v="744"/>
    <n v="1"/>
    <x v="1"/>
    <n v="1"/>
    <n v="1"/>
    <x v="2"/>
    <n v="3"/>
    <s v="Single"/>
    <n v="3708"/>
    <n v="2"/>
    <x v="1"/>
    <n v="14"/>
    <n v="3"/>
    <n v="3"/>
    <n v="0"/>
    <n v="9"/>
    <n v="5"/>
    <n v="3"/>
    <n v="5"/>
    <n v="2"/>
    <n v="1"/>
    <n v="4"/>
    <s v="Bachelor"/>
    <s v="Low"/>
    <s v="Low"/>
    <x v="1"/>
    <s v="High"/>
    <s v="Excellent"/>
    <s v="High"/>
    <x v="1"/>
    <s v="No_stock"/>
    <x v="2"/>
  </r>
  <r>
    <x v="40"/>
    <x v="1"/>
    <x v="1"/>
    <n v="217"/>
    <x v="0"/>
    <n v="3"/>
    <n v="3"/>
    <x v="2"/>
    <n v="746"/>
    <n v="4"/>
    <x v="0"/>
    <n v="3"/>
    <n v="4"/>
    <x v="0"/>
    <n v="3"/>
    <s v="Divorced"/>
    <n v="13770"/>
    <n v="9"/>
    <x v="0"/>
    <n v="12"/>
    <n v="3"/>
    <n v="4"/>
    <n v="2"/>
    <n v="28"/>
    <n v="2"/>
    <n v="2"/>
    <n v="22"/>
    <n v="2"/>
    <n v="11"/>
    <n v="13"/>
    <s v="Bachelor"/>
    <s v="Very High"/>
    <s v="High"/>
    <x v="3"/>
    <s v="High"/>
    <s v="Excellent"/>
    <s v="Very High"/>
    <x v="2"/>
    <s v="Medium"/>
    <x v="0"/>
  </r>
  <r>
    <x v="7"/>
    <x v="1"/>
    <x v="0"/>
    <n v="501"/>
    <x v="0"/>
    <n v="27"/>
    <n v="5"/>
    <x v="3"/>
    <n v="747"/>
    <n v="3"/>
    <x v="1"/>
    <n v="3"/>
    <n v="2"/>
    <x v="0"/>
    <n v="4"/>
    <s v="Divorced"/>
    <n v="5304"/>
    <n v="7"/>
    <x v="1"/>
    <n v="23"/>
    <n v="4"/>
    <n v="4"/>
    <n v="1"/>
    <n v="10"/>
    <n v="2"/>
    <n v="2"/>
    <n v="8"/>
    <n v="7"/>
    <n v="7"/>
    <n v="7"/>
    <s v="Doctor"/>
    <s v="High"/>
    <s v="High"/>
    <x v="0"/>
    <s v="Very High"/>
    <s v="Outstanding"/>
    <s v="Very High"/>
    <x v="2"/>
    <s v="Low"/>
    <x v="2"/>
  </r>
  <r>
    <x v="11"/>
    <x v="1"/>
    <x v="0"/>
    <n v="1396"/>
    <x v="0"/>
    <n v="10"/>
    <n v="3"/>
    <x v="0"/>
    <n v="749"/>
    <n v="3"/>
    <x v="1"/>
    <n v="3"/>
    <n v="1"/>
    <x v="6"/>
    <n v="3"/>
    <s v="Single"/>
    <n v="2642"/>
    <n v="1"/>
    <x v="1"/>
    <n v="11"/>
    <n v="3"/>
    <n v="3"/>
    <n v="0"/>
    <n v="1"/>
    <n v="6"/>
    <n v="3"/>
    <n v="1"/>
    <n v="0"/>
    <n v="0"/>
    <n v="0"/>
    <s v="Bachelor"/>
    <s v="High"/>
    <s v="High"/>
    <x v="1"/>
    <s v="High"/>
    <s v="Excellent"/>
    <s v="High"/>
    <x v="1"/>
    <s v="No_stock"/>
    <x v="1"/>
  </r>
  <r>
    <x v="19"/>
    <x v="0"/>
    <x v="1"/>
    <n v="933"/>
    <x v="1"/>
    <n v="19"/>
    <n v="3"/>
    <x v="2"/>
    <n v="752"/>
    <n v="3"/>
    <x v="1"/>
    <n v="4"/>
    <n v="1"/>
    <x v="1"/>
    <n v="3"/>
    <s v="Divorced"/>
    <n v="2759"/>
    <n v="6"/>
    <x v="0"/>
    <n v="12"/>
    <n v="3"/>
    <n v="4"/>
    <n v="0"/>
    <n v="7"/>
    <n v="2"/>
    <n v="3"/>
    <n v="2"/>
    <n v="2"/>
    <n v="2"/>
    <n v="2"/>
    <s v="Bachelor"/>
    <s v="High"/>
    <s v="Very High"/>
    <x v="1"/>
    <s v="High"/>
    <s v="Excellent"/>
    <s v="Very High"/>
    <x v="1"/>
    <s v="No_stock"/>
    <x v="2"/>
  </r>
  <r>
    <x v="23"/>
    <x v="1"/>
    <x v="1"/>
    <n v="775"/>
    <x v="0"/>
    <n v="15"/>
    <n v="3"/>
    <x v="0"/>
    <n v="754"/>
    <n v="4"/>
    <x v="1"/>
    <n v="2"/>
    <n v="2"/>
    <x v="0"/>
    <n v="4"/>
    <s v="Married"/>
    <n v="6804"/>
    <n v="3"/>
    <x v="1"/>
    <n v="18"/>
    <n v="3"/>
    <n v="3"/>
    <n v="1"/>
    <n v="7"/>
    <n v="5"/>
    <n v="3"/>
    <n v="2"/>
    <n v="2"/>
    <n v="2"/>
    <n v="2"/>
    <s v="Bachelor"/>
    <s v="Very High"/>
    <s v="Medium"/>
    <x v="0"/>
    <s v="Very High"/>
    <s v="Excellent"/>
    <s v="High"/>
    <x v="1"/>
    <s v="Low"/>
    <x v="1"/>
  </r>
  <r>
    <x v="13"/>
    <x v="1"/>
    <x v="0"/>
    <n v="970"/>
    <x v="1"/>
    <n v="8"/>
    <n v="2"/>
    <x v="2"/>
    <n v="757"/>
    <n v="2"/>
    <x v="0"/>
    <n v="3"/>
    <n v="2"/>
    <x v="4"/>
    <n v="3"/>
    <s v="Single"/>
    <n v="6142"/>
    <n v="3"/>
    <x v="1"/>
    <n v="11"/>
    <n v="3"/>
    <n v="4"/>
    <n v="0"/>
    <n v="10"/>
    <n v="2"/>
    <n v="3"/>
    <n v="5"/>
    <n v="1"/>
    <n v="4"/>
    <n v="3"/>
    <s v="College"/>
    <s v="Medium"/>
    <s v="High"/>
    <x v="0"/>
    <s v="High"/>
    <s v="Excellent"/>
    <s v="Very High"/>
    <x v="1"/>
    <s v="No_stock"/>
    <x v="1"/>
  </r>
  <r>
    <x v="30"/>
    <x v="1"/>
    <x v="0"/>
    <n v="650"/>
    <x v="1"/>
    <n v="9"/>
    <n v="1"/>
    <x v="2"/>
    <n v="758"/>
    <n v="2"/>
    <x v="1"/>
    <n v="3"/>
    <n v="1"/>
    <x v="2"/>
    <n v="1"/>
    <s v="Married"/>
    <n v="2500"/>
    <n v="1"/>
    <x v="1"/>
    <n v="14"/>
    <n v="3"/>
    <n v="4"/>
    <n v="1"/>
    <n v="5"/>
    <n v="2"/>
    <n v="4"/>
    <n v="4"/>
    <n v="3"/>
    <n v="0"/>
    <n v="2"/>
    <s v="Before College"/>
    <s v="Medium"/>
    <s v="High"/>
    <x v="1"/>
    <s v="Low"/>
    <s v="Excellent"/>
    <s v="Very High"/>
    <x v="3"/>
    <s v="Low"/>
    <x v="1"/>
  </r>
  <r>
    <x v="22"/>
    <x v="1"/>
    <x v="0"/>
    <n v="141"/>
    <x v="2"/>
    <n v="3"/>
    <n v="3"/>
    <x v="5"/>
    <n v="760"/>
    <n v="3"/>
    <x v="0"/>
    <n v="4"/>
    <n v="2"/>
    <x v="8"/>
    <n v="2"/>
    <s v="Married"/>
    <n v="6389"/>
    <n v="9"/>
    <x v="1"/>
    <n v="15"/>
    <n v="3"/>
    <n v="3"/>
    <n v="1"/>
    <n v="12"/>
    <n v="3"/>
    <n v="1"/>
    <n v="8"/>
    <n v="3"/>
    <n v="3"/>
    <n v="6"/>
    <s v="Bachelor"/>
    <s v="High"/>
    <s v="Very High"/>
    <x v="0"/>
    <s v="Medium"/>
    <s v="Excellent"/>
    <s v="High"/>
    <x v="0"/>
    <s v="Low"/>
    <x v="0"/>
  </r>
  <r>
    <x v="29"/>
    <x v="1"/>
    <x v="0"/>
    <n v="832"/>
    <x v="1"/>
    <n v="9"/>
    <n v="3"/>
    <x v="2"/>
    <n v="762"/>
    <n v="3"/>
    <x v="1"/>
    <n v="3"/>
    <n v="4"/>
    <x v="4"/>
    <n v="4"/>
    <s v="Married"/>
    <n v="11103"/>
    <n v="7"/>
    <x v="1"/>
    <n v="11"/>
    <n v="3"/>
    <n v="3"/>
    <n v="0"/>
    <n v="30"/>
    <n v="1"/>
    <n v="2"/>
    <n v="10"/>
    <n v="7"/>
    <n v="1"/>
    <n v="1"/>
    <s v="Bachelor"/>
    <s v="High"/>
    <s v="High"/>
    <x v="3"/>
    <s v="Very High"/>
    <s v="Excellent"/>
    <s v="High"/>
    <x v="2"/>
    <s v="No_stock"/>
    <x v="1"/>
  </r>
  <r>
    <x v="32"/>
    <x v="1"/>
    <x v="0"/>
    <n v="804"/>
    <x v="1"/>
    <n v="2"/>
    <n v="1"/>
    <x v="2"/>
    <n v="763"/>
    <n v="4"/>
    <x v="0"/>
    <n v="2"/>
    <n v="1"/>
    <x v="1"/>
    <n v="4"/>
    <s v="Single"/>
    <n v="2342"/>
    <n v="0"/>
    <x v="0"/>
    <n v="20"/>
    <n v="4"/>
    <n v="4"/>
    <n v="0"/>
    <n v="5"/>
    <n v="2"/>
    <n v="2"/>
    <n v="4"/>
    <n v="2"/>
    <n v="2"/>
    <n v="3"/>
    <s v="Before College"/>
    <s v="Very High"/>
    <s v="Medium"/>
    <x v="1"/>
    <s v="Very High"/>
    <s v="Outstanding"/>
    <s v="Very High"/>
    <x v="2"/>
    <s v="No_stock"/>
    <x v="0"/>
  </r>
  <r>
    <x v="4"/>
    <x v="1"/>
    <x v="0"/>
    <n v="975"/>
    <x v="1"/>
    <n v="7"/>
    <n v="3"/>
    <x v="2"/>
    <n v="764"/>
    <n v="4"/>
    <x v="0"/>
    <n v="2"/>
    <n v="2"/>
    <x v="4"/>
    <n v="1"/>
    <s v="Single"/>
    <n v="6811"/>
    <n v="8"/>
    <x v="1"/>
    <n v="19"/>
    <n v="3"/>
    <n v="1"/>
    <n v="0"/>
    <n v="9"/>
    <n v="2"/>
    <n v="1"/>
    <n v="7"/>
    <n v="6"/>
    <n v="0"/>
    <n v="7"/>
    <s v="Bachelor"/>
    <s v="Very High"/>
    <s v="Medium"/>
    <x v="0"/>
    <s v="Low"/>
    <s v="Excellent"/>
    <s v="Low"/>
    <x v="0"/>
    <s v="No_stock"/>
    <x v="1"/>
  </r>
  <r>
    <x v="11"/>
    <x v="1"/>
    <x v="0"/>
    <n v="1090"/>
    <x v="0"/>
    <n v="10"/>
    <n v="3"/>
    <x v="3"/>
    <n v="766"/>
    <n v="4"/>
    <x v="1"/>
    <n v="3"/>
    <n v="1"/>
    <x v="6"/>
    <n v="2"/>
    <s v="Divorced"/>
    <n v="2297"/>
    <n v="1"/>
    <x v="1"/>
    <n v="14"/>
    <n v="3"/>
    <n v="4"/>
    <n v="2"/>
    <n v="2"/>
    <n v="2"/>
    <n v="3"/>
    <n v="2"/>
    <n v="2"/>
    <n v="2"/>
    <n v="2"/>
    <s v="Bachelor"/>
    <s v="Very High"/>
    <s v="High"/>
    <x v="1"/>
    <s v="Medium"/>
    <s v="Excellent"/>
    <s v="Very High"/>
    <x v="1"/>
    <s v="Medium"/>
    <x v="1"/>
  </r>
  <r>
    <x v="16"/>
    <x v="1"/>
    <x v="0"/>
    <n v="346"/>
    <x v="1"/>
    <n v="6"/>
    <n v="3"/>
    <x v="0"/>
    <n v="769"/>
    <n v="4"/>
    <x v="1"/>
    <n v="3"/>
    <n v="2"/>
    <x v="2"/>
    <n v="4"/>
    <s v="Single"/>
    <n v="2450"/>
    <n v="2"/>
    <x v="1"/>
    <n v="17"/>
    <n v="3"/>
    <n v="4"/>
    <n v="0"/>
    <n v="19"/>
    <n v="4"/>
    <n v="3"/>
    <n v="2"/>
    <n v="2"/>
    <n v="2"/>
    <n v="2"/>
    <s v="Bachelor"/>
    <s v="Very High"/>
    <s v="High"/>
    <x v="0"/>
    <s v="Very High"/>
    <s v="Excellent"/>
    <s v="Very High"/>
    <x v="1"/>
    <s v="No_stock"/>
    <x v="1"/>
  </r>
  <r>
    <x v="10"/>
    <x v="1"/>
    <x v="2"/>
    <n v="1225"/>
    <x v="1"/>
    <n v="2"/>
    <n v="4"/>
    <x v="0"/>
    <n v="771"/>
    <n v="4"/>
    <x v="0"/>
    <n v="3"/>
    <n v="2"/>
    <x v="4"/>
    <n v="1"/>
    <s v="Divorced"/>
    <n v="5093"/>
    <n v="2"/>
    <x v="1"/>
    <n v="11"/>
    <n v="3"/>
    <n v="1"/>
    <n v="1"/>
    <n v="16"/>
    <n v="2"/>
    <n v="4"/>
    <n v="1"/>
    <n v="0"/>
    <n v="0"/>
    <n v="0"/>
    <s v="Master"/>
    <s v="Very High"/>
    <s v="High"/>
    <x v="0"/>
    <s v="Low"/>
    <s v="Excellent"/>
    <s v="Low"/>
    <x v="3"/>
    <s v="Low"/>
    <x v="0"/>
  </r>
  <r>
    <x v="5"/>
    <x v="1"/>
    <x v="1"/>
    <n v="430"/>
    <x v="1"/>
    <n v="24"/>
    <n v="4"/>
    <x v="0"/>
    <n v="772"/>
    <n v="1"/>
    <x v="1"/>
    <n v="3"/>
    <n v="2"/>
    <x v="2"/>
    <n v="4"/>
    <s v="Married"/>
    <n v="5309"/>
    <n v="1"/>
    <x v="1"/>
    <n v="15"/>
    <n v="3"/>
    <n v="4"/>
    <n v="2"/>
    <n v="10"/>
    <n v="2"/>
    <n v="3"/>
    <n v="10"/>
    <n v="8"/>
    <n v="4"/>
    <n v="7"/>
    <s v="Master"/>
    <s v="Low"/>
    <s v="High"/>
    <x v="0"/>
    <s v="Very High"/>
    <s v="Excellent"/>
    <s v="Very High"/>
    <x v="1"/>
    <s v="Medium"/>
    <x v="2"/>
  </r>
  <r>
    <x v="8"/>
    <x v="1"/>
    <x v="0"/>
    <n v="268"/>
    <x v="1"/>
    <n v="2"/>
    <n v="5"/>
    <x v="2"/>
    <n v="773"/>
    <n v="4"/>
    <x v="1"/>
    <n v="3"/>
    <n v="1"/>
    <x v="1"/>
    <n v="3"/>
    <s v="Married"/>
    <n v="3057"/>
    <n v="6"/>
    <x v="0"/>
    <n v="13"/>
    <n v="3"/>
    <n v="2"/>
    <n v="1"/>
    <n v="6"/>
    <n v="0"/>
    <n v="1"/>
    <n v="1"/>
    <n v="0"/>
    <n v="0"/>
    <n v="1"/>
    <s v="Doctor"/>
    <s v="Very High"/>
    <s v="High"/>
    <x v="1"/>
    <s v="High"/>
    <s v="Excellent"/>
    <s v="Medium"/>
    <x v="0"/>
    <s v="Low"/>
    <x v="0"/>
  </r>
  <r>
    <x v="13"/>
    <x v="1"/>
    <x v="0"/>
    <n v="167"/>
    <x v="1"/>
    <n v="8"/>
    <n v="5"/>
    <x v="0"/>
    <n v="775"/>
    <n v="2"/>
    <x v="0"/>
    <n v="3"/>
    <n v="2"/>
    <x v="3"/>
    <n v="1"/>
    <s v="Divorced"/>
    <n v="5121"/>
    <n v="3"/>
    <x v="1"/>
    <n v="14"/>
    <n v="3"/>
    <n v="3"/>
    <n v="1"/>
    <n v="7"/>
    <n v="3"/>
    <n v="3"/>
    <n v="0"/>
    <n v="0"/>
    <n v="0"/>
    <n v="0"/>
    <s v="Doctor"/>
    <s v="Medium"/>
    <s v="High"/>
    <x v="0"/>
    <s v="Low"/>
    <s v="Excellent"/>
    <s v="High"/>
    <x v="1"/>
    <s v="Low"/>
    <x v="1"/>
  </r>
  <r>
    <x v="39"/>
    <x v="1"/>
    <x v="0"/>
    <n v="621"/>
    <x v="0"/>
    <n v="3"/>
    <n v="4"/>
    <x v="3"/>
    <n v="776"/>
    <n v="3"/>
    <x v="1"/>
    <n v="2"/>
    <n v="4"/>
    <x v="5"/>
    <n v="1"/>
    <s v="Married"/>
    <n v="16856"/>
    <n v="1"/>
    <x v="1"/>
    <n v="11"/>
    <n v="3"/>
    <n v="1"/>
    <n v="0"/>
    <n v="34"/>
    <n v="3"/>
    <n v="4"/>
    <n v="34"/>
    <n v="6"/>
    <n v="1"/>
    <n v="16"/>
    <s v="Master"/>
    <s v="High"/>
    <s v="Medium"/>
    <x v="3"/>
    <s v="Low"/>
    <s v="Excellent"/>
    <s v="Low"/>
    <x v="3"/>
    <s v="No_stock"/>
    <x v="0"/>
  </r>
  <r>
    <x v="3"/>
    <x v="0"/>
    <x v="0"/>
    <n v="527"/>
    <x v="1"/>
    <n v="1"/>
    <n v="4"/>
    <x v="1"/>
    <n v="780"/>
    <n v="4"/>
    <x v="1"/>
    <n v="3"/>
    <n v="1"/>
    <x v="1"/>
    <n v="4"/>
    <s v="Single"/>
    <n v="2686"/>
    <n v="1"/>
    <x v="0"/>
    <n v="13"/>
    <n v="3"/>
    <n v="3"/>
    <n v="0"/>
    <n v="10"/>
    <n v="2"/>
    <n v="2"/>
    <n v="10"/>
    <n v="9"/>
    <n v="7"/>
    <n v="8"/>
    <s v="Master"/>
    <s v="Very High"/>
    <s v="High"/>
    <x v="1"/>
    <s v="Very High"/>
    <s v="Excellent"/>
    <s v="High"/>
    <x v="2"/>
    <s v="No_stock"/>
    <x v="0"/>
  </r>
  <r>
    <x v="36"/>
    <x v="1"/>
    <x v="0"/>
    <n v="883"/>
    <x v="0"/>
    <n v="26"/>
    <n v="1"/>
    <x v="2"/>
    <n v="781"/>
    <n v="3"/>
    <x v="0"/>
    <n v="3"/>
    <n v="2"/>
    <x v="0"/>
    <n v="4"/>
    <s v="Single"/>
    <n v="6180"/>
    <n v="1"/>
    <x v="1"/>
    <n v="23"/>
    <n v="4"/>
    <n v="2"/>
    <n v="0"/>
    <n v="6"/>
    <n v="5"/>
    <n v="2"/>
    <n v="6"/>
    <n v="5"/>
    <n v="1"/>
    <n v="4"/>
    <s v="Before College"/>
    <s v="High"/>
    <s v="High"/>
    <x v="0"/>
    <s v="Very High"/>
    <s v="Outstanding"/>
    <s v="Medium"/>
    <x v="2"/>
    <s v="No_stock"/>
    <x v="2"/>
  </r>
  <r>
    <x v="28"/>
    <x v="1"/>
    <x v="0"/>
    <n v="954"/>
    <x v="0"/>
    <n v="2"/>
    <n v="2"/>
    <x v="4"/>
    <n v="783"/>
    <n v="2"/>
    <x v="1"/>
    <n v="1"/>
    <n v="2"/>
    <x v="6"/>
    <n v="3"/>
    <s v="Single"/>
    <n v="6632"/>
    <n v="0"/>
    <x v="1"/>
    <n v="13"/>
    <n v="3"/>
    <n v="1"/>
    <n v="0"/>
    <n v="9"/>
    <n v="3"/>
    <n v="3"/>
    <n v="8"/>
    <n v="7"/>
    <n v="3"/>
    <n v="1"/>
    <s v="College"/>
    <s v="Medium"/>
    <s v="Low"/>
    <x v="0"/>
    <s v="High"/>
    <s v="Excellent"/>
    <s v="Low"/>
    <x v="1"/>
    <s v="No_stock"/>
    <x v="0"/>
  </r>
  <r>
    <x v="30"/>
    <x v="1"/>
    <x v="0"/>
    <n v="310"/>
    <x v="1"/>
    <n v="10"/>
    <n v="1"/>
    <x v="2"/>
    <n v="784"/>
    <n v="1"/>
    <x v="1"/>
    <n v="4"/>
    <n v="1"/>
    <x v="1"/>
    <n v="3"/>
    <s v="Single"/>
    <n v="3505"/>
    <n v="1"/>
    <x v="1"/>
    <n v="18"/>
    <n v="3"/>
    <n v="4"/>
    <n v="0"/>
    <n v="2"/>
    <n v="3"/>
    <n v="3"/>
    <n v="2"/>
    <n v="2"/>
    <n v="0"/>
    <n v="2"/>
    <s v="Before College"/>
    <s v="Low"/>
    <s v="Very High"/>
    <x v="1"/>
    <s v="High"/>
    <s v="Excellent"/>
    <s v="Very High"/>
    <x v="1"/>
    <s v="No_stock"/>
    <x v="1"/>
  </r>
  <r>
    <x v="40"/>
    <x v="0"/>
    <x v="1"/>
    <n v="719"/>
    <x v="0"/>
    <n v="27"/>
    <n v="2"/>
    <x v="0"/>
    <n v="785"/>
    <n v="2"/>
    <x v="0"/>
    <n v="4"/>
    <n v="2"/>
    <x v="0"/>
    <n v="3"/>
    <s v="Single"/>
    <n v="6397"/>
    <n v="4"/>
    <x v="0"/>
    <n v="12"/>
    <n v="3"/>
    <n v="4"/>
    <n v="0"/>
    <n v="8"/>
    <n v="2"/>
    <n v="3"/>
    <n v="5"/>
    <n v="4"/>
    <n v="1"/>
    <n v="3"/>
    <s v="College"/>
    <s v="Medium"/>
    <s v="Very High"/>
    <x v="0"/>
    <s v="High"/>
    <s v="Excellent"/>
    <s v="Very High"/>
    <x v="1"/>
    <s v="No_stock"/>
    <x v="2"/>
  </r>
  <r>
    <x v="13"/>
    <x v="1"/>
    <x v="0"/>
    <n v="304"/>
    <x v="0"/>
    <n v="2"/>
    <n v="3"/>
    <x v="1"/>
    <n v="786"/>
    <n v="4"/>
    <x v="1"/>
    <n v="3"/>
    <n v="2"/>
    <x v="0"/>
    <n v="4"/>
    <s v="Single"/>
    <n v="6274"/>
    <n v="1"/>
    <x v="1"/>
    <n v="22"/>
    <n v="4"/>
    <n v="3"/>
    <n v="0"/>
    <n v="6"/>
    <n v="5"/>
    <n v="3"/>
    <n v="6"/>
    <n v="5"/>
    <n v="1"/>
    <n v="4"/>
    <s v="Bachelor"/>
    <s v="Very High"/>
    <s v="High"/>
    <x v="0"/>
    <s v="Very High"/>
    <s v="Outstanding"/>
    <s v="High"/>
    <x v="1"/>
    <s v="No_stock"/>
    <x v="0"/>
  </r>
  <r>
    <x v="27"/>
    <x v="0"/>
    <x v="0"/>
    <n v="725"/>
    <x v="1"/>
    <n v="2"/>
    <n v="3"/>
    <x v="2"/>
    <n v="787"/>
    <n v="4"/>
    <x v="1"/>
    <n v="3"/>
    <n v="5"/>
    <x v="5"/>
    <n v="1"/>
    <s v="Married"/>
    <n v="19859"/>
    <n v="5"/>
    <x v="0"/>
    <n v="13"/>
    <n v="3"/>
    <n v="4"/>
    <n v="1"/>
    <n v="24"/>
    <n v="2"/>
    <n v="3"/>
    <n v="5"/>
    <n v="2"/>
    <n v="1"/>
    <n v="4"/>
    <s v="Bachelor"/>
    <s v="Very High"/>
    <s v="High"/>
    <x v="4"/>
    <s v="Low"/>
    <s v="Excellent"/>
    <s v="Very High"/>
    <x v="1"/>
    <s v="Low"/>
    <x v="0"/>
  </r>
  <r>
    <x v="9"/>
    <x v="1"/>
    <x v="2"/>
    <n v="1434"/>
    <x v="0"/>
    <n v="8"/>
    <n v="4"/>
    <x v="0"/>
    <n v="789"/>
    <n v="1"/>
    <x v="1"/>
    <n v="2"/>
    <n v="3"/>
    <x v="0"/>
    <n v="1"/>
    <s v="Single"/>
    <n v="7587"/>
    <n v="1"/>
    <x v="1"/>
    <n v="15"/>
    <n v="3"/>
    <n v="2"/>
    <n v="0"/>
    <n v="10"/>
    <n v="1"/>
    <n v="3"/>
    <n v="10"/>
    <n v="7"/>
    <n v="0"/>
    <n v="9"/>
    <s v="Master"/>
    <s v="Low"/>
    <s v="Medium"/>
    <x v="2"/>
    <s v="Low"/>
    <s v="Excellent"/>
    <s v="Medium"/>
    <x v="1"/>
    <s v="No_stock"/>
    <x v="1"/>
  </r>
  <r>
    <x v="39"/>
    <x v="1"/>
    <x v="2"/>
    <n v="715"/>
    <x v="1"/>
    <n v="19"/>
    <n v="4"/>
    <x v="2"/>
    <n v="791"/>
    <n v="4"/>
    <x v="1"/>
    <n v="3"/>
    <n v="1"/>
    <x v="1"/>
    <n v="4"/>
    <s v="Married"/>
    <n v="4258"/>
    <n v="0"/>
    <x v="1"/>
    <n v="18"/>
    <n v="3"/>
    <n v="1"/>
    <n v="1"/>
    <n v="5"/>
    <n v="3"/>
    <n v="3"/>
    <n v="4"/>
    <n v="3"/>
    <n v="1"/>
    <n v="2"/>
    <s v="Master"/>
    <s v="Very High"/>
    <s v="High"/>
    <x v="1"/>
    <s v="Very High"/>
    <s v="Excellent"/>
    <s v="Low"/>
    <x v="1"/>
    <s v="Low"/>
    <x v="2"/>
  </r>
  <r>
    <x v="25"/>
    <x v="1"/>
    <x v="1"/>
    <n v="575"/>
    <x v="1"/>
    <n v="1"/>
    <n v="2"/>
    <x v="0"/>
    <n v="792"/>
    <n v="1"/>
    <x v="0"/>
    <n v="1"/>
    <n v="1"/>
    <x v="2"/>
    <n v="4"/>
    <s v="Divorced"/>
    <n v="4364"/>
    <n v="3"/>
    <x v="1"/>
    <n v="14"/>
    <n v="3"/>
    <n v="1"/>
    <n v="1"/>
    <n v="5"/>
    <n v="2"/>
    <n v="3"/>
    <n v="2"/>
    <n v="2"/>
    <n v="2"/>
    <n v="0"/>
    <s v="College"/>
    <s v="Low"/>
    <s v="Low"/>
    <x v="1"/>
    <s v="Very High"/>
    <s v="Excellent"/>
    <s v="Low"/>
    <x v="1"/>
    <s v="Low"/>
    <x v="0"/>
  </r>
  <r>
    <x v="11"/>
    <x v="1"/>
    <x v="0"/>
    <n v="657"/>
    <x v="1"/>
    <n v="27"/>
    <n v="3"/>
    <x v="2"/>
    <n v="793"/>
    <n v="2"/>
    <x v="0"/>
    <n v="3"/>
    <n v="2"/>
    <x v="4"/>
    <n v="3"/>
    <s v="Married"/>
    <n v="4335"/>
    <n v="4"/>
    <x v="1"/>
    <n v="12"/>
    <n v="3"/>
    <n v="1"/>
    <n v="1"/>
    <n v="11"/>
    <n v="3"/>
    <n v="2"/>
    <n v="8"/>
    <n v="7"/>
    <n v="1"/>
    <n v="1"/>
    <s v="Bachelor"/>
    <s v="Medium"/>
    <s v="High"/>
    <x v="0"/>
    <s v="High"/>
    <s v="Excellent"/>
    <s v="Low"/>
    <x v="2"/>
    <s v="Low"/>
    <x v="2"/>
  </r>
  <r>
    <x v="25"/>
    <x v="0"/>
    <x v="0"/>
    <n v="1146"/>
    <x v="0"/>
    <n v="8"/>
    <n v="3"/>
    <x v="4"/>
    <n v="796"/>
    <n v="4"/>
    <x v="1"/>
    <n v="2"/>
    <n v="2"/>
    <x v="0"/>
    <n v="1"/>
    <s v="Single"/>
    <n v="5326"/>
    <n v="6"/>
    <x v="1"/>
    <n v="17"/>
    <n v="3"/>
    <n v="3"/>
    <n v="0"/>
    <n v="6"/>
    <n v="2"/>
    <n v="2"/>
    <n v="4"/>
    <n v="3"/>
    <n v="1"/>
    <n v="2"/>
    <s v="Bachelor"/>
    <s v="Very High"/>
    <s v="Medium"/>
    <x v="0"/>
    <s v="Low"/>
    <s v="Excellent"/>
    <s v="High"/>
    <x v="2"/>
    <s v="No_stock"/>
    <x v="1"/>
  </r>
  <r>
    <x v="13"/>
    <x v="1"/>
    <x v="0"/>
    <n v="182"/>
    <x v="1"/>
    <n v="1"/>
    <n v="4"/>
    <x v="0"/>
    <n v="797"/>
    <n v="2"/>
    <x v="0"/>
    <n v="4"/>
    <n v="1"/>
    <x v="1"/>
    <n v="4"/>
    <s v="Single"/>
    <n v="3280"/>
    <n v="2"/>
    <x v="1"/>
    <n v="16"/>
    <n v="3"/>
    <n v="3"/>
    <n v="0"/>
    <n v="10"/>
    <n v="2"/>
    <n v="3"/>
    <n v="4"/>
    <n v="2"/>
    <n v="1"/>
    <n v="3"/>
    <s v="Master"/>
    <s v="Medium"/>
    <s v="Very High"/>
    <x v="1"/>
    <s v="Very High"/>
    <s v="Excellent"/>
    <s v="High"/>
    <x v="1"/>
    <s v="No_stock"/>
    <x v="0"/>
  </r>
  <r>
    <x v="33"/>
    <x v="1"/>
    <x v="0"/>
    <n v="376"/>
    <x v="1"/>
    <n v="19"/>
    <n v="4"/>
    <x v="2"/>
    <n v="799"/>
    <n v="4"/>
    <x v="0"/>
    <n v="3"/>
    <n v="2"/>
    <x v="3"/>
    <n v="1"/>
    <s v="Divorced"/>
    <n v="5485"/>
    <n v="9"/>
    <x v="0"/>
    <n v="11"/>
    <n v="3"/>
    <n v="2"/>
    <n v="2"/>
    <n v="9"/>
    <n v="4"/>
    <n v="3"/>
    <n v="5"/>
    <n v="3"/>
    <n v="1"/>
    <n v="4"/>
    <s v="Master"/>
    <s v="Very High"/>
    <s v="High"/>
    <x v="0"/>
    <s v="Low"/>
    <s v="Excellent"/>
    <s v="Medium"/>
    <x v="1"/>
    <s v="Medium"/>
    <x v="2"/>
  </r>
  <r>
    <x v="4"/>
    <x v="1"/>
    <x v="1"/>
    <n v="829"/>
    <x v="0"/>
    <n v="8"/>
    <n v="1"/>
    <x v="3"/>
    <n v="800"/>
    <n v="3"/>
    <x v="1"/>
    <n v="3"/>
    <n v="2"/>
    <x v="0"/>
    <n v="4"/>
    <s v="Married"/>
    <n v="4342"/>
    <n v="0"/>
    <x v="1"/>
    <n v="19"/>
    <n v="3"/>
    <n v="2"/>
    <n v="1"/>
    <n v="5"/>
    <n v="3"/>
    <n v="3"/>
    <n v="4"/>
    <n v="2"/>
    <n v="1"/>
    <n v="1"/>
    <s v="Before College"/>
    <s v="High"/>
    <s v="High"/>
    <x v="0"/>
    <s v="Very High"/>
    <s v="Excellent"/>
    <s v="Medium"/>
    <x v="1"/>
    <s v="Low"/>
    <x v="1"/>
  </r>
  <r>
    <x v="2"/>
    <x v="1"/>
    <x v="0"/>
    <n v="571"/>
    <x v="1"/>
    <n v="10"/>
    <n v="1"/>
    <x v="0"/>
    <n v="802"/>
    <n v="4"/>
    <x v="0"/>
    <n v="3"/>
    <n v="1"/>
    <x v="1"/>
    <n v="1"/>
    <s v="Divorced"/>
    <n v="2782"/>
    <n v="0"/>
    <x v="0"/>
    <n v="13"/>
    <n v="3"/>
    <n v="2"/>
    <n v="2"/>
    <n v="6"/>
    <n v="3"/>
    <n v="2"/>
    <n v="5"/>
    <n v="3"/>
    <n v="4"/>
    <n v="3"/>
    <s v="Before College"/>
    <s v="Very High"/>
    <s v="High"/>
    <x v="1"/>
    <s v="Low"/>
    <s v="Excellent"/>
    <s v="Medium"/>
    <x v="2"/>
    <s v="Medium"/>
    <x v="1"/>
  </r>
  <r>
    <x v="8"/>
    <x v="1"/>
    <x v="1"/>
    <n v="240"/>
    <x v="1"/>
    <n v="2"/>
    <n v="4"/>
    <x v="0"/>
    <n v="803"/>
    <n v="1"/>
    <x v="0"/>
    <n v="4"/>
    <n v="2"/>
    <x v="3"/>
    <n v="1"/>
    <s v="Single"/>
    <n v="5980"/>
    <n v="6"/>
    <x v="0"/>
    <n v="12"/>
    <n v="3"/>
    <n v="4"/>
    <n v="0"/>
    <n v="17"/>
    <n v="2"/>
    <n v="3"/>
    <n v="15"/>
    <n v="7"/>
    <n v="4"/>
    <n v="12"/>
    <s v="Master"/>
    <s v="Low"/>
    <s v="Very High"/>
    <x v="0"/>
    <s v="Low"/>
    <s v="Excellent"/>
    <s v="Very High"/>
    <x v="1"/>
    <s v="No_stock"/>
    <x v="0"/>
  </r>
  <r>
    <x v="13"/>
    <x v="1"/>
    <x v="0"/>
    <n v="121"/>
    <x v="1"/>
    <n v="2"/>
    <n v="4"/>
    <x v="2"/>
    <n v="804"/>
    <n v="3"/>
    <x v="0"/>
    <n v="2"/>
    <n v="1"/>
    <x v="1"/>
    <n v="1"/>
    <s v="Single"/>
    <n v="4381"/>
    <n v="1"/>
    <x v="1"/>
    <n v="11"/>
    <n v="3"/>
    <n v="3"/>
    <n v="0"/>
    <n v="6"/>
    <n v="3"/>
    <n v="3"/>
    <n v="6"/>
    <n v="5"/>
    <n v="1"/>
    <n v="3"/>
    <s v="Master"/>
    <s v="High"/>
    <s v="Medium"/>
    <x v="1"/>
    <s v="Low"/>
    <s v="Excellent"/>
    <s v="High"/>
    <x v="1"/>
    <s v="No_stock"/>
    <x v="0"/>
  </r>
  <r>
    <x v="10"/>
    <x v="1"/>
    <x v="0"/>
    <n v="384"/>
    <x v="0"/>
    <n v="8"/>
    <n v="4"/>
    <x v="0"/>
    <n v="805"/>
    <n v="1"/>
    <x v="0"/>
    <n v="3"/>
    <n v="1"/>
    <x v="6"/>
    <n v="4"/>
    <s v="Married"/>
    <n v="2572"/>
    <n v="1"/>
    <x v="1"/>
    <n v="16"/>
    <n v="3"/>
    <n v="2"/>
    <n v="1"/>
    <n v="3"/>
    <n v="1"/>
    <n v="2"/>
    <n v="3"/>
    <n v="2"/>
    <n v="0"/>
    <n v="2"/>
    <s v="Master"/>
    <s v="Low"/>
    <s v="High"/>
    <x v="1"/>
    <s v="Very High"/>
    <s v="Excellent"/>
    <s v="Medium"/>
    <x v="2"/>
    <s v="Low"/>
    <x v="1"/>
  </r>
  <r>
    <x v="7"/>
    <x v="1"/>
    <x v="0"/>
    <n v="921"/>
    <x v="1"/>
    <n v="1"/>
    <n v="3"/>
    <x v="0"/>
    <n v="806"/>
    <n v="4"/>
    <x v="1"/>
    <n v="1"/>
    <n v="1"/>
    <x v="2"/>
    <n v="3"/>
    <s v="Married"/>
    <n v="3833"/>
    <n v="3"/>
    <x v="1"/>
    <n v="21"/>
    <n v="4"/>
    <n v="3"/>
    <n v="2"/>
    <n v="7"/>
    <n v="2"/>
    <n v="3"/>
    <n v="2"/>
    <n v="2"/>
    <n v="0"/>
    <n v="2"/>
    <s v="Bachelor"/>
    <s v="Very High"/>
    <s v="Low"/>
    <x v="1"/>
    <s v="High"/>
    <s v="Outstanding"/>
    <s v="High"/>
    <x v="1"/>
    <s v="Medium"/>
    <x v="0"/>
  </r>
  <r>
    <x v="32"/>
    <x v="1"/>
    <x v="1"/>
    <n v="791"/>
    <x v="1"/>
    <n v="2"/>
    <n v="2"/>
    <x v="2"/>
    <n v="807"/>
    <n v="3"/>
    <x v="0"/>
    <n v="4"/>
    <n v="2"/>
    <x v="4"/>
    <n v="2"/>
    <s v="Married"/>
    <n v="4244"/>
    <n v="1"/>
    <x v="1"/>
    <n v="24"/>
    <n v="4"/>
    <n v="4"/>
    <n v="1"/>
    <n v="8"/>
    <n v="2"/>
    <n v="3"/>
    <n v="8"/>
    <n v="7"/>
    <n v="3"/>
    <n v="7"/>
    <s v="College"/>
    <s v="High"/>
    <s v="Very High"/>
    <x v="0"/>
    <s v="Medium"/>
    <s v="Outstanding"/>
    <s v="Very High"/>
    <x v="1"/>
    <s v="Low"/>
    <x v="0"/>
  </r>
  <r>
    <x v="13"/>
    <x v="1"/>
    <x v="0"/>
    <n v="1111"/>
    <x v="0"/>
    <n v="8"/>
    <n v="2"/>
    <x v="0"/>
    <n v="808"/>
    <n v="3"/>
    <x v="0"/>
    <n v="3"/>
    <n v="2"/>
    <x v="0"/>
    <n v="1"/>
    <s v="Married"/>
    <n v="6500"/>
    <n v="5"/>
    <x v="1"/>
    <n v="17"/>
    <n v="3"/>
    <n v="2"/>
    <n v="1"/>
    <n v="6"/>
    <n v="1"/>
    <n v="3"/>
    <n v="3"/>
    <n v="2"/>
    <n v="1"/>
    <n v="2"/>
    <s v="College"/>
    <s v="High"/>
    <s v="High"/>
    <x v="0"/>
    <s v="Low"/>
    <s v="Excellent"/>
    <s v="Medium"/>
    <x v="1"/>
    <s v="Low"/>
    <x v="1"/>
  </r>
  <r>
    <x v="19"/>
    <x v="1"/>
    <x v="1"/>
    <n v="570"/>
    <x v="1"/>
    <n v="8"/>
    <n v="3"/>
    <x v="0"/>
    <n v="809"/>
    <n v="2"/>
    <x v="1"/>
    <n v="3"/>
    <n v="5"/>
    <x v="5"/>
    <n v="4"/>
    <s v="Divorced"/>
    <n v="18430"/>
    <n v="1"/>
    <x v="1"/>
    <n v="13"/>
    <n v="3"/>
    <n v="2"/>
    <n v="1"/>
    <n v="24"/>
    <n v="4"/>
    <n v="2"/>
    <n v="24"/>
    <n v="7"/>
    <n v="14"/>
    <n v="9"/>
    <s v="Bachelor"/>
    <s v="Medium"/>
    <s v="High"/>
    <x v="4"/>
    <s v="Very High"/>
    <s v="Excellent"/>
    <s v="Medium"/>
    <x v="2"/>
    <s v="Low"/>
    <x v="1"/>
  </r>
  <r>
    <x v="30"/>
    <x v="0"/>
    <x v="0"/>
    <n v="1243"/>
    <x v="1"/>
    <n v="6"/>
    <n v="3"/>
    <x v="0"/>
    <n v="811"/>
    <n v="3"/>
    <x v="1"/>
    <n v="4"/>
    <n v="1"/>
    <x v="2"/>
    <n v="1"/>
    <s v="Married"/>
    <n v="1601"/>
    <n v="1"/>
    <x v="0"/>
    <n v="21"/>
    <n v="4"/>
    <n v="3"/>
    <n v="2"/>
    <n v="1"/>
    <n v="2"/>
    <n v="3"/>
    <n v="0"/>
    <n v="0"/>
    <n v="0"/>
    <n v="0"/>
    <s v="Bachelor"/>
    <s v="High"/>
    <s v="Very High"/>
    <x v="1"/>
    <s v="Low"/>
    <s v="Outstanding"/>
    <s v="High"/>
    <x v="1"/>
    <s v="Medium"/>
    <x v="1"/>
  </r>
  <r>
    <x v="17"/>
    <x v="1"/>
    <x v="2"/>
    <n v="1092"/>
    <x v="1"/>
    <n v="9"/>
    <n v="3"/>
    <x v="0"/>
    <n v="812"/>
    <n v="3"/>
    <x v="1"/>
    <n v="2"/>
    <n v="1"/>
    <x v="2"/>
    <n v="2"/>
    <s v="Divorced"/>
    <n v="2694"/>
    <n v="1"/>
    <x v="1"/>
    <n v="11"/>
    <n v="3"/>
    <n v="3"/>
    <n v="3"/>
    <n v="1"/>
    <n v="4"/>
    <n v="3"/>
    <n v="1"/>
    <n v="0"/>
    <n v="0"/>
    <n v="0"/>
    <s v="Bachelor"/>
    <s v="High"/>
    <s v="Medium"/>
    <x v="1"/>
    <s v="Medium"/>
    <s v="Excellent"/>
    <s v="High"/>
    <x v="1"/>
    <s v="High"/>
    <x v="1"/>
  </r>
  <r>
    <x v="39"/>
    <x v="1"/>
    <x v="0"/>
    <n v="1325"/>
    <x v="1"/>
    <n v="11"/>
    <n v="4"/>
    <x v="0"/>
    <n v="813"/>
    <n v="4"/>
    <x v="0"/>
    <n v="3"/>
    <n v="2"/>
    <x v="2"/>
    <n v="3"/>
    <s v="Married"/>
    <n v="3149"/>
    <n v="8"/>
    <x v="1"/>
    <n v="20"/>
    <n v="4"/>
    <n v="2"/>
    <n v="1"/>
    <n v="9"/>
    <n v="3"/>
    <n v="3"/>
    <n v="5"/>
    <n v="2"/>
    <n v="1"/>
    <n v="4"/>
    <s v="Master"/>
    <s v="Very High"/>
    <s v="High"/>
    <x v="0"/>
    <s v="High"/>
    <s v="Outstanding"/>
    <s v="Medium"/>
    <x v="1"/>
    <s v="Low"/>
    <x v="1"/>
  </r>
  <r>
    <x v="24"/>
    <x v="1"/>
    <x v="0"/>
    <n v="691"/>
    <x v="1"/>
    <n v="2"/>
    <n v="3"/>
    <x v="2"/>
    <n v="815"/>
    <n v="3"/>
    <x v="1"/>
    <n v="3"/>
    <n v="4"/>
    <x v="7"/>
    <n v="3"/>
    <s v="Married"/>
    <n v="17639"/>
    <n v="5"/>
    <x v="1"/>
    <n v="16"/>
    <n v="3"/>
    <n v="4"/>
    <n v="0"/>
    <n v="30"/>
    <n v="3"/>
    <n v="3"/>
    <n v="4"/>
    <n v="3"/>
    <n v="0"/>
    <n v="3"/>
    <s v="Bachelor"/>
    <s v="High"/>
    <s v="High"/>
    <x v="3"/>
    <s v="High"/>
    <s v="Excellent"/>
    <s v="Very High"/>
    <x v="1"/>
    <s v="No_stock"/>
    <x v="0"/>
  </r>
  <r>
    <x v="11"/>
    <x v="0"/>
    <x v="0"/>
    <n v="805"/>
    <x v="1"/>
    <n v="1"/>
    <n v="2"/>
    <x v="0"/>
    <n v="816"/>
    <n v="2"/>
    <x v="0"/>
    <n v="2"/>
    <n v="1"/>
    <x v="2"/>
    <n v="1"/>
    <s v="Married"/>
    <n v="2319"/>
    <n v="1"/>
    <x v="0"/>
    <n v="11"/>
    <n v="3"/>
    <n v="4"/>
    <n v="1"/>
    <n v="1"/>
    <n v="1"/>
    <n v="3"/>
    <n v="1"/>
    <n v="0"/>
    <n v="0"/>
    <n v="0"/>
    <s v="College"/>
    <s v="Medium"/>
    <s v="Medium"/>
    <x v="1"/>
    <s v="Low"/>
    <s v="Excellent"/>
    <s v="Very High"/>
    <x v="1"/>
    <s v="Low"/>
    <x v="0"/>
  </r>
  <r>
    <x v="3"/>
    <x v="1"/>
    <x v="0"/>
    <n v="213"/>
    <x v="1"/>
    <n v="7"/>
    <n v="3"/>
    <x v="2"/>
    <n v="817"/>
    <n v="3"/>
    <x v="1"/>
    <n v="3"/>
    <n v="3"/>
    <x v="7"/>
    <n v="3"/>
    <s v="Married"/>
    <n v="11691"/>
    <n v="0"/>
    <x v="1"/>
    <n v="11"/>
    <n v="3"/>
    <n v="4"/>
    <n v="0"/>
    <n v="14"/>
    <n v="3"/>
    <n v="4"/>
    <n v="13"/>
    <n v="9"/>
    <n v="3"/>
    <n v="7"/>
    <s v="Bachelor"/>
    <s v="High"/>
    <s v="High"/>
    <x v="2"/>
    <s v="High"/>
    <s v="Excellent"/>
    <s v="Very High"/>
    <x v="3"/>
    <s v="No_stock"/>
    <x v="1"/>
  </r>
  <r>
    <x v="3"/>
    <x v="0"/>
    <x v="0"/>
    <n v="118"/>
    <x v="0"/>
    <n v="16"/>
    <n v="3"/>
    <x v="3"/>
    <n v="819"/>
    <n v="1"/>
    <x v="0"/>
    <n v="3"/>
    <n v="2"/>
    <x v="0"/>
    <n v="1"/>
    <s v="Single"/>
    <n v="5324"/>
    <n v="5"/>
    <x v="1"/>
    <n v="15"/>
    <n v="3"/>
    <n v="3"/>
    <n v="0"/>
    <n v="6"/>
    <n v="3"/>
    <n v="3"/>
    <n v="3"/>
    <n v="2"/>
    <n v="0"/>
    <n v="2"/>
    <s v="Bachelor"/>
    <s v="Low"/>
    <s v="High"/>
    <x v="0"/>
    <s v="Low"/>
    <s v="Excellent"/>
    <s v="High"/>
    <x v="1"/>
    <s v="No_stock"/>
    <x v="2"/>
  </r>
  <r>
    <x v="40"/>
    <x v="1"/>
    <x v="0"/>
    <n v="202"/>
    <x v="1"/>
    <n v="2"/>
    <n v="2"/>
    <x v="1"/>
    <n v="820"/>
    <n v="3"/>
    <x v="0"/>
    <n v="3"/>
    <n v="4"/>
    <x v="5"/>
    <n v="4"/>
    <s v="Married"/>
    <n v="16752"/>
    <n v="1"/>
    <x v="0"/>
    <n v="11"/>
    <n v="3"/>
    <n v="3"/>
    <n v="1"/>
    <n v="26"/>
    <n v="3"/>
    <n v="2"/>
    <n v="26"/>
    <n v="14"/>
    <n v="3"/>
    <n v="0"/>
    <s v="College"/>
    <s v="High"/>
    <s v="High"/>
    <x v="3"/>
    <s v="Very High"/>
    <s v="Excellent"/>
    <s v="High"/>
    <x v="2"/>
    <s v="Low"/>
    <x v="0"/>
  </r>
  <r>
    <x v="9"/>
    <x v="1"/>
    <x v="0"/>
    <n v="676"/>
    <x v="1"/>
    <n v="1"/>
    <n v="3"/>
    <x v="1"/>
    <n v="823"/>
    <n v="3"/>
    <x v="0"/>
    <n v="3"/>
    <n v="2"/>
    <x v="3"/>
    <n v="2"/>
    <s v="Married"/>
    <n v="5228"/>
    <n v="0"/>
    <x v="1"/>
    <n v="15"/>
    <n v="3"/>
    <n v="1"/>
    <n v="1"/>
    <n v="10"/>
    <n v="2"/>
    <n v="3"/>
    <n v="9"/>
    <n v="7"/>
    <n v="0"/>
    <n v="5"/>
    <s v="Bachelor"/>
    <s v="High"/>
    <s v="High"/>
    <x v="0"/>
    <s v="Medium"/>
    <s v="Excellent"/>
    <s v="Low"/>
    <x v="1"/>
    <s v="Low"/>
    <x v="0"/>
  </r>
  <r>
    <x v="11"/>
    <x v="1"/>
    <x v="0"/>
    <n v="1252"/>
    <x v="1"/>
    <n v="23"/>
    <n v="2"/>
    <x v="0"/>
    <n v="824"/>
    <n v="3"/>
    <x v="1"/>
    <n v="4"/>
    <n v="1"/>
    <x v="1"/>
    <n v="3"/>
    <s v="Married"/>
    <n v="2700"/>
    <n v="1"/>
    <x v="1"/>
    <n v="24"/>
    <n v="4"/>
    <n v="3"/>
    <n v="1"/>
    <n v="10"/>
    <n v="3"/>
    <n v="3"/>
    <n v="10"/>
    <n v="7"/>
    <n v="0"/>
    <n v="7"/>
    <s v="College"/>
    <s v="High"/>
    <s v="Very High"/>
    <x v="1"/>
    <s v="High"/>
    <s v="Outstanding"/>
    <s v="High"/>
    <x v="1"/>
    <s v="Low"/>
    <x v="2"/>
  </r>
  <r>
    <x v="34"/>
    <x v="0"/>
    <x v="0"/>
    <n v="286"/>
    <x v="1"/>
    <n v="2"/>
    <n v="4"/>
    <x v="0"/>
    <n v="825"/>
    <n v="4"/>
    <x v="1"/>
    <n v="3"/>
    <n v="5"/>
    <x v="7"/>
    <n v="2"/>
    <s v="Single"/>
    <n v="19246"/>
    <n v="7"/>
    <x v="0"/>
    <n v="12"/>
    <n v="3"/>
    <n v="4"/>
    <n v="0"/>
    <n v="40"/>
    <n v="2"/>
    <n v="3"/>
    <n v="31"/>
    <n v="15"/>
    <n v="13"/>
    <n v="8"/>
    <s v="Master"/>
    <s v="Very High"/>
    <s v="High"/>
    <x v="4"/>
    <s v="Medium"/>
    <s v="Excellent"/>
    <s v="Very High"/>
    <x v="1"/>
    <s v="No_stock"/>
    <x v="0"/>
  </r>
  <r>
    <x v="10"/>
    <x v="1"/>
    <x v="0"/>
    <n v="1258"/>
    <x v="1"/>
    <n v="1"/>
    <n v="4"/>
    <x v="0"/>
    <n v="826"/>
    <n v="4"/>
    <x v="0"/>
    <n v="4"/>
    <n v="1"/>
    <x v="1"/>
    <n v="3"/>
    <s v="Single"/>
    <n v="2506"/>
    <n v="3"/>
    <x v="1"/>
    <n v="13"/>
    <n v="3"/>
    <n v="3"/>
    <n v="0"/>
    <n v="7"/>
    <n v="0"/>
    <n v="3"/>
    <n v="2"/>
    <n v="2"/>
    <n v="2"/>
    <n v="2"/>
    <s v="Master"/>
    <s v="Very High"/>
    <s v="Very High"/>
    <x v="1"/>
    <s v="High"/>
    <s v="Excellent"/>
    <s v="High"/>
    <x v="1"/>
    <s v="No_stock"/>
    <x v="0"/>
  </r>
  <r>
    <x v="19"/>
    <x v="1"/>
    <x v="0"/>
    <n v="932"/>
    <x v="1"/>
    <n v="1"/>
    <n v="2"/>
    <x v="0"/>
    <n v="827"/>
    <n v="4"/>
    <x v="0"/>
    <n v="2"/>
    <n v="2"/>
    <x v="3"/>
    <n v="4"/>
    <s v="Married"/>
    <n v="6062"/>
    <n v="9"/>
    <x v="0"/>
    <n v="13"/>
    <n v="3"/>
    <n v="4"/>
    <n v="1"/>
    <n v="8"/>
    <n v="4"/>
    <n v="3"/>
    <n v="4"/>
    <n v="3"/>
    <n v="0"/>
    <n v="2"/>
    <s v="College"/>
    <s v="Very High"/>
    <s v="Medium"/>
    <x v="0"/>
    <s v="Very High"/>
    <s v="Excellent"/>
    <s v="Very High"/>
    <x v="1"/>
    <s v="Low"/>
    <x v="0"/>
  </r>
  <r>
    <x v="14"/>
    <x v="0"/>
    <x v="0"/>
    <n v="890"/>
    <x v="1"/>
    <n v="2"/>
    <n v="4"/>
    <x v="2"/>
    <n v="828"/>
    <n v="3"/>
    <x v="1"/>
    <n v="3"/>
    <n v="1"/>
    <x v="1"/>
    <n v="3"/>
    <s v="Single"/>
    <n v="4382"/>
    <n v="6"/>
    <x v="1"/>
    <n v="17"/>
    <n v="3"/>
    <n v="4"/>
    <n v="0"/>
    <n v="5"/>
    <n v="3"/>
    <n v="2"/>
    <n v="2"/>
    <n v="2"/>
    <n v="2"/>
    <n v="1"/>
    <s v="Master"/>
    <s v="High"/>
    <s v="High"/>
    <x v="1"/>
    <s v="High"/>
    <s v="Excellent"/>
    <s v="Very High"/>
    <x v="2"/>
    <s v="No_stock"/>
    <x v="0"/>
  </r>
  <r>
    <x v="9"/>
    <x v="1"/>
    <x v="0"/>
    <n v="1041"/>
    <x v="2"/>
    <n v="13"/>
    <n v="3"/>
    <x v="5"/>
    <n v="829"/>
    <n v="3"/>
    <x v="1"/>
    <n v="3"/>
    <n v="1"/>
    <x v="8"/>
    <n v="2"/>
    <s v="Married"/>
    <n v="2143"/>
    <n v="4"/>
    <x v="1"/>
    <n v="13"/>
    <n v="3"/>
    <n v="2"/>
    <n v="1"/>
    <n v="8"/>
    <n v="2"/>
    <n v="3"/>
    <n v="5"/>
    <n v="2"/>
    <n v="0"/>
    <n v="4"/>
    <s v="Bachelor"/>
    <s v="High"/>
    <s v="High"/>
    <x v="1"/>
    <s v="Medium"/>
    <s v="Excellent"/>
    <s v="Medium"/>
    <x v="1"/>
    <s v="Low"/>
    <x v="1"/>
  </r>
  <r>
    <x v="5"/>
    <x v="1"/>
    <x v="0"/>
    <n v="859"/>
    <x v="1"/>
    <n v="4"/>
    <n v="3"/>
    <x v="0"/>
    <n v="830"/>
    <n v="3"/>
    <x v="0"/>
    <n v="2"/>
    <n v="2"/>
    <x v="3"/>
    <n v="3"/>
    <s v="Married"/>
    <n v="6162"/>
    <n v="1"/>
    <x v="1"/>
    <n v="12"/>
    <n v="3"/>
    <n v="3"/>
    <n v="1"/>
    <n v="14"/>
    <n v="3"/>
    <n v="3"/>
    <n v="14"/>
    <n v="13"/>
    <n v="6"/>
    <n v="8"/>
    <s v="Bachelor"/>
    <s v="High"/>
    <s v="Medium"/>
    <x v="0"/>
    <s v="High"/>
    <s v="Excellent"/>
    <s v="High"/>
    <x v="1"/>
    <s v="Low"/>
    <x v="0"/>
  </r>
  <r>
    <x v="32"/>
    <x v="1"/>
    <x v="1"/>
    <n v="720"/>
    <x v="1"/>
    <n v="16"/>
    <n v="4"/>
    <x v="2"/>
    <n v="832"/>
    <n v="1"/>
    <x v="1"/>
    <n v="2"/>
    <n v="2"/>
    <x v="2"/>
    <n v="3"/>
    <s v="Single"/>
    <n v="5094"/>
    <n v="6"/>
    <x v="1"/>
    <n v="14"/>
    <n v="3"/>
    <n v="4"/>
    <n v="0"/>
    <n v="10"/>
    <n v="6"/>
    <n v="3"/>
    <n v="1"/>
    <n v="0"/>
    <n v="0"/>
    <n v="0"/>
    <s v="Master"/>
    <s v="Low"/>
    <s v="Medium"/>
    <x v="0"/>
    <s v="High"/>
    <s v="Excellent"/>
    <s v="Very High"/>
    <x v="1"/>
    <s v="No_stock"/>
    <x v="2"/>
  </r>
  <r>
    <x v="7"/>
    <x v="1"/>
    <x v="0"/>
    <n v="946"/>
    <x v="1"/>
    <n v="2"/>
    <n v="3"/>
    <x v="2"/>
    <n v="833"/>
    <n v="3"/>
    <x v="0"/>
    <n v="2"/>
    <n v="2"/>
    <x v="3"/>
    <n v="4"/>
    <s v="Single"/>
    <n v="6877"/>
    <n v="5"/>
    <x v="0"/>
    <n v="24"/>
    <n v="4"/>
    <n v="2"/>
    <n v="0"/>
    <n v="12"/>
    <n v="4"/>
    <n v="2"/>
    <n v="0"/>
    <n v="0"/>
    <n v="0"/>
    <n v="0"/>
    <s v="Bachelor"/>
    <s v="High"/>
    <s v="Medium"/>
    <x v="0"/>
    <s v="Very High"/>
    <s v="Outstanding"/>
    <s v="Medium"/>
    <x v="2"/>
    <s v="No_stock"/>
    <x v="0"/>
  </r>
  <r>
    <x v="28"/>
    <x v="1"/>
    <x v="0"/>
    <n v="252"/>
    <x v="1"/>
    <n v="2"/>
    <n v="3"/>
    <x v="0"/>
    <n v="834"/>
    <n v="2"/>
    <x v="0"/>
    <n v="2"/>
    <n v="1"/>
    <x v="1"/>
    <n v="3"/>
    <s v="Single"/>
    <n v="2274"/>
    <n v="1"/>
    <x v="1"/>
    <n v="14"/>
    <n v="3"/>
    <n v="4"/>
    <n v="0"/>
    <n v="1"/>
    <n v="3"/>
    <n v="3"/>
    <n v="1"/>
    <n v="0"/>
    <n v="0"/>
    <n v="0"/>
    <s v="Bachelor"/>
    <s v="Medium"/>
    <s v="Medium"/>
    <x v="1"/>
    <s v="High"/>
    <s v="Excellent"/>
    <s v="Very High"/>
    <x v="1"/>
    <s v="No_stock"/>
    <x v="0"/>
  </r>
  <r>
    <x v="19"/>
    <x v="1"/>
    <x v="0"/>
    <n v="933"/>
    <x v="1"/>
    <n v="29"/>
    <n v="3"/>
    <x v="0"/>
    <n v="836"/>
    <n v="2"/>
    <x v="1"/>
    <n v="3"/>
    <n v="2"/>
    <x v="3"/>
    <n v="2"/>
    <s v="Married"/>
    <n v="4434"/>
    <n v="1"/>
    <x v="1"/>
    <n v="13"/>
    <n v="3"/>
    <n v="4"/>
    <n v="1"/>
    <n v="10"/>
    <n v="3"/>
    <n v="2"/>
    <n v="9"/>
    <n v="8"/>
    <n v="7"/>
    <n v="8"/>
    <s v="Bachelor"/>
    <s v="Medium"/>
    <s v="High"/>
    <x v="0"/>
    <s v="Medium"/>
    <s v="Excellent"/>
    <s v="Very High"/>
    <x v="2"/>
    <s v="Low"/>
    <x v="2"/>
  </r>
  <r>
    <x v="8"/>
    <x v="1"/>
    <x v="1"/>
    <n v="471"/>
    <x v="1"/>
    <n v="12"/>
    <n v="3"/>
    <x v="0"/>
    <n v="837"/>
    <n v="1"/>
    <x v="1"/>
    <n v="2"/>
    <n v="2"/>
    <x v="4"/>
    <n v="1"/>
    <s v="Divorced"/>
    <n v="6288"/>
    <n v="2"/>
    <x v="1"/>
    <n v="15"/>
    <n v="3"/>
    <n v="3"/>
    <n v="1"/>
    <n v="13"/>
    <n v="3"/>
    <n v="2"/>
    <n v="4"/>
    <n v="3"/>
    <n v="1"/>
    <n v="2"/>
    <s v="Bachelor"/>
    <s v="Low"/>
    <s v="Medium"/>
    <x v="0"/>
    <s v="Low"/>
    <s v="Excellent"/>
    <s v="High"/>
    <x v="2"/>
    <s v="Low"/>
    <x v="1"/>
  </r>
  <r>
    <x v="13"/>
    <x v="1"/>
    <x v="1"/>
    <n v="702"/>
    <x v="1"/>
    <n v="16"/>
    <n v="4"/>
    <x v="0"/>
    <n v="838"/>
    <n v="3"/>
    <x v="0"/>
    <n v="2"/>
    <n v="1"/>
    <x v="1"/>
    <n v="4"/>
    <s v="Single"/>
    <n v="2553"/>
    <n v="1"/>
    <x v="1"/>
    <n v="16"/>
    <n v="3"/>
    <n v="3"/>
    <n v="0"/>
    <n v="6"/>
    <n v="3"/>
    <n v="3"/>
    <n v="5"/>
    <n v="2"/>
    <n v="1"/>
    <n v="3"/>
    <s v="Master"/>
    <s v="High"/>
    <s v="Medium"/>
    <x v="1"/>
    <s v="Very High"/>
    <s v="Excellent"/>
    <s v="High"/>
    <x v="1"/>
    <s v="No_stock"/>
    <x v="2"/>
  </r>
  <r>
    <x v="1"/>
    <x v="0"/>
    <x v="0"/>
    <n v="1184"/>
    <x v="0"/>
    <n v="11"/>
    <n v="3"/>
    <x v="3"/>
    <n v="840"/>
    <n v="3"/>
    <x v="0"/>
    <n v="3"/>
    <n v="3"/>
    <x v="0"/>
    <n v="4"/>
    <s v="Married"/>
    <n v="7654"/>
    <n v="1"/>
    <x v="1"/>
    <n v="18"/>
    <n v="3"/>
    <n v="1"/>
    <n v="2"/>
    <n v="9"/>
    <n v="3"/>
    <n v="4"/>
    <n v="9"/>
    <n v="8"/>
    <n v="7"/>
    <n v="7"/>
    <s v="Bachelor"/>
    <s v="High"/>
    <s v="High"/>
    <x v="2"/>
    <s v="Very High"/>
    <s v="Excellent"/>
    <s v="Low"/>
    <x v="3"/>
    <s v="Medium"/>
    <x v="1"/>
  </r>
  <r>
    <x v="27"/>
    <x v="0"/>
    <x v="0"/>
    <n v="436"/>
    <x v="0"/>
    <n v="2"/>
    <n v="1"/>
    <x v="2"/>
    <n v="842"/>
    <n v="3"/>
    <x v="1"/>
    <n v="3"/>
    <n v="2"/>
    <x v="0"/>
    <n v="4"/>
    <s v="Single"/>
    <n v="5160"/>
    <n v="4"/>
    <x v="1"/>
    <n v="16"/>
    <n v="3"/>
    <n v="3"/>
    <n v="0"/>
    <n v="12"/>
    <n v="3"/>
    <n v="2"/>
    <n v="9"/>
    <n v="7"/>
    <n v="7"/>
    <n v="3"/>
    <s v="Before College"/>
    <s v="High"/>
    <s v="High"/>
    <x v="0"/>
    <s v="Very High"/>
    <s v="Excellent"/>
    <s v="High"/>
    <x v="2"/>
    <s v="No_stock"/>
    <x v="0"/>
  </r>
  <r>
    <x v="23"/>
    <x v="1"/>
    <x v="0"/>
    <n v="589"/>
    <x v="1"/>
    <n v="14"/>
    <n v="2"/>
    <x v="0"/>
    <n v="843"/>
    <n v="2"/>
    <x v="1"/>
    <n v="3"/>
    <n v="4"/>
    <x v="7"/>
    <n v="1"/>
    <s v="Married"/>
    <n v="17159"/>
    <n v="6"/>
    <x v="1"/>
    <n v="24"/>
    <n v="4"/>
    <n v="3"/>
    <n v="1"/>
    <n v="22"/>
    <n v="3"/>
    <n v="3"/>
    <n v="4"/>
    <n v="1"/>
    <n v="1"/>
    <n v="0"/>
    <s v="College"/>
    <s v="Medium"/>
    <s v="High"/>
    <x v="3"/>
    <s v="Low"/>
    <s v="Outstanding"/>
    <s v="High"/>
    <x v="1"/>
    <s v="Low"/>
    <x v="1"/>
  </r>
  <r>
    <x v="4"/>
    <x v="1"/>
    <x v="0"/>
    <n v="269"/>
    <x v="1"/>
    <n v="5"/>
    <n v="1"/>
    <x v="4"/>
    <n v="844"/>
    <n v="3"/>
    <x v="1"/>
    <n v="2"/>
    <n v="3"/>
    <x v="7"/>
    <n v="4"/>
    <s v="Divorced"/>
    <n v="12808"/>
    <n v="1"/>
    <x v="0"/>
    <n v="16"/>
    <n v="3"/>
    <n v="2"/>
    <n v="1"/>
    <n v="9"/>
    <n v="3"/>
    <n v="3"/>
    <n v="9"/>
    <n v="8"/>
    <n v="0"/>
    <n v="8"/>
    <s v="Before College"/>
    <s v="High"/>
    <s v="Medium"/>
    <x v="2"/>
    <s v="Very High"/>
    <s v="Excellent"/>
    <s v="Medium"/>
    <x v="1"/>
    <s v="Low"/>
    <x v="0"/>
  </r>
  <r>
    <x v="10"/>
    <x v="1"/>
    <x v="0"/>
    <n v="950"/>
    <x v="1"/>
    <n v="7"/>
    <n v="3"/>
    <x v="1"/>
    <n v="845"/>
    <n v="3"/>
    <x v="1"/>
    <n v="3"/>
    <n v="3"/>
    <x v="3"/>
    <n v="3"/>
    <s v="Single"/>
    <n v="10221"/>
    <n v="3"/>
    <x v="1"/>
    <n v="21"/>
    <n v="4"/>
    <n v="2"/>
    <n v="0"/>
    <n v="17"/>
    <n v="3"/>
    <n v="4"/>
    <n v="8"/>
    <n v="5"/>
    <n v="1"/>
    <n v="6"/>
    <s v="Bachelor"/>
    <s v="High"/>
    <s v="High"/>
    <x v="2"/>
    <s v="High"/>
    <s v="Outstanding"/>
    <s v="Medium"/>
    <x v="3"/>
    <s v="No_stock"/>
    <x v="1"/>
  </r>
  <r>
    <x v="14"/>
    <x v="1"/>
    <x v="0"/>
    <n v="760"/>
    <x v="0"/>
    <n v="2"/>
    <n v="4"/>
    <x v="3"/>
    <n v="846"/>
    <n v="2"/>
    <x v="0"/>
    <n v="3"/>
    <n v="2"/>
    <x v="0"/>
    <n v="2"/>
    <s v="Married"/>
    <n v="4779"/>
    <n v="1"/>
    <x v="0"/>
    <n v="20"/>
    <n v="4"/>
    <n v="1"/>
    <n v="0"/>
    <n v="8"/>
    <n v="2"/>
    <n v="3"/>
    <n v="8"/>
    <n v="7"/>
    <n v="7"/>
    <n v="5"/>
    <s v="Master"/>
    <s v="Medium"/>
    <s v="High"/>
    <x v="0"/>
    <s v="Medium"/>
    <s v="Outstanding"/>
    <s v="Low"/>
    <x v="1"/>
    <s v="No_stock"/>
    <x v="0"/>
  </r>
  <r>
    <x v="13"/>
    <x v="1"/>
    <x v="0"/>
    <n v="829"/>
    <x v="2"/>
    <n v="3"/>
    <n v="2"/>
    <x v="5"/>
    <n v="847"/>
    <n v="3"/>
    <x v="1"/>
    <n v="3"/>
    <n v="1"/>
    <x v="8"/>
    <n v="4"/>
    <s v="Married"/>
    <n v="3737"/>
    <n v="0"/>
    <x v="1"/>
    <n v="19"/>
    <n v="3"/>
    <n v="3"/>
    <n v="1"/>
    <n v="4"/>
    <n v="1"/>
    <n v="1"/>
    <n v="3"/>
    <n v="2"/>
    <n v="0"/>
    <n v="2"/>
    <s v="College"/>
    <s v="High"/>
    <s v="High"/>
    <x v="1"/>
    <s v="Very High"/>
    <s v="Excellent"/>
    <s v="High"/>
    <x v="0"/>
    <s v="Low"/>
    <x v="0"/>
  </r>
  <r>
    <x v="25"/>
    <x v="0"/>
    <x v="1"/>
    <n v="887"/>
    <x v="1"/>
    <n v="5"/>
    <n v="2"/>
    <x v="2"/>
    <n v="848"/>
    <n v="3"/>
    <x v="0"/>
    <n v="2"/>
    <n v="1"/>
    <x v="1"/>
    <n v="3"/>
    <s v="Married"/>
    <n v="2366"/>
    <n v="1"/>
    <x v="0"/>
    <n v="14"/>
    <n v="3"/>
    <n v="1"/>
    <n v="1"/>
    <n v="8"/>
    <n v="2"/>
    <n v="3"/>
    <n v="8"/>
    <n v="7"/>
    <n v="1"/>
    <n v="7"/>
    <s v="College"/>
    <s v="High"/>
    <s v="Medium"/>
    <x v="1"/>
    <s v="High"/>
    <s v="Excellent"/>
    <s v="Low"/>
    <x v="1"/>
    <s v="Low"/>
    <x v="0"/>
  </r>
  <r>
    <x v="4"/>
    <x v="1"/>
    <x v="2"/>
    <n v="443"/>
    <x v="1"/>
    <n v="3"/>
    <n v="3"/>
    <x v="2"/>
    <n v="850"/>
    <n v="4"/>
    <x v="1"/>
    <n v="3"/>
    <n v="1"/>
    <x v="1"/>
    <n v="4"/>
    <s v="Married"/>
    <n v="1706"/>
    <n v="1"/>
    <x v="1"/>
    <n v="11"/>
    <n v="3"/>
    <n v="3"/>
    <n v="3"/>
    <n v="0"/>
    <n v="6"/>
    <n v="2"/>
    <n v="0"/>
    <n v="0"/>
    <n v="0"/>
    <n v="0"/>
    <s v="Bachelor"/>
    <s v="Very High"/>
    <s v="High"/>
    <x v="1"/>
    <s v="Very High"/>
    <s v="Excellent"/>
    <s v="High"/>
    <x v="2"/>
    <s v="High"/>
    <x v="0"/>
  </r>
  <r>
    <x v="31"/>
    <x v="1"/>
    <x v="0"/>
    <n v="1318"/>
    <x v="0"/>
    <n v="26"/>
    <n v="4"/>
    <x v="3"/>
    <n v="851"/>
    <n v="1"/>
    <x v="0"/>
    <n v="3"/>
    <n v="4"/>
    <x v="5"/>
    <n v="3"/>
    <s v="Married"/>
    <n v="16307"/>
    <n v="2"/>
    <x v="1"/>
    <n v="14"/>
    <n v="3"/>
    <n v="3"/>
    <n v="1"/>
    <n v="29"/>
    <n v="2"/>
    <n v="2"/>
    <n v="20"/>
    <n v="6"/>
    <n v="4"/>
    <n v="17"/>
    <s v="Master"/>
    <s v="Low"/>
    <s v="High"/>
    <x v="3"/>
    <s v="High"/>
    <s v="Excellent"/>
    <s v="High"/>
    <x v="2"/>
    <s v="Low"/>
    <x v="2"/>
  </r>
  <r>
    <x v="20"/>
    <x v="1"/>
    <x v="0"/>
    <n v="625"/>
    <x v="1"/>
    <n v="4"/>
    <n v="3"/>
    <x v="2"/>
    <n v="852"/>
    <n v="4"/>
    <x v="1"/>
    <n v="3"/>
    <n v="2"/>
    <x v="4"/>
    <n v="2"/>
    <s v="Single"/>
    <n v="5933"/>
    <n v="9"/>
    <x v="1"/>
    <n v="12"/>
    <n v="3"/>
    <n v="4"/>
    <n v="0"/>
    <n v="10"/>
    <n v="2"/>
    <n v="2"/>
    <n v="5"/>
    <n v="2"/>
    <n v="2"/>
    <n v="3"/>
    <s v="Bachelor"/>
    <s v="Very High"/>
    <s v="High"/>
    <x v="0"/>
    <s v="Medium"/>
    <s v="Excellent"/>
    <s v="Very High"/>
    <x v="2"/>
    <s v="No_stock"/>
    <x v="0"/>
  </r>
  <r>
    <x v="36"/>
    <x v="1"/>
    <x v="0"/>
    <n v="180"/>
    <x v="1"/>
    <n v="2"/>
    <n v="1"/>
    <x v="2"/>
    <n v="854"/>
    <n v="1"/>
    <x v="1"/>
    <n v="4"/>
    <n v="1"/>
    <x v="1"/>
    <n v="1"/>
    <s v="Single"/>
    <n v="3424"/>
    <n v="7"/>
    <x v="1"/>
    <n v="13"/>
    <n v="3"/>
    <n v="3"/>
    <n v="0"/>
    <n v="6"/>
    <n v="3"/>
    <n v="2"/>
    <n v="4"/>
    <n v="3"/>
    <n v="0"/>
    <n v="1"/>
    <s v="Before College"/>
    <s v="Low"/>
    <s v="Very High"/>
    <x v="1"/>
    <s v="Low"/>
    <s v="Excellent"/>
    <s v="High"/>
    <x v="2"/>
    <s v="No_stock"/>
    <x v="0"/>
  </r>
  <r>
    <x v="3"/>
    <x v="1"/>
    <x v="0"/>
    <n v="586"/>
    <x v="0"/>
    <n v="1"/>
    <n v="3"/>
    <x v="2"/>
    <n v="855"/>
    <n v="1"/>
    <x v="1"/>
    <n v="4"/>
    <n v="2"/>
    <x v="0"/>
    <n v="1"/>
    <s v="Divorced"/>
    <n v="4037"/>
    <n v="1"/>
    <x v="1"/>
    <n v="22"/>
    <n v="4"/>
    <n v="1"/>
    <n v="1"/>
    <n v="9"/>
    <n v="5"/>
    <n v="3"/>
    <n v="9"/>
    <n v="8"/>
    <n v="0"/>
    <n v="8"/>
    <s v="Bachelor"/>
    <s v="Low"/>
    <s v="Very High"/>
    <x v="0"/>
    <s v="Low"/>
    <s v="Outstanding"/>
    <s v="Low"/>
    <x v="1"/>
    <s v="Low"/>
    <x v="0"/>
  </r>
  <r>
    <x v="10"/>
    <x v="1"/>
    <x v="0"/>
    <n v="1343"/>
    <x v="1"/>
    <n v="27"/>
    <n v="1"/>
    <x v="2"/>
    <n v="856"/>
    <n v="3"/>
    <x v="0"/>
    <n v="2"/>
    <n v="1"/>
    <x v="1"/>
    <n v="1"/>
    <s v="Single"/>
    <n v="2559"/>
    <n v="1"/>
    <x v="1"/>
    <n v="11"/>
    <n v="3"/>
    <n v="4"/>
    <n v="0"/>
    <n v="6"/>
    <n v="3"/>
    <n v="2"/>
    <n v="6"/>
    <n v="5"/>
    <n v="1"/>
    <n v="1"/>
    <s v="Before College"/>
    <s v="High"/>
    <s v="Medium"/>
    <x v="1"/>
    <s v="Low"/>
    <s v="Excellent"/>
    <s v="Very High"/>
    <x v="2"/>
    <s v="No_stock"/>
    <x v="2"/>
  </r>
  <r>
    <x v="9"/>
    <x v="1"/>
    <x v="0"/>
    <n v="928"/>
    <x v="0"/>
    <n v="1"/>
    <n v="2"/>
    <x v="0"/>
    <n v="857"/>
    <n v="2"/>
    <x v="1"/>
    <n v="3"/>
    <n v="2"/>
    <x v="0"/>
    <n v="4"/>
    <s v="Married"/>
    <n v="6201"/>
    <n v="1"/>
    <x v="0"/>
    <n v="14"/>
    <n v="3"/>
    <n v="4"/>
    <n v="1"/>
    <n v="18"/>
    <n v="1"/>
    <n v="2"/>
    <n v="18"/>
    <n v="14"/>
    <n v="4"/>
    <n v="11"/>
    <s v="College"/>
    <s v="Medium"/>
    <s v="High"/>
    <x v="0"/>
    <s v="Very High"/>
    <s v="Excellent"/>
    <s v="Very High"/>
    <x v="2"/>
    <s v="Low"/>
    <x v="0"/>
  </r>
  <r>
    <x v="5"/>
    <x v="1"/>
    <x v="0"/>
    <n v="117"/>
    <x v="0"/>
    <n v="13"/>
    <n v="4"/>
    <x v="0"/>
    <n v="859"/>
    <n v="2"/>
    <x v="1"/>
    <n v="3"/>
    <n v="2"/>
    <x v="0"/>
    <n v="4"/>
    <s v="Divorced"/>
    <n v="4403"/>
    <n v="2"/>
    <x v="1"/>
    <n v="11"/>
    <n v="3"/>
    <n v="3"/>
    <n v="1"/>
    <n v="8"/>
    <n v="3"/>
    <n v="2"/>
    <n v="5"/>
    <n v="2"/>
    <n v="0"/>
    <n v="3"/>
    <s v="Master"/>
    <s v="Medium"/>
    <s v="High"/>
    <x v="0"/>
    <s v="Very High"/>
    <s v="Excellent"/>
    <s v="High"/>
    <x v="2"/>
    <s v="Low"/>
    <x v="1"/>
  </r>
  <r>
    <x v="7"/>
    <x v="1"/>
    <x v="1"/>
    <n v="1012"/>
    <x v="1"/>
    <n v="5"/>
    <n v="4"/>
    <x v="0"/>
    <n v="861"/>
    <n v="2"/>
    <x v="1"/>
    <n v="2"/>
    <n v="1"/>
    <x v="1"/>
    <n v="4"/>
    <s v="Divorced"/>
    <n v="3761"/>
    <n v="9"/>
    <x v="1"/>
    <n v="12"/>
    <n v="3"/>
    <n v="2"/>
    <n v="1"/>
    <n v="10"/>
    <n v="3"/>
    <n v="2"/>
    <n v="5"/>
    <n v="4"/>
    <n v="0"/>
    <n v="3"/>
    <s v="Master"/>
    <s v="Medium"/>
    <s v="Medium"/>
    <x v="1"/>
    <s v="Very High"/>
    <s v="Excellent"/>
    <s v="Medium"/>
    <x v="2"/>
    <s v="Low"/>
    <x v="0"/>
  </r>
  <r>
    <x v="16"/>
    <x v="1"/>
    <x v="0"/>
    <n v="661"/>
    <x v="0"/>
    <n v="7"/>
    <n v="2"/>
    <x v="3"/>
    <n v="862"/>
    <n v="1"/>
    <x v="0"/>
    <n v="2"/>
    <n v="3"/>
    <x v="0"/>
    <n v="4"/>
    <s v="Married"/>
    <n v="10934"/>
    <n v="7"/>
    <x v="0"/>
    <n v="18"/>
    <n v="3"/>
    <n v="4"/>
    <n v="1"/>
    <n v="35"/>
    <n v="3"/>
    <n v="3"/>
    <n v="5"/>
    <n v="2"/>
    <n v="0"/>
    <n v="4"/>
    <s v="College"/>
    <s v="Low"/>
    <s v="Medium"/>
    <x v="2"/>
    <s v="Very High"/>
    <s v="Excellent"/>
    <s v="Very High"/>
    <x v="1"/>
    <s v="Low"/>
    <x v="1"/>
  </r>
  <r>
    <x v="28"/>
    <x v="1"/>
    <x v="0"/>
    <n v="930"/>
    <x v="0"/>
    <n v="9"/>
    <n v="3"/>
    <x v="3"/>
    <n v="864"/>
    <n v="4"/>
    <x v="1"/>
    <n v="3"/>
    <n v="3"/>
    <x v="0"/>
    <n v="1"/>
    <s v="Divorced"/>
    <n v="10761"/>
    <n v="4"/>
    <x v="0"/>
    <n v="12"/>
    <n v="3"/>
    <n v="3"/>
    <n v="1"/>
    <n v="18"/>
    <n v="2"/>
    <n v="3"/>
    <n v="5"/>
    <n v="4"/>
    <n v="0"/>
    <n v="2"/>
    <s v="Bachelor"/>
    <s v="Very High"/>
    <s v="High"/>
    <x v="2"/>
    <s v="Low"/>
    <s v="Excellent"/>
    <s v="High"/>
    <x v="1"/>
    <s v="Low"/>
    <x v="1"/>
  </r>
  <r>
    <x v="5"/>
    <x v="1"/>
    <x v="0"/>
    <n v="638"/>
    <x v="1"/>
    <n v="8"/>
    <n v="2"/>
    <x v="2"/>
    <n v="865"/>
    <n v="3"/>
    <x v="0"/>
    <n v="4"/>
    <n v="2"/>
    <x v="1"/>
    <n v="3"/>
    <s v="Married"/>
    <n v="5175"/>
    <n v="5"/>
    <x v="1"/>
    <n v="12"/>
    <n v="3"/>
    <n v="3"/>
    <n v="1"/>
    <n v="9"/>
    <n v="3"/>
    <n v="2"/>
    <n v="5"/>
    <n v="3"/>
    <n v="1"/>
    <n v="3"/>
    <s v="College"/>
    <s v="High"/>
    <s v="Very High"/>
    <x v="0"/>
    <s v="High"/>
    <s v="Excellent"/>
    <s v="High"/>
    <x v="2"/>
    <s v="Low"/>
    <x v="1"/>
  </r>
  <r>
    <x v="39"/>
    <x v="1"/>
    <x v="1"/>
    <n v="890"/>
    <x v="1"/>
    <n v="25"/>
    <n v="4"/>
    <x v="2"/>
    <n v="867"/>
    <n v="3"/>
    <x v="0"/>
    <n v="2"/>
    <n v="4"/>
    <x v="3"/>
    <n v="4"/>
    <s v="Married"/>
    <n v="13826"/>
    <n v="3"/>
    <x v="1"/>
    <n v="22"/>
    <n v="4"/>
    <n v="3"/>
    <n v="0"/>
    <n v="31"/>
    <n v="3"/>
    <n v="3"/>
    <n v="9"/>
    <n v="8"/>
    <n v="0"/>
    <n v="0"/>
    <s v="Master"/>
    <s v="High"/>
    <s v="Medium"/>
    <x v="3"/>
    <s v="Very High"/>
    <s v="Outstanding"/>
    <s v="High"/>
    <x v="1"/>
    <s v="No_stock"/>
    <x v="2"/>
  </r>
  <r>
    <x v="2"/>
    <x v="1"/>
    <x v="0"/>
    <n v="342"/>
    <x v="0"/>
    <n v="16"/>
    <n v="4"/>
    <x v="3"/>
    <n v="868"/>
    <n v="4"/>
    <x v="1"/>
    <n v="2"/>
    <n v="2"/>
    <x v="0"/>
    <n v="3"/>
    <s v="Divorced"/>
    <n v="6334"/>
    <n v="4"/>
    <x v="1"/>
    <n v="19"/>
    <n v="3"/>
    <n v="4"/>
    <n v="2"/>
    <n v="9"/>
    <n v="2"/>
    <n v="3"/>
    <n v="1"/>
    <n v="0"/>
    <n v="0"/>
    <n v="0"/>
    <s v="Master"/>
    <s v="Very High"/>
    <s v="Medium"/>
    <x v="0"/>
    <s v="High"/>
    <s v="Excellent"/>
    <s v="Very High"/>
    <x v="1"/>
    <s v="Medium"/>
    <x v="2"/>
  </r>
  <r>
    <x v="14"/>
    <x v="1"/>
    <x v="0"/>
    <n v="1169"/>
    <x v="2"/>
    <n v="8"/>
    <n v="2"/>
    <x v="2"/>
    <n v="869"/>
    <n v="2"/>
    <x v="1"/>
    <n v="2"/>
    <n v="1"/>
    <x v="8"/>
    <n v="4"/>
    <s v="Divorced"/>
    <n v="4936"/>
    <n v="1"/>
    <x v="1"/>
    <n v="13"/>
    <n v="3"/>
    <n v="4"/>
    <n v="1"/>
    <n v="6"/>
    <n v="6"/>
    <n v="3"/>
    <n v="5"/>
    <n v="1"/>
    <n v="0"/>
    <n v="4"/>
    <s v="College"/>
    <s v="Medium"/>
    <s v="Medium"/>
    <x v="1"/>
    <s v="Very High"/>
    <s v="Excellent"/>
    <s v="Very High"/>
    <x v="1"/>
    <s v="Low"/>
    <x v="1"/>
  </r>
  <r>
    <x v="15"/>
    <x v="1"/>
    <x v="0"/>
    <n v="1230"/>
    <x v="1"/>
    <n v="1"/>
    <n v="2"/>
    <x v="0"/>
    <n v="872"/>
    <n v="4"/>
    <x v="1"/>
    <n v="2"/>
    <n v="2"/>
    <x v="3"/>
    <n v="4"/>
    <s v="Married"/>
    <n v="4775"/>
    <n v="6"/>
    <x v="1"/>
    <n v="22"/>
    <n v="4"/>
    <n v="1"/>
    <n v="2"/>
    <n v="4"/>
    <n v="2"/>
    <n v="1"/>
    <n v="2"/>
    <n v="2"/>
    <n v="2"/>
    <n v="2"/>
    <s v="College"/>
    <s v="Very High"/>
    <s v="Medium"/>
    <x v="0"/>
    <s v="Very High"/>
    <s v="Outstanding"/>
    <s v="Low"/>
    <x v="0"/>
    <s v="Medium"/>
    <x v="0"/>
  </r>
  <r>
    <x v="20"/>
    <x v="1"/>
    <x v="0"/>
    <n v="986"/>
    <x v="1"/>
    <n v="8"/>
    <n v="4"/>
    <x v="0"/>
    <n v="874"/>
    <n v="1"/>
    <x v="1"/>
    <n v="4"/>
    <n v="1"/>
    <x v="2"/>
    <n v="4"/>
    <s v="Married"/>
    <n v="2818"/>
    <n v="2"/>
    <x v="0"/>
    <n v="24"/>
    <n v="4"/>
    <n v="3"/>
    <n v="1"/>
    <n v="10"/>
    <n v="2"/>
    <n v="2"/>
    <n v="3"/>
    <n v="2"/>
    <n v="0"/>
    <n v="2"/>
    <s v="Master"/>
    <s v="Low"/>
    <s v="Very High"/>
    <x v="1"/>
    <s v="Very High"/>
    <s v="Outstanding"/>
    <s v="High"/>
    <x v="2"/>
    <s v="Low"/>
    <x v="1"/>
  </r>
  <r>
    <x v="19"/>
    <x v="1"/>
    <x v="1"/>
    <n v="1271"/>
    <x v="1"/>
    <n v="2"/>
    <n v="1"/>
    <x v="2"/>
    <n v="875"/>
    <n v="2"/>
    <x v="1"/>
    <n v="3"/>
    <n v="1"/>
    <x v="1"/>
    <n v="4"/>
    <s v="Single"/>
    <n v="2515"/>
    <n v="5"/>
    <x v="0"/>
    <n v="14"/>
    <n v="3"/>
    <n v="4"/>
    <n v="0"/>
    <n v="8"/>
    <n v="2"/>
    <n v="3"/>
    <n v="2"/>
    <n v="1"/>
    <n v="2"/>
    <n v="2"/>
    <s v="Before College"/>
    <s v="Medium"/>
    <s v="High"/>
    <x v="1"/>
    <s v="Very High"/>
    <s v="Excellent"/>
    <s v="Very High"/>
    <x v="1"/>
    <s v="No_stock"/>
    <x v="0"/>
  </r>
  <r>
    <x v="9"/>
    <x v="1"/>
    <x v="0"/>
    <n v="1278"/>
    <x v="2"/>
    <n v="8"/>
    <n v="3"/>
    <x v="0"/>
    <n v="878"/>
    <n v="1"/>
    <x v="1"/>
    <n v="2"/>
    <n v="1"/>
    <x v="8"/>
    <n v="1"/>
    <s v="Married"/>
    <n v="2342"/>
    <n v="0"/>
    <x v="1"/>
    <n v="21"/>
    <n v="4"/>
    <n v="3"/>
    <n v="0"/>
    <n v="6"/>
    <n v="3"/>
    <n v="3"/>
    <n v="5"/>
    <n v="4"/>
    <n v="0"/>
    <n v="3"/>
    <s v="Bachelor"/>
    <s v="Low"/>
    <s v="Medium"/>
    <x v="1"/>
    <s v="Low"/>
    <s v="Outstanding"/>
    <s v="High"/>
    <x v="1"/>
    <s v="No_stock"/>
    <x v="1"/>
  </r>
  <r>
    <x v="36"/>
    <x v="1"/>
    <x v="0"/>
    <n v="141"/>
    <x v="0"/>
    <n v="3"/>
    <n v="1"/>
    <x v="1"/>
    <n v="879"/>
    <n v="3"/>
    <x v="1"/>
    <n v="3"/>
    <n v="2"/>
    <x v="0"/>
    <n v="1"/>
    <s v="Married"/>
    <n v="4194"/>
    <n v="1"/>
    <x v="0"/>
    <n v="18"/>
    <n v="3"/>
    <n v="4"/>
    <n v="0"/>
    <n v="5"/>
    <n v="3"/>
    <n v="3"/>
    <n v="5"/>
    <n v="3"/>
    <n v="0"/>
    <n v="3"/>
    <s v="Before College"/>
    <s v="High"/>
    <s v="High"/>
    <x v="0"/>
    <s v="Low"/>
    <s v="Excellent"/>
    <s v="Very High"/>
    <x v="1"/>
    <s v="No_stock"/>
    <x v="0"/>
  </r>
  <r>
    <x v="10"/>
    <x v="1"/>
    <x v="0"/>
    <n v="607"/>
    <x v="1"/>
    <n v="9"/>
    <n v="3"/>
    <x v="0"/>
    <n v="880"/>
    <n v="4"/>
    <x v="0"/>
    <n v="2"/>
    <n v="3"/>
    <x v="3"/>
    <n v="3"/>
    <s v="Married"/>
    <n v="10685"/>
    <n v="1"/>
    <x v="0"/>
    <n v="20"/>
    <n v="4"/>
    <n v="2"/>
    <n v="1"/>
    <n v="17"/>
    <n v="2"/>
    <n v="3"/>
    <n v="17"/>
    <n v="14"/>
    <n v="5"/>
    <n v="15"/>
    <s v="Bachelor"/>
    <s v="Very High"/>
    <s v="Medium"/>
    <x v="2"/>
    <s v="High"/>
    <s v="Outstanding"/>
    <s v="Medium"/>
    <x v="1"/>
    <s v="Low"/>
    <x v="1"/>
  </r>
  <r>
    <x v="10"/>
    <x v="0"/>
    <x v="1"/>
    <n v="130"/>
    <x v="1"/>
    <n v="25"/>
    <n v="4"/>
    <x v="0"/>
    <n v="881"/>
    <n v="4"/>
    <x v="0"/>
    <n v="3"/>
    <n v="1"/>
    <x v="1"/>
    <n v="2"/>
    <s v="Divorced"/>
    <n v="2022"/>
    <n v="1"/>
    <x v="0"/>
    <n v="19"/>
    <n v="3"/>
    <n v="1"/>
    <n v="1"/>
    <n v="10"/>
    <n v="3"/>
    <n v="2"/>
    <n v="10"/>
    <n v="2"/>
    <n v="7"/>
    <n v="8"/>
    <s v="Master"/>
    <s v="Very High"/>
    <s v="High"/>
    <x v="1"/>
    <s v="Medium"/>
    <s v="Excellent"/>
    <s v="Low"/>
    <x v="2"/>
    <s v="Low"/>
    <x v="2"/>
  </r>
  <r>
    <x v="5"/>
    <x v="1"/>
    <x v="2"/>
    <n v="300"/>
    <x v="1"/>
    <n v="1"/>
    <n v="3"/>
    <x v="0"/>
    <n v="882"/>
    <n v="4"/>
    <x v="1"/>
    <n v="3"/>
    <n v="1"/>
    <x v="2"/>
    <n v="4"/>
    <s v="Divorced"/>
    <n v="2314"/>
    <n v="0"/>
    <x v="1"/>
    <n v="12"/>
    <n v="3"/>
    <n v="2"/>
    <n v="1"/>
    <n v="4"/>
    <n v="2"/>
    <n v="3"/>
    <n v="3"/>
    <n v="0"/>
    <n v="0"/>
    <n v="2"/>
    <s v="Bachelor"/>
    <s v="Very High"/>
    <s v="High"/>
    <x v="1"/>
    <s v="Very High"/>
    <s v="Excellent"/>
    <s v="Medium"/>
    <x v="1"/>
    <s v="Low"/>
    <x v="0"/>
  </r>
  <r>
    <x v="36"/>
    <x v="1"/>
    <x v="0"/>
    <n v="583"/>
    <x v="0"/>
    <n v="4"/>
    <n v="1"/>
    <x v="3"/>
    <n v="885"/>
    <n v="3"/>
    <x v="1"/>
    <n v="2"/>
    <n v="2"/>
    <x v="0"/>
    <n v="1"/>
    <s v="Married"/>
    <n v="4256"/>
    <n v="1"/>
    <x v="1"/>
    <n v="12"/>
    <n v="3"/>
    <n v="1"/>
    <n v="0"/>
    <n v="5"/>
    <n v="1"/>
    <n v="4"/>
    <n v="5"/>
    <n v="2"/>
    <n v="0"/>
    <n v="3"/>
    <s v="Before College"/>
    <s v="High"/>
    <s v="Medium"/>
    <x v="0"/>
    <s v="Low"/>
    <s v="Excellent"/>
    <s v="Low"/>
    <x v="3"/>
    <s v="No_stock"/>
    <x v="0"/>
  </r>
  <r>
    <x v="1"/>
    <x v="1"/>
    <x v="0"/>
    <n v="1418"/>
    <x v="1"/>
    <n v="1"/>
    <n v="3"/>
    <x v="4"/>
    <n v="887"/>
    <n v="3"/>
    <x v="0"/>
    <n v="3"/>
    <n v="1"/>
    <x v="1"/>
    <n v="1"/>
    <s v="Married"/>
    <n v="3580"/>
    <n v="2"/>
    <x v="1"/>
    <n v="16"/>
    <n v="3"/>
    <n v="2"/>
    <n v="1"/>
    <n v="7"/>
    <n v="2"/>
    <n v="3"/>
    <n v="4"/>
    <n v="2"/>
    <n v="0"/>
    <n v="2"/>
    <s v="Bachelor"/>
    <s v="High"/>
    <s v="High"/>
    <x v="1"/>
    <s v="Low"/>
    <s v="Excellent"/>
    <s v="Medium"/>
    <x v="1"/>
    <s v="Low"/>
    <x v="0"/>
  </r>
  <r>
    <x v="17"/>
    <x v="1"/>
    <x v="2"/>
    <n v="1269"/>
    <x v="1"/>
    <n v="4"/>
    <n v="1"/>
    <x v="0"/>
    <n v="888"/>
    <n v="1"/>
    <x v="1"/>
    <n v="2"/>
    <n v="1"/>
    <x v="2"/>
    <n v="4"/>
    <s v="Married"/>
    <n v="3162"/>
    <n v="0"/>
    <x v="1"/>
    <n v="17"/>
    <n v="3"/>
    <n v="4"/>
    <n v="0"/>
    <n v="6"/>
    <n v="2"/>
    <n v="2"/>
    <n v="5"/>
    <n v="2"/>
    <n v="3"/>
    <n v="4"/>
    <s v="Before College"/>
    <s v="Low"/>
    <s v="Medium"/>
    <x v="1"/>
    <s v="Very High"/>
    <s v="Excellent"/>
    <s v="Very High"/>
    <x v="2"/>
    <s v="No_stock"/>
    <x v="0"/>
  </r>
  <r>
    <x v="5"/>
    <x v="1"/>
    <x v="1"/>
    <n v="379"/>
    <x v="0"/>
    <n v="5"/>
    <n v="2"/>
    <x v="0"/>
    <n v="889"/>
    <n v="2"/>
    <x v="1"/>
    <n v="3"/>
    <n v="2"/>
    <x v="0"/>
    <n v="2"/>
    <s v="Married"/>
    <n v="6524"/>
    <n v="1"/>
    <x v="1"/>
    <n v="14"/>
    <n v="3"/>
    <n v="4"/>
    <n v="1"/>
    <n v="10"/>
    <n v="3"/>
    <n v="3"/>
    <n v="10"/>
    <n v="8"/>
    <n v="5"/>
    <n v="3"/>
    <s v="College"/>
    <s v="Medium"/>
    <s v="High"/>
    <x v="0"/>
    <s v="Medium"/>
    <s v="Excellent"/>
    <s v="Very High"/>
    <x v="1"/>
    <s v="Low"/>
    <x v="0"/>
  </r>
  <r>
    <x v="8"/>
    <x v="1"/>
    <x v="0"/>
    <n v="395"/>
    <x v="0"/>
    <n v="9"/>
    <n v="3"/>
    <x v="3"/>
    <n v="893"/>
    <n v="2"/>
    <x v="1"/>
    <n v="2"/>
    <n v="1"/>
    <x v="6"/>
    <n v="2"/>
    <s v="Married"/>
    <n v="2899"/>
    <n v="0"/>
    <x v="1"/>
    <n v="19"/>
    <n v="3"/>
    <n v="4"/>
    <n v="1"/>
    <n v="3"/>
    <n v="3"/>
    <n v="3"/>
    <n v="2"/>
    <n v="2"/>
    <n v="1"/>
    <n v="2"/>
    <s v="Bachelor"/>
    <s v="Medium"/>
    <s v="Medium"/>
    <x v="1"/>
    <s v="Medium"/>
    <s v="Excellent"/>
    <s v="Very High"/>
    <x v="1"/>
    <s v="Low"/>
    <x v="1"/>
  </r>
  <r>
    <x v="19"/>
    <x v="1"/>
    <x v="0"/>
    <n v="1265"/>
    <x v="1"/>
    <n v="3"/>
    <n v="3"/>
    <x v="0"/>
    <n v="894"/>
    <n v="3"/>
    <x v="0"/>
    <n v="4"/>
    <n v="2"/>
    <x v="2"/>
    <n v="4"/>
    <s v="Married"/>
    <n v="5231"/>
    <n v="2"/>
    <x v="0"/>
    <n v="13"/>
    <n v="3"/>
    <n v="2"/>
    <n v="1"/>
    <n v="17"/>
    <n v="1"/>
    <n v="2"/>
    <n v="5"/>
    <n v="3"/>
    <n v="1"/>
    <n v="3"/>
    <s v="Bachelor"/>
    <s v="High"/>
    <s v="Very High"/>
    <x v="0"/>
    <s v="Very High"/>
    <s v="Excellent"/>
    <s v="Medium"/>
    <x v="2"/>
    <s v="Low"/>
    <x v="0"/>
  </r>
  <r>
    <x v="12"/>
    <x v="1"/>
    <x v="0"/>
    <n v="1222"/>
    <x v="1"/>
    <n v="11"/>
    <n v="4"/>
    <x v="0"/>
    <n v="895"/>
    <n v="4"/>
    <x v="1"/>
    <n v="3"/>
    <n v="1"/>
    <x v="1"/>
    <n v="4"/>
    <s v="Married"/>
    <n v="2356"/>
    <n v="3"/>
    <x v="0"/>
    <n v="19"/>
    <n v="3"/>
    <n v="2"/>
    <n v="1"/>
    <n v="8"/>
    <n v="2"/>
    <n v="3"/>
    <n v="6"/>
    <n v="4"/>
    <n v="0"/>
    <n v="2"/>
    <s v="Master"/>
    <s v="Very High"/>
    <s v="High"/>
    <x v="1"/>
    <s v="Very High"/>
    <s v="Excellent"/>
    <s v="Medium"/>
    <x v="1"/>
    <s v="Low"/>
    <x v="1"/>
  </r>
  <r>
    <x v="11"/>
    <x v="0"/>
    <x v="0"/>
    <n v="341"/>
    <x v="0"/>
    <n v="1"/>
    <n v="3"/>
    <x v="2"/>
    <n v="896"/>
    <n v="2"/>
    <x v="0"/>
    <n v="2"/>
    <n v="1"/>
    <x v="6"/>
    <n v="3"/>
    <s v="Divorced"/>
    <n v="2800"/>
    <n v="6"/>
    <x v="0"/>
    <n v="19"/>
    <n v="3"/>
    <n v="3"/>
    <n v="3"/>
    <n v="5"/>
    <n v="3"/>
    <n v="3"/>
    <n v="3"/>
    <n v="2"/>
    <n v="0"/>
    <n v="2"/>
    <s v="Bachelor"/>
    <s v="Medium"/>
    <s v="Medium"/>
    <x v="1"/>
    <s v="High"/>
    <s v="Excellent"/>
    <s v="High"/>
    <x v="1"/>
    <s v="High"/>
    <x v="0"/>
  </r>
  <r>
    <x v="16"/>
    <x v="1"/>
    <x v="0"/>
    <n v="868"/>
    <x v="0"/>
    <n v="8"/>
    <n v="3"/>
    <x v="3"/>
    <n v="897"/>
    <n v="1"/>
    <x v="1"/>
    <n v="3"/>
    <n v="4"/>
    <x v="0"/>
    <n v="4"/>
    <s v="Married"/>
    <n v="11836"/>
    <n v="5"/>
    <x v="1"/>
    <n v="14"/>
    <n v="3"/>
    <n v="3"/>
    <n v="1"/>
    <n v="28"/>
    <n v="3"/>
    <n v="3"/>
    <n v="2"/>
    <n v="0"/>
    <n v="2"/>
    <n v="2"/>
    <s v="Bachelor"/>
    <s v="Low"/>
    <s v="High"/>
    <x v="3"/>
    <s v="Very High"/>
    <s v="Excellent"/>
    <s v="High"/>
    <x v="1"/>
    <s v="Low"/>
    <x v="1"/>
  </r>
  <r>
    <x v="10"/>
    <x v="1"/>
    <x v="0"/>
    <n v="672"/>
    <x v="1"/>
    <n v="25"/>
    <n v="3"/>
    <x v="4"/>
    <n v="899"/>
    <n v="4"/>
    <x v="1"/>
    <n v="2"/>
    <n v="3"/>
    <x v="3"/>
    <n v="2"/>
    <s v="Married"/>
    <n v="10903"/>
    <n v="3"/>
    <x v="1"/>
    <n v="16"/>
    <n v="3"/>
    <n v="1"/>
    <n v="0"/>
    <n v="16"/>
    <n v="2"/>
    <n v="3"/>
    <n v="13"/>
    <n v="10"/>
    <n v="4"/>
    <n v="8"/>
    <s v="Bachelor"/>
    <s v="Very High"/>
    <s v="Medium"/>
    <x v="2"/>
    <s v="Medium"/>
    <s v="Excellent"/>
    <s v="Low"/>
    <x v="1"/>
    <s v="No_stock"/>
    <x v="2"/>
  </r>
  <r>
    <x v="2"/>
    <x v="1"/>
    <x v="1"/>
    <n v="1231"/>
    <x v="0"/>
    <n v="21"/>
    <n v="2"/>
    <x v="2"/>
    <n v="900"/>
    <n v="3"/>
    <x v="0"/>
    <n v="3"/>
    <n v="1"/>
    <x v="6"/>
    <n v="4"/>
    <s v="Married"/>
    <n v="2973"/>
    <n v="5"/>
    <x v="1"/>
    <n v="15"/>
    <n v="3"/>
    <n v="2"/>
    <n v="1"/>
    <n v="10"/>
    <n v="3"/>
    <n v="3"/>
    <n v="5"/>
    <n v="4"/>
    <n v="0"/>
    <n v="0"/>
    <s v="College"/>
    <s v="High"/>
    <s v="High"/>
    <x v="1"/>
    <s v="Very High"/>
    <s v="Excellent"/>
    <s v="Medium"/>
    <x v="1"/>
    <s v="Low"/>
    <x v="2"/>
  </r>
  <r>
    <x v="16"/>
    <x v="1"/>
    <x v="0"/>
    <n v="102"/>
    <x v="1"/>
    <n v="23"/>
    <n v="4"/>
    <x v="0"/>
    <n v="901"/>
    <n v="4"/>
    <x v="0"/>
    <n v="3"/>
    <n v="4"/>
    <x v="7"/>
    <n v="4"/>
    <s v="Single"/>
    <n v="14275"/>
    <n v="6"/>
    <x v="1"/>
    <n v="18"/>
    <n v="3"/>
    <n v="3"/>
    <n v="0"/>
    <n v="33"/>
    <n v="0"/>
    <n v="3"/>
    <n v="12"/>
    <n v="9"/>
    <n v="3"/>
    <n v="8"/>
    <s v="Master"/>
    <s v="Very High"/>
    <s v="High"/>
    <x v="3"/>
    <s v="Very High"/>
    <s v="Excellent"/>
    <s v="High"/>
    <x v="1"/>
    <s v="No_stock"/>
    <x v="2"/>
  </r>
  <r>
    <x v="23"/>
    <x v="1"/>
    <x v="1"/>
    <n v="422"/>
    <x v="1"/>
    <n v="1"/>
    <n v="3"/>
    <x v="0"/>
    <n v="902"/>
    <n v="4"/>
    <x v="0"/>
    <n v="3"/>
    <n v="2"/>
    <x v="4"/>
    <n v="4"/>
    <s v="Married"/>
    <n v="5562"/>
    <n v="4"/>
    <x v="1"/>
    <n v="13"/>
    <n v="3"/>
    <n v="2"/>
    <n v="1"/>
    <n v="12"/>
    <n v="2"/>
    <n v="2"/>
    <n v="5"/>
    <n v="2"/>
    <n v="2"/>
    <n v="2"/>
    <s v="Bachelor"/>
    <s v="Very High"/>
    <s v="High"/>
    <x v="0"/>
    <s v="Very High"/>
    <s v="Excellent"/>
    <s v="Medium"/>
    <x v="2"/>
    <s v="Low"/>
    <x v="0"/>
  </r>
  <r>
    <x v="40"/>
    <x v="1"/>
    <x v="0"/>
    <n v="249"/>
    <x v="0"/>
    <n v="2"/>
    <n v="2"/>
    <x v="3"/>
    <n v="903"/>
    <n v="3"/>
    <x v="0"/>
    <n v="3"/>
    <n v="2"/>
    <x v="0"/>
    <n v="4"/>
    <s v="Married"/>
    <n v="4537"/>
    <n v="0"/>
    <x v="0"/>
    <n v="22"/>
    <n v="4"/>
    <n v="1"/>
    <n v="1"/>
    <n v="8"/>
    <n v="2"/>
    <n v="3"/>
    <n v="7"/>
    <n v="6"/>
    <n v="7"/>
    <n v="7"/>
    <s v="College"/>
    <s v="High"/>
    <s v="High"/>
    <x v="0"/>
    <s v="Very High"/>
    <s v="Outstanding"/>
    <s v="Low"/>
    <x v="1"/>
    <s v="Low"/>
    <x v="0"/>
  </r>
  <r>
    <x v="2"/>
    <x v="1"/>
    <x v="2"/>
    <n v="1252"/>
    <x v="0"/>
    <n v="19"/>
    <n v="2"/>
    <x v="2"/>
    <n v="904"/>
    <n v="1"/>
    <x v="1"/>
    <n v="3"/>
    <n v="3"/>
    <x v="0"/>
    <n v="2"/>
    <s v="Single"/>
    <n v="7642"/>
    <n v="1"/>
    <x v="0"/>
    <n v="13"/>
    <n v="3"/>
    <n v="4"/>
    <n v="0"/>
    <n v="10"/>
    <n v="2"/>
    <n v="3"/>
    <n v="10"/>
    <n v="0"/>
    <n v="0"/>
    <n v="9"/>
    <s v="College"/>
    <s v="Low"/>
    <s v="High"/>
    <x v="2"/>
    <s v="Medium"/>
    <s v="Excellent"/>
    <s v="Very High"/>
    <x v="1"/>
    <s v="No_stock"/>
    <x v="2"/>
  </r>
  <r>
    <x v="24"/>
    <x v="1"/>
    <x v="2"/>
    <n v="881"/>
    <x v="1"/>
    <n v="2"/>
    <n v="4"/>
    <x v="0"/>
    <n v="905"/>
    <n v="1"/>
    <x v="1"/>
    <n v="3"/>
    <n v="4"/>
    <x v="5"/>
    <n v="1"/>
    <s v="Divorced"/>
    <n v="17924"/>
    <n v="1"/>
    <x v="1"/>
    <n v="11"/>
    <n v="3"/>
    <n v="4"/>
    <n v="1"/>
    <n v="31"/>
    <n v="3"/>
    <n v="3"/>
    <n v="31"/>
    <n v="6"/>
    <n v="14"/>
    <n v="7"/>
    <s v="Master"/>
    <s v="Low"/>
    <s v="High"/>
    <x v="3"/>
    <s v="Low"/>
    <s v="Excellent"/>
    <s v="Very High"/>
    <x v="1"/>
    <s v="Low"/>
    <x v="0"/>
  </r>
  <r>
    <x v="22"/>
    <x v="1"/>
    <x v="0"/>
    <n v="1383"/>
    <x v="2"/>
    <n v="2"/>
    <n v="3"/>
    <x v="0"/>
    <n v="909"/>
    <n v="4"/>
    <x v="0"/>
    <n v="2"/>
    <n v="2"/>
    <x v="8"/>
    <n v="4"/>
    <s v="Married"/>
    <n v="5204"/>
    <n v="8"/>
    <x v="1"/>
    <n v="11"/>
    <n v="3"/>
    <n v="3"/>
    <n v="2"/>
    <n v="13"/>
    <n v="2"/>
    <n v="3"/>
    <n v="5"/>
    <n v="4"/>
    <n v="0"/>
    <n v="4"/>
    <s v="Bachelor"/>
    <s v="Very High"/>
    <s v="Medium"/>
    <x v="0"/>
    <s v="Very High"/>
    <s v="Excellent"/>
    <s v="High"/>
    <x v="1"/>
    <s v="Medium"/>
    <x v="0"/>
  </r>
  <r>
    <x v="3"/>
    <x v="1"/>
    <x v="0"/>
    <n v="1075"/>
    <x v="2"/>
    <n v="3"/>
    <n v="2"/>
    <x v="5"/>
    <n v="910"/>
    <n v="4"/>
    <x v="1"/>
    <n v="3"/>
    <n v="1"/>
    <x v="8"/>
    <n v="2"/>
    <s v="Divorced"/>
    <n v="2277"/>
    <n v="3"/>
    <x v="0"/>
    <n v="11"/>
    <n v="3"/>
    <n v="3"/>
    <n v="1"/>
    <n v="7"/>
    <n v="4"/>
    <n v="4"/>
    <n v="4"/>
    <n v="3"/>
    <n v="0"/>
    <n v="3"/>
    <s v="College"/>
    <s v="Very High"/>
    <s v="High"/>
    <x v="1"/>
    <s v="Medium"/>
    <s v="Excellent"/>
    <s v="High"/>
    <x v="3"/>
    <s v="Low"/>
    <x v="0"/>
  </r>
  <r>
    <x v="5"/>
    <x v="0"/>
    <x v="0"/>
    <n v="374"/>
    <x v="1"/>
    <n v="25"/>
    <n v="4"/>
    <x v="0"/>
    <n v="911"/>
    <n v="1"/>
    <x v="1"/>
    <n v="3"/>
    <n v="1"/>
    <x v="2"/>
    <n v="4"/>
    <s v="Single"/>
    <n v="2795"/>
    <n v="1"/>
    <x v="0"/>
    <n v="24"/>
    <n v="4"/>
    <n v="3"/>
    <n v="0"/>
    <n v="1"/>
    <n v="2"/>
    <n v="1"/>
    <n v="1"/>
    <n v="0"/>
    <n v="0"/>
    <n v="1"/>
    <s v="Master"/>
    <s v="Low"/>
    <s v="High"/>
    <x v="1"/>
    <s v="Very High"/>
    <s v="Outstanding"/>
    <s v="High"/>
    <x v="0"/>
    <s v="No_stock"/>
    <x v="2"/>
  </r>
  <r>
    <x v="11"/>
    <x v="1"/>
    <x v="0"/>
    <n v="1086"/>
    <x v="1"/>
    <n v="7"/>
    <n v="1"/>
    <x v="2"/>
    <n v="912"/>
    <n v="1"/>
    <x v="0"/>
    <n v="2"/>
    <n v="1"/>
    <x v="2"/>
    <n v="4"/>
    <s v="Divorced"/>
    <n v="2532"/>
    <n v="6"/>
    <x v="1"/>
    <n v="14"/>
    <n v="3"/>
    <n v="3"/>
    <n v="3"/>
    <n v="8"/>
    <n v="5"/>
    <n v="3"/>
    <n v="4"/>
    <n v="3"/>
    <n v="0"/>
    <n v="3"/>
    <s v="Before College"/>
    <s v="Low"/>
    <s v="Medium"/>
    <x v="1"/>
    <s v="Very High"/>
    <s v="Excellent"/>
    <s v="High"/>
    <x v="1"/>
    <s v="High"/>
    <x v="1"/>
  </r>
  <r>
    <x v="20"/>
    <x v="1"/>
    <x v="0"/>
    <n v="661"/>
    <x v="1"/>
    <n v="9"/>
    <n v="2"/>
    <x v="0"/>
    <n v="913"/>
    <n v="2"/>
    <x v="1"/>
    <n v="3"/>
    <n v="1"/>
    <x v="1"/>
    <n v="1"/>
    <s v="Married"/>
    <n v="2559"/>
    <n v="1"/>
    <x v="0"/>
    <n v="13"/>
    <n v="3"/>
    <n v="4"/>
    <n v="0"/>
    <n v="8"/>
    <n v="0"/>
    <n v="3"/>
    <n v="8"/>
    <n v="7"/>
    <n v="7"/>
    <n v="1"/>
    <s v="College"/>
    <s v="Medium"/>
    <s v="High"/>
    <x v="1"/>
    <s v="Low"/>
    <s v="Excellent"/>
    <s v="Very High"/>
    <x v="1"/>
    <s v="No_stock"/>
    <x v="1"/>
  </r>
  <r>
    <x v="14"/>
    <x v="1"/>
    <x v="0"/>
    <n v="821"/>
    <x v="0"/>
    <n v="5"/>
    <n v="4"/>
    <x v="2"/>
    <n v="916"/>
    <n v="1"/>
    <x v="1"/>
    <n v="3"/>
    <n v="2"/>
    <x v="0"/>
    <n v="4"/>
    <s v="Single"/>
    <n v="4908"/>
    <n v="1"/>
    <x v="1"/>
    <n v="14"/>
    <n v="3"/>
    <n v="2"/>
    <n v="0"/>
    <n v="4"/>
    <n v="3"/>
    <n v="3"/>
    <n v="4"/>
    <n v="2"/>
    <n v="0"/>
    <n v="2"/>
    <s v="Master"/>
    <s v="Low"/>
    <s v="High"/>
    <x v="0"/>
    <s v="Very High"/>
    <s v="Excellent"/>
    <s v="Medium"/>
    <x v="1"/>
    <s v="No_stock"/>
    <x v="0"/>
  </r>
  <r>
    <x v="34"/>
    <x v="0"/>
    <x v="1"/>
    <n v="781"/>
    <x v="1"/>
    <n v="2"/>
    <n v="1"/>
    <x v="0"/>
    <n v="918"/>
    <n v="4"/>
    <x v="1"/>
    <n v="2"/>
    <n v="1"/>
    <x v="2"/>
    <n v="4"/>
    <s v="Divorced"/>
    <n v="2380"/>
    <n v="9"/>
    <x v="0"/>
    <n v="14"/>
    <n v="3"/>
    <n v="4"/>
    <n v="1"/>
    <n v="3"/>
    <n v="3"/>
    <n v="2"/>
    <n v="1"/>
    <n v="0"/>
    <n v="0"/>
    <n v="0"/>
    <s v="Before College"/>
    <s v="Very High"/>
    <s v="Medium"/>
    <x v="1"/>
    <s v="Very High"/>
    <s v="Excellent"/>
    <s v="Very High"/>
    <x v="2"/>
    <s v="Low"/>
    <x v="0"/>
  </r>
  <r>
    <x v="23"/>
    <x v="1"/>
    <x v="0"/>
    <n v="177"/>
    <x v="1"/>
    <n v="8"/>
    <n v="3"/>
    <x v="0"/>
    <n v="920"/>
    <n v="1"/>
    <x v="0"/>
    <n v="3"/>
    <n v="2"/>
    <x v="3"/>
    <n v="2"/>
    <s v="Divorced"/>
    <n v="4765"/>
    <n v="4"/>
    <x v="1"/>
    <n v="21"/>
    <n v="4"/>
    <n v="3"/>
    <n v="1"/>
    <n v="4"/>
    <n v="2"/>
    <n v="4"/>
    <n v="1"/>
    <n v="0"/>
    <n v="0"/>
    <n v="0"/>
    <s v="Bachelor"/>
    <s v="Low"/>
    <s v="High"/>
    <x v="0"/>
    <s v="Medium"/>
    <s v="Outstanding"/>
    <s v="High"/>
    <x v="3"/>
    <s v="Low"/>
    <x v="1"/>
  </r>
  <r>
    <x v="35"/>
    <x v="0"/>
    <x v="0"/>
    <n v="500"/>
    <x v="0"/>
    <n v="2"/>
    <n v="3"/>
    <x v="2"/>
    <n v="922"/>
    <n v="3"/>
    <x v="0"/>
    <n v="2"/>
    <n v="1"/>
    <x v="6"/>
    <n v="3"/>
    <s v="Single"/>
    <n v="2044"/>
    <n v="1"/>
    <x v="1"/>
    <n v="13"/>
    <n v="3"/>
    <n v="4"/>
    <n v="0"/>
    <n v="2"/>
    <n v="3"/>
    <n v="2"/>
    <n v="2"/>
    <n v="2"/>
    <n v="0"/>
    <n v="2"/>
    <s v="Bachelor"/>
    <s v="High"/>
    <s v="Medium"/>
    <x v="1"/>
    <s v="High"/>
    <s v="Excellent"/>
    <s v="Very High"/>
    <x v="2"/>
    <s v="No_stock"/>
    <x v="0"/>
  </r>
  <r>
    <x v="18"/>
    <x v="0"/>
    <x v="0"/>
    <n v="1427"/>
    <x v="1"/>
    <n v="18"/>
    <n v="1"/>
    <x v="1"/>
    <n v="923"/>
    <n v="4"/>
    <x v="0"/>
    <n v="3"/>
    <n v="1"/>
    <x v="1"/>
    <n v="4"/>
    <s v="Single"/>
    <n v="2693"/>
    <n v="1"/>
    <x v="1"/>
    <n v="19"/>
    <n v="3"/>
    <n v="1"/>
    <n v="0"/>
    <n v="1"/>
    <n v="3"/>
    <n v="2"/>
    <n v="1"/>
    <n v="0"/>
    <n v="0"/>
    <n v="0"/>
    <s v="Before College"/>
    <s v="Very High"/>
    <s v="High"/>
    <x v="1"/>
    <s v="Very High"/>
    <s v="Excellent"/>
    <s v="Low"/>
    <x v="2"/>
    <s v="No_stock"/>
    <x v="2"/>
  </r>
  <r>
    <x v="9"/>
    <x v="1"/>
    <x v="0"/>
    <n v="1425"/>
    <x v="1"/>
    <n v="14"/>
    <n v="1"/>
    <x v="0"/>
    <n v="924"/>
    <n v="3"/>
    <x v="1"/>
    <n v="3"/>
    <n v="2"/>
    <x v="4"/>
    <n v="4"/>
    <s v="Married"/>
    <n v="6586"/>
    <n v="0"/>
    <x v="0"/>
    <n v="17"/>
    <n v="3"/>
    <n v="1"/>
    <n v="1"/>
    <n v="17"/>
    <n v="2"/>
    <n v="2"/>
    <n v="16"/>
    <n v="8"/>
    <n v="4"/>
    <n v="11"/>
    <s v="Before College"/>
    <s v="High"/>
    <s v="High"/>
    <x v="0"/>
    <s v="Very High"/>
    <s v="Excellent"/>
    <s v="Low"/>
    <x v="2"/>
    <s v="Low"/>
    <x v="1"/>
  </r>
  <r>
    <x v="40"/>
    <x v="1"/>
    <x v="0"/>
    <n v="1454"/>
    <x v="0"/>
    <n v="2"/>
    <n v="4"/>
    <x v="0"/>
    <n v="925"/>
    <n v="4"/>
    <x v="0"/>
    <n v="2"/>
    <n v="1"/>
    <x v="6"/>
    <n v="4"/>
    <s v="Single"/>
    <n v="3294"/>
    <n v="1"/>
    <x v="0"/>
    <n v="18"/>
    <n v="3"/>
    <n v="1"/>
    <n v="0"/>
    <n v="3"/>
    <n v="3"/>
    <n v="2"/>
    <n v="3"/>
    <n v="2"/>
    <n v="1"/>
    <n v="2"/>
    <s v="Master"/>
    <s v="Very High"/>
    <s v="Medium"/>
    <x v="1"/>
    <s v="Very High"/>
    <s v="Excellent"/>
    <s v="Low"/>
    <x v="2"/>
    <s v="No_stock"/>
    <x v="0"/>
  </r>
  <r>
    <x v="15"/>
    <x v="0"/>
    <x v="0"/>
    <n v="617"/>
    <x v="1"/>
    <n v="3"/>
    <n v="1"/>
    <x v="0"/>
    <n v="926"/>
    <n v="2"/>
    <x v="0"/>
    <n v="3"/>
    <n v="2"/>
    <x v="3"/>
    <n v="3"/>
    <s v="Married"/>
    <n v="4171"/>
    <n v="0"/>
    <x v="0"/>
    <n v="19"/>
    <n v="3"/>
    <n v="1"/>
    <n v="1"/>
    <n v="4"/>
    <n v="3"/>
    <n v="4"/>
    <n v="3"/>
    <n v="2"/>
    <n v="0"/>
    <n v="2"/>
    <s v="Before College"/>
    <s v="Medium"/>
    <s v="High"/>
    <x v="0"/>
    <s v="High"/>
    <s v="Excellent"/>
    <s v="Low"/>
    <x v="3"/>
    <s v="Low"/>
    <x v="0"/>
  </r>
  <r>
    <x v="0"/>
    <x v="0"/>
    <x v="0"/>
    <n v="1085"/>
    <x v="1"/>
    <n v="2"/>
    <n v="4"/>
    <x v="0"/>
    <n v="927"/>
    <n v="2"/>
    <x v="0"/>
    <n v="1"/>
    <n v="1"/>
    <x v="2"/>
    <n v="4"/>
    <s v="Divorced"/>
    <n v="2778"/>
    <n v="4"/>
    <x v="0"/>
    <n v="13"/>
    <n v="3"/>
    <n v="3"/>
    <n v="1"/>
    <n v="10"/>
    <n v="1"/>
    <n v="2"/>
    <n v="7"/>
    <n v="7"/>
    <n v="1"/>
    <n v="0"/>
    <s v="Master"/>
    <s v="Medium"/>
    <s v="Low"/>
    <x v="1"/>
    <s v="Very High"/>
    <s v="Excellent"/>
    <s v="High"/>
    <x v="2"/>
    <s v="Low"/>
    <x v="0"/>
  </r>
  <r>
    <x v="14"/>
    <x v="1"/>
    <x v="0"/>
    <n v="995"/>
    <x v="1"/>
    <n v="9"/>
    <n v="3"/>
    <x v="2"/>
    <n v="930"/>
    <n v="3"/>
    <x v="0"/>
    <n v="3"/>
    <n v="1"/>
    <x v="1"/>
    <n v="3"/>
    <s v="Divorced"/>
    <n v="2377"/>
    <n v="5"/>
    <x v="1"/>
    <n v="18"/>
    <n v="3"/>
    <n v="2"/>
    <n v="1"/>
    <n v="6"/>
    <n v="2"/>
    <n v="3"/>
    <n v="2"/>
    <n v="2"/>
    <n v="2"/>
    <n v="2"/>
    <s v="Bachelor"/>
    <s v="High"/>
    <s v="High"/>
    <x v="1"/>
    <s v="High"/>
    <s v="Excellent"/>
    <s v="Medium"/>
    <x v="1"/>
    <s v="Low"/>
    <x v="1"/>
  </r>
  <r>
    <x v="22"/>
    <x v="0"/>
    <x v="0"/>
    <n v="1122"/>
    <x v="1"/>
    <n v="6"/>
    <n v="3"/>
    <x v="2"/>
    <n v="932"/>
    <n v="4"/>
    <x v="1"/>
    <n v="3"/>
    <n v="1"/>
    <x v="2"/>
    <n v="1"/>
    <s v="Married"/>
    <n v="2404"/>
    <n v="7"/>
    <x v="0"/>
    <n v="21"/>
    <n v="4"/>
    <n v="4"/>
    <n v="0"/>
    <n v="8"/>
    <n v="2"/>
    <n v="1"/>
    <n v="2"/>
    <n v="2"/>
    <n v="2"/>
    <n v="2"/>
    <s v="Bachelor"/>
    <s v="Very High"/>
    <s v="High"/>
    <x v="1"/>
    <s v="Low"/>
    <s v="Outstanding"/>
    <s v="Very High"/>
    <x v="0"/>
    <s v="No_stock"/>
    <x v="1"/>
  </r>
  <r>
    <x v="4"/>
    <x v="1"/>
    <x v="0"/>
    <n v="618"/>
    <x v="1"/>
    <n v="4"/>
    <n v="3"/>
    <x v="0"/>
    <n v="933"/>
    <n v="2"/>
    <x v="0"/>
    <n v="3"/>
    <n v="1"/>
    <x v="1"/>
    <n v="3"/>
    <s v="Single"/>
    <n v="2318"/>
    <n v="1"/>
    <x v="1"/>
    <n v="19"/>
    <n v="3"/>
    <n v="3"/>
    <n v="0"/>
    <n v="1"/>
    <n v="2"/>
    <n v="3"/>
    <n v="1"/>
    <n v="1"/>
    <n v="0"/>
    <n v="0"/>
    <s v="Bachelor"/>
    <s v="Medium"/>
    <s v="High"/>
    <x v="1"/>
    <s v="High"/>
    <s v="Excellent"/>
    <s v="High"/>
    <x v="1"/>
    <s v="No_stock"/>
    <x v="0"/>
  </r>
  <r>
    <x v="13"/>
    <x v="1"/>
    <x v="0"/>
    <n v="546"/>
    <x v="1"/>
    <n v="10"/>
    <n v="3"/>
    <x v="0"/>
    <n v="934"/>
    <n v="2"/>
    <x v="1"/>
    <n v="3"/>
    <n v="1"/>
    <x v="2"/>
    <n v="2"/>
    <s v="Divorced"/>
    <n v="2008"/>
    <n v="1"/>
    <x v="1"/>
    <n v="14"/>
    <n v="3"/>
    <n v="2"/>
    <n v="2"/>
    <n v="1"/>
    <n v="3"/>
    <n v="3"/>
    <n v="1"/>
    <n v="0"/>
    <n v="1"/>
    <n v="0"/>
    <s v="Bachelor"/>
    <s v="Medium"/>
    <s v="High"/>
    <x v="1"/>
    <s v="Medium"/>
    <s v="Excellent"/>
    <s v="Medium"/>
    <x v="1"/>
    <s v="Medium"/>
    <x v="1"/>
  </r>
  <r>
    <x v="19"/>
    <x v="1"/>
    <x v="0"/>
    <n v="462"/>
    <x v="0"/>
    <n v="14"/>
    <n v="2"/>
    <x v="2"/>
    <n v="936"/>
    <n v="3"/>
    <x v="0"/>
    <n v="2"/>
    <n v="2"/>
    <x v="0"/>
    <n v="3"/>
    <s v="Single"/>
    <n v="6244"/>
    <n v="7"/>
    <x v="1"/>
    <n v="17"/>
    <n v="3"/>
    <n v="1"/>
    <n v="0"/>
    <n v="10"/>
    <n v="6"/>
    <n v="3"/>
    <n v="5"/>
    <n v="4"/>
    <n v="0"/>
    <n v="3"/>
    <s v="College"/>
    <s v="High"/>
    <s v="Medium"/>
    <x v="0"/>
    <s v="High"/>
    <s v="Excellent"/>
    <s v="Low"/>
    <x v="1"/>
    <s v="No_stock"/>
    <x v="1"/>
  </r>
  <r>
    <x v="3"/>
    <x v="1"/>
    <x v="0"/>
    <n v="1198"/>
    <x v="1"/>
    <n v="1"/>
    <n v="4"/>
    <x v="1"/>
    <n v="939"/>
    <n v="3"/>
    <x v="1"/>
    <n v="2"/>
    <n v="1"/>
    <x v="1"/>
    <n v="1"/>
    <s v="Single"/>
    <n v="2799"/>
    <n v="3"/>
    <x v="0"/>
    <n v="11"/>
    <n v="3"/>
    <n v="2"/>
    <n v="0"/>
    <n v="6"/>
    <n v="1"/>
    <n v="3"/>
    <n v="3"/>
    <n v="2"/>
    <n v="0"/>
    <n v="2"/>
    <s v="Master"/>
    <s v="High"/>
    <s v="Medium"/>
    <x v="1"/>
    <s v="Low"/>
    <s v="Excellent"/>
    <s v="Medium"/>
    <x v="1"/>
    <s v="No_stock"/>
    <x v="0"/>
  </r>
  <r>
    <x v="34"/>
    <x v="1"/>
    <x v="0"/>
    <n v="1272"/>
    <x v="1"/>
    <n v="5"/>
    <n v="3"/>
    <x v="4"/>
    <n v="940"/>
    <n v="3"/>
    <x v="0"/>
    <n v="2"/>
    <n v="3"/>
    <x v="4"/>
    <n v="2"/>
    <s v="Divorced"/>
    <n v="10552"/>
    <n v="2"/>
    <x v="0"/>
    <n v="13"/>
    <n v="3"/>
    <n v="4"/>
    <n v="1"/>
    <n v="24"/>
    <n v="3"/>
    <n v="3"/>
    <n v="6"/>
    <n v="0"/>
    <n v="0"/>
    <n v="4"/>
    <s v="Bachelor"/>
    <s v="High"/>
    <s v="Medium"/>
    <x v="2"/>
    <s v="Medium"/>
    <s v="Excellent"/>
    <s v="Very High"/>
    <x v="1"/>
    <s v="Low"/>
    <x v="0"/>
  </r>
  <r>
    <x v="12"/>
    <x v="1"/>
    <x v="0"/>
    <n v="154"/>
    <x v="0"/>
    <n v="7"/>
    <n v="4"/>
    <x v="0"/>
    <n v="941"/>
    <n v="2"/>
    <x v="1"/>
    <n v="2"/>
    <n v="1"/>
    <x v="6"/>
    <n v="3"/>
    <s v="Married"/>
    <n v="2329"/>
    <n v="3"/>
    <x v="1"/>
    <n v="15"/>
    <n v="3"/>
    <n v="2"/>
    <n v="0"/>
    <n v="13"/>
    <n v="2"/>
    <n v="4"/>
    <n v="7"/>
    <n v="7"/>
    <n v="5"/>
    <n v="2"/>
    <s v="Master"/>
    <s v="Medium"/>
    <s v="Medium"/>
    <x v="1"/>
    <s v="High"/>
    <s v="Excellent"/>
    <s v="Medium"/>
    <x v="3"/>
    <s v="No_stock"/>
    <x v="1"/>
  </r>
  <r>
    <x v="10"/>
    <x v="1"/>
    <x v="0"/>
    <n v="1137"/>
    <x v="1"/>
    <n v="21"/>
    <n v="1"/>
    <x v="0"/>
    <n v="942"/>
    <n v="4"/>
    <x v="0"/>
    <n v="3"/>
    <n v="2"/>
    <x v="4"/>
    <n v="4"/>
    <s v="Married"/>
    <n v="4014"/>
    <n v="1"/>
    <x v="0"/>
    <n v="25"/>
    <n v="4"/>
    <n v="4"/>
    <n v="1"/>
    <n v="10"/>
    <n v="2"/>
    <n v="1"/>
    <n v="10"/>
    <n v="6"/>
    <n v="0"/>
    <n v="7"/>
    <s v="Before College"/>
    <s v="Very High"/>
    <s v="High"/>
    <x v="0"/>
    <s v="Very High"/>
    <s v="Outstanding"/>
    <s v="Very High"/>
    <x v="0"/>
    <s v="Low"/>
    <x v="2"/>
  </r>
  <r>
    <x v="1"/>
    <x v="1"/>
    <x v="0"/>
    <n v="527"/>
    <x v="1"/>
    <n v="8"/>
    <n v="2"/>
    <x v="1"/>
    <n v="944"/>
    <n v="1"/>
    <x v="0"/>
    <n v="3"/>
    <n v="3"/>
    <x v="2"/>
    <n v="2"/>
    <s v="Married"/>
    <n v="7403"/>
    <n v="4"/>
    <x v="1"/>
    <n v="11"/>
    <n v="3"/>
    <n v="3"/>
    <n v="1"/>
    <n v="29"/>
    <n v="3"/>
    <n v="2"/>
    <n v="26"/>
    <n v="9"/>
    <n v="1"/>
    <n v="7"/>
    <s v="College"/>
    <s v="Low"/>
    <s v="High"/>
    <x v="2"/>
    <s v="Medium"/>
    <s v="Excellent"/>
    <s v="High"/>
    <x v="2"/>
    <s v="Low"/>
    <x v="1"/>
  </r>
  <r>
    <x v="26"/>
    <x v="1"/>
    <x v="0"/>
    <n v="1469"/>
    <x v="1"/>
    <n v="20"/>
    <n v="4"/>
    <x v="2"/>
    <n v="945"/>
    <n v="4"/>
    <x v="1"/>
    <n v="3"/>
    <n v="1"/>
    <x v="1"/>
    <n v="3"/>
    <s v="Married"/>
    <n v="2259"/>
    <n v="4"/>
    <x v="1"/>
    <n v="17"/>
    <n v="3"/>
    <n v="1"/>
    <n v="2"/>
    <n v="13"/>
    <n v="2"/>
    <n v="2"/>
    <n v="0"/>
    <n v="0"/>
    <n v="0"/>
    <n v="0"/>
    <s v="Master"/>
    <s v="Very High"/>
    <s v="High"/>
    <x v="1"/>
    <s v="High"/>
    <s v="Excellent"/>
    <s v="Low"/>
    <x v="2"/>
    <s v="Medium"/>
    <x v="2"/>
  </r>
  <r>
    <x v="12"/>
    <x v="1"/>
    <x v="2"/>
    <n v="1188"/>
    <x v="0"/>
    <n v="20"/>
    <n v="2"/>
    <x v="3"/>
    <n v="947"/>
    <n v="4"/>
    <x v="0"/>
    <n v="3"/>
    <n v="2"/>
    <x v="0"/>
    <n v="3"/>
    <s v="Married"/>
    <n v="6932"/>
    <n v="1"/>
    <x v="1"/>
    <n v="13"/>
    <n v="3"/>
    <n v="4"/>
    <n v="1"/>
    <n v="9"/>
    <n v="2"/>
    <n v="2"/>
    <n v="9"/>
    <n v="8"/>
    <n v="0"/>
    <n v="0"/>
    <s v="College"/>
    <s v="Very High"/>
    <s v="High"/>
    <x v="0"/>
    <s v="High"/>
    <s v="Excellent"/>
    <s v="Very High"/>
    <x v="2"/>
    <s v="Low"/>
    <x v="2"/>
  </r>
  <r>
    <x v="9"/>
    <x v="1"/>
    <x v="0"/>
    <n v="188"/>
    <x v="1"/>
    <n v="7"/>
    <n v="4"/>
    <x v="1"/>
    <n v="949"/>
    <n v="2"/>
    <x v="1"/>
    <n v="3"/>
    <n v="1"/>
    <x v="1"/>
    <n v="4"/>
    <s v="Single"/>
    <n v="4678"/>
    <n v="2"/>
    <x v="1"/>
    <n v="18"/>
    <n v="3"/>
    <n v="3"/>
    <n v="0"/>
    <n v="8"/>
    <n v="6"/>
    <n v="3"/>
    <n v="6"/>
    <n v="2"/>
    <n v="0"/>
    <n v="1"/>
    <s v="Master"/>
    <s v="Medium"/>
    <s v="High"/>
    <x v="1"/>
    <s v="Very High"/>
    <s v="Excellent"/>
    <s v="High"/>
    <x v="1"/>
    <s v="No_stock"/>
    <x v="1"/>
  </r>
  <r>
    <x v="8"/>
    <x v="1"/>
    <x v="0"/>
    <n v="1333"/>
    <x v="1"/>
    <n v="1"/>
    <n v="3"/>
    <x v="4"/>
    <n v="950"/>
    <n v="4"/>
    <x v="0"/>
    <n v="3"/>
    <n v="3"/>
    <x v="7"/>
    <n v="1"/>
    <s v="Married"/>
    <n v="13582"/>
    <n v="1"/>
    <x v="1"/>
    <n v="13"/>
    <n v="3"/>
    <n v="2"/>
    <n v="1"/>
    <n v="15"/>
    <n v="3"/>
    <n v="3"/>
    <n v="15"/>
    <n v="12"/>
    <n v="5"/>
    <n v="11"/>
    <s v="Bachelor"/>
    <s v="Very High"/>
    <s v="High"/>
    <x v="2"/>
    <s v="Low"/>
    <s v="Excellent"/>
    <s v="Medium"/>
    <x v="1"/>
    <s v="Low"/>
    <x v="0"/>
  </r>
  <r>
    <x v="5"/>
    <x v="1"/>
    <x v="2"/>
    <n v="1184"/>
    <x v="1"/>
    <n v="1"/>
    <n v="3"/>
    <x v="0"/>
    <n v="951"/>
    <n v="3"/>
    <x v="0"/>
    <n v="2"/>
    <n v="1"/>
    <x v="2"/>
    <n v="2"/>
    <s v="Married"/>
    <n v="2332"/>
    <n v="6"/>
    <x v="1"/>
    <n v="20"/>
    <n v="4"/>
    <n v="3"/>
    <n v="0"/>
    <n v="5"/>
    <n v="3"/>
    <n v="3"/>
    <n v="3"/>
    <n v="0"/>
    <n v="0"/>
    <n v="2"/>
    <s v="Bachelor"/>
    <s v="High"/>
    <s v="Medium"/>
    <x v="1"/>
    <s v="Medium"/>
    <s v="Outstanding"/>
    <s v="High"/>
    <x v="1"/>
    <s v="No_stock"/>
    <x v="0"/>
  </r>
  <r>
    <x v="36"/>
    <x v="0"/>
    <x v="0"/>
    <n v="867"/>
    <x v="0"/>
    <n v="19"/>
    <n v="2"/>
    <x v="3"/>
    <n v="952"/>
    <n v="3"/>
    <x v="1"/>
    <n v="2"/>
    <n v="1"/>
    <x v="6"/>
    <n v="2"/>
    <s v="Married"/>
    <n v="2413"/>
    <n v="1"/>
    <x v="0"/>
    <n v="18"/>
    <n v="3"/>
    <n v="3"/>
    <n v="3"/>
    <n v="1"/>
    <n v="2"/>
    <n v="3"/>
    <n v="1"/>
    <n v="0"/>
    <n v="0"/>
    <n v="0"/>
    <s v="College"/>
    <s v="High"/>
    <s v="Medium"/>
    <x v="1"/>
    <s v="Medium"/>
    <s v="Excellent"/>
    <s v="High"/>
    <x v="1"/>
    <s v="High"/>
    <x v="2"/>
  </r>
  <r>
    <x v="32"/>
    <x v="1"/>
    <x v="0"/>
    <n v="658"/>
    <x v="0"/>
    <n v="10"/>
    <n v="4"/>
    <x v="3"/>
    <n v="954"/>
    <n v="1"/>
    <x v="1"/>
    <n v="2"/>
    <n v="3"/>
    <x v="0"/>
    <n v="2"/>
    <s v="Divorced"/>
    <n v="9705"/>
    <n v="2"/>
    <x v="1"/>
    <n v="12"/>
    <n v="3"/>
    <n v="2"/>
    <n v="1"/>
    <n v="11"/>
    <n v="2"/>
    <n v="2"/>
    <n v="1"/>
    <n v="0"/>
    <n v="0"/>
    <n v="0"/>
    <s v="Master"/>
    <s v="Low"/>
    <s v="Medium"/>
    <x v="2"/>
    <s v="Medium"/>
    <s v="Excellent"/>
    <s v="Medium"/>
    <x v="2"/>
    <s v="Low"/>
    <x v="1"/>
  </r>
  <r>
    <x v="25"/>
    <x v="1"/>
    <x v="1"/>
    <n v="1283"/>
    <x v="0"/>
    <n v="1"/>
    <n v="3"/>
    <x v="2"/>
    <n v="956"/>
    <n v="3"/>
    <x v="1"/>
    <n v="2"/>
    <n v="2"/>
    <x v="0"/>
    <n v="1"/>
    <s v="Single"/>
    <n v="4294"/>
    <n v="1"/>
    <x v="1"/>
    <n v="12"/>
    <n v="3"/>
    <n v="2"/>
    <n v="0"/>
    <n v="7"/>
    <n v="2"/>
    <n v="3"/>
    <n v="7"/>
    <n v="7"/>
    <n v="0"/>
    <n v="7"/>
    <s v="Bachelor"/>
    <s v="High"/>
    <s v="Medium"/>
    <x v="0"/>
    <s v="Low"/>
    <s v="Excellent"/>
    <s v="Medium"/>
    <x v="1"/>
    <s v="No_stock"/>
    <x v="0"/>
  </r>
  <r>
    <x v="0"/>
    <x v="1"/>
    <x v="0"/>
    <n v="263"/>
    <x v="1"/>
    <n v="6"/>
    <n v="3"/>
    <x v="2"/>
    <n v="957"/>
    <n v="4"/>
    <x v="1"/>
    <n v="3"/>
    <n v="1"/>
    <x v="2"/>
    <n v="1"/>
    <s v="Single"/>
    <n v="4721"/>
    <n v="2"/>
    <x v="0"/>
    <n v="13"/>
    <n v="3"/>
    <n v="3"/>
    <n v="0"/>
    <n v="20"/>
    <n v="3"/>
    <n v="3"/>
    <n v="18"/>
    <n v="13"/>
    <n v="2"/>
    <n v="17"/>
    <s v="Bachelor"/>
    <s v="Very High"/>
    <s v="High"/>
    <x v="1"/>
    <s v="Low"/>
    <s v="Excellent"/>
    <s v="High"/>
    <x v="1"/>
    <s v="No_stock"/>
    <x v="1"/>
  </r>
  <r>
    <x v="9"/>
    <x v="1"/>
    <x v="0"/>
    <n v="938"/>
    <x v="1"/>
    <n v="2"/>
    <n v="4"/>
    <x v="2"/>
    <n v="958"/>
    <n v="3"/>
    <x v="1"/>
    <n v="3"/>
    <n v="1"/>
    <x v="2"/>
    <n v="3"/>
    <s v="Single"/>
    <n v="2519"/>
    <n v="4"/>
    <x v="1"/>
    <n v="21"/>
    <n v="4"/>
    <n v="3"/>
    <n v="0"/>
    <n v="16"/>
    <n v="6"/>
    <n v="3"/>
    <n v="11"/>
    <n v="8"/>
    <n v="3"/>
    <n v="9"/>
    <s v="Master"/>
    <s v="High"/>
    <s v="High"/>
    <x v="1"/>
    <s v="High"/>
    <s v="Outstanding"/>
    <s v="High"/>
    <x v="1"/>
    <s v="No_stock"/>
    <x v="0"/>
  </r>
  <r>
    <x v="37"/>
    <x v="0"/>
    <x v="0"/>
    <n v="419"/>
    <x v="0"/>
    <n v="21"/>
    <n v="3"/>
    <x v="1"/>
    <n v="959"/>
    <n v="4"/>
    <x v="1"/>
    <n v="2"/>
    <n v="1"/>
    <x v="6"/>
    <n v="2"/>
    <s v="Single"/>
    <n v="2121"/>
    <n v="1"/>
    <x v="0"/>
    <n v="13"/>
    <n v="3"/>
    <n v="2"/>
    <n v="0"/>
    <n v="1"/>
    <n v="3"/>
    <n v="4"/>
    <n v="1"/>
    <n v="0"/>
    <n v="0"/>
    <n v="0"/>
    <s v="Bachelor"/>
    <s v="Very High"/>
    <s v="Medium"/>
    <x v="1"/>
    <s v="Medium"/>
    <s v="Excellent"/>
    <s v="Medium"/>
    <x v="3"/>
    <s v="No_stock"/>
    <x v="2"/>
  </r>
  <r>
    <x v="35"/>
    <x v="0"/>
    <x v="0"/>
    <n v="129"/>
    <x v="1"/>
    <n v="4"/>
    <n v="3"/>
    <x v="4"/>
    <n v="960"/>
    <n v="1"/>
    <x v="1"/>
    <n v="3"/>
    <n v="1"/>
    <x v="2"/>
    <n v="1"/>
    <s v="Single"/>
    <n v="2973"/>
    <n v="1"/>
    <x v="1"/>
    <n v="19"/>
    <n v="3"/>
    <n v="2"/>
    <n v="0"/>
    <n v="1"/>
    <n v="2"/>
    <n v="3"/>
    <n v="1"/>
    <n v="0"/>
    <n v="0"/>
    <n v="0"/>
    <s v="Bachelor"/>
    <s v="Low"/>
    <s v="High"/>
    <x v="1"/>
    <s v="Low"/>
    <s v="Excellent"/>
    <s v="Medium"/>
    <x v="1"/>
    <s v="No_stock"/>
    <x v="0"/>
  </r>
  <r>
    <x v="12"/>
    <x v="1"/>
    <x v="0"/>
    <n v="616"/>
    <x v="1"/>
    <n v="12"/>
    <n v="3"/>
    <x v="2"/>
    <n v="961"/>
    <n v="4"/>
    <x v="0"/>
    <n v="3"/>
    <n v="2"/>
    <x v="4"/>
    <n v="4"/>
    <s v="Married"/>
    <n v="5855"/>
    <n v="0"/>
    <x v="0"/>
    <n v="11"/>
    <n v="3"/>
    <n v="3"/>
    <n v="2"/>
    <n v="10"/>
    <n v="2"/>
    <n v="1"/>
    <n v="9"/>
    <n v="7"/>
    <n v="8"/>
    <n v="5"/>
    <s v="Bachelor"/>
    <s v="Very High"/>
    <s v="High"/>
    <x v="0"/>
    <s v="Very High"/>
    <s v="Excellent"/>
    <s v="High"/>
    <x v="0"/>
    <s v="Medium"/>
    <x v="1"/>
  </r>
  <r>
    <x v="32"/>
    <x v="1"/>
    <x v="1"/>
    <n v="1469"/>
    <x v="1"/>
    <n v="9"/>
    <n v="4"/>
    <x v="2"/>
    <n v="964"/>
    <n v="4"/>
    <x v="1"/>
    <n v="3"/>
    <n v="1"/>
    <x v="1"/>
    <n v="2"/>
    <s v="Divorced"/>
    <n v="3617"/>
    <n v="8"/>
    <x v="0"/>
    <n v="14"/>
    <n v="3"/>
    <n v="4"/>
    <n v="1"/>
    <n v="3"/>
    <n v="2"/>
    <n v="3"/>
    <n v="1"/>
    <n v="1"/>
    <n v="0"/>
    <n v="0"/>
    <s v="Master"/>
    <s v="Very High"/>
    <s v="High"/>
    <x v="1"/>
    <s v="Medium"/>
    <s v="Excellent"/>
    <s v="Very High"/>
    <x v="1"/>
    <s v="Low"/>
    <x v="1"/>
  </r>
  <r>
    <x v="5"/>
    <x v="1"/>
    <x v="0"/>
    <n v="498"/>
    <x v="1"/>
    <n v="3"/>
    <n v="4"/>
    <x v="2"/>
    <n v="966"/>
    <n v="3"/>
    <x v="0"/>
    <n v="3"/>
    <n v="2"/>
    <x v="3"/>
    <n v="1"/>
    <s v="Married"/>
    <n v="6725"/>
    <n v="1"/>
    <x v="1"/>
    <n v="12"/>
    <n v="3"/>
    <n v="3"/>
    <n v="1"/>
    <n v="8"/>
    <n v="2"/>
    <n v="4"/>
    <n v="8"/>
    <n v="7"/>
    <n v="6"/>
    <n v="3"/>
    <s v="Master"/>
    <s v="High"/>
    <s v="High"/>
    <x v="0"/>
    <s v="Low"/>
    <s v="Excellent"/>
    <s v="High"/>
    <x v="3"/>
    <s v="Low"/>
    <x v="0"/>
  </r>
  <r>
    <x v="9"/>
    <x v="0"/>
    <x v="0"/>
    <n v="530"/>
    <x v="0"/>
    <n v="3"/>
    <n v="1"/>
    <x v="0"/>
    <n v="967"/>
    <n v="3"/>
    <x v="1"/>
    <n v="2"/>
    <n v="3"/>
    <x v="0"/>
    <n v="4"/>
    <s v="Married"/>
    <n v="10325"/>
    <n v="1"/>
    <x v="0"/>
    <n v="11"/>
    <n v="3"/>
    <n v="1"/>
    <n v="1"/>
    <n v="16"/>
    <n v="6"/>
    <n v="3"/>
    <n v="16"/>
    <n v="7"/>
    <n v="3"/>
    <n v="7"/>
    <s v="Before College"/>
    <s v="High"/>
    <s v="Medium"/>
    <x v="2"/>
    <s v="Very High"/>
    <s v="Excellent"/>
    <s v="Low"/>
    <x v="1"/>
    <s v="Low"/>
    <x v="0"/>
  </r>
  <r>
    <x v="3"/>
    <x v="1"/>
    <x v="0"/>
    <n v="1069"/>
    <x v="1"/>
    <n v="1"/>
    <n v="3"/>
    <x v="0"/>
    <n v="969"/>
    <n v="2"/>
    <x v="0"/>
    <n v="2"/>
    <n v="2"/>
    <x v="4"/>
    <n v="4"/>
    <s v="Single"/>
    <n v="6949"/>
    <n v="0"/>
    <x v="1"/>
    <n v="14"/>
    <n v="3"/>
    <n v="1"/>
    <n v="0"/>
    <n v="6"/>
    <n v="3"/>
    <n v="3"/>
    <n v="5"/>
    <n v="0"/>
    <n v="1"/>
    <n v="4"/>
    <s v="Bachelor"/>
    <s v="Medium"/>
    <s v="Medium"/>
    <x v="0"/>
    <s v="Very High"/>
    <s v="Excellent"/>
    <s v="Low"/>
    <x v="1"/>
    <s v="No_stock"/>
    <x v="0"/>
  </r>
  <r>
    <x v="2"/>
    <x v="0"/>
    <x v="0"/>
    <n v="625"/>
    <x v="0"/>
    <n v="1"/>
    <n v="4"/>
    <x v="0"/>
    <n v="970"/>
    <n v="1"/>
    <x v="1"/>
    <n v="2"/>
    <n v="3"/>
    <x v="0"/>
    <n v="3"/>
    <s v="Married"/>
    <n v="10609"/>
    <n v="5"/>
    <x v="1"/>
    <n v="11"/>
    <n v="3"/>
    <n v="3"/>
    <n v="0"/>
    <n v="17"/>
    <n v="2"/>
    <n v="1"/>
    <n v="14"/>
    <n v="1"/>
    <n v="11"/>
    <n v="7"/>
    <s v="Master"/>
    <s v="Low"/>
    <s v="Medium"/>
    <x v="2"/>
    <s v="High"/>
    <s v="Excellent"/>
    <s v="High"/>
    <x v="0"/>
    <s v="No_stock"/>
    <x v="0"/>
  </r>
  <r>
    <x v="28"/>
    <x v="1"/>
    <x v="2"/>
    <n v="805"/>
    <x v="1"/>
    <n v="4"/>
    <n v="2"/>
    <x v="0"/>
    <n v="972"/>
    <n v="3"/>
    <x v="1"/>
    <n v="3"/>
    <n v="2"/>
    <x v="2"/>
    <n v="2"/>
    <s v="Married"/>
    <n v="4447"/>
    <n v="1"/>
    <x v="1"/>
    <n v="12"/>
    <n v="3"/>
    <n v="2"/>
    <n v="0"/>
    <n v="9"/>
    <n v="5"/>
    <n v="2"/>
    <n v="9"/>
    <n v="7"/>
    <n v="0"/>
    <n v="8"/>
    <s v="College"/>
    <s v="High"/>
    <s v="High"/>
    <x v="0"/>
    <s v="Medium"/>
    <s v="Excellent"/>
    <s v="Medium"/>
    <x v="2"/>
    <s v="No_stock"/>
    <x v="0"/>
  </r>
  <r>
    <x v="11"/>
    <x v="1"/>
    <x v="1"/>
    <n v="1404"/>
    <x v="0"/>
    <n v="20"/>
    <n v="3"/>
    <x v="4"/>
    <n v="974"/>
    <n v="3"/>
    <x v="0"/>
    <n v="3"/>
    <n v="1"/>
    <x v="6"/>
    <n v="4"/>
    <s v="Married"/>
    <n v="2157"/>
    <n v="1"/>
    <x v="1"/>
    <n v="15"/>
    <n v="3"/>
    <n v="2"/>
    <n v="1"/>
    <n v="3"/>
    <n v="5"/>
    <n v="3"/>
    <n v="3"/>
    <n v="1"/>
    <n v="0"/>
    <n v="2"/>
    <s v="Bachelor"/>
    <s v="High"/>
    <s v="High"/>
    <x v="1"/>
    <s v="Very High"/>
    <s v="Excellent"/>
    <s v="Medium"/>
    <x v="1"/>
    <s v="Low"/>
    <x v="2"/>
  </r>
  <r>
    <x v="10"/>
    <x v="1"/>
    <x v="0"/>
    <n v="1219"/>
    <x v="0"/>
    <n v="18"/>
    <n v="3"/>
    <x v="2"/>
    <n v="975"/>
    <n v="3"/>
    <x v="0"/>
    <n v="3"/>
    <n v="2"/>
    <x v="0"/>
    <n v="3"/>
    <s v="Married"/>
    <n v="4601"/>
    <n v="1"/>
    <x v="1"/>
    <n v="16"/>
    <n v="3"/>
    <n v="2"/>
    <n v="0"/>
    <n v="5"/>
    <n v="3"/>
    <n v="3"/>
    <n v="5"/>
    <n v="2"/>
    <n v="1"/>
    <n v="0"/>
    <s v="Bachelor"/>
    <s v="High"/>
    <s v="High"/>
    <x v="0"/>
    <s v="High"/>
    <s v="Excellent"/>
    <s v="Medium"/>
    <x v="1"/>
    <s v="No_stock"/>
    <x v="2"/>
  </r>
  <r>
    <x v="39"/>
    <x v="1"/>
    <x v="0"/>
    <n v="1053"/>
    <x v="1"/>
    <n v="1"/>
    <n v="2"/>
    <x v="0"/>
    <n v="976"/>
    <n v="4"/>
    <x v="1"/>
    <n v="3"/>
    <n v="4"/>
    <x v="5"/>
    <n v="4"/>
    <s v="Married"/>
    <n v="17099"/>
    <n v="2"/>
    <x v="1"/>
    <n v="15"/>
    <n v="3"/>
    <n v="2"/>
    <n v="1"/>
    <n v="26"/>
    <n v="2"/>
    <n v="2"/>
    <n v="9"/>
    <n v="8"/>
    <n v="7"/>
    <n v="8"/>
    <s v="College"/>
    <s v="Very High"/>
    <s v="High"/>
    <x v="3"/>
    <s v="Very High"/>
    <s v="Excellent"/>
    <s v="Medium"/>
    <x v="2"/>
    <s v="Low"/>
    <x v="0"/>
  </r>
  <r>
    <x v="34"/>
    <x v="0"/>
    <x v="0"/>
    <n v="289"/>
    <x v="1"/>
    <n v="2"/>
    <n v="3"/>
    <x v="4"/>
    <n v="977"/>
    <n v="4"/>
    <x v="1"/>
    <n v="3"/>
    <n v="1"/>
    <x v="1"/>
    <n v="3"/>
    <s v="Single"/>
    <n v="2479"/>
    <n v="4"/>
    <x v="1"/>
    <n v="24"/>
    <n v="4"/>
    <n v="1"/>
    <n v="0"/>
    <n v="7"/>
    <n v="4"/>
    <n v="3"/>
    <n v="1"/>
    <n v="0"/>
    <n v="0"/>
    <n v="0"/>
    <s v="Bachelor"/>
    <s v="Very High"/>
    <s v="High"/>
    <x v="1"/>
    <s v="High"/>
    <s v="Outstanding"/>
    <s v="Low"/>
    <x v="1"/>
    <s v="No_stock"/>
    <x v="0"/>
  </r>
  <r>
    <x v="16"/>
    <x v="1"/>
    <x v="0"/>
    <n v="1376"/>
    <x v="0"/>
    <n v="2"/>
    <n v="2"/>
    <x v="2"/>
    <n v="981"/>
    <n v="3"/>
    <x v="1"/>
    <n v="3"/>
    <n v="4"/>
    <x v="5"/>
    <n v="3"/>
    <s v="Divorced"/>
    <n v="14852"/>
    <n v="6"/>
    <x v="1"/>
    <n v="13"/>
    <n v="3"/>
    <n v="3"/>
    <n v="1"/>
    <n v="22"/>
    <n v="3"/>
    <n v="4"/>
    <n v="17"/>
    <n v="13"/>
    <n v="15"/>
    <n v="2"/>
    <s v="College"/>
    <s v="High"/>
    <s v="High"/>
    <x v="3"/>
    <s v="High"/>
    <s v="Excellent"/>
    <s v="High"/>
    <x v="3"/>
    <s v="Low"/>
    <x v="0"/>
  </r>
  <r>
    <x v="7"/>
    <x v="1"/>
    <x v="0"/>
    <n v="231"/>
    <x v="0"/>
    <n v="8"/>
    <n v="2"/>
    <x v="1"/>
    <n v="982"/>
    <n v="3"/>
    <x v="1"/>
    <n v="3"/>
    <n v="3"/>
    <x v="0"/>
    <n v="3"/>
    <s v="Divorced"/>
    <n v="7264"/>
    <n v="5"/>
    <x v="1"/>
    <n v="11"/>
    <n v="3"/>
    <n v="1"/>
    <n v="1"/>
    <n v="10"/>
    <n v="2"/>
    <n v="4"/>
    <n v="8"/>
    <n v="4"/>
    <n v="7"/>
    <n v="7"/>
    <s v="College"/>
    <s v="High"/>
    <s v="High"/>
    <x v="2"/>
    <s v="High"/>
    <s v="Excellent"/>
    <s v="Low"/>
    <x v="3"/>
    <s v="Low"/>
    <x v="1"/>
  </r>
  <r>
    <x v="8"/>
    <x v="1"/>
    <x v="2"/>
    <n v="152"/>
    <x v="0"/>
    <n v="10"/>
    <n v="3"/>
    <x v="4"/>
    <n v="983"/>
    <n v="3"/>
    <x v="0"/>
    <n v="3"/>
    <n v="2"/>
    <x v="0"/>
    <n v="4"/>
    <s v="Single"/>
    <n v="5666"/>
    <n v="1"/>
    <x v="0"/>
    <n v="13"/>
    <n v="3"/>
    <n v="2"/>
    <n v="0"/>
    <n v="6"/>
    <n v="1"/>
    <n v="3"/>
    <n v="5"/>
    <n v="3"/>
    <n v="1"/>
    <n v="3"/>
    <s v="Bachelor"/>
    <s v="High"/>
    <s v="High"/>
    <x v="0"/>
    <s v="Very High"/>
    <s v="Excellent"/>
    <s v="Medium"/>
    <x v="1"/>
    <s v="No_stock"/>
    <x v="1"/>
  </r>
  <r>
    <x v="10"/>
    <x v="1"/>
    <x v="0"/>
    <n v="882"/>
    <x v="0"/>
    <n v="3"/>
    <n v="4"/>
    <x v="0"/>
    <n v="984"/>
    <n v="4"/>
    <x v="1"/>
    <n v="3"/>
    <n v="3"/>
    <x v="0"/>
    <n v="4"/>
    <s v="Divorced"/>
    <n v="7823"/>
    <n v="6"/>
    <x v="1"/>
    <n v="13"/>
    <n v="3"/>
    <n v="2"/>
    <n v="1"/>
    <n v="12"/>
    <n v="2"/>
    <n v="3"/>
    <n v="10"/>
    <n v="9"/>
    <n v="0"/>
    <n v="8"/>
    <s v="Master"/>
    <s v="Very High"/>
    <s v="High"/>
    <x v="2"/>
    <s v="Very High"/>
    <s v="Excellent"/>
    <s v="Medium"/>
    <x v="1"/>
    <s v="Low"/>
    <x v="0"/>
  </r>
  <r>
    <x v="22"/>
    <x v="1"/>
    <x v="0"/>
    <n v="903"/>
    <x v="0"/>
    <n v="2"/>
    <n v="5"/>
    <x v="0"/>
    <n v="985"/>
    <n v="1"/>
    <x v="1"/>
    <n v="4"/>
    <n v="3"/>
    <x v="0"/>
    <n v="3"/>
    <s v="Single"/>
    <n v="7880"/>
    <n v="0"/>
    <x v="1"/>
    <n v="18"/>
    <n v="3"/>
    <n v="4"/>
    <n v="0"/>
    <n v="9"/>
    <n v="3"/>
    <n v="3"/>
    <n v="8"/>
    <n v="7"/>
    <n v="0"/>
    <n v="7"/>
    <s v="Doctor"/>
    <s v="Low"/>
    <s v="Very High"/>
    <x v="2"/>
    <s v="High"/>
    <s v="Excellent"/>
    <s v="Very High"/>
    <x v="1"/>
    <s v="No_stock"/>
    <x v="0"/>
  </r>
  <r>
    <x v="32"/>
    <x v="0"/>
    <x v="2"/>
    <n v="1479"/>
    <x v="0"/>
    <n v="24"/>
    <n v="3"/>
    <x v="0"/>
    <n v="986"/>
    <n v="2"/>
    <x v="0"/>
    <n v="4"/>
    <n v="4"/>
    <x v="0"/>
    <n v="2"/>
    <s v="Single"/>
    <n v="13194"/>
    <n v="4"/>
    <x v="0"/>
    <n v="16"/>
    <n v="3"/>
    <n v="4"/>
    <n v="0"/>
    <n v="22"/>
    <n v="2"/>
    <n v="2"/>
    <n v="1"/>
    <n v="0"/>
    <n v="0"/>
    <n v="0"/>
    <s v="Bachelor"/>
    <s v="Medium"/>
    <s v="Very High"/>
    <x v="3"/>
    <s v="Medium"/>
    <s v="Excellent"/>
    <s v="Very High"/>
    <x v="2"/>
    <s v="No_stock"/>
    <x v="2"/>
  </r>
  <r>
    <x v="40"/>
    <x v="1"/>
    <x v="1"/>
    <n v="1379"/>
    <x v="1"/>
    <n v="16"/>
    <n v="4"/>
    <x v="2"/>
    <n v="987"/>
    <n v="3"/>
    <x v="1"/>
    <n v="4"/>
    <n v="2"/>
    <x v="3"/>
    <n v="3"/>
    <s v="Divorced"/>
    <n v="5067"/>
    <n v="1"/>
    <x v="0"/>
    <n v="19"/>
    <n v="3"/>
    <n v="3"/>
    <n v="0"/>
    <n v="20"/>
    <n v="3"/>
    <n v="4"/>
    <n v="19"/>
    <n v="10"/>
    <n v="2"/>
    <n v="7"/>
    <s v="Master"/>
    <s v="High"/>
    <s v="Very High"/>
    <x v="0"/>
    <s v="High"/>
    <s v="Excellent"/>
    <s v="High"/>
    <x v="3"/>
    <s v="No_stock"/>
    <x v="2"/>
  </r>
  <r>
    <x v="9"/>
    <x v="1"/>
    <x v="2"/>
    <n v="1229"/>
    <x v="0"/>
    <n v="8"/>
    <n v="4"/>
    <x v="4"/>
    <n v="990"/>
    <n v="1"/>
    <x v="1"/>
    <n v="3"/>
    <n v="2"/>
    <x v="0"/>
    <n v="4"/>
    <s v="Divorced"/>
    <n v="5079"/>
    <n v="4"/>
    <x v="1"/>
    <n v="13"/>
    <n v="3"/>
    <n v="4"/>
    <n v="2"/>
    <n v="12"/>
    <n v="3"/>
    <n v="3"/>
    <n v="7"/>
    <n v="7"/>
    <n v="0"/>
    <n v="7"/>
    <s v="Master"/>
    <s v="Low"/>
    <s v="High"/>
    <x v="0"/>
    <s v="Very High"/>
    <s v="Excellent"/>
    <s v="Very High"/>
    <x v="1"/>
    <s v="Medium"/>
    <x v="1"/>
  </r>
  <r>
    <x v="12"/>
    <x v="0"/>
    <x v="2"/>
    <n v="335"/>
    <x v="1"/>
    <n v="9"/>
    <n v="2"/>
    <x v="2"/>
    <n v="991"/>
    <n v="3"/>
    <x v="1"/>
    <n v="2"/>
    <n v="1"/>
    <x v="1"/>
    <n v="1"/>
    <s v="Single"/>
    <n v="2321"/>
    <n v="0"/>
    <x v="0"/>
    <n v="22"/>
    <n v="4"/>
    <n v="1"/>
    <n v="0"/>
    <n v="4"/>
    <n v="0"/>
    <n v="3"/>
    <n v="3"/>
    <n v="2"/>
    <n v="1"/>
    <n v="2"/>
    <s v="College"/>
    <s v="High"/>
    <s v="Medium"/>
    <x v="1"/>
    <s v="Low"/>
    <s v="Outstanding"/>
    <s v="Low"/>
    <x v="1"/>
    <s v="No_stock"/>
    <x v="1"/>
  </r>
  <r>
    <x v="3"/>
    <x v="1"/>
    <x v="2"/>
    <n v="722"/>
    <x v="0"/>
    <n v="17"/>
    <n v="3"/>
    <x v="0"/>
    <n v="992"/>
    <n v="4"/>
    <x v="1"/>
    <n v="3"/>
    <n v="4"/>
    <x v="5"/>
    <n v="3"/>
    <s v="Single"/>
    <n v="17444"/>
    <n v="1"/>
    <x v="1"/>
    <n v="11"/>
    <n v="3"/>
    <n v="4"/>
    <n v="0"/>
    <n v="10"/>
    <n v="2"/>
    <n v="3"/>
    <n v="10"/>
    <n v="8"/>
    <n v="6"/>
    <n v="0"/>
    <s v="Bachelor"/>
    <s v="Very High"/>
    <s v="High"/>
    <x v="3"/>
    <s v="High"/>
    <s v="Excellent"/>
    <s v="Very High"/>
    <x v="1"/>
    <s v="No_stock"/>
    <x v="2"/>
  </r>
  <r>
    <x v="11"/>
    <x v="0"/>
    <x v="0"/>
    <n v="906"/>
    <x v="1"/>
    <n v="10"/>
    <n v="3"/>
    <x v="0"/>
    <n v="994"/>
    <n v="4"/>
    <x v="0"/>
    <n v="2"/>
    <n v="1"/>
    <x v="1"/>
    <n v="1"/>
    <s v="Single"/>
    <n v="2404"/>
    <n v="6"/>
    <x v="0"/>
    <n v="20"/>
    <n v="4"/>
    <n v="3"/>
    <n v="0"/>
    <n v="3"/>
    <n v="5"/>
    <n v="3"/>
    <n v="0"/>
    <n v="0"/>
    <n v="0"/>
    <n v="0"/>
    <s v="Bachelor"/>
    <s v="Very High"/>
    <s v="Medium"/>
    <x v="1"/>
    <s v="Low"/>
    <s v="Outstanding"/>
    <s v="High"/>
    <x v="1"/>
    <s v="No_stock"/>
    <x v="1"/>
  </r>
  <r>
    <x v="3"/>
    <x v="1"/>
    <x v="0"/>
    <n v="461"/>
    <x v="1"/>
    <n v="13"/>
    <n v="1"/>
    <x v="0"/>
    <n v="995"/>
    <n v="2"/>
    <x v="0"/>
    <n v="3"/>
    <n v="1"/>
    <x v="1"/>
    <n v="4"/>
    <s v="Single"/>
    <n v="3452"/>
    <n v="3"/>
    <x v="1"/>
    <n v="18"/>
    <n v="3"/>
    <n v="1"/>
    <n v="0"/>
    <n v="5"/>
    <n v="4"/>
    <n v="3"/>
    <n v="3"/>
    <n v="2"/>
    <n v="0"/>
    <n v="2"/>
    <s v="Before College"/>
    <s v="Medium"/>
    <s v="High"/>
    <x v="1"/>
    <s v="Very High"/>
    <s v="Excellent"/>
    <s v="Low"/>
    <x v="1"/>
    <s v="No_stock"/>
    <x v="1"/>
  </r>
  <r>
    <x v="28"/>
    <x v="1"/>
    <x v="0"/>
    <n v="974"/>
    <x v="1"/>
    <n v="1"/>
    <n v="4"/>
    <x v="2"/>
    <n v="996"/>
    <n v="4"/>
    <x v="0"/>
    <n v="3"/>
    <n v="1"/>
    <x v="2"/>
    <n v="4"/>
    <s v="Divorced"/>
    <n v="2270"/>
    <n v="3"/>
    <x v="1"/>
    <n v="14"/>
    <n v="3"/>
    <n v="4"/>
    <n v="2"/>
    <n v="8"/>
    <n v="2"/>
    <n v="3"/>
    <n v="5"/>
    <n v="3"/>
    <n v="0"/>
    <n v="2"/>
    <s v="Master"/>
    <s v="Very High"/>
    <s v="High"/>
    <x v="1"/>
    <s v="Very High"/>
    <s v="Excellent"/>
    <s v="Very High"/>
    <x v="1"/>
    <s v="Medium"/>
    <x v="0"/>
  </r>
  <r>
    <x v="24"/>
    <x v="1"/>
    <x v="0"/>
    <n v="1126"/>
    <x v="1"/>
    <n v="1"/>
    <n v="2"/>
    <x v="2"/>
    <n v="997"/>
    <n v="4"/>
    <x v="1"/>
    <n v="3"/>
    <n v="4"/>
    <x v="7"/>
    <n v="4"/>
    <s v="Divorced"/>
    <n v="17399"/>
    <n v="9"/>
    <x v="1"/>
    <n v="22"/>
    <n v="4"/>
    <n v="3"/>
    <n v="1"/>
    <n v="32"/>
    <n v="1"/>
    <n v="2"/>
    <n v="5"/>
    <n v="4"/>
    <n v="1"/>
    <n v="3"/>
    <s v="College"/>
    <s v="Very High"/>
    <s v="High"/>
    <x v="3"/>
    <s v="Very High"/>
    <s v="Outstanding"/>
    <s v="High"/>
    <x v="2"/>
    <s v="Low"/>
    <x v="0"/>
  </r>
  <r>
    <x v="3"/>
    <x v="1"/>
    <x v="1"/>
    <n v="827"/>
    <x v="1"/>
    <n v="1"/>
    <n v="4"/>
    <x v="1"/>
    <n v="998"/>
    <n v="3"/>
    <x v="0"/>
    <n v="4"/>
    <n v="2"/>
    <x v="4"/>
    <n v="2"/>
    <s v="Married"/>
    <n v="5488"/>
    <n v="1"/>
    <x v="0"/>
    <n v="13"/>
    <n v="3"/>
    <n v="1"/>
    <n v="1"/>
    <n v="6"/>
    <n v="2"/>
    <n v="3"/>
    <n v="6"/>
    <n v="5"/>
    <n v="1"/>
    <n v="2"/>
    <s v="Master"/>
    <s v="High"/>
    <s v="Very High"/>
    <x v="0"/>
    <s v="Medium"/>
    <s v="Excellent"/>
    <s v="Low"/>
    <x v="1"/>
    <s v="Low"/>
    <x v="0"/>
  </r>
  <r>
    <x v="0"/>
    <x v="1"/>
    <x v="1"/>
    <n v="840"/>
    <x v="1"/>
    <n v="9"/>
    <n v="3"/>
    <x v="2"/>
    <n v="999"/>
    <n v="1"/>
    <x v="1"/>
    <n v="3"/>
    <n v="5"/>
    <x v="7"/>
    <n v="3"/>
    <s v="Divorced"/>
    <n v="19419"/>
    <n v="2"/>
    <x v="1"/>
    <n v="17"/>
    <n v="3"/>
    <n v="2"/>
    <n v="1"/>
    <n v="21"/>
    <n v="2"/>
    <n v="4"/>
    <n v="18"/>
    <n v="16"/>
    <n v="0"/>
    <n v="11"/>
    <s v="Bachelor"/>
    <s v="Low"/>
    <s v="High"/>
    <x v="4"/>
    <s v="High"/>
    <s v="Excellent"/>
    <s v="Medium"/>
    <x v="3"/>
    <s v="Low"/>
    <x v="1"/>
  </r>
  <r>
    <x v="4"/>
    <x v="1"/>
    <x v="0"/>
    <n v="1134"/>
    <x v="1"/>
    <n v="16"/>
    <n v="4"/>
    <x v="4"/>
    <n v="1001"/>
    <n v="3"/>
    <x v="0"/>
    <n v="3"/>
    <n v="1"/>
    <x v="2"/>
    <n v="2"/>
    <s v="Married"/>
    <n v="2811"/>
    <n v="9"/>
    <x v="1"/>
    <n v="14"/>
    <n v="3"/>
    <n v="2"/>
    <n v="1"/>
    <n v="4"/>
    <n v="2"/>
    <n v="3"/>
    <n v="2"/>
    <n v="2"/>
    <n v="2"/>
    <n v="2"/>
    <s v="Master"/>
    <s v="High"/>
    <s v="High"/>
    <x v="1"/>
    <s v="Medium"/>
    <s v="Excellent"/>
    <s v="Medium"/>
    <x v="1"/>
    <s v="Low"/>
    <x v="2"/>
  </r>
  <r>
    <x v="28"/>
    <x v="1"/>
    <x v="2"/>
    <n v="248"/>
    <x v="1"/>
    <n v="23"/>
    <n v="2"/>
    <x v="0"/>
    <n v="1002"/>
    <n v="4"/>
    <x v="1"/>
    <n v="3"/>
    <n v="2"/>
    <x v="2"/>
    <n v="1"/>
    <s v="Married"/>
    <n v="3633"/>
    <n v="1"/>
    <x v="0"/>
    <n v="15"/>
    <n v="3"/>
    <n v="3"/>
    <n v="1"/>
    <n v="9"/>
    <n v="2"/>
    <n v="3"/>
    <n v="9"/>
    <n v="8"/>
    <n v="0"/>
    <n v="8"/>
    <s v="College"/>
    <s v="Very High"/>
    <s v="High"/>
    <x v="0"/>
    <s v="Low"/>
    <s v="Excellent"/>
    <s v="High"/>
    <x v="1"/>
    <s v="Low"/>
    <x v="2"/>
  </r>
  <r>
    <x v="40"/>
    <x v="1"/>
    <x v="0"/>
    <n v="955"/>
    <x v="0"/>
    <n v="4"/>
    <n v="2"/>
    <x v="0"/>
    <n v="1003"/>
    <n v="4"/>
    <x v="0"/>
    <n v="3"/>
    <n v="2"/>
    <x v="0"/>
    <n v="4"/>
    <s v="Single"/>
    <n v="4163"/>
    <n v="1"/>
    <x v="0"/>
    <n v="17"/>
    <n v="3"/>
    <n v="3"/>
    <n v="0"/>
    <n v="9"/>
    <n v="0"/>
    <n v="3"/>
    <n v="9"/>
    <n v="0"/>
    <n v="0"/>
    <n v="7"/>
    <s v="College"/>
    <s v="Very High"/>
    <s v="High"/>
    <x v="0"/>
    <s v="Very High"/>
    <s v="Excellent"/>
    <s v="High"/>
    <x v="1"/>
    <s v="No_stock"/>
    <x v="0"/>
  </r>
  <r>
    <x v="7"/>
    <x v="0"/>
    <x v="0"/>
    <n v="138"/>
    <x v="1"/>
    <n v="22"/>
    <n v="3"/>
    <x v="0"/>
    <n v="1004"/>
    <n v="1"/>
    <x v="0"/>
    <n v="3"/>
    <n v="1"/>
    <x v="1"/>
    <n v="3"/>
    <s v="Married"/>
    <n v="2132"/>
    <n v="4"/>
    <x v="0"/>
    <n v="11"/>
    <n v="3"/>
    <n v="2"/>
    <n v="0"/>
    <n v="7"/>
    <n v="2"/>
    <n v="3"/>
    <n v="5"/>
    <n v="2"/>
    <n v="0"/>
    <n v="1"/>
    <s v="Bachelor"/>
    <s v="Low"/>
    <s v="High"/>
    <x v="1"/>
    <s v="High"/>
    <s v="Excellent"/>
    <s v="Medium"/>
    <x v="1"/>
    <s v="No_stock"/>
    <x v="2"/>
  </r>
  <r>
    <x v="24"/>
    <x v="1"/>
    <x v="0"/>
    <n v="939"/>
    <x v="1"/>
    <n v="24"/>
    <n v="3"/>
    <x v="0"/>
    <n v="1005"/>
    <n v="4"/>
    <x v="1"/>
    <n v="3"/>
    <n v="4"/>
    <x v="3"/>
    <n v="3"/>
    <s v="Married"/>
    <n v="13973"/>
    <n v="3"/>
    <x v="0"/>
    <n v="18"/>
    <n v="3"/>
    <n v="4"/>
    <n v="1"/>
    <n v="22"/>
    <n v="2"/>
    <n v="3"/>
    <n v="12"/>
    <n v="11"/>
    <n v="1"/>
    <n v="5"/>
    <s v="Bachelor"/>
    <s v="Very High"/>
    <s v="High"/>
    <x v="3"/>
    <s v="High"/>
    <s v="Excellent"/>
    <s v="Very High"/>
    <x v="1"/>
    <s v="Low"/>
    <x v="2"/>
  </r>
  <r>
    <x v="8"/>
    <x v="1"/>
    <x v="1"/>
    <n v="1391"/>
    <x v="1"/>
    <n v="10"/>
    <n v="1"/>
    <x v="2"/>
    <n v="1006"/>
    <n v="3"/>
    <x v="1"/>
    <n v="3"/>
    <n v="1"/>
    <x v="1"/>
    <n v="3"/>
    <s v="Married"/>
    <n v="2684"/>
    <n v="0"/>
    <x v="1"/>
    <n v="17"/>
    <n v="3"/>
    <n v="2"/>
    <n v="1"/>
    <n v="3"/>
    <n v="0"/>
    <n v="2"/>
    <n v="2"/>
    <n v="1"/>
    <n v="0"/>
    <n v="2"/>
    <s v="Before College"/>
    <s v="High"/>
    <s v="High"/>
    <x v="1"/>
    <s v="High"/>
    <s v="Excellent"/>
    <s v="Medium"/>
    <x v="2"/>
    <s v="Low"/>
    <x v="1"/>
  </r>
  <r>
    <x v="21"/>
    <x v="1"/>
    <x v="0"/>
    <n v="566"/>
    <x v="1"/>
    <n v="7"/>
    <n v="2"/>
    <x v="2"/>
    <n v="1007"/>
    <n v="4"/>
    <x v="1"/>
    <n v="3"/>
    <n v="3"/>
    <x v="3"/>
    <n v="3"/>
    <s v="Divorced"/>
    <n v="10845"/>
    <n v="6"/>
    <x v="1"/>
    <n v="13"/>
    <n v="3"/>
    <n v="2"/>
    <n v="1"/>
    <n v="13"/>
    <n v="3"/>
    <n v="3"/>
    <n v="8"/>
    <n v="7"/>
    <n v="0"/>
    <n v="7"/>
    <s v="College"/>
    <s v="Very High"/>
    <s v="High"/>
    <x v="2"/>
    <s v="High"/>
    <s v="Excellent"/>
    <s v="Medium"/>
    <x v="1"/>
    <s v="Low"/>
    <x v="1"/>
  </r>
  <r>
    <x v="17"/>
    <x v="1"/>
    <x v="0"/>
    <n v="1206"/>
    <x v="1"/>
    <n v="17"/>
    <n v="1"/>
    <x v="2"/>
    <n v="1009"/>
    <n v="4"/>
    <x v="0"/>
    <n v="2"/>
    <n v="2"/>
    <x v="3"/>
    <n v="3"/>
    <s v="Divorced"/>
    <n v="4377"/>
    <n v="1"/>
    <x v="1"/>
    <n v="15"/>
    <n v="3"/>
    <n v="2"/>
    <n v="2"/>
    <n v="5"/>
    <n v="6"/>
    <n v="3"/>
    <n v="4"/>
    <n v="2"/>
    <n v="3"/>
    <n v="2"/>
    <s v="Before College"/>
    <s v="Very High"/>
    <s v="Medium"/>
    <x v="0"/>
    <s v="High"/>
    <s v="Excellent"/>
    <s v="Medium"/>
    <x v="1"/>
    <s v="Medium"/>
    <x v="2"/>
  </r>
  <r>
    <x v="10"/>
    <x v="0"/>
    <x v="0"/>
    <n v="622"/>
    <x v="1"/>
    <n v="14"/>
    <n v="4"/>
    <x v="1"/>
    <n v="1010"/>
    <n v="3"/>
    <x v="1"/>
    <n v="2"/>
    <n v="1"/>
    <x v="2"/>
    <n v="2"/>
    <s v="Divorced"/>
    <n v="3743"/>
    <n v="1"/>
    <x v="0"/>
    <n v="24"/>
    <n v="4"/>
    <n v="4"/>
    <n v="1"/>
    <n v="5"/>
    <n v="2"/>
    <n v="1"/>
    <n v="4"/>
    <n v="2"/>
    <n v="0"/>
    <n v="2"/>
    <s v="Master"/>
    <s v="High"/>
    <s v="Medium"/>
    <x v="1"/>
    <s v="Medium"/>
    <s v="Outstanding"/>
    <s v="Very High"/>
    <x v="0"/>
    <s v="Low"/>
    <x v="1"/>
  </r>
  <r>
    <x v="12"/>
    <x v="1"/>
    <x v="1"/>
    <n v="853"/>
    <x v="1"/>
    <n v="1"/>
    <n v="1"/>
    <x v="0"/>
    <n v="1011"/>
    <n v="3"/>
    <x v="0"/>
    <n v="3"/>
    <n v="2"/>
    <x v="3"/>
    <n v="1"/>
    <s v="Married"/>
    <n v="4148"/>
    <n v="1"/>
    <x v="1"/>
    <n v="12"/>
    <n v="3"/>
    <n v="3"/>
    <n v="1"/>
    <n v="4"/>
    <n v="1"/>
    <n v="3"/>
    <n v="4"/>
    <n v="3"/>
    <n v="0"/>
    <n v="3"/>
    <s v="Before College"/>
    <s v="High"/>
    <s v="High"/>
    <x v="0"/>
    <s v="Low"/>
    <s v="Excellent"/>
    <s v="High"/>
    <x v="1"/>
    <s v="Low"/>
    <x v="0"/>
  </r>
  <r>
    <x v="41"/>
    <x v="1"/>
    <x v="2"/>
    <n v="287"/>
    <x v="1"/>
    <n v="5"/>
    <n v="2"/>
    <x v="0"/>
    <n v="1012"/>
    <n v="2"/>
    <x v="1"/>
    <n v="3"/>
    <n v="1"/>
    <x v="1"/>
    <n v="4"/>
    <s v="Single"/>
    <n v="1051"/>
    <n v="1"/>
    <x v="1"/>
    <n v="15"/>
    <n v="3"/>
    <n v="4"/>
    <n v="0"/>
    <n v="0"/>
    <n v="2"/>
    <n v="3"/>
    <n v="0"/>
    <n v="0"/>
    <n v="0"/>
    <n v="0"/>
    <s v="College"/>
    <s v="Medium"/>
    <s v="High"/>
    <x v="1"/>
    <s v="Very High"/>
    <s v="Excellent"/>
    <s v="Very High"/>
    <x v="1"/>
    <s v="No_stock"/>
    <x v="0"/>
  </r>
  <r>
    <x v="33"/>
    <x v="1"/>
    <x v="0"/>
    <n v="1441"/>
    <x v="1"/>
    <n v="17"/>
    <n v="3"/>
    <x v="4"/>
    <n v="1013"/>
    <n v="3"/>
    <x v="0"/>
    <n v="3"/>
    <n v="3"/>
    <x v="3"/>
    <n v="3"/>
    <s v="Married"/>
    <n v="10739"/>
    <n v="8"/>
    <x v="1"/>
    <n v="11"/>
    <n v="3"/>
    <n v="3"/>
    <n v="1"/>
    <n v="22"/>
    <n v="2"/>
    <n v="3"/>
    <n v="10"/>
    <n v="7"/>
    <n v="0"/>
    <n v="8"/>
    <s v="Bachelor"/>
    <s v="High"/>
    <s v="High"/>
    <x v="2"/>
    <s v="High"/>
    <s v="Excellent"/>
    <s v="High"/>
    <x v="1"/>
    <s v="Low"/>
    <x v="2"/>
  </r>
  <r>
    <x v="10"/>
    <x v="1"/>
    <x v="0"/>
    <n v="583"/>
    <x v="1"/>
    <n v="25"/>
    <n v="4"/>
    <x v="2"/>
    <n v="1014"/>
    <n v="3"/>
    <x v="0"/>
    <n v="3"/>
    <n v="3"/>
    <x v="4"/>
    <n v="3"/>
    <s v="Divorced"/>
    <n v="10388"/>
    <n v="1"/>
    <x v="0"/>
    <n v="11"/>
    <n v="3"/>
    <n v="3"/>
    <n v="1"/>
    <n v="16"/>
    <n v="3"/>
    <n v="2"/>
    <n v="16"/>
    <n v="10"/>
    <n v="10"/>
    <n v="1"/>
    <s v="Master"/>
    <s v="High"/>
    <s v="High"/>
    <x v="2"/>
    <s v="High"/>
    <s v="Excellent"/>
    <s v="High"/>
    <x v="2"/>
    <s v="Low"/>
    <x v="2"/>
  </r>
  <r>
    <x v="7"/>
    <x v="1"/>
    <x v="0"/>
    <n v="153"/>
    <x v="1"/>
    <n v="8"/>
    <n v="2"/>
    <x v="0"/>
    <n v="1015"/>
    <n v="2"/>
    <x v="0"/>
    <n v="4"/>
    <n v="3"/>
    <x v="7"/>
    <n v="1"/>
    <s v="Married"/>
    <n v="11416"/>
    <n v="0"/>
    <x v="0"/>
    <n v="12"/>
    <n v="3"/>
    <n v="3"/>
    <n v="3"/>
    <n v="9"/>
    <n v="4"/>
    <n v="2"/>
    <n v="8"/>
    <n v="7"/>
    <n v="1"/>
    <n v="7"/>
    <s v="College"/>
    <s v="Medium"/>
    <s v="Very High"/>
    <x v="2"/>
    <s v="Low"/>
    <s v="Excellent"/>
    <s v="High"/>
    <x v="2"/>
    <s v="High"/>
    <x v="1"/>
  </r>
  <r>
    <x v="35"/>
    <x v="0"/>
    <x v="0"/>
    <n v="1097"/>
    <x v="1"/>
    <n v="11"/>
    <n v="3"/>
    <x v="2"/>
    <n v="1016"/>
    <n v="4"/>
    <x v="0"/>
    <n v="2"/>
    <n v="1"/>
    <x v="1"/>
    <n v="1"/>
    <s v="Single"/>
    <n v="2600"/>
    <n v="1"/>
    <x v="0"/>
    <n v="15"/>
    <n v="3"/>
    <n v="1"/>
    <n v="0"/>
    <n v="1"/>
    <n v="2"/>
    <n v="3"/>
    <n v="1"/>
    <n v="0"/>
    <n v="0"/>
    <n v="0"/>
    <s v="Bachelor"/>
    <s v="Very High"/>
    <s v="Medium"/>
    <x v="1"/>
    <s v="Low"/>
    <s v="Excellent"/>
    <s v="Low"/>
    <x v="1"/>
    <s v="No_stock"/>
    <x v="1"/>
  </r>
  <r>
    <x v="7"/>
    <x v="0"/>
    <x v="1"/>
    <n v="109"/>
    <x v="1"/>
    <n v="5"/>
    <n v="3"/>
    <x v="2"/>
    <n v="1017"/>
    <n v="2"/>
    <x v="0"/>
    <n v="3"/>
    <n v="1"/>
    <x v="2"/>
    <n v="2"/>
    <s v="Single"/>
    <n v="2422"/>
    <n v="0"/>
    <x v="1"/>
    <n v="17"/>
    <n v="3"/>
    <n v="1"/>
    <n v="0"/>
    <n v="4"/>
    <n v="3"/>
    <n v="3"/>
    <n v="3"/>
    <n v="2"/>
    <n v="1"/>
    <n v="2"/>
    <s v="Bachelor"/>
    <s v="Medium"/>
    <s v="High"/>
    <x v="1"/>
    <s v="Medium"/>
    <s v="Excellent"/>
    <s v="Low"/>
    <x v="1"/>
    <s v="No_stock"/>
    <x v="0"/>
  </r>
  <r>
    <x v="25"/>
    <x v="1"/>
    <x v="0"/>
    <n v="1066"/>
    <x v="1"/>
    <n v="2"/>
    <n v="2"/>
    <x v="2"/>
    <n v="1018"/>
    <n v="4"/>
    <x v="1"/>
    <n v="4"/>
    <n v="2"/>
    <x v="3"/>
    <n v="4"/>
    <s v="Married"/>
    <n v="5472"/>
    <n v="1"/>
    <x v="1"/>
    <n v="12"/>
    <n v="3"/>
    <n v="2"/>
    <n v="0"/>
    <n v="8"/>
    <n v="2"/>
    <n v="3"/>
    <n v="8"/>
    <n v="7"/>
    <n v="1"/>
    <n v="3"/>
    <s v="College"/>
    <s v="Very High"/>
    <s v="Very High"/>
    <x v="0"/>
    <s v="Very High"/>
    <s v="Excellent"/>
    <s v="Medium"/>
    <x v="1"/>
    <s v="No_stock"/>
    <x v="0"/>
  </r>
  <r>
    <x v="15"/>
    <x v="1"/>
    <x v="0"/>
    <n v="217"/>
    <x v="1"/>
    <n v="8"/>
    <n v="1"/>
    <x v="0"/>
    <n v="1019"/>
    <n v="2"/>
    <x v="1"/>
    <n v="1"/>
    <n v="1"/>
    <x v="2"/>
    <n v="1"/>
    <s v="Married"/>
    <n v="2451"/>
    <n v="1"/>
    <x v="1"/>
    <n v="15"/>
    <n v="3"/>
    <n v="1"/>
    <n v="1"/>
    <n v="4"/>
    <n v="3"/>
    <n v="2"/>
    <n v="4"/>
    <n v="3"/>
    <n v="1"/>
    <n v="1"/>
    <s v="Before College"/>
    <s v="Medium"/>
    <s v="Low"/>
    <x v="1"/>
    <s v="Low"/>
    <s v="Excellent"/>
    <s v="Low"/>
    <x v="2"/>
    <s v="Low"/>
    <x v="1"/>
  </r>
  <r>
    <x v="26"/>
    <x v="1"/>
    <x v="0"/>
    <n v="277"/>
    <x v="1"/>
    <n v="6"/>
    <n v="3"/>
    <x v="0"/>
    <n v="1022"/>
    <n v="1"/>
    <x v="1"/>
    <n v="2"/>
    <n v="2"/>
    <x v="4"/>
    <n v="3"/>
    <s v="Single"/>
    <n v="4240"/>
    <n v="2"/>
    <x v="1"/>
    <n v="13"/>
    <n v="3"/>
    <n v="4"/>
    <n v="0"/>
    <n v="19"/>
    <n v="0"/>
    <n v="3"/>
    <n v="2"/>
    <n v="2"/>
    <n v="2"/>
    <n v="2"/>
    <s v="Bachelor"/>
    <s v="Low"/>
    <s v="Medium"/>
    <x v="0"/>
    <s v="High"/>
    <s v="Excellent"/>
    <s v="Very High"/>
    <x v="1"/>
    <s v="No_stock"/>
    <x v="1"/>
  </r>
  <r>
    <x v="26"/>
    <x v="1"/>
    <x v="0"/>
    <n v="1355"/>
    <x v="1"/>
    <n v="4"/>
    <n v="4"/>
    <x v="0"/>
    <n v="1024"/>
    <n v="3"/>
    <x v="1"/>
    <n v="2"/>
    <n v="3"/>
    <x v="4"/>
    <n v="3"/>
    <s v="Single"/>
    <n v="10999"/>
    <n v="7"/>
    <x v="1"/>
    <n v="14"/>
    <n v="3"/>
    <n v="2"/>
    <n v="0"/>
    <n v="27"/>
    <n v="3"/>
    <n v="3"/>
    <n v="15"/>
    <n v="11"/>
    <n v="4"/>
    <n v="8"/>
    <s v="Master"/>
    <s v="High"/>
    <s v="Medium"/>
    <x v="2"/>
    <s v="High"/>
    <s v="Excellent"/>
    <s v="Medium"/>
    <x v="1"/>
    <s v="No_stock"/>
    <x v="0"/>
  </r>
  <r>
    <x v="0"/>
    <x v="1"/>
    <x v="0"/>
    <n v="549"/>
    <x v="1"/>
    <n v="7"/>
    <n v="2"/>
    <x v="2"/>
    <n v="1025"/>
    <n v="4"/>
    <x v="0"/>
    <n v="3"/>
    <n v="2"/>
    <x v="3"/>
    <n v="3"/>
    <s v="Single"/>
    <n v="5003"/>
    <n v="6"/>
    <x v="1"/>
    <n v="14"/>
    <n v="3"/>
    <n v="2"/>
    <n v="0"/>
    <n v="8"/>
    <n v="6"/>
    <n v="3"/>
    <n v="2"/>
    <n v="2"/>
    <n v="2"/>
    <n v="1"/>
    <s v="College"/>
    <s v="Very High"/>
    <s v="High"/>
    <x v="0"/>
    <s v="High"/>
    <s v="Excellent"/>
    <s v="Medium"/>
    <x v="1"/>
    <s v="No_stock"/>
    <x v="1"/>
  </r>
  <r>
    <x v="22"/>
    <x v="1"/>
    <x v="0"/>
    <n v="466"/>
    <x v="1"/>
    <n v="1"/>
    <n v="1"/>
    <x v="0"/>
    <n v="1026"/>
    <n v="4"/>
    <x v="0"/>
    <n v="2"/>
    <n v="4"/>
    <x v="3"/>
    <n v="4"/>
    <s v="Married"/>
    <n v="12742"/>
    <n v="1"/>
    <x v="1"/>
    <n v="16"/>
    <n v="3"/>
    <n v="3"/>
    <n v="1"/>
    <n v="21"/>
    <n v="3"/>
    <n v="3"/>
    <n v="21"/>
    <n v="6"/>
    <n v="11"/>
    <n v="8"/>
    <s v="Before College"/>
    <s v="Very High"/>
    <s v="Medium"/>
    <x v="3"/>
    <s v="Very High"/>
    <s v="Excellent"/>
    <s v="High"/>
    <x v="1"/>
    <s v="Low"/>
    <x v="0"/>
  </r>
  <r>
    <x v="4"/>
    <x v="1"/>
    <x v="0"/>
    <n v="1055"/>
    <x v="1"/>
    <n v="2"/>
    <n v="4"/>
    <x v="0"/>
    <n v="1027"/>
    <n v="1"/>
    <x v="0"/>
    <n v="3"/>
    <n v="2"/>
    <x v="3"/>
    <n v="4"/>
    <s v="Married"/>
    <n v="4227"/>
    <n v="0"/>
    <x v="1"/>
    <n v="18"/>
    <n v="3"/>
    <n v="2"/>
    <n v="1"/>
    <n v="4"/>
    <n v="2"/>
    <n v="3"/>
    <n v="3"/>
    <n v="2"/>
    <n v="2"/>
    <n v="2"/>
    <s v="Master"/>
    <s v="Low"/>
    <s v="High"/>
    <x v="0"/>
    <s v="Very High"/>
    <s v="Excellent"/>
    <s v="Medium"/>
    <x v="1"/>
    <s v="Low"/>
    <x v="0"/>
  </r>
  <r>
    <x v="10"/>
    <x v="1"/>
    <x v="0"/>
    <n v="802"/>
    <x v="1"/>
    <n v="10"/>
    <n v="3"/>
    <x v="1"/>
    <n v="1028"/>
    <n v="2"/>
    <x v="1"/>
    <n v="3"/>
    <n v="1"/>
    <x v="2"/>
    <n v="4"/>
    <s v="Divorced"/>
    <n v="3917"/>
    <n v="1"/>
    <x v="1"/>
    <n v="20"/>
    <n v="4"/>
    <n v="1"/>
    <n v="1"/>
    <n v="3"/>
    <n v="4"/>
    <n v="2"/>
    <n v="3"/>
    <n v="2"/>
    <n v="1"/>
    <n v="2"/>
    <s v="Bachelor"/>
    <s v="Medium"/>
    <s v="High"/>
    <x v="1"/>
    <s v="Very High"/>
    <s v="Outstanding"/>
    <s v="Low"/>
    <x v="2"/>
    <s v="Low"/>
    <x v="1"/>
  </r>
  <r>
    <x v="19"/>
    <x v="1"/>
    <x v="0"/>
    <n v="265"/>
    <x v="0"/>
    <n v="5"/>
    <n v="2"/>
    <x v="3"/>
    <n v="1029"/>
    <n v="4"/>
    <x v="1"/>
    <n v="3"/>
    <n v="5"/>
    <x v="5"/>
    <n v="3"/>
    <s v="Married"/>
    <n v="18303"/>
    <n v="6"/>
    <x v="1"/>
    <n v="13"/>
    <n v="3"/>
    <n v="2"/>
    <n v="0"/>
    <n v="21"/>
    <n v="3"/>
    <n v="4"/>
    <n v="1"/>
    <n v="0"/>
    <n v="0"/>
    <n v="0"/>
    <s v="College"/>
    <s v="Very High"/>
    <s v="High"/>
    <x v="4"/>
    <s v="High"/>
    <s v="Excellent"/>
    <s v="Medium"/>
    <x v="3"/>
    <s v="No_stock"/>
    <x v="0"/>
  </r>
  <r>
    <x v="24"/>
    <x v="1"/>
    <x v="0"/>
    <n v="804"/>
    <x v="1"/>
    <n v="9"/>
    <n v="3"/>
    <x v="0"/>
    <n v="1030"/>
    <n v="1"/>
    <x v="1"/>
    <n v="3"/>
    <n v="1"/>
    <x v="2"/>
    <n v="4"/>
    <s v="Married"/>
    <n v="2380"/>
    <n v="4"/>
    <x v="1"/>
    <n v="18"/>
    <n v="3"/>
    <n v="2"/>
    <n v="0"/>
    <n v="8"/>
    <n v="5"/>
    <n v="3"/>
    <n v="1"/>
    <n v="0"/>
    <n v="0"/>
    <n v="0"/>
    <s v="Bachelor"/>
    <s v="Low"/>
    <s v="High"/>
    <x v="1"/>
    <s v="Very High"/>
    <s v="Excellent"/>
    <s v="Medium"/>
    <x v="1"/>
    <s v="No_stock"/>
    <x v="1"/>
  </r>
  <r>
    <x v="6"/>
    <x v="1"/>
    <x v="0"/>
    <n v="715"/>
    <x v="1"/>
    <n v="2"/>
    <n v="3"/>
    <x v="0"/>
    <n v="1032"/>
    <n v="3"/>
    <x v="0"/>
    <n v="2"/>
    <n v="4"/>
    <x v="3"/>
    <n v="4"/>
    <s v="Single"/>
    <n v="13726"/>
    <n v="3"/>
    <x v="0"/>
    <n v="13"/>
    <n v="3"/>
    <n v="1"/>
    <n v="0"/>
    <n v="30"/>
    <n v="4"/>
    <n v="3"/>
    <n v="5"/>
    <n v="3"/>
    <n v="4"/>
    <n v="3"/>
    <s v="Bachelor"/>
    <s v="High"/>
    <s v="Medium"/>
    <x v="3"/>
    <s v="Very High"/>
    <s v="Excellent"/>
    <s v="Low"/>
    <x v="1"/>
    <s v="No_stock"/>
    <x v="0"/>
  </r>
  <r>
    <x v="2"/>
    <x v="0"/>
    <x v="0"/>
    <n v="1141"/>
    <x v="1"/>
    <n v="11"/>
    <n v="2"/>
    <x v="2"/>
    <n v="1033"/>
    <n v="1"/>
    <x v="0"/>
    <n v="1"/>
    <n v="2"/>
    <x v="4"/>
    <n v="2"/>
    <s v="Married"/>
    <n v="4777"/>
    <n v="5"/>
    <x v="1"/>
    <n v="15"/>
    <n v="3"/>
    <n v="1"/>
    <n v="0"/>
    <n v="15"/>
    <n v="2"/>
    <n v="1"/>
    <n v="1"/>
    <n v="0"/>
    <n v="0"/>
    <n v="0"/>
    <s v="College"/>
    <s v="Low"/>
    <s v="Low"/>
    <x v="0"/>
    <s v="Medium"/>
    <s v="Excellent"/>
    <s v="Low"/>
    <x v="0"/>
    <s v="No_stock"/>
    <x v="1"/>
  </r>
  <r>
    <x v="27"/>
    <x v="1"/>
    <x v="1"/>
    <n v="135"/>
    <x v="1"/>
    <n v="18"/>
    <n v="4"/>
    <x v="2"/>
    <n v="1034"/>
    <n v="3"/>
    <x v="1"/>
    <n v="3"/>
    <n v="2"/>
    <x v="4"/>
    <n v="2"/>
    <s v="Married"/>
    <n v="6385"/>
    <n v="3"/>
    <x v="0"/>
    <n v="14"/>
    <n v="3"/>
    <n v="4"/>
    <n v="2"/>
    <n v="17"/>
    <n v="3"/>
    <n v="3"/>
    <n v="8"/>
    <n v="7"/>
    <n v="6"/>
    <n v="7"/>
    <s v="Master"/>
    <s v="High"/>
    <s v="High"/>
    <x v="0"/>
    <s v="Medium"/>
    <s v="Excellent"/>
    <s v="Very High"/>
    <x v="1"/>
    <s v="Medium"/>
    <x v="2"/>
  </r>
  <r>
    <x v="0"/>
    <x v="1"/>
    <x v="2"/>
    <n v="247"/>
    <x v="1"/>
    <n v="7"/>
    <n v="1"/>
    <x v="0"/>
    <n v="1035"/>
    <n v="2"/>
    <x v="0"/>
    <n v="1"/>
    <n v="5"/>
    <x v="7"/>
    <n v="3"/>
    <s v="Divorced"/>
    <n v="19973"/>
    <n v="1"/>
    <x v="1"/>
    <n v="22"/>
    <n v="4"/>
    <n v="2"/>
    <n v="2"/>
    <n v="21"/>
    <n v="3"/>
    <n v="3"/>
    <n v="21"/>
    <n v="16"/>
    <n v="5"/>
    <n v="10"/>
    <s v="Before College"/>
    <s v="Medium"/>
    <s v="Low"/>
    <x v="4"/>
    <s v="High"/>
    <s v="Outstanding"/>
    <s v="Medium"/>
    <x v="1"/>
    <s v="Medium"/>
    <x v="1"/>
  </r>
  <r>
    <x v="8"/>
    <x v="1"/>
    <x v="0"/>
    <n v="1035"/>
    <x v="0"/>
    <n v="3"/>
    <n v="4"/>
    <x v="0"/>
    <n v="1036"/>
    <n v="2"/>
    <x v="1"/>
    <n v="3"/>
    <n v="2"/>
    <x v="0"/>
    <n v="4"/>
    <s v="Single"/>
    <n v="6861"/>
    <n v="8"/>
    <x v="0"/>
    <n v="12"/>
    <n v="3"/>
    <n v="3"/>
    <n v="0"/>
    <n v="19"/>
    <n v="1"/>
    <n v="3"/>
    <n v="1"/>
    <n v="0"/>
    <n v="0"/>
    <n v="0"/>
    <s v="Master"/>
    <s v="Medium"/>
    <s v="High"/>
    <x v="0"/>
    <s v="Very High"/>
    <s v="Excellent"/>
    <s v="High"/>
    <x v="1"/>
    <s v="No_stock"/>
    <x v="0"/>
  </r>
  <r>
    <x v="25"/>
    <x v="0"/>
    <x v="2"/>
    <n v="265"/>
    <x v="0"/>
    <n v="29"/>
    <n v="2"/>
    <x v="2"/>
    <n v="1037"/>
    <n v="2"/>
    <x v="1"/>
    <n v="1"/>
    <n v="2"/>
    <x v="0"/>
    <n v="1"/>
    <s v="Single"/>
    <n v="4969"/>
    <n v="8"/>
    <x v="1"/>
    <n v="18"/>
    <n v="3"/>
    <n v="4"/>
    <n v="0"/>
    <n v="7"/>
    <n v="6"/>
    <n v="3"/>
    <n v="2"/>
    <n v="2"/>
    <n v="2"/>
    <n v="2"/>
    <s v="College"/>
    <s v="Medium"/>
    <s v="Low"/>
    <x v="0"/>
    <s v="Low"/>
    <s v="Excellent"/>
    <s v="Very High"/>
    <x v="1"/>
    <s v="No_stock"/>
    <x v="2"/>
  </r>
  <r>
    <x v="39"/>
    <x v="0"/>
    <x v="0"/>
    <n v="266"/>
    <x v="0"/>
    <n v="2"/>
    <n v="1"/>
    <x v="3"/>
    <n v="1038"/>
    <n v="1"/>
    <x v="0"/>
    <n v="1"/>
    <n v="5"/>
    <x v="5"/>
    <n v="4"/>
    <s v="Married"/>
    <n v="19845"/>
    <n v="1"/>
    <x v="1"/>
    <n v="15"/>
    <n v="3"/>
    <n v="4"/>
    <n v="1"/>
    <n v="33"/>
    <n v="3"/>
    <n v="3"/>
    <n v="32"/>
    <n v="14"/>
    <n v="6"/>
    <n v="9"/>
    <s v="Before College"/>
    <s v="Low"/>
    <s v="Low"/>
    <x v="4"/>
    <s v="Very High"/>
    <s v="Excellent"/>
    <s v="Very High"/>
    <x v="1"/>
    <s v="Low"/>
    <x v="0"/>
  </r>
  <r>
    <x v="20"/>
    <x v="1"/>
    <x v="0"/>
    <n v="1448"/>
    <x v="0"/>
    <n v="28"/>
    <n v="3"/>
    <x v="2"/>
    <n v="1039"/>
    <n v="4"/>
    <x v="0"/>
    <n v="4"/>
    <n v="4"/>
    <x v="0"/>
    <n v="4"/>
    <s v="Married"/>
    <n v="13320"/>
    <n v="3"/>
    <x v="0"/>
    <n v="18"/>
    <n v="3"/>
    <n v="3"/>
    <n v="1"/>
    <n v="23"/>
    <n v="2"/>
    <n v="3"/>
    <n v="12"/>
    <n v="11"/>
    <n v="11"/>
    <n v="11"/>
    <s v="Bachelor"/>
    <s v="Very High"/>
    <s v="Very High"/>
    <x v="3"/>
    <s v="Very High"/>
    <s v="Excellent"/>
    <s v="High"/>
    <x v="1"/>
    <s v="Low"/>
    <x v="2"/>
  </r>
  <r>
    <x v="24"/>
    <x v="1"/>
    <x v="2"/>
    <n v="145"/>
    <x v="0"/>
    <n v="1"/>
    <n v="3"/>
    <x v="0"/>
    <n v="1040"/>
    <n v="4"/>
    <x v="0"/>
    <n v="3"/>
    <n v="2"/>
    <x v="0"/>
    <n v="3"/>
    <s v="Married"/>
    <n v="6347"/>
    <n v="0"/>
    <x v="1"/>
    <n v="12"/>
    <n v="3"/>
    <n v="1"/>
    <n v="1"/>
    <n v="19"/>
    <n v="3"/>
    <n v="3"/>
    <n v="18"/>
    <n v="7"/>
    <n v="0"/>
    <n v="13"/>
    <s v="Bachelor"/>
    <s v="Very High"/>
    <s v="High"/>
    <x v="0"/>
    <s v="High"/>
    <s v="Excellent"/>
    <s v="Low"/>
    <x v="1"/>
    <s v="Low"/>
    <x v="0"/>
  </r>
  <r>
    <x v="9"/>
    <x v="0"/>
    <x v="0"/>
    <n v="885"/>
    <x v="1"/>
    <n v="16"/>
    <n v="4"/>
    <x v="0"/>
    <n v="1042"/>
    <n v="3"/>
    <x v="0"/>
    <n v="4"/>
    <n v="1"/>
    <x v="2"/>
    <n v="1"/>
    <s v="Single"/>
    <n v="2743"/>
    <n v="1"/>
    <x v="1"/>
    <n v="16"/>
    <n v="3"/>
    <n v="3"/>
    <n v="0"/>
    <n v="18"/>
    <n v="1"/>
    <n v="3"/>
    <n v="17"/>
    <n v="13"/>
    <n v="15"/>
    <n v="14"/>
    <s v="Master"/>
    <s v="High"/>
    <s v="Very High"/>
    <x v="1"/>
    <s v="Low"/>
    <s v="Excellent"/>
    <s v="High"/>
    <x v="1"/>
    <s v="No_stock"/>
    <x v="2"/>
  </r>
  <r>
    <x v="22"/>
    <x v="1"/>
    <x v="1"/>
    <n v="945"/>
    <x v="1"/>
    <n v="22"/>
    <n v="3"/>
    <x v="2"/>
    <n v="1043"/>
    <n v="4"/>
    <x v="0"/>
    <n v="3"/>
    <n v="3"/>
    <x v="3"/>
    <n v="1"/>
    <s v="Single"/>
    <n v="10880"/>
    <n v="1"/>
    <x v="0"/>
    <n v="13"/>
    <n v="3"/>
    <n v="3"/>
    <n v="0"/>
    <n v="21"/>
    <n v="2"/>
    <n v="3"/>
    <n v="21"/>
    <n v="6"/>
    <n v="2"/>
    <n v="8"/>
    <s v="Bachelor"/>
    <s v="Very High"/>
    <s v="High"/>
    <x v="2"/>
    <s v="Low"/>
    <s v="Excellent"/>
    <s v="High"/>
    <x v="1"/>
    <s v="No_stock"/>
    <x v="2"/>
  </r>
  <r>
    <x v="3"/>
    <x v="1"/>
    <x v="2"/>
    <n v="1038"/>
    <x v="0"/>
    <n v="8"/>
    <n v="1"/>
    <x v="0"/>
    <n v="1044"/>
    <n v="2"/>
    <x v="0"/>
    <n v="2"/>
    <n v="1"/>
    <x v="6"/>
    <n v="4"/>
    <s v="Single"/>
    <n v="2342"/>
    <n v="0"/>
    <x v="1"/>
    <n v="19"/>
    <n v="3"/>
    <n v="4"/>
    <n v="0"/>
    <n v="3"/>
    <n v="2"/>
    <n v="2"/>
    <n v="2"/>
    <n v="2"/>
    <n v="2"/>
    <n v="2"/>
    <s v="Before College"/>
    <s v="Medium"/>
    <s v="Medium"/>
    <x v="1"/>
    <s v="Very High"/>
    <s v="Excellent"/>
    <s v="Very High"/>
    <x v="2"/>
    <s v="No_stock"/>
    <x v="1"/>
  </r>
  <r>
    <x v="28"/>
    <x v="1"/>
    <x v="0"/>
    <n v="1234"/>
    <x v="0"/>
    <n v="11"/>
    <n v="2"/>
    <x v="0"/>
    <n v="1045"/>
    <n v="4"/>
    <x v="0"/>
    <n v="3"/>
    <n v="4"/>
    <x v="5"/>
    <n v="4"/>
    <s v="Married"/>
    <n v="17650"/>
    <n v="3"/>
    <x v="1"/>
    <n v="13"/>
    <n v="3"/>
    <n v="2"/>
    <n v="1"/>
    <n v="26"/>
    <n v="4"/>
    <n v="4"/>
    <n v="9"/>
    <n v="3"/>
    <n v="1"/>
    <n v="1"/>
    <s v="College"/>
    <s v="Very High"/>
    <s v="High"/>
    <x v="3"/>
    <s v="Very High"/>
    <s v="Excellent"/>
    <s v="Medium"/>
    <x v="3"/>
    <s v="Low"/>
    <x v="1"/>
  </r>
  <r>
    <x v="5"/>
    <x v="1"/>
    <x v="2"/>
    <n v="1109"/>
    <x v="1"/>
    <n v="29"/>
    <n v="4"/>
    <x v="2"/>
    <n v="1046"/>
    <n v="4"/>
    <x v="0"/>
    <n v="3"/>
    <n v="1"/>
    <x v="2"/>
    <n v="3"/>
    <s v="Single"/>
    <n v="4025"/>
    <n v="9"/>
    <x v="1"/>
    <n v="12"/>
    <n v="3"/>
    <n v="2"/>
    <n v="0"/>
    <n v="10"/>
    <n v="2"/>
    <n v="3"/>
    <n v="8"/>
    <n v="7"/>
    <n v="7"/>
    <n v="7"/>
    <s v="Master"/>
    <s v="Very High"/>
    <s v="High"/>
    <x v="1"/>
    <s v="High"/>
    <s v="Excellent"/>
    <s v="Medium"/>
    <x v="1"/>
    <s v="No_stock"/>
    <x v="2"/>
  </r>
  <r>
    <x v="13"/>
    <x v="1"/>
    <x v="0"/>
    <n v="216"/>
    <x v="0"/>
    <n v="1"/>
    <n v="4"/>
    <x v="3"/>
    <n v="1047"/>
    <n v="2"/>
    <x v="1"/>
    <n v="4"/>
    <n v="2"/>
    <x v="0"/>
    <n v="4"/>
    <s v="Divorced"/>
    <n v="9725"/>
    <n v="0"/>
    <x v="1"/>
    <n v="11"/>
    <n v="3"/>
    <n v="4"/>
    <n v="1"/>
    <n v="16"/>
    <n v="2"/>
    <n v="2"/>
    <n v="15"/>
    <n v="1"/>
    <n v="0"/>
    <n v="9"/>
    <s v="Master"/>
    <s v="Medium"/>
    <s v="Very High"/>
    <x v="0"/>
    <s v="Very High"/>
    <s v="Excellent"/>
    <s v="Very High"/>
    <x v="2"/>
    <s v="Low"/>
    <x v="0"/>
  </r>
  <r>
    <x v="6"/>
    <x v="1"/>
    <x v="0"/>
    <n v="1089"/>
    <x v="0"/>
    <n v="1"/>
    <n v="2"/>
    <x v="4"/>
    <n v="1048"/>
    <n v="2"/>
    <x v="1"/>
    <n v="3"/>
    <n v="3"/>
    <x v="5"/>
    <n v="4"/>
    <s v="Married"/>
    <n v="11904"/>
    <n v="3"/>
    <x v="0"/>
    <n v="14"/>
    <n v="3"/>
    <n v="3"/>
    <n v="1"/>
    <n v="14"/>
    <n v="1"/>
    <n v="1"/>
    <n v="6"/>
    <n v="4"/>
    <n v="0"/>
    <n v="4"/>
    <s v="College"/>
    <s v="Medium"/>
    <s v="High"/>
    <x v="2"/>
    <s v="Very High"/>
    <s v="Excellent"/>
    <s v="High"/>
    <x v="0"/>
    <s v="Low"/>
    <x v="0"/>
  </r>
  <r>
    <x v="28"/>
    <x v="1"/>
    <x v="0"/>
    <n v="788"/>
    <x v="2"/>
    <n v="24"/>
    <n v="4"/>
    <x v="2"/>
    <n v="1049"/>
    <n v="2"/>
    <x v="1"/>
    <n v="3"/>
    <n v="1"/>
    <x v="8"/>
    <n v="2"/>
    <s v="Single"/>
    <n v="2177"/>
    <n v="1"/>
    <x v="1"/>
    <n v="16"/>
    <n v="3"/>
    <n v="1"/>
    <n v="0"/>
    <n v="6"/>
    <n v="3"/>
    <n v="3"/>
    <n v="6"/>
    <n v="3"/>
    <n v="0"/>
    <n v="4"/>
    <s v="Master"/>
    <s v="Medium"/>
    <s v="High"/>
    <x v="1"/>
    <s v="Medium"/>
    <s v="Excellent"/>
    <s v="Low"/>
    <x v="1"/>
    <s v="No_stock"/>
    <x v="2"/>
  </r>
  <r>
    <x v="16"/>
    <x v="1"/>
    <x v="1"/>
    <n v="124"/>
    <x v="0"/>
    <n v="2"/>
    <n v="3"/>
    <x v="3"/>
    <n v="1050"/>
    <n v="3"/>
    <x v="0"/>
    <n v="2"/>
    <n v="3"/>
    <x v="0"/>
    <n v="2"/>
    <s v="Married"/>
    <n v="7525"/>
    <n v="2"/>
    <x v="1"/>
    <n v="12"/>
    <n v="3"/>
    <n v="1"/>
    <n v="1"/>
    <n v="30"/>
    <n v="2"/>
    <n v="3"/>
    <n v="15"/>
    <n v="7"/>
    <n v="6"/>
    <n v="12"/>
    <s v="Bachelor"/>
    <s v="High"/>
    <s v="Medium"/>
    <x v="2"/>
    <s v="Medium"/>
    <s v="Excellent"/>
    <s v="Low"/>
    <x v="1"/>
    <s v="Low"/>
    <x v="0"/>
  </r>
  <r>
    <x v="9"/>
    <x v="0"/>
    <x v="0"/>
    <n v="660"/>
    <x v="1"/>
    <n v="15"/>
    <n v="3"/>
    <x v="1"/>
    <n v="1052"/>
    <n v="1"/>
    <x v="1"/>
    <n v="3"/>
    <n v="2"/>
    <x v="2"/>
    <n v="3"/>
    <s v="Divorced"/>
    <n v="4834"/>
    <n v="7"/>
    <x v="1"/>
    <n v="14"/>
    <n v="3"/>
    <n v="2"/>
    <n v="1"/>
    <n v="9"/>
    <n v="3"/>
    <n v="2"/>
    <n v="1"/>
    <n v="0"/>
    <n v="0"/>
    <n v="0"/>
    <s v="Bachelor"/>
    <s v="Low"/>
    <s v="High"/>
    <x v="0"/>
    <s v="High"/>
    <s v="Excellent"/>
    <s v="Medium"/>
    <x v="2"/>
    <s v="Low"/>
    <x v="1"/>
  </r>
  <r>
    <x v="25"/>
    <x v="0"/>
    <x v="1"/>
    <n v="342"/>
    <x v="1"/>
    <n v="2"/>
    <n v="3"/>
    <x v="0"/>
    <n v="1053"/>
    <n v="1"/>
    <x v="1"/>
    <n v="3"/>
    <n v="1"/>
    <x v="1"/>
    <n v="1"/>
    <s v="Married"/>
    <n v="2042"/>
    <n v="6"/>
    <x v="0"/>
    <n v="14"/>
    <n v="3"/>
    <n v="2"/>
    <n v="1"/>
    <n v="6"/>
    <n v="2"/>
    <n v="3"/>
    <n v="3"/>
    <n v="2"/>
    <n v="1"/>
    <n v="2"/>
    <s v="Bachelor"/>
    <s v="Low"/>
    <s v="High"/>
    <x v="1"/>
    <s v="Low"/>
    <s v="Excellent"/>
    <s v="Medium"/>
    <x v="1"/>
    <s v="Low"/>
    <x v="0"/>
  </r>
  <r>
    <x v="13"/>
    <x v="1"/>
    <x v="0"/>
    <n v="1333"/>
    <x v="0"/>
    <n v="10"/>
    <n v="4"/>
    <x v="0"/>
    <n v="1055"/>
    <n v="3"/>
    <x v="0"/>
    <n v="3"/>
    <n v="1"/>
    <x v="6"/>
    <n v="3"/>
    <s v="Married"/>
    <n v="2220"/>
    <n v="1"/>
    <x v="0"/>
    <n v="19"/>
    <n v="3"/>
    <n v="4"/>
    <n v="1"/>
    <n v="1"/>
    <n v="2"/>
    <n v="3"/>
    <n v="1"/>
    <n v="1"/>
    <n v="0"/>
    <n v="0"/>
    <s v="Master"/>
    <s v="High"/>
    <s v="High"/>
    <x v="1"/>
    <s v="High"/>
    <s v="Excellent"/>
    <s v="Very High"/>
    <x v="1"/>
    <s v="Low"/>
    <x v="1"/>
  </r>
  <r>
    <x v="14"/>
    <x v="1"/>
    <x v="0"/>
    <n v="1144"/>
    <x v="0"/>
    <n v="10"/>
    <n v="1"/>
    <x v="2"/>
    <n v="1056"/>
    <n v="4"/>
    <x v="1"/>
    <n v="3"/>
    <n v="1"/>
    <x v="6"/>
    <n v="2"/>
    <s v="Married"/>
    <n v="1052"/>
    <n v="1"/>
    <x v="1"/>
    <n v="22"/>
    <n v="4"/>
    <n v="2"/>
    <n v="0"/>
    <n v="1"/>
    <n v="5"/>
    <n v="3"/>
    <n v="1"/>
    <n v="0"/>
    <n v="0"/>
    <n v="0"/>
    <s v="Before College"/>
    <s v="Very High"/>
    <s v="High"/>
    <x v="1"/>
    <s v="Medium"/>
    <s v="Outstanding"/>
    <s v="Medium"/>
    <x v="1"/>
    <s v="No_stock"/>
    <x v="1"/>
  </r>
  <r>
    <x v="8"/>
    <x v="1"/>
    <x v="1"/>
    <n v="1186"/>
    <x v="1"/>
    <n v="3"/>
    <n v="4"/>
    <x v="1"/>
    <n v="1060"/>
    <n v="3"/>
    <x v="1"/>
    <n v="3"/>
    <n v="1"/>
    <x v="1"/>
    <n v="3"/>
    <s v="Married"/>
    <n v="2821"/>
    <n v="3"/>
    <x v="1"/>
    <n v="16"/>
    <n v="3"/>
    <n v="1"/>
    <n v="1"/>
    <n v="8"/>
    <n v="2"/>
    <n v="3"/>
    <n v="2"/>
    <n v="2"/>
    <n v="2"/>
    <n v="2"/>
    <s v="Master"/>
    <s v="High"/>
    <s v="High"/>
    <x v="1"/>
    <s v="High"/>
    <s v="Excellent"/>
    <s v="Low"/>
    <x v="1"/>
    <s v="Low"/>
    <x v="0"/>
  </r>
  <r>
    <x v="24"/>
    <x v="1"/>
    <x v="0"/>
    <n v="1464"/>
    <x v="1"/>
    <n v="2"/>
    <n v="4"/>
    <x v="2"/>
    <n v="1061"/>
    <n v="2"/>
    <x v="1"/>
    <n v="3"/>
    <n v="5"/>
    <x v="7"/>
    <n v="3"/>
    <s v="Married"/>
    <n v="19237"/>
    <n v="2"/>
    <x v="0"/>
    <n v="11"/>
    <n v="3"/>
    <n v="4"/>
    <n v="1"/>
    <n v="29"/>
    <n v="2"/>
    <n v="2"/>
    <n v="8"/>
    <n v="1"/>
    <n v="7"/>
    <n v="7"/>
    <s v="Master"/>
    <s v="Medium"/>
    <s v="High"/>
    <x v="4"/>
    <s v="High"/>
    <s v="Excellent"/>
    <s v="Very High"/>
    <x v="2"/>
    <s v="Low"/>
    <x v="0"/>
  </r>
  <r>
    <x v="2"/>
    <x v="1"/>
    <x v="0"/>
    <n v="124"/>
    <x v="1"/>
    <n v="3"/>
    <n v="3"/>
    <x v="1"/>
    <n v="1062"/>
    <n v="4"/>
    <x v="0"/>
    <n v="3"/>
    <n v="2"/>
    <x v="4"/>
    <n v="2"/>
    <s v="Single"/>
    <n v="4107"/>
    <n v="3"/>
    <x v="1"/>
    <n v="15"/>
    <n v="3"/>
    <n v="1"/>
    <n v="0"/>
    <n v="8"/>
    <n v="3"/>
    <n v="2"/>
    <n v="4"/>
    <n v="3"/>
    <n v="0"/>
    <n v="1"/>
    <s v="Bachelor"/>
    <s v="Very High"/>
    <s v="High"/>
    <x v="0"/>
    <s v="Medium"/>
    <s v="Excellent"/>
    <s v="Low"/>
    <x v="2"/>
    <s v="No_stock"/>
    <x v="0"/>
  </r>
  <r>
    <x v="32"/>
    <x v="1"/>
    <x v="0"/>
    <n v="300"/>
    <x v="0"/>
    <n v="26"/>
    <n v="3"/>
    <x v="3"/>
    <n v="1066"/>
    <n v="3"/>
    <x v="1"/>
    <n v="3"/>
    <n v="2"/>
    <x v="0"/>
    <n v="1"/>
    <s v="Married"/>
    <n v="8396"/>
    <n v="1"/>
    <x v="1"/>
    <n v="14"/>
    <n v="3"/>
    <n v="2"/>
    <n v="1"/>
    <n v="8"/>
    <n v="3"/>
    <n v="2"/>
    <n v="7"/>
    <n v="7"/>
    <n v="7"/>
    <n v="5"/>
    <s v="Bachelor"/>
    <s v="High"/>
    <s v="High"/>
    <x v="0"/>
    <s v="Low"/>
    <s v="Excellent"/>
    <s v="Medium"/>
    <x v="2"/>
    <s v="Low"/>
    <x v="2"/>
  </r>
  <r>
    <x v="25"/>
    <x v="1"/>
    <x v="1"/>
    <n v="921"/>
    <x v="1"/>
    <n v="1"/>
    <n v="1"/>
    <x v="2"/>
    <n v="1068"/>
    <n v="1"/>
    <x v="0"/>
    <n v="2"/>
    <n v="1"/>
    <x v="1"/>
    <n v="3"/>
    <s v="Divorced"/>
    <n v="2007"/>
    <n v="1"/>
    <x v="1"/>
    <n v="13"/>
    <n v="3"/>
    <n v="3"/>
    <n v="2"/>
    <n v="5"/>
    <n v="5"/>
    <n v="3"/>
    <n v="5"/>
    <n v="3"/>
    <n v="1"/>
    <n v="3"/>
    <s v="Before College"/>
    <s v="Low"/>
    <s v="Medium"/>
    <x v="1"/>
    <s v="High"/>
    <s v="Excellent"/>
    <s v="High"/>
    <x v="1"/>
    <s v="Medium"/>
    <x v="0"/>
  </r>
  <r>
    <x v="21"/>
    <x v="1"/>
    <x v="0"/>
    <n v="430"/>
    <x v="1"/>
    <n v="1"/>
    <n v="4"/>
    <x v="2"/>
    <n v="1069"/>
    <n v="4"/>
    <x v="1"/>
    <n v="3"/>
    <n v="5"/>
    <x v="7"/>
    <n v="4"/>
    <s v="Divorced"/>
    <n v="19627"/>
    <n v="9"/>
    <x v="1"/>
    <n v="17"/>
    <n v="3"/>
    <n v="4"/>
    <n v="2"/>
    <n v="23"/>
    <n v="0"/>
    <n v="3"/>
    <n v="2"/>
    <n v="2"/>
    <n v="2"/>
    <n v="2"/>
    <s v="Master"/>
    <s v="Very High"/>
    <s v="High"/>
    <x v="4"/>
    <s v="Very High"/>
    <s v="Excellent"/>
    <s v="Very High"/>
    <x v="1"/>
    <s v="Medium"/>
    <x v="0"/>
  </r>
  <r>
    <x v="33"/>
    <x v="1"/>
    <x v="0"/>
    <n v="1082"/>
    <x v="0"/>
    <n v="2"/>
    <n v="4"/>
    <x v="0"/>
    <n v="1070"/>
    <n v="3"/>
    <x v="0"/>
    <n v="2"/>
    <n v="3"/>
    <x v="0"/>
    <n v="3"/>
    <s v="Married"/>
    <n v="10686"/>
    <n v="6"/>
    <x v="1"/>
    <n v="11"/>
    <n v="3"/>
    <n v="2"/>
    <n v="1"/>
    <n v="13"/>
    <n v="4"/>
    <n v="3"/>
    <n v="9"/>
    <n v="4"/>
    <n v="7"/>
    <n v="0"/>
    <s v="Master"/>
    <s v="High"/>
    <s v="Medium"/>
    <x v="2"/>
    <s v="High"/>
    <s v="Excellent"/>
    <s v="Medium"/>
    <x v="1"/>
    <s v="Low"/>
    <x v="0"/>
  </r>
  <r>
    <x v="29"/>
    <x v="1"/>
    <x v="1"/>
    <n v="1240"/>
    <x v="1"/>
    <n v="9"/>
    <n v="3"/>
    <x v="2"/>
    <n v="1071"/>
    <n v="1"/>
    <x v="0"/>
    <n v="3"/>
    <n v="1"/>
    <x v="1"/>
    <n v="3"/>
    <s v="Married"/>
    <n v="2942"/>
    <n v="2"/>
    <x v="1"/>
    <n v="19"/>
    <n v="3"/>
    <n v="2"/>
    <n v="1"/>
    <n v="18"/>
    <n v="4"/>
    <n v="3"/>
    <n v="5"/>
    <n v="4"/>
    <n v="0"/>
    <n v="3"/>
    <s v="Bachelor"/>
    <s v="Low"/>
    <s v="High"/>
    <x v="1"/>
    <s v="High"/>
    <s v="Excellent"/>
    <s v="Medium"/>
    <x v="1"/>
    <s v="Low"/>
    <x v="1"/>
  </r>
  <r>
    <x v="9"/>
    <x v="1"/>
    <x v="0"/>
    <n v="796"/>
    <x v="1"/>
    <n v="12"/>
    <n v="5"/>
    <x v="2"/>
    <n v="1073"/>
    <n v="4"/>
    <x v="0"/>
    <n v="2"/>
    <n v="3"/>
    <x v="3"/>
    <n v="4"/>
    <s v="Single"/>
    <n v="8858"/>
    <n v="0"/>
    <x v="1"/>
    <n v="11"/>
    <n v="3"/>
    <n v="2"/>
    <n v="0"/>
    <n v="15"/>
    <n v="2"/>
    <n v="2"/>
    <n v="14"/>
    <n v="8"/>
    <n v="7"/>
    <n v="8"/>
    <s v="Doctor"/>
    <s v="Very High"/>
    <s v="Medium"/>
    <x v="2"/>
    <s v="Very High"/>
    <s v="Excellent"/>
    <s v="Medium"/>
    <x v="2"/>
    <s v="No_stock"/>
    <x v="1"/>
  </r>
  <r>
    <x v="27"/>
    <x v="1"/>
    <x v="2"/>
    <n v="444"/>
    <x v="1"/>
    <n v="2"/>
    <n v="1"/>
    <x v="2"/>
    <n v="1074"/>
    <n v="3"/>
    <x v="1"/>
    <n v="2"/>
    <n v="4"/>
    <x v="5"/>
    <n v="1"/>
    <s v="Single"/>
    <n v="16756"/>
    <n v="7"/>
    <x v="1"/>
    <n v="15"/>
    <n v="3"/>
    <n v="2"/>
    <n v="0"/>
    <n v="31"/>
    <n v="3"/>
    <n v="4"/>
    <n v="9"/>
    <n v="7"/>
    <n v="6"/>
    <n v="2"/>
    <s v="Before College"/>
    <s v="High"/>
    <s v="Medium"/>
    <x v="3"/>
    <s v="Low"/>
    <s v="Excellent"/>
    <s v="Medium"/>
    <x v="3"/>
    <s v="No_stock"/>
    <x v="0"/>
  </r>
  <r>
    <x v="23"/>
    <x v="1"/>
    <x v="0"/>
    <n v="415"/>
    <x v="0"/>
    <n v="25"/>
    <n v="3"/>
    <x v="2"/>
    <n v="1076"/>
    <n v="3"/>
    <x v="1"/>
    <n v="2"/>
    <n v="3"/>
    <x v="0"/>
    <n v="4"/>
    <s v="Divorced"/>
    <n v="10798"/>
    <n v="5"/>
    <x v="1"/>
    <n v="13"/>
    <n v="3"/>
    <n v="3"/>
    <n v="1"/>
    <n v="18"/>
    <n v="5"/>
    <n v="3"/>
    <n v="1"/>
    <n v="0"/>
    <n v="0"/>
    <n v="0"/>
    <s v="Bachelor"/>
    <s v="High"/>
    <s v="Medium"/>
    <x v="2"/>
    <s v="Very High"/>
    <s v="Excellent"/>
    <s v="High"/>
    <x v="1"/>
    <s v="Low"/>
    <x v="2"/>
  </r>
  <r>
    <x v="35"/>
    <x v="0"/>
    <x v="1"/>
    <n v="769"/>
    <x v="0"/>
    <n v="9"/>
    <n v="3"/>
    <x v="3"/>
    <n v="1077"/>
    <n v="4"/>
    <x v="0"/>
    <n v="3"/>
    <n v="1"/>
    <x v="6"/>
    <n v="4"/>
    <s v="Single"/>
    <n v="2323"/>
    <n v="1"/>
    <x v="0"/>
    <n v="14"/>
    <n v="3"/>
    <n v="2"/>
    <n v="0"/>
    <n v="2"/>
    <n v="3"/>
    <n v="3"/>
    <n v="2"/>
    <n v="2"/>
    <n v="0"/>
    <n v="2"/>
    <s v="Bachelor"/>
    <s v="Very High"/>
    <s v="High"/>
    <x v="1"/>
    <s v="Very High"/>
    <s v="Excellent"/>
    <s v="Medium"/>
    <x v="1"/>
    <s v="No_stock"/>
    <x v="1"/>
  </r>
  <r>
    <x v="18"/>
    <x v="0"/>
    <x v="0"/>
    <n v="1334"/>
    <x v="1"/>
    <n v="10"/>
    <n v="3"/>
    <x v="0"/>
    <n v="1079"/>
    <n v="3"/>
    <x v="0"/>
    <n v="2"/>
    <n v="1"/>
    <x v="2"/>
    <n v="1"/>
    <s v="Single"/>
    <n v="1416"/>
    <n v="1"/>
    <x v="1"/>
    <n v="13"/>
    <n v="3"/>
    <n v="1"/>
    <n v="0"/>
    <n v="1"/>
    <n v="6"/>
    <n v="2"/>
    <n v="1"/>
    <n v="0"/>
    <n v="1"/>
    <n v="0"/>
    <s v="Bachelor"/>
    <s v="High"/>
    <s v="Medium"/>
    <x v="1"/>
    <s v="Low"/>
    <s v="Excellent"/>
    <s v="Low"/>
    <x v="2"/>
    <s v="No_stock"/>
    <x v="1"/>
  </r>
  <r>
    <x v="21"/>
    <x v="1"/>
    <x v="0"/>
    <n v="1003"/>
    <x v="1"/>
    <n v="8"/>
    <n v="4"/>
    <x v="0"/>
    <n v="1080"/>
    <n v="4"/>
    <x v="0"/>
    <n v="2"/>
    <n v="2"/>
    <x v="1"/>
    <n v="1"/>
    <s v="Divorced"/>
    <n v="4615"/>
    <n v="8"/>
    <x v="0"/>
    <n v="23"/>
    <n v="4"/>
    <n v="1"/>
    <n v="3"/>
    <n v="19"/>
    <n v="2"/>
    <n v="3"/>
    <n v="16"/>
    <n v="13"/>
    <n v="1"/>
    <n v="7"/>
    <s v="Master"/>
    <s v="Very High"/>
    <s v="Medium"/>
    <x v="0"/>
    <s v="Low"/>
    <s v="Outstanding"/>
    <s v="Low"/>
    <x v="1"/>
    <s v="High"/>
    <x v="1"/>
  </r>
  <r>
    <x v="31"/>
    <x v="0"/>
    <x v="0"/>
    <n v="1323"/>
    <x v="1"/>
    <n v="4"/>
    <n v="4"/>
    <x v="0"/>
    <n v="1081"/>
    <n v="1"/>
    <x v="1"/>
    <n v="3"/>
    <n v="1"/>
    <x v="1"/>
    <n v="3"/>
    <s v="Married"/>
    <n v="2461"/>
    <n v="9"/>
    <x v="0"/>
    <n v="12"/>
    <n v="3"/>
    <n v="3"/>
    <n v="3"/>
    <n v="18"/>
    <n v="2"/>
    <n v="4"/>
    <n v="10"/>
    <n v="0"/>
    <n v="2"/>
    <n v="7"/>
    <s v="Master"/>
    <s v="Low"/>
    <s v="High"/>
    <x v="1"/>
    <s v="High"/>
    <s v="Excellent"/>
    <s v="High"/>
    <x v="3"/>
    <s v="High"/>
    <x v="0"/>
  </r>
  <r>
    <x v="14"/>
    <x v="0"/>
    <x v="2"/>
    <n v="1366"/>
    <x v="1"/>
    <n v="24"/>
    <n v="2"/>
    <x v="4"/>
    <n v="1082"/>
    <n v="2"/>
    <x v="1"/>
    <n v="2"/>
    <n v="3"/>
    <x v="4"/>
    <n v="1"/>
    <s v="Single"/>
    <n v="8722"/>
    <n v="1"/>
    <x v="1"/>
    <n v="12"/>
    <n v="3"/>
    <n v="1"/>
    <n v="0"/>
    <n v="10"/>
    <n v="2"/>
    <n v="2"/>
    <n v="10"/>
    <n v="7"/>
    <n v="1"/>
    <n v="9"/>
    <s v="College"/>
    <s v="Medium"/>
    <s v="Medium"/>
    <x v="2"/>
    <s v="Low"/>
    <s v="Excellent"/>
    <s v="Low"/>
    <x v="2"/>
    <s v="No_stock"/>
    <x v="2"/>
  </r>
  <r>
    <x v="25"/>
    <x v="1"/>
    <x v="0"/>
    <n v="192"/>
    <x v="1"/>
    <n v="1"/>
    <n v="2"/>
    <x v="2"/>
    <n v="1083"/>
    <n v="1"/>
    <x v="1"/>
    <n v="2"/>
    <n v="1"/>
    <x v="2"/>
    <n v="1"/>
    <s v="Married"/>
    <n v="3955"/>
    <n v="1"/>
    <x v="1"/>
    <n v="16"/>
    <n v="3"/>
    <n v="1"/>
    <n v="2"/>
    <n v="6"/>
    <n v="2"/>
    <n v="3"/>
    <n v="5"/>
    <n v="3"/>
    <n v="1"/>
    <n v="3"/>
    <s v="College"/>
    <s v="Low"/>
    <s v="Medium"/>
    <x v="1"/>
    <s v="Low"/>
    <s v="Excellent"/>
    <s v="Low"/>
    <x v="1"/>
    <s v="Medium"/>
    <x v="0"/>
  </r>
  <r>
    <x v="7"/>
    <x v="1"/>
    <x v="0"/>
    <n v="1176"/>
    <x v="1"/>
    <n v="20"/>
    <n v="3"/>
    <x v="1"/>
    <n v="1084"/>
    <n v="3"/>
    <x v="1"/>
    <n v="3"/>
    <n v="2"/>
    <x v="3"/>
    <n v="1"/>
    <s v="Married"/>
    <n v="9957"/>
    <n v="0"/>
    <x v="1"/>
    <n v="15"/>
    <n v="3"/>
    <n v="3"/>
    <n v="1"/>
    <n v="7"/>
    <n v="1"/>
    <n v="2"/>
    <n v="6"/>
    <n v="2"/>
    <n v="0"/>
    <n v="2"/>
    <s v="Bachelor"/>
    <s v="High"/>
    <s v="High"/>
    <x v="0"/>
    <s v="Low"/>
    <s v="Excellent"/>
    <s v="High"/>
    <x v="2"/>
    <s v="Low"/>
    <x v="2"/>
  </r>
  <r>
    <x v="0"/>
    <x v="1"/>
    <x v="0"/>
    <n v="509"/>
    <x v="1"/>
    <n v="7"/>
    <n v="2"/>
    <x v="4"/>
    <n v="1085"/>
    <n v="2"/>
    <x v="0"/>
    <n v="4"/>
    <n v="1"/>
    <x v="1"/>
    <n v="3"/>
    <s v="Married"/>
    <n v="3376"/>
    <n v="1"/>
    <x v="1"/>
    <n v="13"/>
    <n v="3"/>
    <n v="3"/>
    <n v="0"/>
    <n v="10"/>
    <n v="3"/>
    <n v="3"/>
    <n v="10"/>
    <n v="6"/>
    <n v="0"/>
    <n v="8"/>
    <s v="College"/>
    <s v="Medium"/>
    <s v="Very High"/>
    <x v="1"/>
    <s v="High"/>
    <s v="Excellent"/>
    <s v="High"/>
    <x v="1"/>
    <s v="No_stock"/>
    <x v="1"/>
  </r>
  <r>
    <x v="8"/>
    <x v="1"/>
    <x v="0"/>
    <n v="330"/>
    <x v="1"/>
    <n v="17"/>
    <n v="1"/>
    <x v="0"/>
    <n v="1088"/>
    <n v="3"/>
    <x v="0"/>
    <n v="2"/>
    <n v="3"/>
    <x v="4"/>
    <n v="3"/>
    <s v="Married"/>
    <n v="8823"/>
    <n v="0"/>
    <x v="1"/>
    <n v="18"/>
    <n v="3"/>
    <n v="1"/>
    <n v="1"/>
    <n v="20"/>
    <n v="4"/>
    <n v="2"/>
    <n v="19"/>
    <n v="9"/>
    <n v="1"/>
    <n v="9"/>
    <s v="Before College"/>
    <s v="High"/>
    <s v="Medium"/>
    <x v="2"/>
    <s v="High"/>
    <s v="Excellent"/>
    <s v="Low"/>
    <x v="2"/>
    <s v="Low"/>
    <x v="2"/>
  </r>
  <r>
    <x v="32"/>
    <x v="1"/>
    <x v="0"/>
    <n v="1492"/>
    <x v="1"/>
    <n v="20"/>
    <n v="4"/>
    <x v="4"/>
    <n v="1092"/>
    <n v="1"/>
    <x v="1"/>
    <n v="3"/>
    <n v="3"/>
    <x v="4"/>
    <n v="4"/>
    <s v="Married"/>
    <n v="10322"/>
    <n v="4"/>
    <x v="1"/>
    <n v="20"/>
    <n v="4"/>
    <n v="4"/>
    <n v="1"/>
    <n v="14"/>
    <n v="6"/>
    <n v="3"/>
    <n v="11"/>
    <n v="10"/>
    <n v="11"/>
    <n v="1"/>
    <s v="Master"/>
    <s v="Low"/>
    <s v="High"/>
    <x v="2"/>
    <s v="Very High"/>
    <s v="Outstanding"/>
    <s v="Very High"/>
    <x v="1"/>
    <s v="Low"/>
    <x v="2"/>
  </r>
  <r>
    <x v="4"/>
    <x v="1"/>
    <x v="2"/>
    <n v="1277"/>
    <x v="1"/>
    <n v="8"/>
    <n v="5"/>
    <x v="0"/>
    <n v="1094"/>
    <n v="1"/>
    <x v="1"/>
    <n v="1"/>
    <n v="1"/>
    <x v="2"/>
    <n v="3"/>
    <s v="Married"/>
    <n v="4621"/>
    <n v="1"/>
    <x v="1"/>
    <n v="19"/>
    <n v="3"/>
    <n v="4"/>
    <n v="3"/>
    <n v="3"/>
    <n v="4"/>
    <n v="3"/>
    <n v="3"/>
    <n v="2"/>
    <n v="1"/>
    <n v="2"/>
    <s v="Doctor"/>
    <s v="Low"/>
    <s v="Low"/>
    <x v="1"/>
    <s v="High"/>
    <s v="Excellent"/>
    <s v="Very High"/>
    <x v="1"/>
    <s v="High"/>
    <x v="1"/>
  </r>
  <r>
    <x v="27"/>
    <x v="1"/>
    <x v="1"/>
    <n v="1091"/>
    <x v="1"/>
    <n v="2"/>
    <n v="1"/>
    <x v="0"/>
    <n v="1096"/>
    <n v="4"/>
    <x v="1"/>
    <n v="3"/>
    <n v="3"/>
    <x v="3"/>
    <n v="2"/>
    <s v="Married"/>
    <n v="10976"/>
    <n v="3"/>
    <x v="1"/>
    <n v="18"/>
    <n v="3"/>
    <n v="2"/>
    <n v="1"/>
    <n v="23"/>
    <n v="4"/>
    <n v="3"/>
    <n v="3"/>
    <n v="2"/>
    <n v="1"/>
    <n v="2"/>
    <s v="Before College"/>
    <s v="Very High"/>
    <s v="High"/>
    <x v="2"/>
    <s v="Medium"/>
    <s v="Excellent"/>
    <s v="Medium"/>
    <x v="1"/>
    <s v="Low"/>
    <x v="0"/>
  </r>
  <r>
    <x v="14"/>
    <x v="1"/>
    <x v="0"/>
    <n v="857"/>
    <x v="1"/>
    <n v="10"/>
    <n v="3"/>
    <x v="1"/>
    <n v="1097"/>
    <n v="3"/>
    <x v="0"/>
    <n v="3"/>
    <n v="2"/>
    <x v="1"/>
    <n v="3"/>
    <s v="Single"/>
    <n v="3660"/>
    <n v="3"/>
    <x v="1"/>
    <n v="13"/>
    <n v="3"/>
    <n v="4"/>
    <n v="0"/>
    <n v="10"/>
    <n v="4"/>
    <n v="4"/>
    <n v="8"/>
    <n v="7"/>
    <n v="1"/>
    <n v="7"/>
    <s v="Bachelor"/>
    <s v="High"/>
    <s v="High"/>
    <x v="0"/>
    <s v="High"/>
    <s v="Excellent"/>
    <s v="Very High"/>
    <x v="3"/>
    <s v="No_stock"/>
    <x v="1"/>
  </r>
  <r>
    <x v="20"/>
    <x v="0"/>
    <x v="0"/>
    <n v="1376"/>
    <x v="2"/>
    <n v="1"/>
    <n v="2"/>
    <x v="2"/>
    <n v="1098"/>
    <n v="2"/>
    <x v="1"/>
    <n v="2"/>
    <n v="3"/>
    <x v="8"/>
    <n v="1"/>
    <s v="Married"/>
    <n v="10482"/>
    <n v="9"/>
    <x v="1"/>
    <n v="14"/>
    <n v="3"/>
    <n v="4"/>
    <n v="1"/>
    <n v="24"/>
    <n v="1"/>
    <n v="3"/>
    <n v="20"/>
    <n v="6"/>
    <n v="3"/>
    <n v="6"/>
    <s v="College"/>
    <s v="Medium"/>
    <s v="Medium"/>
    <x v="2"/>
    <s v="Low"/>
    <s v="Excellent"/>
    <s v="Very High"/>
    <x v="1"/>
    <s v="Low"/>
    <x v="0"/>
  </r>
  <r>
    <x v="3"/>
    <x v="1"/>
    <x v="0"/>
    <n v="654"/>
    <x v="1"/>
    <n v="5"/>
    <n v="3"/>
    <x v="0"/>
    <n v="1099"/>
    <n v="4"/>
    <x v="1"/>
    <n v="2"/>
    <n v="3"/>
    <x v="4"/>
    <n v="4"/>
    <s v="Divorced"/>
    <n v="7119"/>
    <n v="4"/>
    <x v="1"/>
    <n v="15"/>
    <n v="3"/>
    <n v="3"/>
    <n v="1"/>
    <n v="9"/>
    <n v="2"/>
    <n v="3"/>
    <n v="3"/>
    <n v="2"/>
    <n v="1"/>
    <n v="2"/>
    <s v="Bachelor"/>
    <s v="Very High"/>
    <s v="Medium"/>
    <x v="2"/>
    <s v="Very High"/>
    <s v="Excellent"/>
    <s v="High"/>
    <x v="1"/>
    <s v="Low"/>
    <x v="0"/>
  </r>
  <r>
    <x v="10"/>
    <x v="0"/>
    <x v="0"/>
    <n v="1204"/>
    <x v="0"/>
    <n v="4"/>
    <n v="3"/>
    <x v="4"/>
    <n v="1100"/>
    <n v="4"/>
    <x v="1"/>
    <n v="3"/>
    <n v="3"/>
    <x v="0"/>
    <n v="1"/>
    <s v="Single"/>
    <n v="9582"/>
    <n v="0"/>
    <x v="0"/>
    <n v="22"/>
    <n v="4"/>
    <n v="1"/>
    <n v="0"/>
    <n v="9"/>
    <n v="2"/>
    <n v="3"/>
    <n v="8"/>
    <n v="7"/>
    <n v="4"/>
    <n v="7"/>
    <s v="Bachelor"/>
    <s v="Very High"/>
    <s v="High"/>
    <x v="2"/>
    <s v="Low"/>
    <s v="Outstanding"/>
    <s v="Low"/>
    <x v="1"/>
    <s v="No_stock"/>
    <x v="0"/>
  </r>
  <r>
    <x v="3"/>
    <x v="0"/>
    <x v="1"/>
    <n v="827"/>
    <x v="1"/>
    <n v="29"/>
    <n v="4"/>
    <x v="2"/>
    <n v="1101"/>
    <n v="1"/>
    <x v="0"/>
    <n v="2"/>
    <n v="2"/>
    <x v="1"/>
    <n v="3"/>
    <s v="Single"/>
    <n v="4508"/>
    <n v="1"/>
    <x v="1"/>
    <n v="22"/>
    <n v="4"/>
    <n v="2"/>
    <n v="0"/>
    <n v="14"/>
    <n v="4"/>
    <n v="3"/>
    <n v="13"/>
    <n v="7"/>
    <n v="3"/>
    <n v="8"/>
    <s v="Master"/>
    <s v="Low"/>
    <s v="Medium"/>
    <x v="0"/>
    <s v="High"/>
    <s v="Outstanding"/>
    <s v="Medium"/>
    <x v="1"/>
    <s v="No_stock"/>
    <x v="2"/>
  </r>
  <r>
    <x v="14"/>
    <x v="1"/>
    <x v="0"/>
    <n v="895"/>
    <x v="1"/>
    <n v="15"/>
    <n v="2"/>
    <x v="0"/>
    <n v="1102"/>
    <n v="1"/>
    <x v="1"/>
    <n v="3"/>
    <n v="1"/>
    <x v="2"/>
    <n v="3"/>
    <s v="Divorced"/>
    <n v="2207"/>
    <n v="1"/>
    <x v="1"/>
    <n v="16"/>
    <n v="3"/>
    <n v="4"/>
    <n v="1"/>
    <n v="4"/>
    <n v="5"/>
    <n v="2"/>
    <n v="4"/>
    <n v="2"/>
    <n v="2"/>
    <n v="2"/>
    <s v="College"/>
    <s v="Low"/>
    <s v="High"/>
    <x v="1"/>
    <s v="High"/>
    <s v="Excellent"/>
    <s v="Very High"/>
    <x v="2"/>
    <s v="Low"/>
    <x v="1"/>
  </r>
  <r>
    <x v="13"/>
    <x v="1"/>
    <x v="1"/>
    <n v="618"/>
    <x v="1"/>
    <n v="3"/>
    <n v="1"/>
    <x v="0"/>
    <n v="1103"/>
    <n v="1"/>
    <x v="1"/>
    <n v="3"/>
    <n v="2"/>
    <x v="4"/>
    <n v="4"/>
    <s v="Single"/>
    <n v="7756"/>
    <n v="0"/>
    <x v="1"/>
    <n v="17"/>
    <n v="3"/>
    <n v="3"/>
    <n v="0"/>
    <n v="7"/>
    <n v="1"/>
    <n v="2"/>
    <n v="6"/>
    <n v="2"/>
    <n v="0"/>
    <n v="4"/>
    <s v="Before College"/>
    <s v="Low"/>
    <s v="High"/>
    <x v="0"/>
    <s v="Very High"/>
    <s v="Excellent"/>
    <s v="High"/>
    <x v="2"/>
    <s v="No_stock"/>
    <x v="0"/>
  </r>
  <r>
    <x v="2"/>
    <x v="1"/>
    <x v="0"/>
    <n v="309"/>
    <x v="0"/>
    <n v="10"/>
    <n v="4"/>
    <x v="0"/>
    <n v="1105"/>
    <n v="4"/>
    <x v="0"/>
    <n v="2"/>
    <n v="2"/>
    <x v="0"/>
    <n v="4"/>
    <s v="Divorced"/>
    <n v="6694"/>
    <n v="2"/>
    <x v="0"/>
    <n v="14"/>
    <n v="3"/>
    <n v="3"/>
    <n v="3"/>
    <n v="8"/>
    <n v="5"/>
    <n v="3"/>
    <n v="1"/>
    <n v="0"/>
    <n v="0"/>
    <n v="0"/>
    <s v="Master"/>
    <s v="Very High"/>
    <s v="Medium"/>
    <x v="0"/>
    <s v="Very High"/>
    <s v="Excellent"/>
    <s v="High"/>
    <x v="1"/>
    <s v="High"/>
    <x v="1"/>
  </r>
  <r>
    <x v="36"/>
    <x v="0"/>
    <x v="0"/>
    <n v="1219"/>
    <x v="1"/>
    <n v="4"/>
    <n v="1"/>
    <x v="4"/>
    <n v="1106"/>
    <n v="4"/>
    <x v="1"/>
    <n v="3"/>
    <n v="1"/>
    <x v="2"/>
    <n v="4"/>
    <s v="Married"/>
    <n v="3691"/>
    <n v="1"/>
    <x v="0"/>
    <n v="15"/>
    <n v="3"/>
    <n v="2"/>
    <n v="1"/>
    <n v="7"/>
    <n v="3"/>
    <n v="4"/>
    <n v="7"/>
    <n v="7"/>
    <n v="5"/>
    <n v="6"/>
    <s v="Before College"/>
    <s v="Very High"/>
    <s v="High"/>
    <x v="1"/>
    <s v="Very High"/>
    <s v="Excellent"/>
    <s v="Medium"/>
    <x v="3"/>
    <s v="Low"/>
    <x v="0"/>
  </r>
  <r>
    <x v="25"/>
    <x v="0"/>
    <x v="0"/>
    <n v="1330"/>
    <x v="1"/>
    <n v="21"/>
    <n v="3"/>
    <x v="2"/>
    <n v="1107"/>
    <n v="1"/>
    <x v="1"/>
    <n v="3"/>
    <n v="1"/>
    <x v="2"/>
    <n v="3"/>
    <s v="Divorced"/>
    <n v="2377"/>
    <n v="1"/>
    <x v="1"/>
    <n v="20"/>
    <n v="4"/>
    <n v="3"/>
    <n v="1"/>
    <n v="1"/>
    <n v="0"/>
    <n v="2"/>
    <n v="1"/>
    <n v="1"/>
    <n v="0"/>
    <n v="0"/>
    <s v="Bachelor"/>
    <s v="Low"/>
    <s v="High"/>
    <x v="1"/>
    <s v="High"/>
    <s v="Outstanding"/>
    <s v="High"/>
    <x v="2"/>
    <s v="Low"/>
    <x v="2"/>
  </r>
  <r>
    <x v="3"/>
    <x v="0"/>
    <x v="0"/>
    <n v="1017"/>
    <x v="1"/>
    <n v="25"/>
    <n v="3"/>
    <x v="2"/>
    <n v="1108"/>
    <n v="1"/>
    <x v="1"/>
    <n v="2"/>
    <n v="1"/>
    <x v="1"/>
    <n v="2"/>
    <s v="Single"/>
    <n v="2313"/>
    <n v="4"/>
    <x v="0"/>
    <n v="20"/>
    <n v="4"/>
    <n v="2"/>
    <n v="0"/>
    <n v="5"/>
    <n v="0"/>
    <n v="3"/>
    <n v="2"/>
    <n v="2"/>
    <n v="2"/>
    <n v="2"/>
    <s v="Bachelor"/>
    <s v="Low"/>
    <s v="Medium"/>
    <x v="1"/>
    <s v="Medium"/>
    <s v="Outstanding"/>
    <s v="Medium"/>
    <x v="1"/>
    <s v="No_stock"/>
    <x v="2"/>
  </r>
  <r>
    <x v="19"/>
    <x v="1"/>
    <x v="0"/>
    <n v="469"/>
    <x v="1"/>
    <n v="2"/>
    <n v="2"/>
    <x v="2"/>
    <n v="1109"/>
    <n v="4"/>
    <x v="1"/>
    <n v="3"/>
    <n v="4"/>
    <x v="5"/>
    <n v="1"/>
    <s v="Married"/>
    <n v="17665"/>
    <n v="0"/>
    <x v="1"/>
    <n v="17"/>
    <n v="3"/>
    <n v="4"/>
    <n v="1"/>
    <n v="23"/>
    <n v="3"/>
    <n v="3"/>
    <n v="22"/>
    <n v="6"/>
    <n v="13"/>
    <n v="7"/>
    <s v="College"/>
    <s v="Very High"/>
    <s v="High"/>
    <x v="3"/>
    <s v="Low"/>
    <s v="Excellent"/>
    <s v="Very High"/>
    <x v="1"/>
    <s v="Low"/>
    <x v="0"/>
  </r>
  <r>
    <x v="14"/>
    <x v="0"/>
    <x v="1"/>
    <n v="1009"/>
    <x v="1"/>
    <n v="1"/>
    <n v="3"/>
    <x v="2"/>
    <n v="1111"/>
    <n v="1"/>
    <x v="1"/>
    <n v="2"/>
    <n v="1"/>
    <x v="2"/>
    <n v="2"/>
    <s v="Divorced"/>
    <n v="2596"/>
    <n v="1"/>
    <x v="1"/>
    <n v="15"/>
    <n v="3"/>
    <n v="1"/>
    <n v="2"/>
    <n v="1"/>
    <n v="2"/>
    <n v="3"/>
    <n v="1"/>
    <n v="0"/>
    <n v="0"/>
    <n v="0"/>
    <s v="Bachelor"/>
    <s v="Low"/>
    <s v="Medium"/>
    <x v="1"/>
    <s v="Medium"/>
    <s v="Excellent"/>
    <s v="Low"/>
    <x v="1"/>
    <s v="Medium"/>
    <x v="0"/>
  </r>
  <r>
    <x v="24"/>
    <x v="0"/>
    <x v="1"/>
    <n v="959"/>
    <x v="0"/>
    <n v="1"/>
    <n v="4"/>
    <x v="1"/>
    <n v="1113"/>
    <n v="4"/>
    <x v="1"/>
    <n v="3"/>
    <n v="2"/>
    <x v="0"/>
    <n v="3"/>
    <s v="Single"/>
    <n v="4728"/>
    <n v="3"/>
    <x v="0"/>
    <n v="14"/>
    <n v="3"/>
    <n v="4"/>
    <n v="0"/>
    <n v="5"/>
    <n v="4"/>
    <n v="3"/>
    <n v="0"/>
    <n v="0"/>
    <n v="0"/>
    <n v="0"/>
    <s v="Master"/>
    <s v="Very High"/>
    <s v="High"/>
    <x v="0"/>
    <s v="High"/>
    <s v="Excellent"/>
    <s v="Very High"/>
    <x v="1"/>
    <s v="No_stock"/>
    <x v="0"/>
  </r>
  <r>
    <x v="3"/>
    <x v="1"/>
    <x v="1"/>
    <n v="970"/>
    <x v="0"/>
    <n v="7"/>
    <n v="3"/>
    <x v="0"/>
    <n v="1114"/>
    <n v="4"/>
    <x v="0"/>
    <n v="3"/>
    <n v="2"/>
    <x v="0"/>
    <n v="2"/>
    <s v="Married"/>
    <n v="4302"/>
    <n v="0"/>
    <x v="1"/>
    <n v="17"/>
    <n v="3"/>
    <n v="3"/>
    <n v="1"/>
    <n v="4"/>
    <n v="3"/>
    <n v="3"/>
    <n v="3"/>
    <n v="2"/>
    <n v="0"/>
    <n v="2"/>
    <s v="Bachelor"/>
    <s v="Very High"/>
    <s v="High"/>
    <x v="0"/>
    <s v="Medium"/>
    <s v="Excellent"/>
    <s v="High"/>
    <x v="1"/>
    <s v="Low"/>
    <x v="1"/>
  </r>
  <r>
    <x v="13"/>
    <x v="1"/>
    <x v="2"/>
    <n v="697"/>
    <x v="1"/>
    <n v="3"/>
    <n v="4"/>
    <x v="0"/>
    <n v="1115"/>
    <n v="3"/>
    <x v="1"/>
    <n v="2"/>
    <n v="1"/>
    <x v="1"/>
    <n v="4"/>
    <s v="Married"/>
    <n v="2979"/>
    <n v="3"/>
    <x v="1"/>
    <n v="17"/>
    <n v="3"/>
    <n v="4"/>
    <n v="3"/>
    <n v="6"/>
    <n v="2"/>
    <n v="3"/>
    <n v="0"/>
    <n v="0"/>
    <n v="0"/>
    <n v="0"/>
    <s v="Master"/>
    <s v="High"/>
    <s v="Medium"/>
    <x v="1"/>
    <s v="Very High"/>
    <s v="Excellent"/>
    <s v="Very High"/>
    <x v="1"/>
    <s v="High"/>
    <x v="0"/>
  </r>
  <r>
    <x v="26"/>
    <x v="1"/>
    <x v="2"/>
    <n v="1262"/>
    <x v="1"/>
    <n v="1"/>
    <n v="4"/>
    <x v="2"/>
    <n v="1116"/>
    <n v="1"/>
    <x v="1"/>
    <n v="4"/>
    <n v="4"/>
    <x v="5"/>
    <n v="4"/>
    <s v="Single"/>
    <n v="16885"/>
    <n v="2"/>
    <x v="1"/>
    <n v="22"/>
    <n v="4"/>
    <n v="3"/>
    <n v="0"/>
    <n v="27"/>
    <n v="3"/>
    <n v="2"/>
    <n v="5"/>
    <n v="4"/>
    <n v="2"/>
    <n v="1"/>
    <s v="Master"/>
    <s v="Low"/>
    <s v="Very High"/>
    <x v="3"/>
    <s v="Very High"/>
    <s v="Outstanding"/>
    <s v="High"/>
    <x v="2"/>
    <s v="No_stock"/>
    <x v="0"/>
  </r>
  <r>
    <x v="28"/>
    <x v="1"/>
    <x v="2"/>
    <n v="1050"/>
    <x v="0"/>
    <n v="9"/>
    <n v="4"/>
    <x v="0"/>
    <n v="1117"/>
    <n v="2"/>
    <x v="0"/>
    <n v="2"/>
    <n v="2"/>
    <x v="0"/>
    <n v="3"/>
    <s v="Married"/>
    <n v="5593"/>
    <n v="1"/>
    <x v="1"/>
    <n v="13"/>
    <n v="3"/>
    <n v="4"/>
    <n v="1"/>
    <n v="15"/>
    <n v="2"/>
    <n v="3"/>
    <n v="15"/>
    <n v="10"/>
    <n v="4"/>
    <n v="12"/>
    <s v="Master"/>
    <s v="Medium"/>
    <s v="Medium"/>
    <x v="0"/>
    <s v="High"/>
    <s v="Excellent"/>
    <s v="Very High"/>
    <x v="1"/>
    <s v="Low"/>
    <x v="1"/>
  </r>
  <r>
    <x v="39"/>
    <x v="1"/>
    <x v="0"/>
    <n v="994"/>
    <x v="1"/>
    <n v="7"/>
    <n v="4"/>
    <x v="0"/>
    <n v="1118"/>
    <n v="2"/>
    <x v="1"/>
    <n v="3"/>
    <n v="3"/>
    <x v="4"/>
    <n v="2"/>
    <s v="Single"/>
    <n v="10445"/>
    <n v="7"/>
    <x v="1"/>
    <n v="19"/>
    <n v="3"/>
    <n v="4"/>
    <n v="0"/>
    <n v="18"/>
    <n v="4"/>
    <n v="3"/>
    <n v="8"/>
    <n v="6"/>
    <n v="4"/>
    <n v="0"/>
    <s v="Master"/>
    <s v="Medium"/>
    <s v="High"/>
    <x v="2"/>
    <s v="Medium"/>
    <s v="Excellent"/>
    <s v="Very High"/>
    <x v="1"/>
    <s v="No_stock"/>
    <x v="1"/>
  </r>
  <r>
    <x v="8"/>
    <x v="1"/>
    <x v="0"/>
    <n v="770"/>
    <x v="0"/>
    <n v="10"/>
    <n v="4"/>
    <x v="3"/>
    <n v="1119"/>
    <n v="3"/>
    <x v="1"/>
    <n v="2"/>
    <n v="3"/>
    <x v="0"/>
    <n v="3"/>
    <s v="Divorced"/>
    <n v="8740"/>
    <n v="0"/>
    <x v="0"/>
    <n v="14"/>
    <n v="3"/>
    <n v="2"/>
    <n v="2"/>
    <n v="9"/>
    <n v="2"/>
    <n v="3"/>
    <n v="8"/>
    <n v="7"/>
    <n v="2"/>
    <n v="7"/>
    <s v="Master"/>
    <s v="High"/>
    <s v="Medium"/>
    <x v="2"/>
    <s v="High"/>
    <s v="Excellent"/>
    <s v="Medium"/>
    <x v="1"/>
    <s v="Medium"/>
    <x v="1"/>
  </r>
  <r>
    <x v="11"/>
    <x v="1"/>
    <x v="0"/>
    <n v="1107"/>
    <x v="1"/>
    <n v="28"/>
    <n v="4"/>
    <x v="0"/>
    <n v="1120"/>
    <n v="3"/>
    <x v="0"/>
    <n v="3"/>
    <n v="1"/>
    <x v="1"/>
    <n v="4"/>
    <s v="Divorced"/>
    <n v="2514"/>
    <n v="4"/>
    <x v="1"/>
    <n v="22"/>
    <n v="4"/>
    <n v="1"/>
    <n v="1"/>
    <n v="11"/>
    <n v="1"/>
    <n v="3"/>
    <n v="7"/>
    <n v="5"/>
    <n v="1"/>
    <n v="7"/>
    <s v="Master"/>
    <s v="High"/>
    <s v="High"/>
    <x v="1"/>
    <s v="Very High"/>
    <s v="Outstanding"/>
    <s v="Low"/>
    <x v="1"/>
    <s v="Low"/>
    <x v="2"/>
  </r>
  <r>
    <x v="14"/>
    <x v="1"/>
    <x v="0"/>
    <n v="950"/>
    <x v="1"/>
    <n v="3"/>
    <n v="3"/>
    <x v="2"/>
    <n v="1121"/>
    <n v="4"/>
    <x v="0"/>
    <n v="3"/>
    <n v="3"/>
    <x v="3"/>
    <n v="2"/>
    <s v="Divorced"/>
    <n v="7655"/>
    <n v="0"/>
    <x v="1"/>
    <n v="17"/>
    <n v="3"/>
    <n v="2"/>
    <n v="3"/>
    <n v="10"/>
    <n v="3"/>
    <n v="2"/>
    <n v="9"/>
    <n v="7"/>
    <n v="1"/>
    <n v="7"/>
    <s v="Bachelor"/>
    <s v="Very High"/>
    <s v="High"/>
    <x v="2"/>
    <s v="Medium"/>
    <s v="Excellent"/>
    <s v="Medium"/>
    <x v="2"/>
    <s v="High"/>
    <x v="0"/>
  </r>
  <r>
    <x v="21"/>
    <x v="1"/>
    <x v="0"/>
    <n v="406"/>
    <x v="0"/>
    <n v="3"/>
    <n v="1"/>
    <x v="3"/>
    <n v="1124"/>
    <n v="1"/>
    <x v="1"/>
    <n v="3"/>
    <n v="4"/>
    <x v="5"/>
    <n v="3"/>
    <s v="Married"/>
    <n v="17465"/>
    <n v="3"/>
    <x v="1"/>
    <n v="12"/>
    <n v="3"/>
    <n v="4"/>
    <n v="1"/>
    <n v="23"/>
    <n v="3"/>
    <n v="3"/>
    <n v="12"/>
    <n v="9"/>
    <n v="4"/>
    <n v="9"/>
    <s v="Before College"/>
    <s v="Low"/>
    <s v="High"/>
    <x v="3"/>
    <s v="High"/>
    <s v="Excellent"/>
    <s v="Very High"/>
    <x v="1"/>
    <s v="Low"/>
    <x v="0"/>
  </r>
  <r>
    <x v="8"/>
    <x v="1"/>
    <x v="0"/>
    <n v="130"/>
    <x v="0"/>
    <n v="2"/>
    <n v="2"/>
    <x v="3"/>
    <n v="1125"/>
    <n v="4"/>
    <x v="1"/>
    <n v="3"/>
    <n v="3"/>
    <x v="0"/>
    <n v="2"/>
    <s v="Single"/>
    <n v="7351"/>
    <n v="7"/>
    <x v="1"/>
    <n v="16"/>
    <n v="3"/>
    <n v="3"/>
    <n v="0"/>
    <n v="10"/>
    <n v="2"/>
    <n v="3"/>
    <n v="1"/>
    <n v="0"/>
    <n v="0"/>
    <n v="0"/>
    <s v="College"/>
    <s v="Very High"/>
    <s v="High"/>
    <x v="2"/>
    <s v="Medium"/>
    <s v="Excellent"/>
    <s v="High"/>
    <x v="1"/>
    <s v="No_stock"/>
    <x v="0"/>
  </r>
  <r>
    <x v="23"/>
    <x v="1"/>
    <x v="1"/>
    <n v="1082"/>
    <x v="1"/>
    <n v="27"/>
    <n v="3"/>
    <x v="0"/>
    <n v="1126"/>
    <n v="3"/>
    <x v="0"/>
    <n v="3"/>
    <n v="3"/>
    <x v="3"/>
    <n v="1"/>
    <s v="Married"/>
    <n v="10820"/>
    <n v="8"/>
    <x v="1"/>
    <n v="11"/>
    <n v="3"/>
    <n v="3"/>
    <n v="1"/>
    <n v="18"/>
    <n v="1"/>
    <n v="3"/>
    <n v="8"/>
    <n v="7"/>
    <n v="0"/>
    <n v="1"/>
    <s v="Bachelor"/>
    <s v="High"/>
    <s v="High"/>
    <x v="2"/>
    <s v="Low"/>
    <s v="Excellent"/>
    <s v="High"/>
    <x v="1"/>
    <s v="Low"/>
    <x v="2"/>
  </r>
  <r>
    <x v="22"/>
    <x v="0"/>
    <x v="1"/>
    <n v="203"/>
    <x v="1"/>
    <n v="2"/>
    <n v="3"/>
    <x v="0"/>
    <n v="1127"/>
    <n v="1"/>
    <x v="1"/>
    <n v="3"/>
    <n v="4"/>
    <x v="4"/>
    <n v="4"/>
    <s v="Divorced"/>
    <n v="12169"/>
    <n v="7"/>
    <x v="1"/>
    <n v="11"/>
    <n v="3"/>
    <n v="4"/>
    <n v="3"/>
    <n v="21"/>
    <n v="4"/>
    <n v="3"/>
    <n v="18"/>
    <n v="7"/>
    <n v="11"/>
    <n v="5"/>
    <s v="Bachelor"/>
    <s v="Low"/>
    <s v="High"/>
    <x v="3"/>
    <s v="Very High"/>
    <s v="Excellent"/>
    <s v="Very High"/>
    <x v="1"/>
    <s v="High"/>
    <x v="0"/>
  </r>
  <r>
    <x v="32"/>
    <x v="1"/>
    <x v="0"/>
    <n v="1308"/>
    <x v="1"/>
    <n v="14"/>
    <n v="3"/>
    <x v="2"/>
    <n v="1128"/>
    <n v="3"/>
    <x v="1"/>
    <n v="2"/>
    <n v="5"/>
    <x v="7"/>
    <n v="3"/>
    <s v="Single"/>
    <n v="19626"/>
    <n v="1"/>
    <x v="1"/>
    <n v="14"/>
    <n v="3"/>
    <n v="1"/>
    <n v="0"/>
    <n v="21"/>
    <n v="2"/>
    <n v="4"/>
    <n v="20"/>
    <n v="7"/>
    <n v="4"/>
    <n v="9"/>
    <s v="Bachelor"/>
    <s v="High"/>
    <s v="Medium"/>
    <x v="4"/>
    <s v="High"/>
    <s v="Excellent"/>
    <s v="Low"/>
    <x v="3"/>
    <s v="No_stock"/>
    <x v="1"/>
  </r>
  <r>
    <x v="18"/>
    <x v="1"/>
    <x v="0"/>
    <n v="984"/>
    <x v="1"/>
    <n v="1"/>
    <n v="1"/>
    <x v="4"/>
    <n v="1131"/>
    <n v="4"/>
    <x v="0"/>
    <n v="2"/>
    <n v="1"/>
    <x v="1"/>
    <n v="2"/>
    <s v="Single"/>
    <n v="2070"/>
    <n v="1"/>
    <x v="0"/>
    <n v="11"/>
    <n v="3"/>
    <n v="3"/>
    <n v="0"/>
    <n v="2"/>
    <n v="6"/>
    <n v="4"/>
    <n v="2"/>
    <n v="2"/>
    <n v="2"/>
    <n v="2"/>
    <s v="Before College"/>
    <s v="Very High"/>
    <s v="Medium"/>
    <x v="1"/>
    <s v="Medium"/>
    <s v="Excellent"/>
    <s v="High"/>
    <x v="3"/>
    <s v="No_stock"/>
    <x v="0"/>
  </r>
  <r>
    <x v="22"/>
    <x v="1"/>
    <x v="2"/>
    <n v="439"/>
    <x v="1"/>
    <n v="9"/>
    <n v="3"/>
    <x v="0"/>
    <n v="1132"/>
    <n v="3"/>
    <x v="1"/>
    <n v="3"/>
    <n v="2"/>
    <x v="2"/>
    <n v="2"/>
    <s v="Single"/>
    <n v="6782"/>
    <n v="9"/>
    <x v="1"/>
    <n v="15"/>
    <n v="3"/>
    <n v="3"/>
    <n v="0"/>
    <n v="9"/>
    <n v="2"/>
    <n v="2"/>
    <n v="5"/>
    <n v="4"/>
    <n v="0"/>
    <n v="3"/>
    <s v="Bachelor"/>
    <s v="High"/>
    <s v="High"/>
    <x v="0"/>
    <s v="Medium"/>
    <s v="Excellent"/>
    <s v="High"/>
    <x v="2"/>
    <s v="No_stock"/>
    <x v="1"/>
  </r>
  <r>
    <x v="9"/>
    <x v="1"/>
    <x v="2"/>
    <n v="217"/>
    <x v="1"/>
    <n v="18"/>
    <n v="4"/>
    <x v="0"/>
    <n v="1133"/>
    <n v="1"/>
    <x v="1"/>
    <n v="3"/>
    <n v="2"/>
    <x v="3"/>
    <n v="4"/>
    <s v="Single"/>
    <n v="7779"/>
    <n v="2"/>
    <x v="1"/>
    <n v="20"/>
    <n v="4"/>
    <n v="1"/>
    <n v="0"/>
    <n v="18"/>
    <n v="0"/>
    <n v="3"/>
    <n v="11"/>
    <n v="9"/>
    <n v="0"/>
    <n v="9"/>
    <s v="Master"/>
    <s v="Low"/>
    <s v="High"/>
    <x v="0"/>
    <s v="Very High"/>
    <s v="Outstanding"/>
    <s v="Low"/>
    <x v="1"/>
    <s v="No_stock"/>
    <x v="2"/>
  </r>
  <r>
    <x v="12"/>
    <x v="1"/>
    <x v="1"/>
    <n v="793"/>
    <x v="0"/>
    <n v="20"/>
    <n v="3"/>
    <x v="0"/>
    <n v="1135"/>
    <n v="3"/>
    <x v="1"/>
    <n v="4"/>
    <n v="1"/>
    <x v="6"/>
    <n v="4"/>
    <s v="Married"/>
    <n v="2791"/>
    <n v="0"/>
    <x v="1"/>
    <n v="12"/>
    <n v="3"/>
    <n v="1"/>
    <n v="1"/>
    <n v="3"/>
    <n v="4"/>
    <n v="3"/>
    <n v="2"/>
    <n v="2"/>
    <n v="2"/>
    <n v="2"/>
    <s v="Bachelor"/>
    <s v="High"/>
    <s v="Very High"/>
    <x v="1"/>
    <s v="Very High"/>
    <s v="Excellent"/>
    <s v="Low"/>
    <x v="1"/>
    <s v="Low"/>
    <x v="2"/>
  </r>
  <r>
    <x v="14"/>
    <x v="1"/>
    <x v="0"/>
    <n v="1451"/>
    <x v="1"/>
    <n v="2"/>
    <n v="1"/>
    <x v="0"/>
    <n v="1136"/>
    <n v="1"/>
    <x v="1"/>
    <n v="2"/>
    <n v="1"/>
    <x v="1"/>
    <n v="2"/>
    <s v="Married"/>
    <n v="3201"/>
    <n v="0"/>
    <x v="1"/>
    <n v="17"/>
    <n v="3"/>
    <n v="1"/>
    <n v="0"/>
    <n v="6"/>
    <n v="2"/>
    <n v="1"/>
    <n v="5"/>
    <n v="3"/>
    <n v="0"/>
    <n v="4"/>
    <s v="Before College"/>
    <s v="Low"/>
    <s v="Medium"/>
    <x v="1"/>
    <s v="Medium"/>
    <s v="Excellent"/>
    <s v="Low"/>
    <x v="0"/>
    <s v="No_stock"/>
    <x v="0"/>
  </r>
  <r>
    <x v="10"/>
    <x v="1"/>
    <x v="1"/>
    <n v="1182"/>
    <x v="0"/>
    <n v="11"/>
    <n v="2"/>
    <x v="3"/>
    <n v="1137"/>
    <n v="4"/>
    <x v="1"/>
    <n v="3"/>
    <n v="2"/>
    <x v="0"/>
    <n v="4"/>
    <s v="Divorced"/>
    <n v="4968"/>
    <n v="1"/>
    <x v="1"/>
    <n v="11"/>
    <n v="3"/>
    <n v="4"/>
    <n v="1"/>
    <n v="5"/>
    <n v="3"/>
    <n v="3"/>
    <n v="5"/>
    <n v="2"/>
    <n v="0"/>
    <n v="2"/>
    <s v="College"/>
    <s v="Very High"/>
    <s v="High"/>
    <x v="0"/>
    <s v="Very High"/>
    <s v="Excellent"/>
    <s v="Very High"/>
    <x v="1"/>
    <s v="Low"/>
    <x v="1"/>
  </r>
  <r>
    <x v="1"/>
    <x v="1"/>
    <x v="0"/>
    <n v="174"/>
    <x v="0"/>
    <n v="8"/>
    <n v="4"/>
    <x v="4"/>
    <n v="1138"/>
    <n v="4"/>
    <x v="1"/>
    <n v="2"/>
    <n v="4"/>
    <x v="0"/>
    <n v="2"/>
    <s v="Married"/>
    <n v="13120"/>
    <n v="6"/>
    <x v="1"/>
    <n v="17"/>
    <n v="3"/>
    <n v="2"/>
    <n v="1"/>
    <n v="22"/>
    <n v="3"/>
    <n v="3"/>
    <n v="9"/>
    <n v="8"/>
    <n v="2"/>
    <n v="3"/>
    <s v="Master"/>
    <s v="Very High"/>
    <s v="Medium"/>
    <x v="3"/>
    <s v="Medium"/>
    <s v="Excellent"/>
    <s v="Medium"/>
    <x v="1"/>
    <s v="Low"/>
    <x v="1"/>
  </r>
  <r>
    <x v="13"/>
    <x v="1"/>
    <x v="1"/>
    <n v="1003"/>
    <x v="1"/>
    <n v="2"/>
    <n v="2"/>
    <x v="0"/>
    <n v="1140"/>
    <n v="4"/>
    <x v="1"/>
    <n v="3"/>
    <n v="2"/>
    <x v="3"/>
    <n v="3"/>
    <s v="Single"/>
    <n v="4033"/>
    <n v="2"/>
    <x v="1"/>
    <n v="11"/>
    <n v="3"/>
    <n v="4"/>
    <n v="0"/>
    <n v="5"/>
    <n v="3"/>
    <n v="2"/>
    <n v="3"/>
    <n v="2"/>
    <n v="0"/>
    <n v="2"/>
    <s v="College"/>
    <s v="Very High"/>
    <s v="High"/>
    <x v="0"/>
    <s v="High"/>
    <s v="Excellent"/>
    <s v="Very High"/>
    <x v="2"/>
    <s v="No_stock"/>
    <x v="0"/>
  </r>
  <r>
    <x v="11"/>
    <x v="1"/>
    <x v="1"/>
    <n v="490"/>
    <x v="1"/>
    <n v="10"/>
    <n v="3"/>
    <x v="0"/>
    <n v="1143"/>
    <n v="4"/>
    <x v="0"/>
    <n v="3"/>
    <n v="1"/>
    <x v="1"/>
    <n v="2"/>
    <s v="Divorced"/>
    <n v="3291"/>
    <n v="0"/>
    <x v="1"/>
    <n v="14"/>
    <n v="3"/>
    <n v="4"/>
    <n v="2"/>
    <n v="8"/>
    <n v="2"/>
    <n v="2"/>
    <n v="7"/>
    <n v="5"/>
    <n v="1"/>
    <n v="1"/>
    <s v="Bachelor"/>
    <s v="Very High"/>
    <s v="High"/>
    <x v="1"/>
    <s v="Medium"/>
    <s v="Excellent"/>
    <s v="Very High"/>
    <x v="2"/>
    <s v="Medium"/>
    <x v="1"/>
  </r>
  <r>
    <x v="19"/>
    <x v="1"/>
    <x v="0"/>
    <n v="188"/>
    <x v="1"/>
    <n v="29"/>
    <n v="3"/>
    <x v="2"/>
    <n v="1148"/>
    <n v="2"/>
    <x v="1"/>
    <n v="1"/>
    <n v="2"/>
    <x v="2"/>
    <n v="4"/>
    <s v="Single"/>
    <n v="4272"/>
    <n v="4"/>
    <x v="1"/>
    <n v="19"/>
    <n v="3"/>
    <n v="1"/>
    <n v="0"/>
    <n v="16"/>
    <n v="3"/>
    <n v="3"/>
    <n v="1"/>
    <n v="0"/>
    <n v="0"/>
    <n v="0"/>
    <s v="Bachelor"/>
    <s v="Medium"/>
    <s v="Low"/>
    <x v="0"/>
    <s v="Very High"/>
    <s v="Excellent"/>
    <s v="Low"/>
    <x v="1"/>
    <s v="No_stock"/>
    <x v="2"/>
  </r>
  <r>
    <x v="11"/>
    <x v="1"/>
    <x v="0"/>
    <n v="718"/>
    <x v="1"/>
    <n v="8"/>
    <n v="1"/>
    <x v="2"/>
    <n v="1150"/>
    <n v="2"/>
    <x v="1"/>
    <n v="2"/>
    <n v="2"/>
    <x v="3"/>
    <n v="4"/>
    <s v="Married"/>
    <n v="5056"/>
    <n v="1"/>
    <x v="0"/>
    <n v="15"/>
    <n v="3"/>
    <n v="3"/>
    <n v="1"/>
    <n v="10"/>
    <n v="2"/>
    <n v="2"/>
    <n v="10"/>
    <n v="7"/>
    <n v="1"/>
    <n v="2"/>
    <s v="Before College"/>
    <s v="Medium"/>
    <s v="Medium"/>
    <x v="0"/>
    <s v="Very High"/>
    <s v="Excellent"/>
    <s v="High"/>
    <x v="2"/>
    <s v="Low"/>
    <x v="1"/>
  </r>
  <r>
    <x v="8"/>
    <x v="1"/>
    <x v="0"/>
    <n v="433"/>
    <x v="2"/>
    <n v="1"/>
    <n v="3"/>
    <x v="5"/>
    <n v="1152"/>
    <n v="3"/>
    <x v="1"/>
    <n v="4"/>
    <n v="1"/>
    <x v="8"/>
    <n v="3"/>
    <s v="Married"/>
    <n v="2844"/>
    <n v="1"/>
    <x v="1"/>
    <n v="13"/>
    <n v="3"/>
    <n v="4"/>
    <n v="1"/>
    <n v="7"/>
    <n v="2"/>
    <n v="4"/>
    <n v="7"/>
    <n v="6"/>
    <n v="5"/>
    <n v="0"/>
    <s v="Bachelor"/>
    <s v="High"/>
    <s v="Very High"/>
    <x v="1"/>
    <s v="High"/>
    <s v="Excellent"/>
    <s v="Very High"/>
    <x v="3"/>
    <s v="Low"/>
    <x v="0"/>
  </r>
  <r>
    <x v="14"/>
    <x v="1"/>
    <x v="1"/>
    <n v="773"/>
    <x v="1"/>
    <n v="6"/>
    <n v="3"/>
    <x v="0"/>
    <n v="1154"/>
    <n v="3"/>
    <x v="1"/>
    <n v="2"/>
    <n v="1"/>
    <x v="1"/>
    <n v="3"/>
    <s v="Divorced"/>
    <n v="2703"/>
    <n v="1"/>
    <x v="0"/>
    <n v="14"/>
    <n v="3"/>
    <n v="4"/>
    <n v="1"/>
    <n v="3"/>
    <n v="2"/>
    <n v="3"/>
    <n v="3"/>
    <n v="1"/>
    <n v="0"/>
    <n v="2"/>
    <s v="Bachelor"/>
    <s v="High"/>
    <s v="Medium"/>
    <x v="1"/>
    <s v="High"/>
    <s v="Excellent"/>
    <s v="Very High"/>
    <x v="1"/>
    <s v="Low"/>
    <x v="1"/>
  </r>
  <r>
    <x v="41"/>
    <x v="0"/>
    <x v="2"/>
    <n v="247"/>
    <x v="1"/>
    <n v="8"/>
    <n v="1"/>
    <x v="2"/>
    <n v="1156"/>
    <n v="3"/>
    <x v="1"/>
    <n v="3"/>
    <n v="1"/>
    <x v="2"/>
    <n v="3"/>
    <s v="Single"/>
    <n v="1904"/>
    <n v="1"/>
    <x v="1"/>
    <n v="12"/>
    <n v="3"/>
    <n v="4"/>
    <n v="0"/>
    <n v="0"/>
    <n v="0"/>
    <n v="3"/>
    <n v="0"/>
    <n v="0"/>
    <n v="0"/>
    <n v="0"/>
    <s v="Before College"/>
    <s v="High"/>
    <s v="High"/>
    <x v="1"/>
    <s v="High"/>
    <s v="Excellent"/>
    <s v="Very High"/>
    <x v="1"/>
    <s v="No_stock"/>
    <x v="1"/>
  </r>
  <r>
    <x v="3"/>
    <x v="0"/>
    <x v="0"/>
    <n v="603"/>
    <x v="0"/>
    <n v="9"/>
    <n v="4"/>
    <x v="3"/>
    <n v="1157"/>
    <n v="1"/>
    <x v="0"/>
    <n v="3"/>
    <n v="2"/>
    <x v="0"/>
    <n v="1"/>
    <s v="Single"/>
    <n v="8224"/>
    <n v="0"/>
    <x v="0"/>
    <n v="17"/>
    <n v="3"/>
    <n v="1"/>
    <n v="0"/>
    <n v="6"/>
    <n v="3"/>
    <n v="3"/>
    <n v="5"/>
    <n v="2"/>
    <n v="0"/>
    <n v="3"/>
    <s v="Master"/>
    <s v="Low"/>
    <s v="High"/>
    <x v="0"/>
    <s v="Low"/>
    <s v="Excellent"/>
    <s v="Low"/>
    <x v="1"/>
    <s v="No_stock"/>
    <x v="1"/>
  </r>
  <r>
    <x v="0"/>
    <x v="1"/>
    <x v="0"/>
    <n v="167"/>
    <x v="1"/>
    <n v="12"/>
    <n v="4"/>
    <x v="0"/>
    <n v="1158"/>
    <n v="2"/>
    <x v="1"/>
    <n v="3"/>
    <n v="1"/>
    <x v="2"/>
    <n v="4"/>
    <s v="Married"/>
    <n v="4766"/>
    <n v="3"/>
    <x v="0"/>
    <n v="11"/>
    <n v="3"/>
    <n v="1"/>
    <n v="1"/>
    <n v="6"/>
    <n v="4"/>
    <n v="3"/>
    <n v="1"/>
    <n v="0"/>
    <n v="0"/>
    <n v="0"/>
    <s v="Master"/>
    <s v="Medium"/>
    <s v="High"/>
    <x v="1"/>
    <s v="Very High"/>
    <s v="Excellent"/>
    <s v="Low"/>
    <x v="1"/>
    <s v="Low"/>
    <x v="1"/>
  </r>
  <r>
    <x v="12"/>
    <x v="0"/>
    <x v="1"/>
    <n v="874"/>
    <x v="1"/>
    <n v="15"/>
    <n v="3"/>
    <x v="2"/>
    <n v="1160"/>
    <n v="3"/>
    <x v="1"/>
    <n v="3"/>
    <n v="1"/>
    <x v="2"/>
    <n v="3"/>
    <s v="Married"/>
    <n v="2610"/>
    <n v="1"/>
    <x v="1"/>
    <n v="12"/>
    <n v="3"/>
    <n v="3"/>
    <n v="1"/>
    <n v="2"/>
    <n v="5"/>
    <n v="2"/>
    <n v="2"/>
    <n v="2"/>
    <n v="2"/>
    <n v="2"/>
    <s v="Bachelor"/>
    <s v="High"/>
    <s v="High"/>
    <x v="1"/>
    <s v="High"/>
    <s v="Excellent"/>
    <s v="High"/>
    <x v="2"/>
    <s v="Low"/>
    <x v="1"/>
  </r>
  <r>
    <x v="2"/>
    <x v="1"/>
    <x v="0"/>
    <n v="367"/>
    <x v="1"/>
    <n v="25"/>
    <n v="2"/>
    <x v="2"/>
    <n v="1161"/>
    <n v="3"/>
    <x v="0"/>
    <n v="2"/>
    <n v="2"/>
    <x v="4"/>
    <n v="4"/>
    <s v="Divorced"/>
    <n v="5731"/>
    <n v="7"/>
    <x v="1"/>
    <n v="13"/>
    <n v="3"/>
    <n v="3"/>
    <n v="2"/>
    <n v="9"/>
    <n v="2"/>
    <n v="3"/>
    <n v="6"/>
    <n v="2"/>
    <n v="1"/>
    <n v="3"/>
    <s v="College"/>
    <s v="High"/>
    <s v="Medium"/>
    <x v="0"/>
    <s v="Very High"/>
    <s v="Excellent"/>
    <s v="High"/>
    <x v="1"/>
    <s v="Medium"/>
    <x v="2"/>
  </r>
  <r>
    <x v="4"/>
    <x v="1"/>
    <x v="0"/>
    <n v="199"/>
    <x v="1"/>
    <n v="6"/>
    <n v="3"/>
    <x v="0"/>
    <n v="1162"/>
    <n v="4"/>
    <x v="1"/>
    <n v="2"/>
    <n v="1"/>
    <x v="1"/>
    <n v="3"/>
    <s v="Married"/>
    <n v="2539"/>
    <n v="1"/>
    <x v="1"/>
    <n v="13"/>
    <n v="3"/>
    <n v="3"/>
    <n v="1"/>
    <n v="4"/>
    <n v="0"/>
    <n v="3"/>
    <n v="4"/>
    <n v="2"/>
    <n v="2"/>
    <n v="2"/>
    <s v="Bachelor"/>
    <s v="Very High"/>
    <s v="Medium"/>
    <x v="1"/>
    <s v="High"/>
    <s v="Excellent"/>
    <s v="High"/>
    <x v="1"/>
    <s v="Low"/>
    <x v="1"/>
  </r>
  <r>
    <x v="13"/>
    <x v="1"/>
    <x v="0"/>
    <n v="1400"/>
    <x v="0"/>
    <n v="9"/>
    <n v="1"/>
    <x v="0"/>
    <n v="1163"/>
    <n v="2"/>
    <x v="0"/>
    <n v="3"/>
    <n v="2"/>
    <x v="0"/>
    <n v="3"/>
    <s v="Married"/>
    <n v="5714"/>
    <n v="1"/>
    <x v="1"/>
    <n v="20"/>
    <n v="4"/>
    <n v="1"/>
    <n v="0"/>
    <n v="6"/>
    <n v="3"/>
    <n v="2"/>
    <n v="6"/>
    <n v="5"/>
    <n v="1"/>
    <n v="3"/>
    <s v="Before College"/>
    <s v="Medium"/>
    <s v="High"/>
    <x v="0"/>
    <s v="High"/>
    <s v="Outstanding"/>
    <s v="Low"/>
    <x v="2"/>
    <s v="No_stock"/>
    <x v="1"/>
  </r>
  <r>
    <x v="10"/>
    <x v="1"/>
    <x v="0"/>
    <n v="528"/>
    <x v="2"/>
    <n v="8"/>
    <n v="4"/>
    <x v="4"/>
    <n v="1164"/>
    <n v="3"/>
    <x v="1"/>
    <n v="3"/>
    <n v="1"/>
    <x v="8"/>
    <n v="3"/>
    <s v="Single"/>
    <n v="4323"/>
    <n v="1"/>
    <x v="1"/>
    <n v="17"/>
    <n v="3"/>
    <n v="2"/>
    <n v="0"/>
    <n v="6"/>
    <n v="2"/>
    <n v="1"/>
    <n v="5"/>
    <n v="4"/>
    <n v="1"/>
    <n v="4"/>
    <s v="Master"/>
    <s v="High"/>
    <s v="High"/>
    <x v="1"/>
    <s v="High"/>
    <s v="Excellent"/>
    <s v="Medium"/>
    <x v="0"/>
    <s v="No_stock"/>
    <x v="1"/>
  </r>
  <r>
    <x v="11"/>
    <x v="0"/>
    <x v="0"/>
    <n v="408"/>
    <x v="0"/>
    <n v="23"/>
    <n v="1"/>
    <x v="0"/>
    <n v="1165"/>
    <n v="4"/>
    <x v="0"/>
    <n v="2"/>
    <n v="3"/>
    <x v="0"/>
    <n v="1"/>
    <s v="Married"/>
    <n v="7336"/>
    <n v="1"/>
    <x v="1"/>
    <n v="13"/>
    <n v="3"/>
    <n v="1"/>
    <n v="1"/>
    <n v="11"/>
    <n v="3"/>
    <n v="1"/>
    <n v="11"/>
    <n v="8"/>
    <n v="3"/>
    <n v="10"/>
    <s v="Before College"/>
    <s v="Very High"/>
    <s v="Medium"/>
    <x v="2"/>
    <s v="Low"/>
    <s v="Excellent"/>
    <s v="Low"/>
    <x v="0"/>
    <s v="Low"/>
    <x v="2"/>
  </r>
  <r>
    <x v="32"/>
    <x v="1"/>
    <x v="1"/>
    <n v="593"/>
    <x v="1"/>
    <n v="9"/>
    <n v="4"/>
    <x v="2"/>
    <n v="1166"/>
    <n v="2"/>
    <x v="0"/>
    <n v="3"/>
    <n v="3"/>
    <x v="7"/>
    <n v="3"/>
    <s v="Single"/>
    <n v="13499"/>
    <n v="9"/>
    <x v="1"/>
    <n v="17"/>
    <n v="3"/>
    <n v="3"/>
    <n v="0"/>
    <n v="20"/>
    <n v="3"/>
    <n v="2"/>
    <n v="18"/>
    <n v="7"/>
    <n v="2"/>
    <n v="13"/>
    <s v="Master"/>
    <s v="Medium"/>
    <s v="High"/>
    <x v="2"/>
    <s v="High"/>
    <s v="Excellent"/>
    <s v="High"/>
    <x v="2"/>
    <s v="No_stock"/>
    <x v="1"/>
  </r>
  <r>
    <x v="19"/>
    <x v="0"/>
    <x v="1"/>
    <n v="481"/>
    <x v="0"/>
    <n v="12"/>
    <n v="3"/>
    <x v="0"/>
    <n v="1167"/>
    <n v="3"/>
    <x v="1"/>
    <n v="3"/>
    <n v="4"/>
    <x v="0"/>
    <n v="1"/>
    <s v="Single"/>
    <n v="13758"/>
    <n v="0"/>
    <x v="0"/>
    <n v="12"/>
    <n v="3"/>
    <n v="2"/>
    <n v="0"/>
    <n v="22"/>
    <n v="2"/>
    <n v="2"/>
    <n v="21"/>
    <n v="9"/>
    <n v="13"/>
    <n v="14"/>
    <s v="Bachelor"/>
    <s v="High"/>
    <s v="High"/>
    <x v="3"/>
    <s v="Low"/>
    <s v="Excellent"/>
    <s v="Medium"/>
    <x v="2"/>
    <s v="No_stock"/>
    <x v="1"/>
  </r>
  <r>
    <x v="19"/>
    <x v="1"/>
    <x v="0"/>
    <n v="647"/>
    <x v="0"/>
    <n v="4"/>
    <n v="4"/>
    <x v="3"/>
    <n v="1171"/>
    <n v="2"/>
    <x v="1"/>
    <n v="3"/>
    <n v="2"/>
    <x v="0"/>
    <n v="1"/>
    <s v="Single"/>
    <n v="5155"/>
    <n v="7"/>
    <x v="1"/>
    <n v="13"/>
    <n v="3"/>
    <n v="4"/>
    <n v="0"/>
    <n v="9"/>
    <n v="3"/>
    <n v="4"/>
    <n v="6"/>
    <n v="4"/>
    <n v="1"/>
    <n v="5"/>
    <s v="Master"/>
    <s v="Medium"/>
    <s v="High"/>
    <x v="0"/>
    <s v="Low"/>
    <s v="Excellent"/>
    <s v="Very High"/>
    <x v="3"/>
    <s v="No_stock"/>
    <x v="0"/>
  </r>
  <r>
    <x v="10"/>
    <x v="1"/>
    <x v="0"/>
    <n v="982"/>
    <x v="1"/>
    <n v="1"/>
    <n v="4"/>
    <x v="2"/>
    <n v="1172"/>
    <n v="4"/>
    <x v="1"/>
    <n v="2"/>
    <n v="1"/>
    <x v="2"/>
    <n v="3"/>
    <s v="Married"/>
    <n v="2258"/>
    <n v="6"/>
    <x v="1"/>
    <n v="12"/>
    <n v="3"/>
    <n v="2"/>
    <n v="1"/>
    <n v="10"/>
    <n v="2"/>
    <n v="3"/>
    <n v="8"/>
    <n v="0"/>
    <n v="1"/>
    <n v="7"/>
    <s v="Master"/>
    <s v="Very High"/>
    <s v="Medium"/>
    <x v="1"/>
    <s v="High"/>
    <s v="Excellent"/>
    <s v="Medium"/>
    <x v="1"/>
    <s v="Low"/>
    <x v="0"/>
  </r>
  <r>
    <x v="17"/>
    <x v="1"/>
    <x v="0"/>
    <n v="477"/>
    <x v="1"/>
    <n v="24"/>
    <n v="3"/>
    <x v="2"/>
    <n v="1173"/>
    <n v="4"/>
    <x v="1"/>
    <n v="3"/>
    <n v="1"/>
    <x v="2"/>
    <n v="2"/>
    <s v="Single"/>
    <n v="3597"/>
    <n v="8"/>
    <x v="1"/>
    <n v="22"/>
    <n v="4"/>
    <n v="4"/>
    <n v="0"/>
    <n v="6"/>
    <n v="2"/>
    <n v="3"/>
    <n v="4"/>
    <n v="3"/>
    <n v="1"/>
    <n v="2"/>
    <s v="Bachelor"/>
    <s v="Very High"/>
    <s v="High"/>
    <x v="1"/>
    <s v="Medium"/>
    <s v="Outstanding"/>
    <s v="Very High"/>
    <x v="1"/>
    <s v="No_stock"/>
    <x v="2"/>
  </r>
  <r>
    <x v="14"/>
    <x v="0"/>
    <x v="0"/>
    <n v="1485"/>
    <x v="1"/>
    <n v="12"/>
    <n v="1"/>
    <x v="0"/>
    <n v="1175"/>
    <n v="3"/>
    <x v="0"/>
    <n v="3"/>
    <n v="1"/>
    <x v="2"/>
    <n v="4"/>
    <s v="Married"/>
    <n v="2515"/>
    <n v="1"/>
    <x v="0"/>
    <n v="11"/>
    <n v="3"/>
    <n v="4"/>
    <n v="0"/>
    <n v="1"/>
    <n v="4"/>
    <n v="2"/>
    <n v="1"/>
    <n v="1"/>
    <n v="0"/>
    <n v="0"/>
    <s v="Before College"/>
    <s v="High"/>
    <s v="High"/>
    <x v="1"/>
    <s v="Very High"/>
    <s v="Excellent"/>
    <s v="Very High"/>
    <x v="2"/>
    <s v="No_stock"/>
    <x v="1"/>
  </r>
  <r>
    <x v="25"/>
    <x v="1"/>
    <x v="0"/>
    <n v="1384"/>
    <x v="1"/>
    <n v="3"/>
    <n v="4"/>
    <x v="2"/>
    <n v="1177"/>
    <n v="1"/>
    <x v="1"/>
    <n v="4"/>
    <n v="1"/>
    <x v="2"/>
    <n v="4"/>
    <s v="Married"/>
    <n v="4420"/>
    <n v="1"/>
    <x v="1"/>
    <n v="22"/>
    <n v="4"/>
    <n v="2"/>
    <n v="1"/>
    <n v="8"/>
    <n v="2"/>
    <n v="3"/>
    <n v="8"/>
    <n v="7"/>
    <n v="0"/>
    <n v="7"/>
    <s v="Master"/>
    <s v="Low"/>
    <s v="Very High"/>
    <x v="1"/>
    <s v="Very High"/>
    <s v="Outstanding"/>
    <s v="Medium"/>
    <x v="1"/>
    <s v="Low"/>
    <x v="0"/>
  </r>
  <r>
    <x v="7"/>
    <x v="1"/>
    <x v="0"/>
    <n v="852"/>
    <x v="0"/>
    <n v="10"/>
    <n v="3"/>
    <x v="3"/>
    <n v="1179"/>
    <n v="3"/>
    <x v="1"/>
    <n v="2"/>
    <n v="2"/>
    <x v="0"/>
    <n v="3"/>
    <s v="Married"/>
    <n v="6578"/>
    <n v="1"/>
    <x v="1"/>
    <n v="18"/>
    <n v="3"/>
    <n v="1"/>
    <n v="1"/>
    <n v="10"/>
    <n v="3"/>
    <n v="3"/>
    <n v="10"/>
    <n v="3"/>
    <n v="1"/>
    <n v="4"/>
    <s v="Bachelor"/>
    <s v="High"/>
    <s v="Medium"/>
    <x v="0"/>
    <s v="High"/>
    <s v="Excellent"/>
    <s v="Low"/>
    <x v="1"/>
    <s v="Low"/>
    <x v="1"/>
  </r>
  <r>
    <x v="32"/>
    <x v="1"/>
    <x v="1"/>
    <n v="902"/>
    <x v="1"/>
    <n v="26"/>
    <n v="2"/>
    <x v="2"/>
    <n v="1180"/>
    <n v="3"/>
    <x v="0"/>
    <n v="2"/>
    <n v="2"/>
    <x v="1"/>
    <n v="4"/>
    <s v="Married"/>
    <n v="4422"/>
    <n v="3"/>
    <x v="0"/>
    <n v="13"/>
    <n v="3"/>
    <n v="4"/>
    <n v="1"/>
    <n v="16"/>
    <n v="3"/>
    <n v="1"/>
    <n v="1"/>
    <n v="1"/>
    <n v="0"/>
    <n v="0"/>
    <s v="College"/>
    <s v="High"/>
    <s v="Medium"/>
    <x v="0"/>
    <s v="Very High"/>
    <s v="Excellent"/>
    <s v="Very High"/>
    <x v="0"/>
    <s v="Low"/>
    <x v="2"/>
  </r>
  <r>
    <x v="10"/>
    <x v="1"/>
    <x v="0"/>
    <n v="819"/>
    <x v="1"/>
    <n v="2"/>
    <n v="3"/>
    <x v="0"/>
    <n v="1182"/>
    <n v="3"/>
    <x v="1"/>
    <n v="2"/>
    <n v="3"/>
    <x v="3"/>
    <n v="2"/>
    <s v="Divorced"/>
    <n v="10274"/>
    <n v="2"/>
    <x v="1"/>
    <n v="18"/>
    <n v="3"/>
    <n v="2"/>
    <n v="1"/>
    <n v="15"/>
    <n v="2"/>
    <n v="4"/>
    <n v="7"/>
    <n v="7"/>
    <n v="6"/>
    <n v="4"/>
    <s v="Bachelor"/>
    <s v="High"/>
    <s v="Medium"/>
    <x v="2"/>
    <s v="Medium"/>
    <s v="Excellent"/>
    <s v="Medium"/>
    <x v="3"/>
    <s v="Low"/>
    <x v="0"/>
  </r>
  <r>
    <x v="13"/>
    <x v="1"/>
    <x v="1"/>
    <n v="669"/>
    <x v="1"/>
    <n v="1"/>
    <n v="3"/>
    <x v="2"/>
    <n v="1184"/>
    <n v="4"/>
    <x v="1"/>
    <n v="2"/>
    <n v="2"/>
    <x v="4"/>
    <n v="1"/>
    <s v="Single"/>
    <n v="5343"/>
    <n v="0"/>
    <x v="1"/>
    <n v="20"/>
    <n v="4"/>
    <n v="3"/>
    <n v="0"/>
    <n v="14"/>
    <n v="3"/>
    <n v="3"/>
    <n v="13"/>
    <n v="9"/>
    <n v="4"/>
    <n v="9"/>
    <s v="Bachelor"/>
    <s v="Very High"/>
    <s v="Medium"/>
    <x v="0"/>
    <s v="Low"/>
    <s v="Outstanding"/>
    <s v="High"/>
    <x v="1"/>
    <s v="No_stock"/>
    <x v="0"/>
  </r>
  <r>
    <x v="10"/>
    <x v="1"/>
    <x v="1"/>
    <n v="636"/>
    <x v="1"/>
    <n v="4"/>
    <n v="4"/>
    <x v="1"/>
    <n v="1185"/>
    <n v="4"/>
    <x v="1"/>
    <n v="2"/>
    <n v="1"/>
    <x v="2"/>
    <n v="4"/>
    <s v="Married"/>
    <n v="2376"/>
    <n v="1"/>
    <x v="1"/>
    <n v="13"/>
    <n v="3"/>
    <n v="2"/>
    <n v="1"/>
    <n v="2"/>
    <n v="2"/>
    <n v="4"/>
    <n v="2"/>
    <n v="2"/>
    <n v="2"/>
    <n v="2"/>
    <s v="Master"/>
    <s v="Very High"/>
    <s v="Medium"/>
    <x v="1"/>
    <s v="Very High"/>
    <s v="Excellent"/>
    <s v="Medium"/>
    <x v="3"/>
    <s v="Low"/>
    <x v="0"/>
  </r>
  <r>
    <x v="23"/>
    <x v="0"/>
    <x v="0"/>
    <n v="1372"/>
    <x v="0"/>
    <n v="9"/>
    <n v="3"/>
    <x v="3"/>
    <n v="1188"/>
    <n v="1"/>
    <x v="0"/>
    <n v="1"/>
    <n v="2"/>
    <x v="0"/>
    <n v="3"/>
    <s v="Single"/>
    <n v="5346"/>
    <n v="8"/>
    <x v="1"/>
    <n v="13"/>
    <n v="3"/>
    <n v="2"/>
    <n v="0"/>
    <n v="7"/>
    <n v="2"/>
    <n v="2"/>
    <n v="4"/>
    <n v="3"/>
    <n v="1"/>
    <n v="3"/>
    <s v="Bachelor"/>
    <s v="Low"/>
    <s v="Low"/>
    <x v="0"/>
    <s v="High"/>
    <s v="Excellent"/>
    <s v="Medium"/>
    <x v="2"/>
    <s v="No_stock"/>
    <x v="1"/>
  </r>
  <r>
    <x v="5"/>
    <x v="1"/>
    <x v="2"/>
    <n v="862"/>
    <x v="0"/>
    <n v="2"/>
    <n v="1"/>
    <x v="0"/>
    <n v="1190"/>
    <n v="3"/>
    <x v="0"/>
    <n v="3"/>
    <n v="1"/>
    <x v="6"/>
    <n v="1"/>
    <s v="Divorced"/>
    <n v="2827"/>
    <n v="1"/>
    <x v="1"/>
    <n v="12"/>
    <n v="3"/>
    <n v="3"/>
    <n v="3"/>
    <n v="1"/>
    <n v="3"/>
    <n v="3"/>
    <n v="1"/>
    <n v="0"/>
    <n v="0"/>
    <n v="0"/>
    <s v="Before College"/>
    <s v="High"/>
    <s v="High"/>
    <x v="1"/>
    <s v="Low"/>
    <s v="Excellent"/>
    <s v="High"/>
    <x v="1"/>
    <s v="High"/>
    <x v="0"/>
  </r>
  <r>
    <x v="29"/>
    <x v="1"/>
    <x v="0"/>
    <n v="718"/>
    <x v="1"/>
    <n v="4"/>
    <n v="4"/>
    <x v="4"/>
    <n v="1191"/>
    <n v="4"/>
    <x v="0"/>
    <n v="3"/>
    <n v="5"/>
    <x v="5"/>
    <n v="1"/>
    <s v="Divorced"/>
    <n v="19943"/>
    <n v="4"/>
    <x v="1"/>
    <n v="13"/>
    <n v="3"/>
    <n v="4"/>
    <n v="1"/>
    <n v="28"/>
    <n v="2"/>
    <n v="3"/>
    <n v="5"/>
    <n v="2"/>
    <n v="4"/>
    <n v="2"/>
    <s v="Master"/>
    <s v="Very High"/>
    <s v="High"/>
    <x v="4"/>
    <s v="Low"/>
    <s v="Excellent"/>
    <s v="Very High"/>
    <x v="1"/>
    <s v="Low"/>
    <x v="0"/>
  </r>
  <r>
    <x v="11"/>
    <x v="1"/>
    <x v="0"/>
    <n v="1401"/>
    <x v="1"/>
    <n v="6"/>
    <n v="1"/>
    <x v="2"/>
    <n v="1192"/>
    <n v="2"/>
    <x v="0"/>
    <n v="3"/>
    <n v="1"/>
    <x v="2"/>
    <n v="4"/>
    <s v="Married"/>
    <n v="3131"/>
    <n v="1"/>
    <x v="1"/>
    <n v="13"/>
    <n v="3"/>
    <n v="1"/>
    <n v="1"/>
    <n v="10"/>
    <n v="5"/>
    <n v="3"/>
    <n v="10"/>
    <n v="8"/>
    <n v="0"/>
    <n v="8"/>
    <s v="Before College"/>
    <s v="Medium"/>
    <s v="High"/>
    <x v="1"/>
    <s v="Very High"/>
    <s v="Excellent"/>
    <s v="Low"/>
    <x v="1"/>
    <s v="Low"/>
    <x v="1"/>
  </r>
  <r>
    <x v="37"/>
    <x v="1"/>
    <x v="0"/>
    <n v="645"/>
    <x v="1"/>
    <n v="9"/>
    <n v="2"/>
    <x v="0"/>
    <n v="1193"/>
    <n v="3"/>
    <x v="1"/>
    <n v="3"/>
    <n v="1"/>
    <x v="1"/>
    <n v="1"/>
    <s v="Single"/>
    <n v="2552"/>
    <n v="1"/>
    <x v="1"/>
    <n v="25"/>
    <n v="4"/>
    <n v="3"/>
    <n v="0"/>
    <n v="1"/>
    <n v="4"/>
    <n v="3"/>
    <n v="1"/>
    <n v="1"/>
    <n v="0"/>
    <n v="0"/>
    <s v="College"/>
    <s v="High"/>
    <s v="High"/>
    <x v="1"/>
    <s v="Low"/>
    <s v="Outstanding"/>
    <s v="High"/>
    <x v="1"/>
    <s v="No_stock"/>
    <x v="1"/>
  </r>
  <r>
    <x v="28"/>
    <x v="1"/>
    <x v="0"/>
    <n v="1457"/>
    <x v="1"/>
    <n v="7"/>
    <n v="3"/>
    <x v="2"/>
    <n v="1195"/>
    <n v="1"/>
    <x v="0"/>
    <n v="3"/>
    <n v="1"/>
    <x v="1"/>
    <n v="3"/>
    <s v="Married"/>
    <n v="4477"/>
    <n v="4"/>
    <x v="0"/>
    <n v="19"/>
    <n v="3"/>
    <n v="3"/>
    <n v="1"/>
    <n v="7"/>
    <n v="2"/>
    <n v="2"/>
    <n v="3"/>
    <n v="2"/>
    <n v="0"/>
    <n v="2"/>
    <s v="Bachelor"/>
    <s v="Low"/>
    <s v="High"/>
    <x v="1"/>
    <s v="High"/>
    <s v="Excellent"/>
    <s v="High"/>
    <x v="2"/>
    <s v="Low"/>
    <x v="1"/>
  </r>
  <r>
    <x v="2"/>
    <x v="1"/>
    <x v="0"/>
    <n v="977"/>
    <x v="1"/>
    <n v="1"/>
    <n v="3"/>
    <x v="0"/>
    <n v="1196"/>
    <n v="4"/>
    <x v="0"/>
    <n v="2"/>
    <n v="2"/>
    <x v="3"/>
    <n v="4"/>
    <s v="Married"/>
    <n v="6474"/>
    <n v="1"/>
    <x v="1"/>
    <n v="13"/>
    <n v="3"/>
    <n v="2"/>
    <n v="1"/>
    <n v="14"/>
    <n v="2"/>
    <n v="2"/>
    <n v="14"/>
    <n v="8"/>
    <n v="3"/>
    <n v="11"/>
    <s v="Bachelor"/>
    <s v="Very High"/>
    <s v="Medium"/>
    <x v="0"/>
    <s v="Very High"/>
    <s v="Excellent"/>
    <s v="Medium"/>
    <x v="2"/>
    <s v="Low"/>
    <x v="0"/>
  </r>
  <r>
    <x v="35"/>
    <x v="1"/>
    <x v="0"/>
    <n v="805"/>
    <x v="1"/>
    <n v="3"/>
    <n v="3"/>
    <x v="0"/>
    <n v="1198"/>
    <n v="1"/>
    <x v="1"/>
    <n v="2"/>
    <n v="1"/>
    <x v="2"/>
    <n v="3"/>
    <s v="Single"/>
    <n v="3033"/>
    <n v="1"/>
    <x v="1"/>
    <n v="12"/>
    <n v="3"/>
    <n v="1"/>
    <n v="0"/>
    <n v="2"/>
    <n v="2"/>
    <n v="2"/>
    <n v="2"/>
    <n v="2"/>
    <n v="1"/>
    <n v="2"/>
    <s v="Bachelor"/>
    <s v="Low"/>
    <s v="Medium"/>
    <x v="1"/>
    <s v="High"/>
    <s v="Excellent"/>
    <s v="Low"/>
    <x v="2"/>
    <s v="No_stock"/>
    <x v="0"/>
  </r>
  <r>
    <x v="20"/>
    <x v="0"/>
    <x v="0"/>
    <n v="1097"/>
    <x v="1"/>
    <n v="10"/>
    <n v="4"/>
    <x v="0"/>
    <n v="1200"/>
    <n v="3"/>
    <x v="1"/>
    <n v="3"/>
    <n v="1"/>
    <x v="1"/>
    <n v="3"/>
    <s v="Single"/>
    <n v="2936"/>
    <n v="1"/>
    <x v="0"/>
    <n v="11"/>
    <n v="3"/>
    <n v="3"/>
    <n v="0"/>
    <n v="6"/>
    <n v="4"/>
    <n v="3"/>
    <n v="6"/>
    <n v="4"/>
    <n v="0"/>
    <n v="2"/>
    <s v="Master"/>
    <s v="High"/>
    <s v="High"/>
    <x v="1"/>
    <s v="High"/>
    <s v="Excellent"/>
    <s v="High"/>
    <x v="1"/>
    <s v="No_stock"/>
    <x v="1"/>
  </r>
  <r>
    <x v="16"/>
    <x v="1"/>
    <x v="0"/>
    <n v="1223"/>
    <x v="1"/>
    <n v="7"/>
    <n v="2"/>
    <x v="2"/>
    <n v="1201"/>
    <n v="4"/>
    <x v="0"/>
    <n v="3"/>
    <n v="5"/>
    <x v="5"/>
    <n v="3"/>
    <s v="Divorced"/>
    <n v="18606"/>
    <n v="3"/>
    <x v="1"/>
    <n v="18"/>
    <n v="3"/>
    <n v="2"/>
    <n v="1"/>
    <n v="26"/>
    <n v="6"/>
    <n v="3"/>
    <n v="7"/>
    <n v="7"/>
    <n v="4"/>
    <n v="7"/>
    <s v="College"/>
    <s v="Very High"/>
    <s v="High"/>
    <x v="4"/>
    <s v="High"/>
    <s v="Excellent"/>
    <s v="Medium"/>
    <x v="1"/>
    <s v="Low"/>
    <x v="1"/>
  </r>
  <r>
    <x v="11"/>
    <x v="1"/>
    <x v="0"/>
    <n v="942"/>
    <x v="1"/>
    <n v="15"/>
    <n v="1"/>
    <x v="0"/>
    <n v="1202"/>
    <n v="2"/>
    <x v="0"/>
    <n v="1"/>
    <n v="1"/>
    <x v="1"/>
    <n v="4"/>
    <s v="Married"/>
    <n v="2168"/>
    <n v="0"/>
    <x v="0"/>
    <n v="18"/>
    <n v="3"/>
    <n v="1"/>
    <n v="1"/>
    <n v="6"/>
    <n v="2"/>
    <n v="2"/>
    <n v="5"/>
    <n v="4"/>
    <n v="1"/>
    <n v="3"/>
    <s v="Before College"/>
    <s v="Medium"/>
    <s v="Low"/>
    <x v="1"/>
    <s v="Very High"/>
    <s v="Excellent"/>
    <s v="Low"/>
    <x v="2"/>
    <s v="Low"/>
    <x v="1"/>
  </r>
  <r>
    <x v="15"/>
    <x v="0"/>
    <x v="1"/>
    <n v="1256"/>
    <x v="1"/>
    <n v="3"/>
    <n v="4"/>
    <x v="0"/>
    <n v="1203"/>
    <n v="3"/>
    <x v="1"/>
    <n v="2"/>
    <n v="1"/>
    <x v="1"/>
    <n v="4"/>
    <s v="Married"/>
    <n v="2853"/>
    <n v="0"/>
    <x v="0"/>
    <n v="11"/>
    <n v="3"/>
    <n v="2"/>
    <n v="1"/>
    <n v="1"/>
    <n v="5"/>
    <n v="3"/>
    <n v="0"/>
    <n v="0"/>
    <n v="0"/>
    <n v="0"/>
    <s v="Master"/>
    <s v="High"/>
    <s v="Medium"/>
    <x v="1"/>
    <s v="Very High"/>
    <s v="Excellent"/>
    <s v="Medium"/>
    <x v="1"/>
    <s v="Low"/>
    <x v="0"/>
  </r>
  <r>
    <x v="21"/>
    <x v="1"/>
    <x v="0"/>
    <n v="1402"/>
    <x v="0"/>
    <n v="2"/>
    <n v="3"/>
    <x v="3"/>
    <n v="1204"/>
    <n v="3"/>
    <x v="0"/>
    <n v="3"/>
    <n v="4"/>
    <x v="5"/>
    <n v="1"/>
    <s v="Married"/>
    <n v="17048"/>
    <n v="8"/>
    <x v="1"/>
    <n v="23"/>
    <n v="4"/>
    <n v="1"/>
    <n v="0"/>
    <n v="28"/>
    <n v="2"/>
    <n v="3"/>
    <n v="26"/>
    <n v="15"/>
    <n v="15"/>
    <n v="9"/>
    <s v="Bachelor"/>
    <s v="High"/>
    <s v="High"/>
    <x v="3"/>
    <s v="Low"/>
    <s v="Outstanding"/>
    <s v="Low"/>
    <x v="1"/>
    <s v="No_stock"/>
    <x v="0"/>
  </r>
  <r>
    <x v="20"/>
    <x v="1"/>
    <x v="2"/>
    <n v="111"/>
    <x v="1"/>
    <n v="17"/>
    <n v="3"/>
    <x v="0"/>
    <n v="1206"/>
    <n v="4"/>
    <x v="1"/>
    <n v="1"/>
    <n v="1"/>
    <x v="1"/>
    <n v="3"/>
    <s v="Single"/>
    <n v="2290"/>
    <n v="2"/>
    <x v="1"/>
    <n v="13"/>
    <n v="3"/>
    <n v="4"/>
    <n v="0"/>
    <n v="6"/>
    <n v="3"/>
    <n v="3"/>
    <n v="0"/>
    <n v="0"/>
    <n v="0"/>
    <n v="0"/>
    <s v="Bachelor"/>
    <s v="Very High"/>
    <s v="Low"/>
    <x v="1"/>
    <s v="High"/>
    <s v="Excellent"/>
    <s v="Very High"/>
    <x v="1"/>
    <s v="No_stock"/>
    <x v="2"/>
  </r>
  <r>
    <x v="3"/>
    <x v="1"/>
    <x v="0"/>
    <n v="147"/>
    <x v="2"/>
    <n v="2"/>
    <n v="3"/>
    <x v="5"/>
    <n v="1207"/>
    <n v="2"/>
    <x v="1"/>
    <n v="3"/>
    <n v="1"/>
    <x v="8"/>
    <n v="3"/>
    <s v="Married"/>
    <n v="3600"/>
    <n v="1"/>
    <x v="1"/>
    <n v="13"/>
    <n v="3"/>
    <n v="4"/>
    <n v="1"/>
    <n v="5"/>
    <n v="2"/>
    <n v="3"/>
    <n v="5"/>
    <n v="4"/>
    <n v="1"/>
    <n v="4"/>
    <s v="Bachelor"/>
    <s v="Medium"/>
    <s v="High"/>
    <x v="1"/>
    <s v="High"/>
    <s v="Excellent"/>
    <s v="Very High"/>
    <x v="1"/>
    <s v="Low"/>
    <x v="0"/>
  </r>
  <r>
    <x v="0"/>
    <x v="0"/>
    <x v="2"/>
    <n v="906"/>
    <x v="1"/>
    <n v="5"/>
    <n v="2"/>
    <x v="0"/>
    <n v="1210"/>
    <n v="1"/>
    <x v="1"/>
    <n v="2"/>
    <n v="1"/>
    <x v="1"/>
    <n v="1"/>
    <s v="Divorced"/>
    <n v="2107"/>
    <n v="6"/>
    <x v="1"/>
    <n v="17"/>
    <n v="3"/>
    <n v="1"/>
    <n v="1"/>
    <n v="5"/>
    <n v="2"/>
    <n v="1"/>
    <n v="1"/>
    <n v="0"/>
    <n v="0"/>
    <n v="0"/>
    <s v="College"/>
    <s v="Low"/>
    <s v="Medium"/>
    <x v="1"/>
    <s v="Low"/>
    <s v="Excellent"/>
    <s v="Low"/>
    <x v="0"/>
    <s v="Low"/>
    <x v="0"/>
  </r>
  <r>
    <x v="7"/>
    <x v="1"/>
    <x v="0"/>
    <n v="1329"/>
    <x v="0"/>
    <n v="29"/>
    <n v="4"/>
    <x v="0"/>
    <n v="1211"/>
    <n v="3"/>
    <x v="1"/>
    <n v="3"/>
    <n v="2"/>
    <x v="0"/>
    <n v="1"/>
    <s v="Divorced"/>
    <n v="4115"/>
    <n v="8"/>
    <x v="1"/>
    <n v="19"/>
    <n v="3"/>
    <n v="3"/>
    <n v="3"/>
    <n v="8"/>
    <n v="3"/>
    <n v="3"/>
    <n v="4"/>
    <n v="3"/>
    <n v="0"/>
    <n v="3"/>
    <s v="Master"/>
    <s v="High"/>
    <s v="High"/>
    <x v="0"/>
    <s v="Low"/>
    <s v="Excellent"/>
    <s v="High"/>
    <x v="1"/>
    <s v="High"/>
    <x v="2"/>
  </r>
  <r>
    <x v="32"/>
    <x v="1"/>
    <x v="1"/>
    <n v="1184"/>
    <x v="0"/>
    <n v="2"/>
    <n v="4"/>
    <x v="2"/>
    <n v="1212"/>
    <n v="2"/>
    <x v="1"/>
    <n v="3"/>
    <n v="2"/>
    <x v="0"/>
    <n v="2"/>
    <s v="Married"/>
    <n v="4327"/>
    <n v="5"/>
    <x v="1"/>
    <n v="12"/>
    <n v="3"/>
    <n v="4"/>
    <n v="3"/>
    <n v="5"/>
    <n v="2"/>
    <n v="3"/>
    <n v="0"/>
    <n v="0"/>
    <n v="0"/>
    <n v="0"/>
    <s v="Master"/>
    <s v="Medium"/>
    <s v="High"/>
    <x v="0"/>
    <s v="Medium"/>
    <s v="Excellent"/>
    <s v="Very High"/>
    <x v="1"/>
    <s v="High"/>
    <x v="0"/>
  </r>
  <r>
    <x v="24"/>
    <x v="1"/>
    <x v="1"/>
    <n v="1421"/>
    <x v="1"/>
    <n v="2"/>
    <n v="3"/>
    <x v="2"/>
    <n v="1215"/>
    <n v="4"/>
    <x v="0"/>
    <n v="3"/>
    <n v="4"/>
    <x v="5"/>
    <n v="1"/>
    <s v="Married"/>
    <n v="17856"/>
    <n v="2"/>
    <x v="1"/>
    <n v="22"/>
    <n v="4"/>
    <n v="3"/>
    <n v="1"/>
    <n v="32"/>
    <n v="3"/>
    <n v="3"/>
    <n v="2"/>
    <n v="2"/>
    <n v="2"/>
    <n v="2"/>
    <s v="Bachelor"/>
    <s v="Very High"/>
    <s v="High"/>
    <x v="3"/>
    <s v="Low"/>
    <s v="Outstanding"/>
    <s v="High"/>
    <x v="1"/>
    <s v="Low"/>
    <x v="0"/>
  </r>
  <r>
    <x v="14"/>
    <x v="1"/>
    <x v="0"/>
    <n v="1179"/>
    <x v="1"/>
    <n v="19"/>
    <n v="4"/>
    <x v="2"/>
    <n v="1216"/>
    <n v="4"/>
    <x v="1"/>
    <n v="2"/>
    <n v="1"/>
    <x v="2"/>
    <n v="1"/>
    <s v="Married"/>
    <n v="3196"/>
    <n v="1"/>
    <x v="1"/>
    <n v="12"/>
    <n v="3"/>
    <n v="3"/>
    <n v="3"/>
    <n v="6"/>
    <n v="2"/>
    <n v="3"/>
    <n v="6"/>
    <n v="5"/>
    <n v="3"/>
    <n v="3"/>
    <s v="Master"/>
    <s v="Very High"/>
    <s v="Medium"/>
    <x v="1"/>
    <s v="Low"/>
    <s v="Excellent"/>
    <s v="High"/>
    <x v="1"/>
    <s v="High"/>
    <x v="2"/>
  </r>
  <r>
    <x v="21"/>
    <x v="1"/>
    <x v="0"/>
    <n v="1450"/>
    <x v="1"/>
    <n v="15"/>
    <n v="2"/>
    <x v="0"/>
    <n v="1217"/>
    <n v="4"/>
    <x v="1"/>
    <n v="3"/>
    <n v="5"/>
    <x v="7"/>
    <n v="2"/>
    <s v="Married"/>
    <n v="19081"/>
    <n v="5"/>
    <x v="1"/>
    <n v="11"/>
    <n v="3"/>
    <n v="1"/>
    <n v="1"/>
    <n v="25"/>
    <n v="2"/>
    <n v="3"/>
    <n v="4"/>
    <n v="2"/>
    <n v="0"/>
    <n v="3"/>
    <s v="College"/>
    <s v="Very High"/>
    <s v="High"/>
    <x v="4"/>
    <s v="Medium"/>
    <s v="Excellent"/>
    <s v="Low"/>
    <x v="1"/>
    <s v="Low"/>
    <x v="1"/>
  </r>
  <r>
    <x v="10"/>
    <x v="1"/>
    <x v="0"/>
    <n v="1361"/>
    <x v="0"/>
    <n v="17"/>
    <n v="4"/>
    <x v="0"/>
    <n v="1218"/>
    <n v="3"/>
    <x v="1"/>
    <n v="3"/>
    <n v="2"/>
    <x v="0"/>
    <n v="1"/>
    <s v="Married"/>
    <n v="8966"/>
    <n v="3"/>
    <x v="0"/>
    <n v="15"/>
    <n v="3"/>
    <n v="4"/>
    <n v="3"/>
    <n v="15"/>
    <n v="2"/>
    <n v="3"/>
    <n v="7"/>
    <n v="7"/>
    <n v="1"/>
    <n v="7"/>
    <s v="Master"/>
    <s v="High"/>
    <s v="High"/>
    <x v="0"/>
    <s v="Low"/>
    <s v="Excellent"/>
    <s v="Very High"/>
    <x v="1"/>
    <s v="High"/>
    <x v="2"/>
  </r>
  <r>
    <x v="17"/>
    <x v="0"/>
    <x v="0"/>
    <n v="984"/>
    <x v="1"/>
    <n v="17"/>
    <n v="2"/>
    <x v="0"/>
    <n v="1219"/>
    <n v="4"/>
    <x v="0"/>
    <n v="3"/>
    <n v="1"/>
    <x v="2"/>
    <n v="2"/>
    <s v="Married"/>
    <n v="2210"/>
    <n v="1"/>
    <x v="1"/>
    <n v="13"/>
    <n v="3"/>
    <n v="1"/>
    <n v="1"/>
    <n v="1"/>
    <n v="3"/>
    <n v="1"/>
    <n v="1"/>
    <n v="0"/>
    <n v="0"/>
    <n v="0"/>
    <s v="College"/>
    <s v="Very High"/>
    <s v="High"/>
    <x v="1"/>
    <s v="Medium"/>
    <s v="Excellent"/>
    <s v="Low"/>
    <x v="0"/>
    <s v="Low"/>
    <x v="2"/>
  </r>
  <r>
    <x v="3"/>
    <x v="1"/>
    <x v="1"/>
    <n v="1146"/>
    <x v="0"/>
    <n v="25"/>
    <n v="3"/>
    <x v="2"/>
    <n v="1220"/>
    <n v="2"/>
    <x v="0"/>
    <n v="3"/>
    <n v="2"/>
    <x v="0"/>
    <n v="3"/>
    <s v="Married"/>
    <n v="4539"/>
    <n v="1"/>
    <x v="1"/>
    <n v="12"/>
    <n v="3"/>
    <n v="1"/>
    <n v="1"/>
    <n v="10"/>
    <n v="3"/>
    <n v="2"/>
    <n v="10"/>
    <n v="7"/>
    <n v="0"/>
    <n v="1"/>
    <s v="Bachelor"/>
    <s v="Medium"/>
    <s v="High"/>
    <x v="0"/>
    <s v="High"/>
    <s v="Excellent"/>
    <s v="Low"/>
    <x v="2"/>
    <s v="Low"/>
    <x v="2"/>
  </r>
  <r>
    <x v="9"/>
    <x v="1"/>
    <x v="0"/>
    <n v="917"/>
    <x v="1"/>
    <n v="6"/>
    <n v="4"/>
    <x v="0"/>
    <n v="1221"/>
    <n v="3"/>
    <x v="1"/>
    <n v="1"/>
    <n v="1"/>
    <x v="2"/>
    <n v="3"/>
    <s v="Divorced"/>
    <n v="2741"/>
    <n v="1"/>
    <x v="1"/>
    <n v="14"/>
    <n v="3"/>
    <n v="3"/>
    <n v="1"/>
    <n v="7"/>
    <n v="4"/>
    <n v="3"/>
    <n v="7"/>
    <n v="7"/>
    <n v="1"/>
    <n v="7"/>
    <s v="Master"/>
    <s v="High"/>
    <s v="Low"/>
    <x v="1"/>
    <s v="High"/>
    <s v="Excellent"/>
    <s v="High"/>
    <x v="1"/>
    <s v="Low"/>
    <x v="1"/>
  </r>
  <r>
    <x v="7"/>
    <x v="1"/>
    <x v="0"/>
    <n v="853"/>
    <x v="1"/>
    <n v="7"/>
    <n v="4"/>
    <x v="0"/>
    <n v="1224"/>
    <n v="3"/>
    <x v="1"/>
    <n v="3"/>
    <n v="2"/>
    <x v="2"/>
    <n v="3"/>
    <s v="Divorced"/>
    <n v="3491"/>
    <n v="1"/>
    <x v="1"/>
    <n v="13"/>
    <n v="3"/>
    <n v="1"/>
    <n v="3"/>
    <n v="10"/>
    <n v="4"/>
    <n v="2"/>
    <n v="10"/>
    <n v="7"/>
    <n v="8"/>
    <n v="9"/>
    <s v="Master"/>
    <s v="High"/>
    <s v="High"/>
    <x v="0"/>
    <s v="High"/>
    <s v="Excellent"/>
    <s v="Low"/>
    <x v="2"/>
    <s v="High"/>
    <x v="1"/>
  </r>
  <r>
    <x v="20"/>
    <x v="1"/>
    <x v="0"/>
    <n v="200"/>
    <x v="1"/>
    <n v="29"/>
    <n v="4"/>
    <x v="1"/>
    <n v="1225"/>
    <n v="4"/>
    <x v="1"/>
    <n v="3"/>
    <n v="2"/>
    <x v="1"/>
    <n v="4"/>
    <s v="Single"/>
    <n v="4541"/>
    <n v="1"/>
    <x v="1"/>
    <n v="25"/>
    <n v="4"/>
    <n v="2"/>
    <n v="0"/>
    <n v="20"/>
    <n v="3"/>
    <n v="3"/>
    <n v="20"/>
    <n v="11"/>
    <n v="13"/>
    <n v="17"/>
    <s v="Master"/>
    <s v="Very High"/>
    <s v="High"/>
    <x v="0"/>
    <s v="Very High"/>
    <s v="Outstanding"/>
    <s v="Medium"/>
    <x v="1"/>
    <s v="No_stock"/>
    <x v="2"/>
  </r>
  <r>
    <x v="35"/>
    <x v="1"/>
    <x v="0"/>
    <n v="654"/>
    <x v="0"/>
    <n v="21"/>
    <n v="3"/>
    <x v="3"/>
    <n v="1226"/>
    <n v="3"/>
    <x v="1"/>
    <n v="4"/>
    <n v="1"/>
    <x v="6"/>
    <n v="4"/>
    <s v="Single"/>
    <n v="2678"/>
    <n v="1"/>
    <x v="1"/>
    <n v="17"/>
    <n v="3"/>
    <n v="4"/>
    <n v="0"/>
    <n v="2"/>
    <n v="2"/>
    <n v="3"/>
    <n v="2"/>
    <n v="1"/>
    <n v="2"/>
    <n v="2"/>
    <s v="Bachelor"/>
    <s v="High"/>
    <s v="Very High"/>
    <x v="1"/>
    <s v="Very High"/>
    <s v="Excellent"/>
    <s v="Very High"/>
    <x v="1"/>
    <s v="No_stock"/>
    <x v="2"/>
  </r>
  <r>
    <x v="21"/>
    <x v="1"/>
    <x v="0"/>
    <n v="150"/>
    <x v="1"/>
    <n v="2"/>
    <n v="4"/>
    <x v="4"/>
    <n v="1228"/>
    <n v="4"/>
    <x v="1"/>
    <n v="3"/>
    <n v="2"/>
    <x v="3"/>
    <n v="4"/>
    <s v="Divorced"/>
    <n v="7379"/>
    <n v="2"/>
    <x v="1"/>
    <n v="11"/>
    <n v="3"/>
    <n v="3"/>
    <n v="1"/>
    <n v="12"/>
    <n v="3"/>
    <n v="2"/>
    <n v="6"/>
    <n v="3"/>
    <n v="1"/>
    <n v="4"/>
    <s v="Master"/>
    <s v="Very High"/>
    <s v="High"/>
    <x v="0"/>
    <s v="Very High"/>
    <s v="Excellent"/>
    <s v="High"/>
    <x v="2"/>
    <s v="Low"/>
    <x v="0"/>
  </r>
  <r>
    <x v="19"/>
    <x v="1"/>
    <x v="2"/>
    <n v="179"/>
    <x v="2"/>
    <n v="2"/>
    <n v="5"/>
    <x v="2"/>
    <n v="1231"/>
    <n v="4"/>
    <x v="1"/>
    <n v="4"/>
    <n v="2"/>
    <x v="8"/>
    <n v="1"/>
    <s v="Married"/>
    <n v="6272"/>
    <n v="7"/>
    <x v="1"/>
    <n v="16"/>
    <n v="3"/>
    <n v="1"/>
    <n v="1"/>
    <n v="10"/>
    <n v="3"/>
    <n v="4"/>
    <n v="4"/>
    <n v="3"/>
    <n v="0"/>
    <n v="3"/>
    <s v="Doctor"/>
    <s v="Very High"/>
    <s v="Very High"/>
    <x v="0"/>
    <s v="Low"/>
    <s v="Excellent"/>
    <s v="Low"/>
    <x v="3"/>
    <s v="Low"/>
    <x v="0"/>
  </r>
  <r>
    <x v="42"/>
    <x v="1"/>
    <x v="0"/>
    <n v="696"/>
    <x v="0"/>
    <n v="7"/>
    <n v="4"/>
    <x v="3"/>
    <n v="1233"/>
    <n v="2"/>
    <x v="1"/>
    <n v="4"/>
    <n v="2"/>
    <x v="0"/>
    <n v="4"/>
    <s v="Divorced"/>
    <n v="5220"/>
    <n v="0"/>
    <x v="0"/>
    <n v="18"/>
    <n v="3"/>
    <n v="2"/>
    <n v="1"/>
    <n v="12"/>
    <n v="3"/>
    <n v="3"/>
    <n v="11"/>
    <n v="7"/>
    <n v="1"/>
    <n v="9"/>
    <s v="Master"/>
    <s v="Medium"/>
    <s v="Very High"/>
    <x v="0"/>
    <s v="Very High"/>
    <s v="Excellent"/>
    <s v="Medium"/>
    <x v="1"/>
    <s v="Low"/>
    <x v="1"/>
  </r>
  <r>
    <x v="5"/>
    <x v="1"/>
    <x v="1"/>
    <n v="116"/>
    <x v="1"/>
    <n v="13"/>
    <n v="3"/>
    <x v="1"/>
    <n v="1234"/>
    <n v="3"/>
    <x v="0"/>
    <n v="2"/>
    <n v="1"/>
    <x v="2"/>
    <n v="2"/>
    <s v="Married"/>
    <n v="2743"/>
    <n v="1"/>
    <x v="1"/>
    <n v="20"/>
    <n v="4"/>
    <n v="3"/>
    <n v="1"/>
    <n v="2"/>
    <n v="2"/>
    <n v="3"/>
    <n v="2"/>
    <n v="2"/>
    <n v="2"/>
    <n v="2"/>
    <s v="Bachelor"/>
    <s v="High"/>
    <s v="Medium"/>
    <x v="1"/>
    <s v="Medium"/>
    <s v="Outstanding"/>
    <s v="High"/>
    <x v="1"/>
    <s v="Low"/>
    <x v="1"/>
  </r>
  <r>
    <x v="5"/>
    <x v="1"/>
    <x v="1"/>
    <n v="1316"/>
    <x v="1"/>
    <n v="2"/>
    <n v="2"/>
    <x v="0"/>
    <n v="1235"/>
    <n v="4"/>
    <x v="0"/>
    <n v="3"/>
    <n v="2"/>
    <x v="1"/>
    <n v="3"/>
    <s v="Single"/>
    <n v="4998"/>
    <n v="4"/>
    <x v="0"/>
    <n v="14"/>
    <n v="3"/>
    <n v="4"/>
    <n v="0"/>
    <n v="10"/>
    <n v="2"/>
    <n v="3"/>
    <n v="8"/>
    <n v="7"/>
    <n v="0"/>
    <n v="7"/>
    <s v="College"/>
    <s v="Very High"/>
    <s v="High"/>
    <x v="0"/>
    <s v="High"/>
    <s v="Excellent"/>
    <s v="Very High"/>
    <x v="1"/>
    <s v="No_stock"/>
    <x v="0"/>
  </r>
  <r>
    <x v="9"/>
    <x v="1"/>
    <x v="0"/>
    <n v="363"/>
    <x v="1"/>
    <n v="1"/>
    <n v="3"/>
    <x v="4"/>
    <n v="1237"/>
    <n v="3"/>
    <x v="0"/>
    <n v="1"/>
    <n v="3"/>
    <x v="3"/>
    <n v="1"/>
    <s v="Divorced"/>
    <n v="10252"/>
    <n v="2"/>
    <x v="0"/>
    <n v="21"/>
    <n v="4"/>
    <n v="3"/>
    <n v="1"/>
    <n v="17"/>
    <n v="2"/>
    <n v="3"/>
    <n v="7"/>
    <n v="7"/>
    <n v="7"/>
    <n v="7"/>
    <s v="Bachelor"/>
    <s v="High"/>
    <s v="Low"/>
    <x v="2"/>
    <s v="Low"/>
    <s v="Outstanding"/>
    <s v="High"/>
    <x v="1"/>
    <s v="Low"/>
    <x v="0"/>
  </r>
  <r>
    <x v="3"/>
    <x v="1"/>
    <x v="0"/>
    <n v="117"/>
    <x v="1"/>
    <n v="9"/>
    <n v="3"/>
    <x v="2"/>
    <n v="1238"/>
    <n v="1"/>
    <x v="1"/>
    <n v="3"/>
    <n v="1"/>
    <x v="1"/>
    <n v="4"/>
    <s v="Married"/>
    <n v="2781"/>
    <n v="0"/>
    <x v="1"/>
    <n v="13"/>
    <n v="3"/>
    <n v="2"/>
    <n v="1"/>
    <n v="15"/>
    <n v="5"/>
    <n v="3"/>
    <n v="14"/>
    <n v="10"/>
    <n v="4"/>
    <n v="10"/>
    <s v="Bachelor"/>
    <s v="Low"/>
    <s v="High"/>
    <x v="1"/>
    <s v="Very High"/>
    <s v="Excellent"/>
    <s v="Medium"/>
    <x v="1"/>
    <s v="Low"/>
    <x v="1"/>
  </r>
  <r>
    <x v="32"/>
    <x v="1"/>
    <x v="0"/>
    <n v="107"/>
    <x v="0"/>
    <n v="10"/>
    <n v="3"/>
    <x v="4"/>
    <n v="1239"/>
    <n v="2"/>
    <x v="0"/>
    <n v="2"/>
    <n v="2"/>
    <x v="0"/>
    <n v="2"/>
    <s v="Divorced"/>
    <n v="6852"/>
    <n v="7"/>
    <x v="1"/>
    <n v="12"/>
    <n v="3"/>
    <n v="2"/>
    <n v="1"/>
    <n v="7"/>
    <n v="2"/>
    <n v="4"/>
    <n v="5"/>
    <n v="1"/>
    <n v="1"/>
    <n v="3"/>
    <s v="Bachelor"/>
    <s v="Medium"/>
    <s v="Medium"/>
    <x v="0"/>
    <s v="Medium"/>
    <s v="Excellent"/>
    <s v="Medium"/>
    <x v="3"/>
    <s v="Low"/>
    <x v="1"/>
  </r>
  <r>
    <x v="36"/>
    <x v="1"/>
    <x v="0"/>
    <n v="1356"/>
    <x v="0"/>
    <n v="10"/>
    <n v="4"/>
    <x v="0"/>
    <n v="1240"/>
    <n v="3"/>
    <x v="1"/>
    <n v="3"/>
    <n v="2"/>
    <x v="0"/>
    <n v="4"/>
    <s v="Single"/>
    <n v="4950"/>
    <n v="0"/>
    <x v="1"/>
    <n v="14"/>
    <n v="3"/>
    <n v="2"/>
    <n v="0"/>
    <n v="5"/>
    <n v="4"/>
    <n v="3"/>
    <n v="4"/>
    <n v="3"/>
    <n v="1"/>
    <n v="1"/>
    <s v="Master"/>
    <s v="High"/>
    <s v="High"/>
    <x v="0"/>
    <s v="Very High"/>
    <s v="Excellent"/>
    <s v="Medium"/>
    <x v="1"/>
    <s v="No_stock"/>
    <x v="1"/>
  </r>
  <r>
    <x v="7"/>
    <x v="1"/>
    <x v="0"/>
    <n v="1465"/>
    <x v="1"/>
    <n v="1"/>
    <n v="3"/>
    <x v="2"/>
    <n v="1241"/>
    <n v="4"/>
    <x v="1"/>
    <n v="3"/>
    <n v="1"/>
    <x v="1"/>
    <n v="2"/>
    <s v="Married"/>
    <n v="3579"/>
    <n v="0"/>
    <x v="0"/>
    <n v="21"/>
    <n v="4"/>
    <n v="1"/>
    <n v="1"/>
    <n v="12"/>
    <n v="2"/>
    <n v="3"/>
    <n v="11"/>
    <n v="9"/>
    <n v="5"/>
    <n v="7"/>
    <s v="Bachelor"/>
    <s v="Very High"/>
    <s v="High"/>
    <x v="1"/>
    <s v="Medium"/>
    <s v="Outstanding"/>
    <s v="Low"/>
    <x v="1"/>
    <s v="Low"/>
    <x v="0"/>
  </r>
  <r>
    <x v="19"/>
    <x v="1"/>
    <x v="1"/>
    <n v="458"/>
    <x v="1"/>
    <n v="26"/>
    <n v="5"/>
    <x v="2"/>
    <n v="1242"/>
    <n v="1"/>
    <x v="0"/>
    <n v="3"/>
    <n v="3"/>
    <x v="7"/>
    <n v="1"/>
    <s v="Married"/>
    <n v="13191"/>
    <n v="3"/>
    <x v="0"/>
    <n v="17"/>
    <n v="3"/>
    <n v="3"/>
    <n v="0"/>
    <n v="20"/>
    <n v="6"/>
    <n v="3"/>
    <n v="1"/>
    <n v="0"/>
    <n v="0"/>
    <n v="0"/>
    <s v="Doctor"/>
    <s v="Low"/>
    <s v="High"/>
    <x v="2"/>
    <s v="Low"/>
    <s v="Excellent"/>
    <s v="High"/>
    <x v="1"/>
    <s v="No_stock"/>
    <x v="2"/>
  </r>
  <r>
    <x v="10"/>
    <x v="1"/>
    <x v="2"/>
    <n v="1212"/>
    <x v="0"/>
    <n v="8"/>
    <n v="2"/>
    <x v="3"/>
    <n v="1243"/>
    <n v="3"/>
    <x v="0"/>
    <n v="2"/>
    <n v="3"/>
    <x v="0"/>
    <n v="4"/>
    <s v="Married"/>
    <n v="10377"/>
    <n v="4"/>
    <x v="0"/>
    <n v="11"/>
    <n v="3"/>
    <n v="2"/>
    <n v="1"/>
    <n v="16"/>
    <n v="6"/>
    <n v="2"/>
    <n v="13"/>
    <n v="2"/>
    <n v="4"/>
    <n v="12"/>
    <s v="College"/>
    <s v="High"/>
    <s v="Medium"/>
    <x v="2"/>
    <s v="Very High"/>
    <s v="Excellent"/>
    <s v="Medium"/>
    <x v="2"/>
    <s v="Low"/>
    <x v="1"/>
  </r>
  <r>
    <x v="4"/>
    <x v="1"/>
    <x v="0"/>
    <n v="1103"/>
    <x v="1"/>
    <n v="14"/>
    <n v="3"/>
    <x v="0"/>
    <n v="1244"/>
    <n v="1"/>
    <x v="1"/>
    <n v="3"/>
    <n v="1"/>
    <x v="1"/>
    <n v="1"/>
    <s v="Married"/>
    <n v="2235"/>
    <n v="1"/>
    <x v="0"/>
    <n v="14"/>
    <n v="3"/>
    <n v="4"/>
    <n v="2"/>
    <n v="9"/>
    <n v="3"/>
    <n v="2"/>
    <n v="9"/>
    <n v="7"/>
    <n v="6"/>
    <n v="8"/>
    <s v="Bachelor"/>
    <s v="Low"/>
    <s v="High"/>
    <x v="1"/>
    <s v="Low"/>
    <s v="Excellent"/>
    <s v="Very High"/>
    <x v="2"/>
    <s v="Medium"/>
    <x v="1"/>
  </r>
  <r>
    <x v="33"/>
    <x v="1"/>
    <x v="1"/>
    <n v="966"/>
    <x v="1"/>
    <n v="1"/>
    <n v="4"/>
    <x v="0"/>
    <n v="1245"/>
    <n v="4"/>
    <x v="0"/>
    <n v="3"/>
    <n v="3"/>
    <x v="3"/>
    <n v="3"/>
    <s v="Divorced"/>
    <n v="10502"/>
    <n v="7"/>
    <x v="1"/>
    <n v="17"/>
    <n v="3"/>
    <n v="1"/>
    <n v="1"/>
    <n v="33"/>
    <n v="2"/>
    <n v="1"/>
    <n v="5"/>
    <n v="4"/>
    <n v="1"/>
    <n v="4"/>
    <s v="Master"/>
    <s v="Very High"/>
    <s v="High"/>
    <x v="2"/>
    <s v="High"/>
    <s v="Excellent"/>
    <s v="Low"/>
    <x v="0"/>
    <s v="Low"/>
    <x v="0"/>
  </r>
  <r>
    <x v="20"/>
    <x v="1"/>
    <x v="0"/>
    <n v="1117"/>
    <x v="1"/>
    <n v="2"/>
    <n v="1"/>
    <x v="0"/>
    <n v="1246"/>
    <n v="1"/>
    <x v="0"/>
    <n v="4"/>
    <n v="1"/>
    <x v="1"/>
    <n v="4"/>
    <s v="Married"/>
    <n v="2011"/>
    <n v="1"/>
    <x v="1"/>
    <n v="13"/>
    <n v="3"/>
    <n v="4"/>
    <n v="1"/>
    <n v="10"/>
    <n v="5"/>
    <n v="3"/>
    <n v="10"/>
    <n v="5"/>
    <n v="7"/>
    <n v="7"/>
    <s v="Before College"/>
    <s v="Low"/>
    <s v="Very High"/>
    <x v="1"/>
    <s v="Very High"/>
    <s v="Excellent"/>
    <s v="Very High"/>
    <x v="1"/>
    <s v="Low"/>
    <x v="0"/>
  </r>
  <r>
    <x v="37"/>
    <x v="0"/>
    <x v="2"/>
    <n v="504"/>
    <x v="1"/>
    <n v="10"/>
    <n v="3"/>
    <x v="2"/>
    <n v="1248"/>
    <n v="1"/>
    <x v="0"/>
    <n v="2"/>
    <n v="1"/>
    <x v="1"/>
    <n v="2"/>
    <s v="Single"/>
    <n v="1859"/>
    <n v="1"/>
    <x v="0"/>
    <n v="25"/>
    <n v="4"/>
    <n v="2"/>
    <n v="0"/>
    <n v="1"/>
    <n v="2"/>
    <n v="4"/>
    <n v="1"/>
    <n v="1"/>
    <n v="0"/>
    <n v="0"/>
    <s v="Bachelor"/>
    <s v="Low"/>
    <s v="Medium"/>
    <x v="1"/>
    <s v="Medium"/>
    <s v="Outstanding"/>
    <s v="Medium"/>
    <x v="3"/>
    <s v="No_stock"/>
    <x v="1"/>
  </r>
  <r>
    <x v="11"/>
    <x v="1"/>
    <x v="0"/>
    <n v="1010"/>
    <x v="1"/>
    <n v="1"/>
    <n v="3"/>
    <x v="0"/>
    <n v="1249"/>
    <n v="1"/>
    <x v="0"/>
    <n v="3"/>
    <n v="1"/>
    <x v="1"/>
    <n v="4"/>
    <s v="Divorced"/>
    <n v="3760"/>
    <n v="1"/>
    <x v="1"/>
    <n v="15"/>
    <n v="3"/>
    <n v="1"/>
    <n v="3"/>
    <n v="3"/>
    <n v="5"/>
    <n v="3"/>
    <n v="3"/>
    <n v="2"/>
    <n v="1"/>
    <n v="2"/>
    <s v="Bachelor"/>
    <s v="Low"/>
    <s v="High"/>
    <x v="1"/>
    <s v="Very High"/>
    <s v="Excellent"/>
    <s v="Low"/>
    <x v="1"/>
    <s v="High"/>
    <x v="0"/>
  </r>
  <r>
    <x v="33"/>
    <x v="1"/>
    <x v="0"/>
    <n v="685"/>
    <x v="1"/>
    <n v="3"/>
    <n v="3"/>
    <x v="0"/>
    <n v="1250"/>
    <n v="4"/>
    <x v="1"/>
    <n v="3"/>
    <n v="4"/>
    <x v="7"/>
    <n v="4"/>
    <s v="Married"/>
    <n v="17779"/>
    <n v="3"/>
    <x v="1"/>
    <n v="14"/>
    <n v="3"/>
    <n v="1"/>
    <n v="0"/>
    <n v="36"/>
    <n v="2"/>
    <n v="3"/>
    <n v="10"/>
    <n v="9"/>
    <n v="0"/>
    <n v="9"/>
    <s v="Bachelor"/>
    <s v="Very High"/>
    <s v="High"/>
    <x v="3"/>
    <s v="Very High"/>
    <s v="Excellent"/>
    <s v="Low"/>
    <x v="1"/>
    <s v="No_stock"/>
    <x v="0"/>
  </r>
  <r>
    <x v="12"/>
    <x v="1"/>
    <x v="0"/>
    <n v="1332"/>
    <x v="1"/>
    <n v="11"/>
    <n v="2"/>
    <x v="2"/>
    <n v="1251"/>
    <n v="3"/>
    <x v="1"/>
    <n v="3"/>
    <n v="2"/>
    <x v="4"/>
    <n v="1"/>
    <s v="Married"/>
    <n v="6833"/>
    <n v="1"/>
    <x v="0"/>
    <n v="12"/>
    <n v="3"/>
    <n v="4"/>
    <n v="0"/>
    <n v="6"/>
    <n v="2"/>
    <n v="2"/>
    <n v="6"/>
    <n v="5"/>
    <n v="0"/>
    <n v="1"/>
    <s v="College"/>
    <s v="High"/>
    <s v="High"/>
    <x v="0"/>
    <s v="Low"/>
    <s v="Excellent"/>
    <s v="Very High"/>
    <x v="2"/>
    <s v="No_stock"/>
    <x v="1"/>
  </r>
  <r>
    <x v="12"/>
    <x v="1"/>
    <x v="0"/>
    <n v="1062"/>
    <x v="1"/>
    <n v="24"/>
    <n v="3"/>
    <x v="2"/>
    <n v="1252"/>
    <n v="3"/>
    <x v="0"/>
    <n v="2"/>
    <n v="2"/>
    <x v="4"/>
    <n v="1"/>
    <s v="Single"/>
    <n v="6812"/>
    <n v="1"/>
    <x v="1"/>
    <n v="19"/>
    <n v="3"/>
    <n v="2"/>
    <n v="0"/>
    <n v="10"/>
    <n v="2"/>
    <n v="3"/>
    <n v="10"/>
    <n v="9"/>
    <n v="1"/>
    <n v="8"/>
    <s v="Bachelor"/>
    <s v="High"/>
    <s v="Medium"/>
    <x v="0"/>
    <s v="Low"/>
    <s v="Excellent"/>
    <s v="Medium"/>
    <x v="1"/>
    <s v="No_stock"/>
    <x v="2"/>
  </r>
  <r>
    <x v="6"/>
    <x v="1"/>
    <x v="0"/>
    <n v="326"/>
    <x v="0"/>
    <n v="3"/>
    <n v="3"/>
    <x v="0"/>
    <n v="1254"/>
    <n v="3"/>
    <x v="0"/>
    <n v="2"/>
    <n v="2"/>
    <x v="0"/>
    <n v="4"/>
    <s v="Single"/>
    <n v="5171"/>
    <n v="5"/>
    <x v="1"/>
    <n v="17"/>
    <n v="3"/>
    <n v="4"/>
    <n v="0"/>
    <n v="13"/>
    <n v="2"/>
    <n v="3"/>
    <n v="6"/>
    <n v="1"/>
    <n v="0"/>
    <n v="5"/>
    <s v="Bachelor"/>
    <s v="High"/>
    <s v="Medium"/>
    <x v="0"/>
    <s v="Very High"/>
    <s v="Excellent"/>
    <s v="Very High"/>
    <x v="1"/>
    <s v="No_stock"/>
    <x v="0"/>
  </r>
  <r>
    <x v="23"/>
    <x v="1"/>
    <x v="0"/>
    <n v="920"/>
    <x v="1"/>
    <n v="3"/>
    <n v="3"/>
    <x v="0"/>
    <n v="1255"/>
    <n v="3"/>
    <x v="1"/>
    <n v="1"/>
    <n v="5"/>
    <x v="7"/>
    <n v="4"/>
    <s v="Married"/>
    <n v="19740"/>
    <n v="3"/>
    <x v="1"/>
    <n v="14"/>
    <n v="3"/>
    <n v="2"/>
    <n v="1"/>
    <n v="25"/>
    <n v="2"/>
    <n v="3"/>
    <n v="8"/>
    <n v="7"/>
    <n v="0"/>
    <n v="7"/>
    <s v="Bachelor"/>
    <s v="High"/>
    <s v="Low"/>
    <x v="4"/>
    <s v="Very High"/>
    <s v="Excellent"/>
    <s v="Medium"/>
    <x v="1"/>
    <s v="Low"/>
    <x v="0"/>
  </r>
  <r>
    <x v="1"/>
    <x v="1"/>
    <x v="0"/>
    <n v="1098"/>
    <x v="1"/>
    <n v="4"/>
    <n v="2"/>
    <x v="2"/>
    <n v="1256"/>
    <n v="1"/>
    <x v="1"/>
    <n v="2"/>
    <n v="5"/>
    <x v="5"/>
    <n v="3"/>
    <s v="Married"/>
    <n v="18711"/>
    <n v="2"/>
    <x v="1"/>
    <n v="13"/>
    <n v="3"/>
    <n v="3"/>
    <n v="1"/>
    <n v="23"/>
    <n v="2"/>
    <n v="4"/>
    <n v="1"/>
    <n v="0"/>
    <n v="0"/>
    <n v="0"/>
    <s v="College"/>
    <s v="Low"/>
    <s v="Medium"/>
    <x v="4"/>
    <s v="High"/>
    <s v="Excellent"/>
    <s v="High"/>
    <x v="3"/>
    <s v="Low"/>
    <x v="0"/>
  </r>
  <r>
    <x v="9"/>
    <x v="1"/>
    <x v="1"/>
    <n v="469"/>
    <x v="1"/>
    <n v="3"/>
    <n v="3"/>
    <x v="4"/>
    <n v="1257"/>
    <n v="3"/>
    <x v="1"/>
    <n v="3"/>
    <n v="1"/>
    <x v="1"/>
    <n v="2"/>
    <s v="Married"/>
    <n v="3692"/>
    <n v="1"/>
    <x v="1"/>
    <n v="12"/>
    <n v="3"/>
    <n v="3"/>
    <n v="0"/>
    <n v="12"/>
    <n v="2"/>
    <n v="2"/>
    <n v="11"/>
    <n v="10"/>
    <n v="0"/>
    <n v="7"/>
    <s v="Bachelor"/>
    <s v="High"/>
    <s v="High"/>
    <x v="1"/>
    <s v="Medium"/>
    <s v="Excellent"/>
    <s v="High"/>
    <x v="2"/>
    <s v="No_stock"/>
    <x v="0"/>
  </r>
  <r>
    <x v="26"/>
    <x v="1"/>
    <x v="0"/>
    <n v="969"/>
    <x v="1"/>
    <n v="2"/>
    <n v="2"/>
    <x v="4"/>
    <n v="1258"/>
    <n v="4"/>
    <x v="1"/>
    <n v="4"/>
    <n v="1"/>
    <x v="2"/>
    <n v="2"/>
    <s v="Single"/>
    <n v="2559"/>
    <n v="5"/>
    <x v="1"/>
    <n v="11"/>
    <n v="3"/>
    <n v="3"/>
    <n v="0"/>
    <n v="7"/>
    <n v="4"/>
    <n v="2"/>
    <n v="1"/>
    <n v="0"/>
    <n v="0"/>
    <n v="0"/>
    <s v="College"/>
    <s v="Very High"/>
    <s v="Very High"/>
    <x v="1"/>
    <s v="Medium"/>
    <s v="Excellent"/>
    <s v="High"/>
    <x v="2"/>
    <s v="No_stock"/>
    <x v="0"/>
  </r>
  <r>
    <x v="4"/>
    <x v="1"/>
    <x v="0"/>
    <n v="1167"/>
    <x v="1"/>
    <n v="4"/>
    <n v="2"/>
    <x v="0"/>
    <n v="1259"/>
    <n v="1"/>
    <x v="1"/>
    <n v="3"/>
    <n v="1"/>
    <x v="1"/>
    <n v="3"/>
    <s v="Divorced"/>
    <n v="2517"/>
    <n v="1"/>
    <x v="1"/>
    <n v="11"/>
    <n v="3"/>
    <n v="2"/>
    <n v="3"/>
    <n v="5"/>
    <n v="2"/>
    <n v="3"/>
    <n v="5"/>
    <n v="3"/>
    <n v="0"/>
    <n v="3"/>
    <s v="College"/>
    <s v="Low"/>
    <s v="High"/>
    <x v="1"/>
    <s v="High"/>
    <s v="Excellent"/>
    <s v="Medium"/>
    <x v="1"/>
    <s v="High"/>
    <x v="0"/>
  </r>
  <r>
    <x v="11"/>
    <x v="1"/>
    <x v="0"/>
    <n v="1329"/>
    <x v="1"/>
    <n v="7"/>
    <n v="3"/>
    <x v="0"/>
    <n v="1260"/>
    <n v="3"/>
    <x v="1"/>
    <n v="3"/>
    <n v="2"/>
    <x v="4"/>
    <n v="4"/>
    <s v="Divorced"/>
    <n v="6623"/>
    <n v="1"/>
    <x v="0"/>
    <n v="11"/>
    <n v="3"/>
    <n v="2"/>
    <n v="2"/>
    <n v="6"/>
    <n v="2"/>
    <n v="3"/>
    <n v="6"/>
    <n v="0"/>
    <n v="1"/>
    <n v="0"/>
    <s v="Bachelor"/>
    <s v="High"/>
    <s v="High"/>
    <x v="0"/>
    <s v="Very High"/>
    <s v="Excellent"/>
    <s v="Medium"/>
    <x v="1"/>
    <s v="Medium"/>
    <x v="1"/>
  </r>
  <r>
    <x v="26"/>
    <x v="1"/>
    <x v="0"/>
    <n v="715"/>
    <x v="1"/>
    <n v="1"/>
    <n v="3"/>
    <x v="0"/>
    <n v="1263"/>
    <n v="4"/>
    <x v="1"/>
    <n v="2"/>
    <n v="5"/>
    <x v="7"/>
    <n v="4"/>
    <s v="Single"/>
    <n v="18265"/>
    <n v="6"/>
    <x v="1"/>
    <n v="12"/>
    <n v="3"/>
    <n v="3"/>
    <n v="0"/>
    <n v="25"/>
    <n v="3"/>
    <n v="4"/>
    <n v="1"/>
    <n v="0"/>
    <n v="0"/>
    <n v="0"/>
    <s v="Bachelor"/>
    <s v="Very High"/>
    <s v="Medium"/>
    <x v="4"/>
    <s v="Very High"/>
    <s v="Excellent"/>
    <s v="High"/>
    <x v="3"/>
    <s v="No_stock"/>
    <x v="0"/>
  </r>
  <r>
    <x v="11"/>
    <x v="1"/>
    <x v="0"/>
    <n v="694"/>
    <x v="1"/>
    <n v="1"/>
    <n v="3"/>
    <x v="0"/>
    <n v="1264"/>
    <n v="4"/>
    <x v="0"/>
    <n v="2"/>
    <n v="4"/>
    <x v="7"/>
    <n v="4"/>
    <s v="Divorced"/>
    <n v="16124"/>
    <n v="3"/>
    <x v="1"/>
    <n v="14"/>
    <n v="3"/>
    <n v="2"/>
    <n v="2"/>
    <n v="9"/>
    <n v="2"/>
    <n v="2"/>
    <n v="7"/>
    <n v="7"/>
    <n v="1"/>
    <n v="7"/>
    <s v="Bachelor"/>
    <s v="Very High"/>
    <s v="Medium"/>
    <x v="3"/>
    <s v="Very High"/>
    <s v="Excellent"/>
    <s v="Medium"/>
    <x v="2"/>
    <s v="Medium"/>
    <x v="0"/>
  </r>
  <r>
    <x v="13"/>
    <x v="1"/>
    <x v="0"/>
    <n v="1320"/>
    <x v="1"/>
    <n v="20"/>
    <n v="3"/>
    <x v="4"/>
    <n v="1265"/>
    <n v="3"/>
    <x v="0"/>
    <n v="4"/>
    <n v="1"/>
    <x v="1"/>
    <n v="3"/>
    <s v="Married"/>
    <n v="2585"/>
    <n v="0"/>
    <x v="1"/>
    <n v="17"/>
    <n v="3"/>
    <n v="4"/>
    <n v="0"/>
    <n v="2"/>
    <n v="5"/>
    <n v="2"/>
    <n v="1"/>
    <n v="0"/>
    <n v="0"/>
    <n v="0"/>
    <s v="Bachelor"/>
    <s v="High"/>
    <s v="Very High"/>
    <x v="1"/>
    <s v="High"/>
    <s v="Excellent"/>
    <s v="Very High"/>
    <x v="2"/>
    <s v="No_stock"/>
    <x v="2"/>
  </r>
  <r>
    <x v="20"/>
    <x v="1"/>
    <x v="0"/>
    <n v="1099"/>
    <x v="0"/>
    <n v="5"/>
    <n v="3"/>
    <x v="3"/>
    <n v="1267"/>
    <n v="2"/>
    <x v="1"/>
    <n v="3"/>
    <n v="5"/>
    <x v="5"/>
    <n v="2"/>
    <s v="Married"/>
    <n v="18213"/>
    <n v="7"/>
    <x v="1"/>
    <n v="11"/>
    <n v="3"/>
    <n v="3"/>
    <n v="1"/>
    <n v="26"/>
    <n v="5"/>
    <n v="3"/>
    <n v="22"/>
    <n v="9"/>
    <n v="3"/>
    <n v="10"/>
    <s v="Bachelor"/>
    <s v="Medium"/>
    <s v="High"/>
    <x v="4"/>
    <s v="Medium"/>
    <s v="Excellent"/>
    <s v="High"/>
    <x v="1"/>
    <s v="Low"/>
    <x v="0"/>
  </r>
  <r>
    <x v="3"/>
    <x v="1"/>
    <x v="0"/>
    <n v="536"/>
    <x v="0"/>
    <n v="10"/>
    <n v="5"/>
    <x v="3"/>
    <n v="1268"/>
    <n v="4"/>
    <x v="1"/>
    <n v="4"/>
    <n v="3"/>
    <x v="0"/>
    <n v="3"/>
    <s v="Divorced"/>
    <n v="8380"/>
    <n v="0"/>
    <x v="0"/>
    <n v="14"/>
    <n v="3"/>
    <n v="4"/>
    <n v="2"/>
    <n v="10"/>
    <n v="3"/>
    <n v="3"/>
    <n v="9"/>
    <n v="8"/>
    <n v="0"/>
    <n v="8"/>
    <s v="Doctor"/>
    <s v="Very High"/>
    <s v="Very High"/>
    <x v="2"/>
    <s v="High"/>
    <s v="Excellent"/>
    <s v="Very High"/>
    <x v="1"/>
    <s v="Medium"/>
    <x v="1"/>
  </r>
  <r>
    <x v="37"/>
    <x v="1"/>
    <x v="0"/>
    <n v="265"/>
    <x v="1"/>
    <n v="25"/>
    <n v="3"/>
    <x v="0"/>
    <n v="1269"/>
    <n v="2"/>
    <x v="0"/>
    <n v="4"/>
    <n v="1"/>
    <x v="1"/>
    <n v="4"/>
    <s v="Single"/>
    <n v="2994"/>
    <n v="1"/>
    <x v="0"/>
    <n v="12"/>
    <n v="3"/>
    <n v="4"/>
    <n v="0"/>
    <n v="1"/>
    <n v="2"/>
    <n v="3"/>
    <n v="1"/>
    <n v="0"/>
    <n v="0"/>
    <n v="1"/>
    <s v="Bachelor"/>
    <s v="Medium"/>
    <s v="Very High"/>
    <x v="1"/>
    <s v="Very High"/>
    <s v="Excellent"/>
    <s v="Very High"/>
    <x v="1"/>
    <s v="No_stock"/>
    <x v="2"/>
  </r>
  <r>
    <x v="30"/>
    <x v="1"/>
    <x v="0"/>
    <n v="373"/>
    <x v="1"/>
    <n v="1"/>
    <n v="2"/>
    <x v="0"/>
    <n v="1270"/>
    <n v="4"/>
    <x v="1"/>
    <n v="3"/>
    <n v="1"/>
    <x v="1"/>
    <n v="3"/>
    <s v="Married"/>
    <n v="1223"/>
    <n v="1"/>
    <x v="1"/>
    <n v="22"/>
    <n v="4"/>
    <n v="4"/>
    <n v="1"/>
    <n v="1"/>
    <n v="2"/>
    <n v="3"/>
    <n v="1"/>
    <n v="0"/>
    <n v="0"/>
    <n v="1"/>
    <s v="College"/>
    <s v="Very High"/>
    <s v="High"/>
    <x v="1"/>
    <s v="High"/>
    <s v="Outstanding"/>
    <s v="Very High"/>
    <x v="1"/>
    <s v="Low"/>
    <x v="0"/>
  </r>
  <r>
    <x v="36"/>
    <x v="0"/>
    <x v="1"/>
    <n v="599"/>
    <x v="0"/>
    <n v="24"/>
    <n v="1"/>
    <x v="0"/>
    <n v="1273"/>
    <n v="3"/>
    <x v="1"/>
    <n v="1"/>
    <n v="1"/>
    <x v="6"/>
    <n v="4"/>
    <s v="Single"/>
    <n v="1118"/>
    <n v="1"/>
    <x v="0"/>
    <n v="14"/>
    <n v="3"/>
    <n v="4"/>
    <n v="0"/>
    <n v="1"/>
    <n v="4"/>
    <n v="3"/>
    <n v="1"/>
    <n v="0"/>
    <n v="1"/>
    <n v="0"/>
    <s v="Before College"/>
    <s v="High"/>
    <s v="Low"/>
    <x v="1"/>
    <s v="Very High"/>
    <s v="Excellent"/>
    <s v="Very High"/>
    <x v="1"/>
    <s v="No_stock"/>
    <x v="2"/>
  </r>
  <r>
    <x v="25"/>
    <x v="1"/>
    <x v="0"/>
    <n v="583"/>
    <x v="1"/>
    <n v="4"/>
    <n v="2"/>
    <x v="0"/>
    <n v="1275"/>
    <n v="3"/>
    <x v="1"/>
    <n v="3"/>
    <n v="1"/>
    <x v="1"/>
    <n v="4"/>
    <s v="Single"/>
    <n v="2875"/>
    <n v="1"/>
    <x v="0"/>
    <n v="20"/>
    <n v="4"/>
    <n v="2"/>
    <n v="0"/>
    <n v="8"/>
    <n v="2"/>
    <n v="2"/>
    <n v="8"/>
    <n v="5"/>
    <n v="2"/>
    <n v="2"/>
    <s v="College"/>
    <s v="High"/>
    <s v="High"/>
    <x v="1"/>
    <s v="Very High"/>
    <s v="Outstanding"/>
    <s v="Medium"/>
    <x v="2"/>
    <s v="No_stock"/>
    <x v="0"/>
  </r>
  <r>
    <x v="28"/>
    <x v="0"/>
    <x v="0"/>
    <n v="1449"/>
    <x v="0"/>
    <n v="2"/>
    <n v="3"/>
    <x v="3"/>
    <n v="1277"/>
    <n v="1"/>
    <x v="0"/>
    <n v="1"/>
    <n v="5"/>
    <x v="5"/>
    <n v="2"/>
    <s v="Single"/>
    <n v="18824"/>
    <n v="2"/>
    <x v="0"/>
    <n v="16"/>
    <n v="3"/>
    <n v="1"/>
    <n v="0"/>
    <n v="26"/>
    <n v="2"/>
    <n v="3"/>
    <n v="24"/>
    <n v="10"/>
    <n v="1"/>
    <n v="11"/>
    <s v="Bachelor"/>
    <s v="Low"/>
    <s v="Low"/>
    <x v="4"/>
    <s v="Medium"/>
    <s v="Excellent"/>
    <s v="Low"/>
    <x v="1"/>
    <s v="No_stock"/>
    <x v="0"/>
  </r>
  <r>
    <x v="27"/>
    <x v="1"/>
    <x v="2"/>
    <n v="177"/>
    <x v="1"/>
    <n v="8"/>
    <n v="1"/>
    <x v="2"/>
    <n v="1278"/>
    <n v="4"/>
    <x v="1"/>
    <n v="2"/>
    <n v="4"/>
    <x v="4"/>
    <n v="2"/>
    <s v="Divorced"/>
    <n v="13577"/>
    <n v="1"/>
    <x v="0"/>
    <n v="15"/>
    <n v="3"/>
    <n v="4"/>
    <n v="1"/>
    <n v="34"/>
    <n v="3"/>
    <n v="3"/>
    <n v="33"/>
    <n v="9"/>
    <n v="15"/>
    <n v="0"/>
    <s v="Before College"/>
    <s v="Very High"/>
    <s v="Medium"/>
    <x v="3"/>
    <s v="Medium"/>
    <s v="Excellent"/>
    <s v="Very High"/>
    <x v="1"/>
    <s v="Low"/>
    <x v="1"/>
  </r>
  <r>
    <x v="18"/>
    <x v="0"/>
    <x v="1"/>
    <n v="251"/>
    <x v="1"/>
    <n v="10"/>
    <n v="2"/>
    <x v="0"/>
    <n v="1279"/>
    <n v="1"/>
    <x v="0"/>
    <n v="2"/>
    <n v="1"/>
    <x v="2"/>
    <n v="3"/>
    <s v="Single"/>
    <n v="2625"/>
    <n v="1"/>
    <x v="1"/>
    <n v="20"/>
    <n v="4"/>
    <n v="3"/>
    <n v="0"/>
    <n v="2"/>
    <n v="2"/>
    <n v="1"/>
    <n v="2"/>
    <n v="2"/>
    <n v="2"/>
    <n v="2"/>
    <s v="College"/>
    <s v="Low"/>
    <s v="Medium"/>
    <x v="1"/>
    <s v="High"/>
    <s v="Outstanding"/>
    <s v="High"/>
    <x v="0"/>
    <s v="No_stock"/>
    <x v="1"/>
  </r>
  <r>
    <x v="21"/>
    <x v="1"/>
    <x v="0"/>
    <n v="168"/>
    <x v="0"/>
    <n v="4"/>
    <n v="2"/>
    <x v="3"/>
    <n v="1280"/>
    <n v="4"/>
    <x v="0"/>
    <n v="2"/>
    <n v="5"/>
    <x v="5"/>
    <n v="2"/>
    <s v="Married"/>
    <n v="18789"/>
    <n v="2"/>
    <x v="1"/>
    <n v="14"/>
    <n v="3"/>
    <n v="3"/>
    <n v="1"/>
    <n v="26"/>
    <n v="2"/>
    <n v="3"/>
    <n v="11"/>
    <n v="4"/>
    <n v="0"/>
    <n v="8"/>
    <s v="College"/>
    <s v="Very High"/>
    <s v="Medium"/>
    <x v="4"/>
    <s v="Medium"/>
    <s v="Excellent"/>
    <s v="High"/>
    <x v="1"/>
    <s v="Low"/>
    <x v="0"/>
  </r>
  <r>
    <x v="13"/>
    <x v="1"/>
    <x v="0"/>
    <n v="131"/>
    <x v="0"/>
    <n v="2"/>
    <n v="3"/>
    <x v="3"/>
    <n v="1281"/>
    <n v="3"/>
    <x v="0"/>
    <n v="3"/>
    <n v="2"/>
    <x v="0"/>
    <n v="1"/>
    <s v="Single"/>
    <n v="4538"/>
    <n v="0"/>
    <x v="0"/>
    <n v="12"/>
    <n v="3"/>
    <n v="4"/>
    <n v="0"/>
    <n v="4"/>
    <n v="3"/>
    <n v="3"/>
    <n v="3"/>
    <n v="2"/>
    <n v="0"/>
    <n v="2"/>
    <s v="Bachelor"/>
    <s v="High"/>
    <s v="High"/>
    <x v="0"/>
    <s v="Low"/>
    <s v="Excellent"/>
    <s v="Very High"/>
    <x v="1"/>
    <s v="No_stock"/>
    <x v="0"/>
  </r>
  <r>
    <x v="31"/>
    <x v="1"/>
    <x v="1"/>
    <n v="237"/>
    <x v="0"/>
    <n v="9"/>
    <n v="3"/>
    <x v="0"/>
    <n v="1282"/>
    <n v="4"/>
    <x v="1"/>
    <n v="3"/>
    <n v="5"/>
    <x v="5"/>
    <n v="2"/>
    <s v="Divorced"/>
    <n v="19847"/>
    <n v="4"/>
    <x v="0"/>
    <n v="24"/>
    <n v="4"/>
    <n v="1"/>
    <n v="1"/>
    <n v="31"/>
    <n v="5"/>
    <n v="2"/>
    <n v="29"/>
    <n v="10"/>
    <n v="11"/>
    <n v="10"/>
    <s v="Bachelor"/>
    <s v="Very High"/>
    <s v="High"/>
    <x v="4"/>
    <s v="Medium"/>
    <s v="Outstanding"/>
    <s v="Low"/>
    <x v="2"/>
    <s v="Low"/>
    <x v="1"/>
  </r>
  <r>
    <x v="6"/>
    <x v="1"/>
    <x v="0"/>
    <n v="1429"/>
    <x v="1"/>
    <n v="18"/>
    <n v="4"/>
    <x v="2"/>
    <n v="1283"/>
    <n v="4"/>
    <x v="1"/>
    <n v="3"/>
    <n v="3"/>
    <x v="3"/>
    <n v="4"/>
    <s v="Single"/>
    <n v="10512"/>
    <n v="6"/>
    <x v="1"/>
    <n v="12"/>
    <n v="3"/>
    <n v="4"/>
    <n v="0"/>
    <n v="25"/>
    <n v="6"/>
    <n v="2"/>
    <n v="9"/>
    <n v="7"/>
    <n v="5"/>
    <n v="4"/>
    <s v="Master"/>
    <s v="Very High"/>
    <s v="High"/>
    <x v="2"/>
    <s v="Very High"/>
    <s v="Excellent"/>
    <s v="Very High"/>
    <x v="2"/>
    <s v="No_stock"/>
    <x v="2"/>
  </r>
  <r>
    <x v="13"/>
    <x v="1"/>
    <x v="1"/>
    <n v="135"/>
    <x v="1"/>
    <n v="19"/>
    <n v="3"/>
    <x v="2"/>
    <n v="1285"/>
    <n v="3"/>
    <x v="0"/>
    <n v="3"/>
    <n v="2"/>
    <x v="2"/>
    <n v="2"/>
    <s v="Divorced"/>
    <n v="4444"/>
    <n v="4"/>
    <x v="1"/>
    <n v="13"/>
    <n v="3"/>
    <n v="3"/>
    <n v="2"/>
    <n v="15"/>
    <n v="2"/>
    <n v="4"/>
    <n v="11"/>
    <n v="8"/>
    <n v="5"/>
    <n v="10"/>
    <s v="Bachelor"/>
    <s v="High"/>
    <s v="High"/>
    <x v="0"/>
    <s v="Medium"/>
    <s v="Excellent"/>
    <s v="High"/>
    <x v="3"/>
    <s v="Medium"/>
    <x v="2"/>
  </r>
  <r>
    <x v="14"/>
    <x v="1"/>
    <x v="1"/>
    <n v="791"/>
    <x v="1"/>
    <n v="1"/>
    <n v="4"/>
    <x v="2"/>
    <n v="1286"/>
    <n v="4"/>
    <x v="1"/>
    <n v="3"/>
    <n v="1"/>
    <x v="2"/>
    <n v="3"/>
    <s v="Single"/>
    <n v="2154"/>
    <n v="0"/>
    <x v="0"/>
    <n v="11"/>
    <n v="3"/>
    <n v="3"/>
    <n v="0"/>
    <n v="5"/>
    <n v="2"/>
    <n v="2"/>
    <n v="4"/>
    <n v="2"/>
    <n v="0"/>
    <n v="2"/>
    <s v="Master"/>
    <s v="Very High"/>
    <s v="High"/>
    <x v="1"/>
    <s v="High"/>
    <s v="Excellent"/>
    <s v="High"/>
    <x v="2"/>
    <s v="No_stock"/>
    <x v="0"/>
  </r>
  <r>
    <x v="20"/>
    <x v="1"/>
    <x v="0"/>
    <n v="1199"/>
    <x v="1"/>
    <n v="4"/>
    <n v="2"/>
    <x v="0"/>
    <n v="1288"/>
    <n v="3"/>
    <x v="1"/>
    <n v="4"/>
    <n v="5"/>
    <x v="5"/>
    <n v="1"/>
    <s v="Divorced"/>
    <n v="19190"/>
    <n v="1"/>
    <x v="1"/>
    <n v="14"/>
    <n v="3"/>
    <n v="4"/>
    <n v="2"/>
    <n v="26"/>
    <n v="4"/>
    <n v="2"/>
    <n v="25"/>
    <n v="9"/>
    <n v="14"/>
    <n v="13"/>
    <s v="College"/>
    <s v="High"/>
    <s v="Very High"/>
    <x v="4"/>
    <s v="Low"/>
    <s v="Excellent"/>
    <s v="Very High"/>
    <x v="2"/>
    <s v="Medium"/>
    <x v="0"/>
  </r>
  <r>
    <x v="13"/>
    <x v="1"/>
    <x v="1"/>
    <n v="648"/>
    <x v="2"/>
    <n v="11"/>
    <n v="3"/>
    <x v="0"/>
    <n v="1289"/>
    <n v="3"/>
    <x v="1"/>
    <n v="2"/>
    <n v="2"/>
    <x v="8"/>
    <n v="2"/>
    <s v="Married"/>
    <n v="4490"/>
    <n v="4"/>
    <x v="1"/>
    <n v="11"/>
    <n v="3"/>
    <n v="4"/>
    <n v="2"/>
    <n v="14"/>
    <n v="5"/>
    <n v="4"/>
    <n v="10"/>
    <n v="9"/>
    <n v="1"/>
    <n v="8"/>
    <s v="Bachelor"/>
    <s v="High"/>
    <s v="Medium"/>
    <x v="0"/>
    <s v="Medium"/>
    <s v="Excellent"/>
    <s v="Very High"/>
    <x v="3"/>
    <s v="Medium"/>
    <x v="1"/>
  </r>
  <r>
    <x v="10"/>
    <x v="1"/>
    <x v="0"/>
    <n v="735"/>
    <x v="1"/>
    <n v="6"/>
    <n v="1"/>
    <x v="0"/>
    <n v="1291"/>
    <n v="3"/>
    <x v="1"/>
    <n v="3"/>
    <n v="1"/>
    <x v="1"/>
    <n v="3"/>
    <s v="Married"/>
    <n v="3506"/>
    <n v="0"/>
    <x v="0"/>
    <n v="14"/>
    <n v="3"/>
    <n v="4"/>
    <n v="0"/>
    <n v="4"/>
    <n v="3"/>
    <n v="3"/>
    <n v="3"/>
    <n v="2"/>
    <n v="2"/>
    <n v="2"/>
    <s v="Before College"/>
    <s v="High"/>
    <s v="High"/>
    <x v="1"/>
    <s v="High"/>
    <s v="Excellent"/>
    <s v="Very High"/>
    <x v="1"/>
    <s v="No_stock"/>
    <x v="1"/>
  </r>
  <r>
    <x v="19"/>
    <x v="1"/>
    <x v="0"/>
    <n v="603"/>
    <x v="1"/>
    <n v="7"/>
    <n v="4"/>
    <x v="2"/>
    <n v="1292"/>
    <n v="2"/>
    <x v="0"/>
    <n v="4"/>
    <n v="2"/>
    <x v="1"/>
    <n v="2"/>
    <s v="Married"/>
    <n v="2372"/>
    <n v="6"/>
    <x v="0"/>
    <n v="16"/>
    <n v="3"/>
    <n v="4"/>
    <n v="0"/>
    <n v="18"/>
    <n v="2"/>
    <n v="3"/>
    <n v="1"/>
    <n v="0"/>
    <n v="0"/>
    <n v="0"/>
    <s v="Master"/>
    <s v="Medium"/>
    <s v="Very High"/>
    <x v="0"/>
    <s v="Medium"/>
    <s v="Excellent"/>
    <s v="Very High"/>
    <x v="1"/>
    <s v="No_stock"/>
    <x v="1"/>
  </r>
  <r>
    <x v="23"/>
    <x v="1"/>
    <x v="0"/>
    <n v="531"/>
    <x v="0"/>
    <n v="4"/>
    <n v="4"/>
    <x v="3"/>
    <n v="1293"/>
    <n v="4"/>
    <x v="0"/>
    <n v="2"/>
    <n v="3"/>
    <x v="0"/>
    <n v="4"/>
    <s v="Single"/>
    <n v="10231"/>
    <n v="3"/>
    <x v="1"/>
    <n v="14"/>
    <n v="3"/>
    <n v="4"/>
    <n v="0"/>
    <n v="23"/>
    <n v="3"/>
    <n v="4"/>
    <n v="21"/>
    <n v="7"/>
    <n v="15"/>
    <n v="17"/>
    <s v="Master"/>
    <s v="Very High"/>
    <s v="Medium"/>
    <x v="2"/>
    <s v="Very High"/>
    <s v="Excellent"/>
    <s v="Very High"/>
    <x v="3"/>
    <s v="No_stock"/>
    <x v="0"/>
  </r>
  <r>
    <x v="9"/>
    <x v="1"/>
    <x v="0"/>
    <n v="429"/>
    <x v="1"/>
    <n v="2"/>
    <n v="4"/>
    <x v="0"/>
    <n v="1294"/>
    <n v="3"/>
    <x v="0"/>
    <n v="3"/>
    <n v="2"/>
    <x v="3"/>
    <n v="2"/>
    <s v="Single"/>
    <n v="5410"/>
    <n v="9"/>
    <x v="0"/>
    <n v="11"/>
    <n v="3"/>
    <n v="4"/>
    <n v="0"/>
    <n v="18"/>
    <n v="2"/>
    <n v="3"/>
    <n v="16"/>
    <n v="14"/>
    <n v="5"/>
    <n v="12"/>
    <s v="Master"/>
    <s v="High"/>
    <s v="High"/>
    <x v="0"/>
    <s v="Medium"/>
    <s v="Excellent"/>
    <s v="Very High"/>
    <x v="1"/>
    <s v="No_stock"/>
    <x v="0"/>
  </r>
  <r>
    <x v="20"/>
    <x v="0"/>
    <x v="0"/>
    <n v="621"/>
    <x v="1"/>
    <n v="15"/>
    <n v="3"/>
    <x v="2"/>
    <n v="1295"/>
    <n v="1"/>
    <x v="0"/>
    <n v="3"/>
    <n v="3"/>
    <x v="4"/>
    <n v="4"/>
    <s v="Married"/>
    <n v="7978"/>
    <n v="1"/>
    <x v="1"/>
    <n v="11"/>
    <n v="3"/>
    <n v="4"/>
    <n v="1"/>
    <n v="10"/>
    <n v="2"/>
    <n v="3"/>
    <n v="10"/>
    <n v="7"/>
    <n v="0"/>
    <n v="5"/>
    <s v="Bachelor"/>
    <s v="Low"/>
    <s v="High"/>
    <x v="2"/>
    <s v="Very High"/>
    <s v="Excellent"/>
    <s v="Very High"/>
    <x v="1"/>
    <s v="Low"/>
    <x v="1"/>
  </r>
  <r>
    <x v="14"/>
    <x v="1"/>
    <x v="1"/>
    <n v="193"/>
    <x v="1"/>
    <n v="2"/>
    <n v="3"/>
    <x v="0"/>
    <n v="1296"/>
    <n v="4"/>
    <x v="1"/>
    <n v="2"/>
    <n v="1"/>
    <x v="2"/>
    <n v="4"/>
    <s v="Married"/>
    <n v="3867"/>
    <n v="1"/>
    <x v="0"/>
    <n v="12"/>
    <n v="3"/>
    <n v="2"/>
    <n v="1"/>
    <n v="2"/>
    <n v="2"/>
    <n v="3"/>
    <n v="2"/>
    <n v="2"/>
    <n v="2"/>
    <n v="2"/>
    <s v="Bachelor"/>
    <s v="Very High"/>
    <s v="Medium"/>
    <x v="1"/>
    <s v="Very High"/>
    <s v="Excellent"/>
    <s v="Medium"/>
    <x v="1"/>
    <s v="Low"/>
    <x v="0"/>
  </r>
  <r>
    <x v="31"/>
    <x v="1"/>
    <x v="1"/>
    <n v="968"/>
    <x v="1"/>
    <n v="6"/>
    <n v="2"/>
    <x v="2"/>
    <n v="1297"/>
    <n v="2"/>
    <x v="0"/>
    <n v="2"/>
    <n v="1"/>
    <x v="2"/>
    <n v="3"/>
    <s v="Single"/>
    <n v="2838"/>
    <n v="0"/>
    <x v="1"/>
    <n v="14"/>
    <n v="3"/>
    <n v="2"/>
    <n v="0"/>
    <n v="8"/>
    <n v="6"/>
    <n v="2"/>
    <n v="7"/>
    <n v="0"/>
    <n v="7"/>
    <n v="7"/>
    <s v="College"/>
    <s v="Medium"/>
    <s v="Medium"/>
    <x v="1"/>
    <s v="High"/>
    <s v="Excellent"/>
    <s v="Medium"/>
    <x v="2"/>
    <s v="No_stock"/>
    <x v="1"/>
  </r>
  <r>
    <x v="7"/>
    <x v="1"/>
    <x v="2"/>
    <n v="879"/>
    <x v="1"/>
    <n v="9"/>
    <n v="2"/>
    <x v="2"/>
    <n v="1298"/>
    <n v="3"/>
    <x v="0"/>
    <n v="3"/>
    <n v="2"/>
    <x v="3"/>
    <n v="3"/>
    <s v="Single"/>
    <n v="4695"/>
    <n v="7"/>
    <x v="0"/>
    <n v="18"/>
    <n v="3"/>
    <n v="3"/>
    <n v="0"/>
    <n v="10"/>
    <n v="3"/>
    <n v="3"/>
    <n v="8"/>
    <n v="4"/>
    <n v="1"/>
    <n v="7"/>
    <s v="College"/>
    <s v="High"/>
    <s v="High"/>
    <x v="0"/>
    <s v="High"/>
    <s v="Excellent"/>
    <s v="High"/>
    <x v="1"/>
    <s v="No_stock"/>
    <x v="1"/>
  </r>
  <r>
    <x v="11"/>
    <x v="0"/>
    <x v="0"/>
    <n v="806"/>
    <x v="1"/>
    <n v="7"/>
    <n v="3"/>
    <x v="4"/>
    <n v="1299"/>
    <n v="2"/>
    <x v="0"/>
    <n v="3"/>
    <n v="1"/>
    <x v="2"/>
    <n v="3"/>
    <s v="Divorced"/>
    <n v="3339"/>
    <n v="3"/>
    <x v="0"/>
    <n v="13"/>
    <n v="3"/>
    <n v="1"/>
    <n v="2"/>
    <n v="10"/>
    <n v="2"/>
    <n v="3"/>
    <n v="7"/>
    <n v="7"/>
    <n v="7"/>
    <n v="7"/>
    <s v="Bachelor"/>
    <s v="Medium"/>
    <s v="High"/>
    <x v="1"/>
    <s v="High"/>
    <s v="Excellent"/>
    <s v="Low"/>
    <x v="1"/>
    <s v="Medium"/>
    <x v="1"/>
  </r>
  <r>
    <x v="14"/>
    <x v="1"/>
    <x v="0"/>
    <n v="640"/>
    <x v="1"/>
    <n v="1"/>
    <n v="3"/>
    <x v="4"/>
    <n v="1301"/>
    <n v="4"/>
    <x v="1"/>
    <n v="3"/>
    <n v="1"/>
    <x v="1"/>
    <n v="1"/>
    <s v="Single"/>
    <n v="2080"/>
    <n v="2"/>
    <x v="1"/>
    <n v="11"/>
    <n v="3"/>
    <n v="2"/>
    <n v="0"/>
    <n v="5"/>
    <n v="2"/>
    <n v="2"/>
    <n v="3"/>
    <n v="2"/>
    <n v="1"/>
    <n v="2"/>
    <s v="Bachelor"/>
    <s v="Very High"/>
    <s v="High"/>
    <x v="1"/>
    <s v="Low"/>
    <s v="Excellent"/>
    <s v="Medium"/>
    <x v="2"/>
    <s v="No_stock"/>
    <x v="0"/>
  </r>
  <r>
    <x v="36"/>
    <x v="1"/>
    <x v="0"/>
    <n v="266"/>
    <x v="1"/>
    <n v="1"/>
    <n v="3"/>
    <x v="2"/>
    <n v="1303"/>
    <n v="4"/>
    <x v="0"/>
    <n v="3"/>
    <n v="1"/>
    <x v="1"/>
    <n v="2"/>
    <s v="Single"/>
    <n v="2096"/>
    <n v="1"/>
    <x v="1"/>
    <n v="18"/>
    <n v="3"/>
    <n v="4"/>
    <n v="0"/>
    <n v="2"/>
    <n v="3"/>
    <n v="2"/>
    <n v="2"/>
    <n v="2"/>
    <n v="2"/>
    <n v="1"/>
    <s v="Bachelor"/>
    <s v="Very High"/>
    <s v="High"/>
    <x v="1"/>
    <s v="Medium"/>
    <s v="Excellent"/>
    <s v="Very High"/>
    <x v="2"/>
    <s v="No_stock"/>
    <x v="0"/>
  </r>
  <r>
    <x v="5"/>
    <x v="1"/>
    <x v="0"/>
    <n v="604"/>
    <x v="0"/>
    <n v="8"/>
    <n v="3"/>
    <x v="2"/>
    <n v="1304"/>
    <n v="3"/>
    <x v="1"/>
    <n v="4"/>
    <n v="2"/>
    <x v="0"/>
    <n v="4"/>
    <s v="Married"/>
    <n v="6209"/>
    <n v="1"/>
    <x v="1"/>
    <n v="15"/>
    <n v="3"/>
    <n v="3"/>
    <n v="2"/>
    <n v="10"/>
    <n v="4"/>
    <n v="4"/>
    <n v="10"/>
    <n v="7"/>
    <n v="0"/>
    <n v="8"/>
    <s v="Bachelor"/>
    <s v="High"/>
    <s v="Very High"/>
    <x v="0"/>
    <s v="Very High"/>
    <s v="Excellent"/>
    <s v="High"/>
    <x v="3"/>
    <s v="Medium"/>
    <x v="1"/>
  </r>
  <r>
    <x v="28"/>
    <x v="1"/>
    <x v="1"/>
    <n v="364"/>
    <x v="1"/>
    <n v="25"/>
    <n v="3"/>
    <x v="2"/>
    <n v="1306"/>
    <n v="2"/>
    <x v="0"/>
    <n v="3"/>
    <n v="5"/>
    <x v="5"/>
    <n v="2"/>
    <s v="Single"/>
    <n v="18061"/>
    <n v="3"/>
    <x v="1"/>
    <n v="22"/>
    <n v="4"/>
    <n v="3"/>
    <n v="0"/>
    <n v="22"/>
    <n v="4"/>
    <n v="3"/>
    <n v="0"/>
    <n v="0"/>
    <n v="0"/>
    <n v="0"/>
    <s v="Bachelor"/>
    <s v="Medium"/>
    <s v="High"/>
    <x v="4"/>
    <s v="Medium"/>
    <s v="Outstanding"/>
    <s v="High"/>
    <x v="1"/>
    <s v="No_stock"/>
    <x v="2"/>
  </r>
  <r>
    <x v="22"/>
    <x v="1"/>
    <x v="0"/>
    <n v="412"/>
    <x v="1"/>
    <n v="13"/>
    <n v="4"/>
    <x v="2"/>
    <n v="1307"/>
    <n v="3"/>
    <x v="0"/>
    <n v="2"/>
    <n v="4"/>
    <x v="5"/>
    <n v="2"/>
    <s v="Divorced"/>
    <n v="17123"/>
    <n v="6"/>
    <x v="0"/>
    <n v="13"/>
    <n v="3"/>
    <n v="4"/>
    <n v="2"/>
    <n v="21"/>
    <n v="4"/>
    <n v="3"/>
    <n v="19"/>
    <n v="9"/>
    <n v="15"/>
    <n v="2"/>
    <s v="Master"/>
    <s v="High"/>
    <s v="Medium"/>
    <x v="3"/>
    <s v="Medium"/>
    <s v="Excellent"/>
    <s v="Very High"/>
    <x v="1"/>
    <s v="Medium"/>
    <x v="1"/>
  </r>
  <r>
    <x v="34"/>
    <x v="1"/>
    <x v="0"/>
    <n v="848"/>
    <x v="1"/>
    <n v="23"/>
    <n v="4"/>
    <x v="0"/>
    <n v="1308"/>
    <n v="1"/>
    <x v="1"/>
    <n v="3"/>
    <n v="1"/>
    <x v="1"/>
    <n v="3"/>
    <s v="Divorced"/>
    <n v="2372"/>
    <n v="1"/>
    <x v="1"/>
    <n v="12"/>
    <n v="3"/>
    <n v="4"/>
    <n v="2"/>
    <n v="2"/>
    <n v="3"/>
    <n v="3"/>
    <n v="2"/>
    <n v="2"/>
    <n v="2"/>
    <n v="2"/>
    <s v="Master"/>
    <s v="Low"/>
    <s v="High"/>
    <x v="1"/>
    <s v="High"/>
    <s v="Excellent"/>
    <s v="Very High"/>
    <x v="1"/>
    <s v="Medium"/>
    <x v="2"/>
  </r>
  <r>
    <x v="5"/>
    <x v="0"/>
    <x v="0"/>
    <n v="1089"/>
    <x v="1"/>
    <n v="7"/>
    <n v="2"/>
    <x v="0"/>
    <n v="1309"/>
    <n v="4"/>
    <x v="1"/>
    <n v="3"/>
    <n v="2"/>
    <x v="2"/>
    <n v="3"/>
    <s v="Married"/>
    <n v="4883"/>
    <n v="1"/>
    <x v="1"/>
    <n v="18"/>
    <n v="3"/>
    <n v="1"/>
    <n v="1"/>
    <n v="10"/>
    <n v="3"/>
    <n v="3"/>
    <n v="10"/>
    <n v="4"/>
    <n v="1"/>
    <n v="1"/>
    <s v="College"/>
    <s v="Very High"/>
    <s v="High"/>
    <x v="0"/>
    <s v="High"/>
    <s v="Excellent"/>
    <s v="Low"/>
    <x v="1"/>
    <s v="Low"/>
    <x v="1"/>
  </r>
  <r>
    <x v="22"/>
    <x v="0"/>
    <x v="0"/>
    <n v="360"/>
    <x v="1"/>
    <n v="23"/>
    <n v="3"/>
    <x v="2"/>
    <n v="1310"/>
    <n v="3"/>
    <x v="1"/>
    <n v="3"/>
    <n v="1"/>
    <x v="1"/>
    <n v="1"/>
    <s v="Single"/>
    <n v="3904"/>
    <n v="0"/>
    <x v="1"/>
    <n v="13"/>
    <n v="3"/>
    <n v="1"/>
    <n v="0"/>
    <n v="6"/>
    <n v="2"/>
    <n v="3"/>
    <n v="5"/>
    <n v="2"/>
    <n v="0"/>
    <n v="3"/>
    <s v="Bachelor"/>
    <s v="High"/>
    <s v="High"/>
    <x v="1"/>
    <s v="Low"/>
    <s v="Excellent"/>
    <s v="Low"/>
    <x v="1"/>
    <s v="No_stock"/>
    <x v="2"/>
  </r>
  <r>
    <x v="7"/>
    <x v="1"/>
    <x v="0"/>
    <n v="1138"/>
    <x v="1"/>
    <n v="6"/>
    <n v="3"/>
    <x v="4"/>
    <n v="1311"/>
    <n v="1"/>
    <x v="0"/>
    <n v="2"/>
    <n v="2"/>
    <x v="2"/>
    <n v="4"/>
    <s v="Married"/>
    <n v="4627"/>
    <n v="0"/>
    <x v="1"/>
    <n v="12"/>
    <n v="3"/>
    <n v="1"/>
    <n v="1"/>
    <n v="10"/>
    <n v="6"/>
    <n v="3"/>
    <n v="9"/>
    <n v="2"/>
    <n v="6"/>
    <n v="7"/>
    <s v="Bachelor"/>
    <s v="Low"/>
    <s v="Medium"/>
    <x v="0"/>
    <s v="Very High"/>
    <s v="Excellent"/>
    <s v="Low"/>
    <x v="1"/>
    <s v="Low"/>
    <x v="1"/>
  </r>
  <r>
    <x v="9"/>
    <x v="1"/>
    <x v="0"/>
    <n v="325"/>
    <x v="1"/>
    <n v="10"/>
    <n v="4"/>
    <x v="4"/>
    <n v="1312"/>
    <n v="4"/>
    <x v="0"/>
    <n v="3"/>
    <n v="3"/>
    <x v="4"/>
    <n v="3"/>
    <s v="Married"/>
    <n v="7094"/>
    <n v="3"/>
    <x v="1"/>
    <n v="12"/>
    <n v="3"/>
    <n v="1"/>
    <n v="0"/>
    <n v="10"/>
    <n v="0"/>
    <n v="3"/>
    <n v="7"/>
    <n v="7"/>
    <n v="1"/>
    <n v="7"/>
    <s v="Master"/>
    <s v="Very High"/>
    <s v="High"/>
    <x v="2"/>
    <s v="High"/>
    <s v="Excellent"/>
    <s v="Low"/>
    <x v="1"/>
    <s v="No_stock"/>
    <x v="1"/>
  </r>
  <r>
    <x v="21"/>
    <x v="1"/>
    <x v="0"/>
    <n v="991"/>
    <x v="2"/>
    <n v="1"/>
    <n v="2"/>
    <x v="0"/>
    <n v="1314"/>
    <n v="4"/>
    <x v="0"/>
    <n v="3"/>
    <n v="1"/>
    <x v="8"/>
    <n v="1"/>
    <s v="Single"/>
    <n v="3423"/>
    <n v="6"/>
    <x v="1"/>
    <n v="12"/>
    <n v="3"/>
    <n v="3"/>
    <n v="0"/>
    <n v="10"/>
    <n v="3"/>
    <n v="4"/>
    <n v="7"/>
    <n v="6"/>
    <n v="5"/>
    <n v="7"/>
    <s v="College"/>
    <s v="Very High"/>
    <s v="High"/>
    <x v="1"/>
    <s v="Low"/>
    <s v="Excellent"/>
    <s v="High"/>
    <x v="3"/>
    <s v="No_stock"/>
    <x v="0"/>
  </r>
  <r>
    <x v="14"/>
    <x v="1"/>
    <x v="2"/>
    <n v="1476"/>
    <x v="1"/>
    <n v="1"/>
    <n v="3"/>
    <x v="0"/>
    <n v="1315"/>
    <n v="3"/>
    <x v="0"/>
    <n v="1"/>
    <n v="2"/>
    <x v="2"/>
    <n v="4"/>
    <s v="Married"/>
    <n v="6674"/>
    <n v="0"/>
    <x v="1"/>
    <n v="11"/>
    <n v="3"/>
    <n v="1"/>
    <n v="3"/>
    <n v="10"/>
    <n v="6"/>
    <n v="3"/>
    <n v="9"/>
    <n v="8"/>
    <n v="7"/>
    <n v="5"/>
    <s v="Bachelor"/>
    <s v="High"/>
    <s v="Low"/>
    <x v="0"/>
    <s v="Very High"/>
    <s v="Excellent"/>
    <s v="Low"/>
    <x v="1"/>
    <s v="High"/>
    <x v="0"/>
  </r>
  <r>
    <x v="24"/>
    <x v="1"/>
    <x v="0"/>
    <n v="1322"/>
    <x v="1"/>
    <n v="28"/>
    <n v="3"/>
    <x v="0"/>
    <n v="1317"/>
    <n v="4"/>
    <x v="0"/>
    <n v="3"/>
    <n v="4"/>
    <x v="7"/>
    <n v="1"/>
    <s v="Married"/>
    <n v="16880"/>
    <n v="4"/>
    <x v="0"/>
    <n v="11"/>
    <n v="3"/>
    <n v="2"/>
    <n v="0"/>
    <n v="25"/>
    <n v="2"/>
    <n v="3"/>
    <n v="3"/>
    <n v="2"/>
    <n v="1"/>
    <n v="2"/>
    <s v="Bachelor"/>
    <s v="Very High"/>
    <s v="High"/>
    <x v="3"/>
    <s v="Low"/>
    <s v="Excellent"/>
    <s v="Medium"/>
    <x v="1"/>
    <s v="No_stock"/>
    <x v="2"/>
  </r>
  <r>
    <x v="32"/>
    <x v="0"/>
    <x v="0"/>
    <n v="299"/>
    <x v="0"/>
    <n v="25"/>
    <n v="4"/>
    <x v="3"/>
    <n v="1318"/>
    <n v="4"/>
    <x v="1"/>
    <n v="2"/>
    <n v="3"/>
    <x v="0"/>
    <n v="2"/>
    <s v="Single"/>
    <n v="9094"/>
    <n v="2"/>
    <x v="0"/>
    <n v="12"/>
    <n v="3"/>
    <n v="3"/>
    <n v="0"/>
    <n v="9"/>
    <n v="2"/>
    <n v="3"/>
    <n v="5"/>
    <n v="4"/>
    <n v="1"/>
    <n v="0"/>
    <s v="Master"/>
    <s v="Very High"/>
    <s v="Medium"/>
    <x v="2"/>
    <s v="Medium"/>
    <s v="Excellent"/>
    <s v="High"/>
    <x v="1"/>
    <s v="No_stock"/>
    <x v="2"/>
  </r>
  <r>
    <x v="39"/>
    <x v="0"/>
    <x v="0"/>
    <n v="1030"/>
    <x v="0"/>
    <n v="5"/>
    <n v="3"/>
    <x v="0"/>
    <n v="1319"/>
    <n v="2"/>
    <x v="1"/>
    <n v="3"/>
    <n v="3"/>
    <x v="0"/>
    <n v="2"/>
    <s v="Single"/>
    <n v="8446"/>
    <n v="9"/>
    <x v="0"/>
    <n v="19"/>
    <n v="3"/>
    <n v="3"/>
    <n v="0"/>
    <n v="10"/>
    <n v="2"/>
    <n v="2"/>
    <n v="8"/>
    <n v="7"/>
    <n v="7"/>
    <n v="7"/>
    <s v="Bachelor"/>
    <s v="Medium"/>
    <s v="High"/>
    <x v="2"/>
    <s v="Medium"/>
    <s v="Excellent"/>
    <s v="High"/>
    <x v="2"/>
    <s v="No_stock"/>
    <x v="0"/>
  </r>
  <r>
    <x v="7"/>
    <x v="1"/>
    <x v="0"/>
    <n v="634"/>
    <x v="1"/>
    <n v="17"/>
    <n v="4"/>
    <x v="2"/>
    <n v="1321"/>
    <n v="2"/>
    <x v="0"/>
    <n v="3"/>
    <n v="3"/>
    <x v="5"/>
    <n v="1"/>
    <s v="Married"/>
    <n v="11916"/>
    <n v="1"/>
    <x v="0"/>
    <n v="23"/>
    <n v="4"/>
    <n v="4"/>
    <n v="2"/>
    <n v="9"/>
    <n v="2"/>
    <n v="3"/>
    <n v="9"/>
    <n v="1"/>
    <n v="0"/>
    <n v="8"/>
    <s v="Master"/>
    <s v="Medium"/>
    <s v="High"/>
    <x v="2"/>
    <s v="Low"/>
    <s v="Outstanding"/>
    <s v="Very High"/>
    <x v="1"/>
    <s v="Medium"/>
    <x v="2"/>
  </r>
  <r>
    <x v="22"/>
    <x v="1"/>
    <x v="0"/>
    <n v="524"/>
    <x v="1"/>
    <n v="18"/>
    <n v="2"/>
    <x v="0"/>
    <n v="1322"/>
    <n v="1"/>
    <x v="1"/>
    <n v="3"/>
    <n v="2"/>
    <x v="3"/>
    <n v="3"/>
    <s v="Single"/>
    <n v="4534"/>
    <n v="0"/>
    <x v="1"/>
    <n v="11"/>
    <n v="3"/>
    <n v="1"/>
    <n v="0"/>
    <n v="9"/>
    <n v="6"/>
    <n v="3"/>
    <n v="8"/>
    <n v="7"/>
    <n v="1"/>
    <n v="7"/>
    <s v="College"/>
    <s v="Low"/>
    <s v="High"/>
    <x v="0"/>
    <s v="High"/>
    <s v="Excellent"/>
    <s v="Low"/>
    <x v="1"/>
    <s v="No_stock"/>
    <x v="2"/>
  </r>
  <r>
    <x v="12"/>
    <x v="1"/>
    <x v="2"/>
    <n v="587"/>
    <x v="0"/>
    <n v="2"/>
    <n v="4"/>
    <x v="0"/>
    <n v="1324"/>
    <n v="4"/>
    <x v="0"/>
    <n v="3"/>
    <n v="3"/>
    <x v="0"/>
    <n v="3"/>
    <s v="Divorced"/>
    <n v="9852"/>
    <n v="1"/>
    <x v="0"/>
    <n v="19"/>
    <n v="3"/>
    <n v="1"/>
    <n v="1"/>
    <n v="10"/>
    <n v="5"/>
    <n v="2"/>
    <n v="10"/>
    <n v="8"/>
    <n v="9"/>
    <n v="6"/>
    <s v="Master"/>
    <s v="Very High"/>
    <s v="High"/>
    <x v="2"/>
    <s v="High"/>
    <s v="Excellent"/>
    <s v="Low"/>
    <x v="2"/>
    <s v="Low"/>
    <x v="0"/>
  </r>
  <r>
    <x v="0"/>
    <x v="1"/>
    <x v="2"/>
    <n v="256"/>
    <x v="0"/>
    <n v="10"/>
    <n v="2"/>
    <x v="2"/>
    <n v="1329"/>
    <n v="3"/>
    <x v="1"/>
    <n v="1"/>
    <n v="2"/>
    <x v="0"/>
    <n v="2"/>
    <s v="Single"/>
    <n v="6151"/>
    <n v="1"/>
    <x v="1"/>
    <n v="13"/>
    <n v="3"/>
    <n v="1"/>
    <n v="0"/>
    <n v="19"/>
    <n v="4"/>
    <n v="3"/>
    <n v="19"/>
    <n v="2"/>
    <n v="11"/>
    <n v="9"/>
    <s v="College"/>
    <s v="High"/>
    <s v="Low"/>
    <x v="0"/>
    <s v="Medium"/>
    <s v="Excellent"/>
    <s v="Low"/>
    <x v="1"/>
    <s v="No_stock"/>
    <x v="1"/>
  </r>
  <r>
    <x v="12"/>
    <x v="0"/>
    <x v="1"/>
    <n v="1060"/>
    <x v="0"/>
    <n v="1"/>
    <n v="3"/>
    <x v="0"/>
    <n v="1331"/>
    <n v="4"/>
    <x v="0"/>
    <n v="3"/>
    <n v="1"/>
    <x v="6"/>
    <n v="2"/>
    <s v="Single"/>
    <n v="2302"/>
    <n v="1"/>
    <x v="0"/>
    <n v="11"/>
    <n v="3"/>
    <n v="1"/>
    <n v="0"/>
    <n v="3"/>
    <n v="2"/>
    <n v="4"/>
    <n v="3"/>
    <n v="2"/>
    <n v="2"/>
    <n v="2"/>
    <s v="Bachelor"/>
    <s v="Very High"/>
    <s v="High"/>
    <x v="1"/>
    <s v="Medium"/>
    <s v="Excellent"/>
    <s v="Low"/>
    <x v="3"/>
    <s v="No_stock"/>
    <x v="0"/>
  </r>
  <r>
    <x v="20"/>
    <x v="0"/>
    <x v="0"/>
    <n v="935"/>
    <x v="1"/>
    <n v="3"/>
    <n v="3"/>
    <x v="0"/>
    <n v="1333"/>
    <n v="1"/>
    <x v="1"/>
    <n v="3"/>
    <n v="1"/>
    <x v="2"/>
    <n v="1"/>
    <s v="Married"/>
    <n v="2362"/>
    <n v="4"/>
    <x v="1"/>
    <n v="12"/>
    <n v="3"/>
    <n v="3"/>
    <n v="0"/>
    <n v="10"/>
    <n v="4"/>
    <n v="4"/>
    <n v="3"/>
    <n v="2"/>
    <n v="1"/>
    <n v="2"/>
    <s v="Bachelor"/>
    <s v="Low"/>
    <s v="High"/>
    <x v="1"/>
    <s v="Low"/>
    <s v="Excellent"/>
    <s v="High"/>
    <x v="3"/>
    <s v="No_stock"/>
    <x v="0"/>
  </r>
  <r>
    <x v="19"/>
    <x v="1"/>
    <x v="2"/>
    <n v="495"/>
    <x v="1"/>
    <n v="2"/>
    <n v="1"/>
    <x v="0"/>
    <n v="1334"/>
    <n v="3"/>
    <x v="1"/>
    <n v="3"/>
    <n v="4"/>
    <x v="5"/>
    <n v="3"/>
    <s v="Married"/>
    <n v="17861"/>
    <n v="0"/>
    <x v="0"/>
    <n v="13"/>
    <n v="3"/>
    <n v="4"/>
    <n v="0"/>
    <n v="21"/>
    <n v="3"/>
    <n v="2"/>
    <n v="20"/>
    <n v="8"/>
    <n v="2"/>
    <n v="10"/>
    <s v="Before College"/>
    <s v="High"/>
    <s v="High"/>
    <x v="3"/>
    <s v="High"/>
    <s v="Excellent"/>
    <s v="Very High"/>
    <x v="2"/>
    <s v="No_stock"/>
    <x v="0"/>
  </r>
  <r>
    <x v="27"/>
    <x v="1"/>
    <x v="0"/>
    <n v="282"/>
    <x v="1"/>
    <n v="2"/>
    <n v="2"/>
    <x v="2"/>
    <n v="1336"/>
    <n v="4"/>
    <x v="0"/>
    <n v="1"/>
    <n v="5"/>
    <x v="5"/>
    <n v="3"/>
    <s v="Married"/>
    <n v="19187"/>
    <n v="4"/>
    <x v="1"/>
    <n v="14"/>
    <n v="3"/>
    <n v="4"/>
    <n v="1"/>
    <n v="23"/>
    <n v="5"/>
    <n v="3"/>
    <n v="19"/>
    <n v="9"/>
    <n v="9"/>
    <n v="11"/>
    <s v="College"/>
    <s v="Very High"/>
    <s v="Low"/>
    <x v="4"/>
    <s v="High"/>
    <s v="Excellent"/>
    <s v="Very High"/>
    <x v="1"/>
    <s v="Low"/>
    <x v="0"/>
  </r>
  <r>
    <x v="29"/>
    <x v="1"/>
    <x v="0"/>
    <n v="206"/>
    <x v="2"/>
    <n v="8"/>
    <n v="4"/>
    <x v="0"/>
    <n v="1338"/>
    <n v="4"/>
    <x v="1"/>
    <n v="3"/>
    <n v="5"/>
    <x v="5"/>
    <n v="2"/>
    <s v="Single"/>
    <n v="19717"/>
    <n v="6"/>
    <x v="1"/>
    <n v="14"/>
    <n v="3"/>
    <n v="1"/>
    <n v="0"/>
    <n v="36"/>
    <n v="4"/>
    <n v="3"/>
    <n v="7"/>
    <n v="3"/>
    <n v="7"/>
    <n v="7"/>
    <s v="Master"/>
    <s v="Very High"/>
    <s v="High"/>
    <x v="4"/>
    <s v="Medium"/>
    <s v="Excellent"/>
    <s v="Low"/>
    <x v="1"/>
    <s v="No_stock"/>
    <x v="1"/>
  </r>
  <r>
    <x v="32"/>
    <x v="1"/>
    <x v="2"/>
    <n v="458"/>
    <x v="1"/>
    <n v="16"/>
    <n v="2"/>
    <x v="0"/>
    <n v="1340"/>
    <n v="3"/>
    <x v="1"/>
    <n v="3"/>
    <n v="1"/>
    <x v="1"/>
    <n v="3"/>
    <s v="Divorced"/>
    <n v="3544"/>
    <n v="9"/>
    <x v="1"/>
    <n v="16"/>
    <n v="3"/>
    <n v="2"/>
    <n v="1"/>
    <n v="6"/>
    <n v="0"/>
    <n v="3"/>
    <n v="4"/>
    <n v="2"/>
    <n v="0"/>
    <n v="0"/>
    <s v="College"/>
    <s v="High"/>
    <s v="High"/>
    <x v="1"/>
    <s v="High"/>
    <s v="Excellent"/>
    <s v="Medium"/>
    <x v="1"/>
    <s v="Low"/>
    <x v="2"/>
  </r>
  <r>
    <x v="13"/>
    <x v="1"/>
    <x v="0"/>
    <n v="943"/>
    <x v="1"/>
    <n v="9"/>
    <n v="3"/>
    <x v="0"/>
    <n v="1344"/>
    <n v="4"/>
    <x v="1"/>
    <n v="3"/>
    <n v="3"/>
    <x v="4"/>
    <n v="4"/>
    <s v="Divorced"/>
    <n v="8500"/>
    <n v="0"/>
    <x v="1"/>
    <n v="11"/>
    <n v="3"/>
    <n v="4"/>
    <n v="1"/>
    <n v="10"/>
    <n v="0"/>
    <n v="2"/>
    <n v="9"/>
    <n v="7"/>
    <n v="1"/>
    <n v="6"/>
    <s v="Bachelor"/>
    <s v="Very High"/>
    <s v="High"/>
    <x v="2"/>
    <s v="Very High"/>
    <s v="Excellent"/>
    <s v="Very High"/>
    <x v="2"/>
    <s v="Low"/>
    <x v="1"/>
  </r>
  <r>
    <x v="32"/>
    <x v="1"/>
    <x v="0"/>
    <n v="523"/>
    <x v="1"/>
    <n v="2"/>
    <n v="3"/>
    <x v="0"/>
    <n v="1346"/>
    <n v="3"/>
    <x v="1"/>
    <n v="3"/>
    <n v="2"/>
    <x v="1"/>
    <n v="4"/>
    <s v="Single"/>
    <n v="4661"/>
    <n v="1"/>
    <x v="1"/>
    <n v="13"/>
    <n v="3"/>
    <n v="3"/>
    <n v="0"/>
    <n v="9"/>
    <n v="4"/>
    <n v="3"/>
    <n v="9"/>
    <n v="8"/>
    <n v="8"/>
    <n v="8"/>
    <s v="Bachelor"/>
    <s v="High"/>
    <s v="High"/>
    <x v="0"/>
    <s v="Very High"/>
    <s v="Excellent"/>
    <s v="High"/>
    <x v="1"/>
    <s v="No_stock"/>
    <x v="0"/>
  </r>
  <r>
    <x v="0"/>
    <x v="1"/>
    <x v="1"/>
    <n v="1018"/>
    <x v="0"/>
    <n v="1"/>
    <n v="3"/>
    <x v="3"/>
    <n v="1349"/>
    <n v="3"/>
    <x v="0"/>
    <n v="3"/>
    <n v="2"/>
    <x v="0"/>
    <n v="1"/>
    <s v="Divorced"/>
    <n v="4103"/>
    <n v="0"/>
    <x v="1"/>
    <n v="17"/>
    <n v="3"/>
    <n v="4"/>
    <n v="1"/>
    <n v="10"/>
    <n v="2"/>
    <n v="3"/>
    <n v="9"/>
    <n v="3"/>
    <n v="1"/>
    <n v="7"/>
    <s v="Bachelor"/>
    <s v="High"/>
    <s v="High"/>
    <x v="0"/>
    <s v="Low"/>
    <s v="Excellent"/>
    <s v="Very High"/>
    <x v="1"/>
    <s v="Low"/>
    <x v="0"/>
  </r>
  <r>
    <x v="10"/>
    <x v="1"/>
    <x v="1"/>
    <n v="482"/>
    <x v="1"/>
    <n v="4"/>
    <n v="4"/>
    <x v="0"/>
    <n v="1350"/>
    <n v="3"/>
    <x v="1"/>
    <n v="3"/>
    <n v="2"/>
    <x v="1"/>
    <n v="3"/>
    <s v="Single"/>
    <n v="4249"/>
    <n v="1"/>
    <x v="0"/>
    <n v="11"/>
    <n v="3"/>
    <n v="2"/>
    <n v="0"/>
    <n v="9"/>
    <n v="3"/>
    <n v="3"/>
    <n v="9"/>
    <n v="6"/>
    <n v="1"/>
    <n v="1"/>
    <s v="Master"/>
    <s v="High"/>
    <s v="High"/>
    <x v="0"/>
    <s v="High"/>
    <s v="Excellent"/>
    <s v="Medium"/>
    <x v="1"/>
    <s v="No_stock"/>
    <x v="0"/>
  </r>
  <r>
    <x v="31"/>
    <x v="1"/>
    <x v="0"/>
    <n v="770"/>
    <x v="2"/>
    <n v="5"/>
    <n v="3"/>
    <x v="0"/>
    <n v="1352"/>
    <n v="3"/>
    <x v="1"/>
    <n v="3"/>
    <n v="4"/>
    <x v="5"/>
    <n v="2"/>
    <s v="Divorced"/>
    <n v="14026"/>
    <n v="1"/>
    <x v="0"/>
    <n v="11"/>
    <n v="3"/>
    <n v="2"/>
    <n v="1"/>
    <n v="33"/>
    <n v="2"/>
    <n v="3"/>
    <n v="33"/>
    <n v="9"/>
    <n v="0"/>
    <n v="10"/>
    <s v="Bachelor"/>
    <s v="High"/>
    <s v="High"/>
    <x v="3"/>
    <s v="Medium"/>
    <s v="Excellent"/>
    <s v="Medium"/>
    <x v="1"/>
    <s v="Low"/>
    <x v="0"/>
  </r>
  <r>
    <x v="8"/>
    <x v="1"/>
    <x v="0"/>
    <n v="1009"/>
    <x v="0"/>
    <n v="2"/>
    <n v="2"/>
    <x v="0"/>
    <n v="1355"/>
    <n v="2"/>
    <x v="0"/>
    <n v="3"/>
    <n v="2"/>
    <x v="0"/>
    <n v="1"/>
    <s v="Divorced"/>
    <n v="6893"/>
    <n v="3"/>
    <x v="1"/>
    <n v="15"/>
    <n v="3"/>
    <n v="4"/>
    <n v="1"/>
    <n v="11"/>
    <n v="3"/>
    <n v="3"/>
    <n v="7"/>
    <n v="7"/>
    <n v="1"/>
    <n v="7"/>
    <s v="College"/>
    <s v="Medium"/>
    <s v="High"/>
    <x v="0"/>
    <s v="Low"/>
    <s v="Excellent"/>
    <s v="Very High"/>
    <x v="1"/>
    <s v="Low"/>
    <x v="0"/>
  </r>
  <r>
    <x v="13"/>
    <x v="1"/>
    <x v="0"/>
    <n v="507"/>
    <x v="0"/>
    <n v="15"/>
    <n v="2"/>
    <x v="2"/>
    <n v="1356"/>
    <n v="3"/>
    <x v="0"/>
    <n v="3"/>
    <n v="2"/>
    <x v="0"/>
    <n v="1"/>
    <s v="Single"/>
    <n v="6125"/>
    <n v="1"/>
    <x v="1"/>
    <n v="12"/>
    <n v="3"/>
    <n v="4"/>
    <n v="0"/>
    <n v="10"/>
    <n v="6"/>
    <n v="4"/>
    <n v="10"/>
    <n v="8"/>
    <n v="9"/>
    <n v="6"/>
    <s v="College"/>
    <s v="High"/>
    <s v="High"/>
    <x v="0"/>
    <s v="Low"/>
    <s v="Excellent"/>
    <s v="Very High"/>
    <x v="3"/>
    <s v="No_stock"/>
    <x v="1"/>
  </r>
  <r>
    <x v="36"/>
    <x v="1"/>
    <x v="0"/>
    <n v="882"/>
    <x v="1"/>
    <n v="19"/>
    <n v="1"/>
    <x v="2"/>
    <n v="1358"/>
    <n v="4"/>
    <x v="1"/>
    <n v="3"/>
    <n v="1"/>
    <x v="2"/>
    <n v="4"/>
    <s v="Married"/>
    <n v="3669"/>
    <n v="3"/>
    <x v="1"/>
    <n v="11"/>
    <n v="3"/>
    <n v="3"/>
    <n v="3"/>
    <n v="7"/>
    <n v="6"/>
    <n v="2"/>
    <n v="3"/>
    <n v="2"/>
    <n v="1"/>
    <n v="2"/>
    <s v="Before College"/>
    <s v="Very High"/>
    <s v="High"/>
    <x v="1"/>
    <s v="Very High"/>
    <s v="Excellent"/>
    <s v="High"/>
    <x v="2"/>
    <s v="High"/>
    <x v="2"/>
  </r>
  <r>
    <x v="34"/>
    <x v="0"/>
    <x v="0"/>
    <n v="601"/>
    <x v="1"/>
    <n v="7"/>
    <n v="4"/>
    <x v="2"/>
    <n v="1360"/>
    <n v="3"/>
    <x v="0"/>
    <n v="2"/>
    <n v="3"/>
    <x v="3"/>
    <n v="1"/>
    <s v="Married"/>
    <n v="10008"/>
    <n v="7"/>
    <x v="0"/>
    <n v="14"/>
    <n v="3"/>
    <n v="4"/>
    <n v="0"/>
    <n v="31"/>
    <n v="0"/>
    <n v="2"/>
    <n v="10"/>
    <n v="9"/>
    <n v="5"/>
    <n v="9"/>
    <s v="Master"/>
    <s v="High"/>
    <s v="Medium"/>
    <x v="2"/>
    <s v="Low"/>
    <s v="Excellent"/>
    <s v="Very High"/>
    <x v="2"/>
    <s v="No_stock"/>
    <x v="1"/>
  </r>
  <r>
    <x v="32"/>
    <x v="1"/>
    <x v="0"/>
    <n v="329"/>
    <x v="1"/>
    <n v="1"/>
    <n v="4"/>
    <x v="0"/>
    <n v="1361"/>
    <n v="2"/>
    <x v="1"/>
    <n v="3"/>
    <n v="1"/>
    <x v="2"/>
    <n v="2"/>
    <s v="Married"/>
    <n v="2387"/>
    <n v="3"/>
    <x v="1"/>
    <n v="22"/>
    <n v="4"/>
    <n v="3"/>
    <n v="1"/>
    <n v="7"/>
    <n v="3"/>
    <n v="3"/>
    <n v="4"/>
    <n v="2"/>
    <n v="0"/>
    <n v="3"/>
    <s v="Master"/>
    <s v="Medium"/>
    <s v="High"/>
    <x v="1"/>
    <s v="Medium"/>
    <s v="Outstanding"/>
    <s v="High"/>
    <x v="1"/>
    <s v="Low"/>
    <x v="0"/>
  </r>
  <r>
    <x v="9"/>
    <x v="1"/>
    <x v="1"/>
    <n v="607"/>
    <x v="0"/>
    <n v="7"/>
    <n v="3"/>
    <x v="3"/>
    <n v="1362"/>
    <n v="1"/>
    <x v="0"/>
    <n v="4"/>
    <n v="2"/>
    <x v="0"/>
    <n v="1"/>
    <s v="Married"/>
    <n v="4639"/>
    <n v="2"/>
    <x v="1"/>
    <n v="16"/>
    <n v="3"/>
    <n v="4"/>
    <n v="1"/>
    <n v="17"/>
    <n v="2"/>
    <n v="2"/>
    <n v="15"/>
    <n v="7"/>
    <n v="6"/>
    <n v="13"/>
    <s v="Bachelor"/>
    <s v="Low"/>
    <s v="Very High"/>
    <x v="0"/>
    <s v="Low"/>
    <s v="Excellent"/>
    <s v="Very High"/>
    <x v="2"/>
    <s v="Low"/>
    <x v="1"/>
  </r>
  <r>
    <x v="26"/>
    <x v="1"/>
    <x v="0"/>
    <n v="855"/>
    <x v="1"/>
    <n v="4"/>
    <n v="3"/>
    <x v="0"/>
    <n v="1363"/>
    <n v="4"/>
    <x v="1"/>
    <n v="3"/>
    <n v="3"/>
    <x v="3"/>
    <n v="4"/>
    <s v="Single"/>
    <n v="7898"/>
    <n v="1"/>
    <x v="1"/>
    <n v="11"/>
    <n v="3"/>
    <n v="3"/>
    <n v="0"/>
    <n v="11"/>
    <n v="2"/>
    <n v="3"/>
    <n v="10"/>
    <n v="9"/>
    <n v="0"/>
    <n v="8"/>
    <s v="Bachelor"/>
    <s v="Very High"/>
    <s v="High"/>
    <x v="2"/>
    <s v="Very High"/>
    <s v="Excellent"/>
    <s v="High"/>
    <x v="1"/>
    <s v="No_stock"/>
    <x v="0"/>
  </r>
  <r>
    <x v="4"/>
    <x v="1"/>
    <x v="0"/>
    <n v="1291"/>
    <x v="0"/>
    <n v="11"/>
    <n v="3"/>
    <x v="2"/>
    <n v="1364"/>
    <n v="3"/>
    <x v="0"/>
    <n v="4"/>
    <n v="1"/>
    <x v="6"/>
    <n v="4"/>
    <s v="Married"/>
    <n v="2534"/>
    <n v="8"/>
    <x v="1"/>
    <n v="14"/>
    <n v="3"/>
    <n v="2"/>
    <n v="1"/>
    <n v="5"/>
    <n v="4"/>
    <n v="3"/>
    <n v="1"/>
    <n v="0"/>
    <n v="0"/>
    <n v="0"/>
    <s v="Bachelor"/>
    <s v="High"/>
    <s v="Very High"/>
    <x v="1"/>
    <s v="Very High"/>
    <s v="Excellent"/>
    <s v="Medium"/>
    <x v="1"/>
    <s v="Low"/>
    <x v="1"/>
  </r>
  <r>
    <x v="31"/>
    <x v="1"/>
    <x v="0"/>
    <n v="1405"/>
    <x v="1"/>
    <n v="11"/>
    <n v="2"/>
    <x v="4"/>
    <n v="1367"/>
    <n v="4"/>
    <x v="0"/>
    <n v="2"/>
    <n v="4"/>
    <x v="3"/>
    <n v="2"/>
    <s v="Single"/>
    <n v="13142"/>
    <n v="3"/>
    <x v="1"/>
    <n v="16"/>
    <n v="3"/>
    <n v="2"/>
    <n v="0"/>
    <n v="29"/>
    <n v="1"/>
    <n v="2"/>
    <n v="5"/>
    <n v="2"/>
    <n v="0"/>
    <n v="3"/>
    <s v="College"/>
    <s v="Very High"/>
    <s v="Medium"/>
    <x v="3"/>
    <s v="Medium"/>
    <s v="Excellent"/>
    <s v="Medium"/>
    <x v="2"/>
    <s v="No_stock"/>
    <x v="1"/>
  </r>
  <r>
    <x v="41"/>
    <x v="1"/>
    <x v="2"/>
    <n v="1124"/>
    <x v="1"/>
    <n v="1"/>
    <n v="3"/>
    <x v="0"/>
    <n v="1368"/>
    <n v="4"/>
    <x v="0"/>
    <n v="3"/>
    <n v="1"/>
    <x v="2"/>
    <n v="4"/>
    <s v="Single"/>
    <n v="1611"/>
    <n v="1"/>
    <x v="1"/>
    <n v="15"/>
    <n v="3"/>
    <n v="3"/>
    <n v="0"/>
    <n v="0"/>
    <n v="5"/>
    <n v="4"/>
    <n v="0"/>
    <n v="0"/>
    <n v="0"/>
    <n v="0"/>
    <s v="Bachelor"/>
    <s v="Very High"/>
    <s v="High"/>
    <x v="1"/>
    <s v="Very High"/>
    <s v="Excellent"/>
    <s v="High"/>
    <x v="3"/>
    <s v="No_stock"/>
    <x v="0"/>
  </r>
  <r>
    <x v="10"/>
    <x v="1"/>
    <x v="0"/>
    <n v="817"/>
    <x v="1"/>
    <n v="1"/>
    <n v="3"/>
    <x v="2"/>
    <n v="1369"/>
    <n v="4"/>
    <x v="0"/>
    <n v="2"/>
    <n v="2"/>
    <x v="2"/>
    <n v="4"/>
    <s v="Married"/>
    <n v="5363"/>
    <n v="0"/>
    <x v="1"/>
    <n v="12"/>
    <n v="3"/>
    <n v="2"/>
    <n v="1"/>
    <n v="10"/>
    <n v="0"/>
    <n v="3"/>
    <n v="9"/>
    <n v="7"/>
    <n v="0"/>
    <n v="0"/>
    <s v="Bachelor"/>
    <s v="Very High"/>
    <s v="Medium"/>
    <x v="0"/>
    <s v="Very High"/>
    <s v="Excellent"/>
    <s v="Medium"/>
    <x v="1"/>
    <s v="Low"/>
    <x v="0"/>
  </r>
  <r>
    <x v="4"/>
    <x v="1"/>
    <x v="1"/>
    <n v="793"/>
    <x v="0"/>
    <n v="2"/>
    <n v="1"/>
    <x v="0"/>
    <n v="1371"/>
    <n v="4"/>
    <x v="1"/>
    <n v="1"/>
    <n v="2"/>
    <x v="0"/>
    <n v="4"/>
    <s v="Single"/>
    <n v="5071"/>
    <n v="3"/>
    <x v="1"/>
    <n v="20"/>
    <n v="4"/>
    <n v="2"/>
    <n v="0"/>
    <n v="8"/>
    <n v="3"/>
    <n v="3"/>
    <n v="6"/>
    <n v="2"/>
    <n v="0"/>
    <n v="0"/>
    <s v="Before College"/>
    <s v="Very High"/>
    <s v="Low"/>
    <x v="0"/>
    <s v="Very High"/>
    <s v="Outstanding"/>
    <s v="Medium"/>
    <x v="1"/>
    <s v="No_stock"/>
    <x v="0"/>
  </r>
  <r>
    <x v="27"/>
    <x v="0"/>
    <x v="0"/>
    <n v="267"/>
    <x v="0"/>
    <n v="13"/>
    <n v="4"/>
    <x v="3"/>
    <n v="1372"/>
    <n v="1"/>
    <x v="1"/>
    <n v="4"/>
    <n v="4"/>
    <x v="0"/>
    <n v="3"/>
    <s v="Single"/>
    <n v="13695"/>
    <n v="6"/>
    <x v="0"/>
    <n v="17"/>
    <n v="3"/>
    <n v="3"/>
    <n v="0"/>
    <n v="24"/>
    <n v="2"/>
    <n v="2"/>
    <n v="19"/>
    <n v="7"/>
    <n v="3"/>
    <n v="8"/>
    <s v="Master"/>
    <s v="Low"/>
    <s v="Very High"/>
    <x v="3"/>
    <s v="High"/>
    <s v="Excellent"/>
    <s v="High"/>
    <x v="2"/>
    <s v="No_stock"/>
    <x v="1"/>
  </r>
  <r>
    <x v="29"/>
    <x v="1"/>
    <x v="0"/>
    <n v="1369"/>
    <x v="1"/>
    <n v="23"/>
    <n v="3"/>
    <x v="0"/>
    <n v="1373"/>
    <n v="4"/>
    <x v="1"/>
    <n v="3"/>
    <n v="4"/>
    <x v="3"/>
    <n v="2"/>
    <s v="Married"/>
    <n v="13402"/>
    <n v="4"/>
    <x v="0"/>
    <n v="12"/>
    <n v="3"/>
    <n v="1"/>
    <n v="1"/>
    <n v="33"/>
    <n v="0"/>
    <n v="3"/>
    <n v="19"/>
    <n v="16"/>
    <n v="15"/>
    <n v="9"/>
    <s v="Bachelor"/>
    <s v="Very High"/>
    <s v="High"/>
    <x v="3"/>
    <s v="Medium"/>
    <s v="Excellent"/>
    <s v="Low"/>
    <x v="1"/>
    <s v="Low"/>
    <x v="2"/>
  </r>
  <r>
    <x v="13"/>
    <x v="1"/>
    <x v="2"/>
    <n v="999"/>
    <x v="1"/>
    <n v="26"/>
    <n v="1"/>
    <x v="4"/>
    <n v="1374"/>
    <n v="1"/>
    <x v="0"/>
    <n v="2"/>
    <n v="1"/>
    <x v="1"/>
    <n v="3"/>
    <s v="Divorced"/>
    <n v="2029"/>
    <n v="1"/>
    <x v="1"/>
    <n v="20"/>
    <n v="4"/>
    <n v="3"/>
    <n v="3"/>
    <n v="5"/>
    <n v="2"/>
    <n v="3"/>
    <n v="5"/>
    <n v="4"/>
    <n v="0"/>
    <n v="0"/>
    <s v="Before College"/>
    <s v="Low"/>
    <s v="Medium"/>
    <x v="1"/>
    <s v="High"/>
    <s v="Outstanding"/>
    <s v="High"/>
    <x v="1"/>
    <s v="High"/>
    <x v="2"/>
  </r>
  <r>
    <x v="32"/>
    <x v="1"/>
    <x v="0"/>
    <n v="1202"/>
    <x v="1"/>
    <n v="2"/>
    <n v="1"/>
    <x v="2"/>
    <n v="1375"/>
    <n v="2"/>
    <x v="0"/>
    <n v="4"/>
    <n v="2"/>
    <x v="4"/>
    <n v="3"/>
    <s v="Divorced"/>
    <n v="6377"/>
    <n v="5"/>
    <x v="1"/>
    <n v="20"/>
    <n v="4"/>
    <n v="2"/>
    <n v="3"/>
    <n v="15"/>
    <n v="0"/>
    <n v="3"/>
    <n v="12"/>
    <n v="11"/>
    <n v="11"/>
    <n v="8"/>
    <s v="Before College"/>
    <s v="Medium"/>
    <s v="Very High"/>
    <x v="0"/>
    <s v="High"/>
    <s v="Outstanding"/>
    <s v="Medium"/>
    <x v="1"/>
    <s v="High"/>
    <x v="0"/>
  </r>
  <r>
    <x v="13"/>
    <x v="1"/>
    <x v="0"/>
    <n v="285"/>
    <x v="1"/>
    <n v="29"/>
    <n v="3"/>
    <x v="2"/>
    <n v="1377"/>
    <n v="2"/>
    <x v="1"/>
    <n v="3"/>
    <n v="2"/>
    <x v="2"/>
    <n v="3"/>
    <s v="Married"/>
    <n v="5429"/>
    <n v="4"/>
    <x v="1"/>
    <n v="13"/>
    <n v="3"/>
    <n v="1"/>
    <n v="2"/>
    <n v="10"/>
    <n v="1"/>
    <n v="3"/>
    <n v="8"/>
    <n v="7"/>
    <n v="7"/>
    <n v="7"/>
    <s v="Bachelor"/>
    <s v="Medium"/>
    <s v="High"/>
    <x v="0"/>
    <s v="High"/>
    <s v="Excellent"/>
    <s v="Low"/>
    <x v="1"/>
    <s v="Medium"/>
    <x v="2"/>
  </r>
  <r>
    <x v="12"/>
    <x v="0"/>
    <x v="1"/>
    <n v="703"/>
    <x v="0"/>
    <n v="2"/>
    <n v="3"/>
    <x v="0"/>
    <n v="1379"/>
    <n v="3"/>
    <x v="0"/>
    <n v="2"/>
    <n v="1"/>
    <x v="6"/>
    <n v="4"/>
    <s v="Single"/>
    <n v="2785"/>
    <n v="7"/>
    <x v="1"/>
    <n v="14"/>
    <n v="3"/>
    <n v="3"/>
    <n v="0"/>
    <n v="3"/>
    <n v="3"/>
    <n v="4"/>
    <n v="1"/>
    <n v="0"/>
    <n v="0"/>
    <n v="0"/>
    <s v="Bachelor"/>
    <s v="High"/>
    <s v="Medium"/>
    <x v="1"/>
    <s v="Very High"/>
    <s v="Excellent"/>
    <s v="High"/>
    <x v="3"/>
    <s v="No_stock"/>
    <x v="0"/>
  </r>
  <r>
    <x v="10"/>
    <x v="0"/>
    <x v="1"/>
    <n v="662"/>
    <x v="0"/>
    <n v="18"/>
    <n v="4"/>
    <x v="3"/>
    <n v="1380"/>
    <n v="4"/>
    <x v="0"/>
    <n v="3"/>
    <n v="2"/>
    <x v="0"/>
    <n v="3"/>
    <s v="Married"/>
    <n v="4614"/>
    <n v="0"/>
    <x v="0"/>
    <n v="18"/>
    <n v="3"/>
    <n v="3"/>
    <n v="1"/>
    <n v="5"/>
    <n v="0"/>
    <n v="2"/>
    <n v="4"/>
    <n v="2"/>
    <n v="3"/>
    <n v="2"/>
    <s v="Master"/>
    <s v="Very High"/>
    <s v="High"/>
    <x v="0"/>
    <s v="High"/>
    <s v="Excellent"/>
    <s v="High"/>
    <x v="2"/>
    <s v="Low"/>
    <x v="2"/>
  </r>
  <r>
    <x v="8"/>
    <x v="1"/>
    <x v="1"/>
    <n v="693"/>
    <x v="1"/>
    <n v="7"/>
    <n v="3"/>
    <x v="0"/>
    <n v="1382"/>
    <n v="4"/>
    <x v="1"/>
    <n v="4"/>
    <n v="1"/>
    <x v="1"/>
    <n v="3"/>
    <s v="Divorced"/>
    <n v="2610"/>
    <n v="1"/>
    <x v="1"/>
    <n v="11"/>
    <n v="3"/>
    <n v="4"/>
    <n v="3"/>
    <n v="4"/>
    <n v="2"/>
    <n v="3"/>
    <n v="4"/>
    <n v="2"/>
    <n v="0"/>
    <n v="3"/>
    <s v="Bachelor"/>
    <s v="Very High"/>
    <s v="Very High"/>
    <x v="1"/>
    <s v="High"/>
    <s v="Excellent"/>
    <s v="Very High"/>
    <x v="1"/>
    <s v="High"/>
    <x v="1"/>
  </r>
  <r>
    <x v="13"/>
    <x v="1"/>
    <x v="0"/>
    <n v="404"/>
    <x v="1"/>
    <n v="2"/>
    <n v="4"/>
    <x v="4"/>
    <n v="1383"/>
    <n v="3"/>
    <x v="0"/>
    <n v="3"/>
    <n v="2"/>
    <x v="4"/>
    <n v="4"/>
    <s v="Single"/>
    <n v="6687"/>
    <n v="1"/>
    <x v="1"/>
    <n v="11"/>
    <n v="3"/>
    <n v="4"/>
    <n v="0"/>
    <n v="14"/>
    <n v="2"/>
    <n v="4"/>
    <n v="14"/>
    <n v="11"/>
    <n v="4"/>
    <n v="11"/>
    <s v="Master"/>
    <s v="High"/>
    <s v="High"/>
    <x v="0"/>
    <s v="Very High"/>
    <s v="Excellent"/>
    <s v="Very High"/>
    <x v="3"/>
    <s v="No_stock"/>
    <x v="0"/>
  </r>
  <r>
    <x v="14"/>
    <x v="1"/>
    <x v="0"/>
    <n v="736"/>
    <x v="0"/>
    <n v="26"/>
    <n v="3"/>
    <x v="0"/>
    <n v="1387"/>
    <n v="3"/>
    <x v="1"/>
    <n v="2"/>
    <n v="2"/>
    <x v="0"/>
    <n v="1"/>
    <s v="Married"/>
    <n v="4724"/>
    <n v="1"/>
    <x v="1"/>
    <n v="11"/>
    <n v="3"/>
    <n v="3"/>
    <n v="1"/>
    <n v="5"/>
    <n v="0"/>
    <n v="3"/>
    <n v="5"/>
    <n v="3"/>
    <n v="0"/>
    <n v="4"/>
    <s v="Bachelor"/>
    <s v="High"/>
    <s v="Medium"/>
    <x v="0"/>
    <s v="Low"/>
    <s v="Excellent"/>
    <s v="High"/>
    <x v="1"/>
    <s v="Low"/>
    <x v="2"/>
  </r>
  <r>
    <x v="12"/>
    <x v="0"/>
    <x v="0"/>
    <n v="330"/>
    <x v="1"/>
    <n v="22"/>
    <n v="4"/>
    <x v="2"/>
    <n v="1389"/>
    <n v="4"/>
    <x v="1"/>
    <n v="3"/>
    <n v="2"/>
    <x v="3"/>
    <n v="3"/>
    <s v="Married"/>
    <n v="6179"/>
    <n v="1"/>
    <x v="0"/>
    <n v="15"/>
    <n v="3"/>
    <n v="4"/>
    <n v="2"/>
    <n v="10"/>
    <n v="3"/>
    <n v="2"/>
    <n v="10"/>
    <n v="2"/>
    <n v="6"/>
    <n v="7"/>
    <s v="Master"/>
    <s v="Very High"/>
    <s v="High"/>
    <x v="0"/>
    <s v="High"/>
    <s v="Excellent"/>
    <s v="Very High"/>
    <x v="2"/>
    <s v="Medium"/>
    <x v="2"/>
  </r>
  <r>
    <x v="22"/>
    <x v="1"/>
    <x v="0"/>
    <n v="1498"/>
    <x v="0"/>
    <n v="21"/>
    <n v="4"/>
    <x v="0"/>
    <n v="1390"/>
    <n v="1"/>
    <x v="1"/>
    <n v="2"/>
    <n v="2"/>
    <x v="0"/>
    <n v="4"/>
    <s v="Married"/>
    <n v="6120"/>
    <n v="3"/>
    <x v="0"/>
    <n v="12"/>
    <n v="3"/>
    <n v="4"/>
    <n v="2"/>
    <n v="8"/>
    <n v="2"/>
    <n v="4"/>
    <n v="5"/>
    <n v="4"/>
    <n v="1"/>
    <n v="4"/>
    <s v="Master"/>
    <s v="Low"/>
    <s v="Medium"/>
    <x v="0"/>
    <s v="Very High"/>
    <s v="Excellent"/>
    <s v="Very High"/>
    <x v="3"/>
    <s v="Medium"/>
    <x v="2"/>
  </r>
  <r>
    <x v="31"/>
    <x v="1"/>
    <x v="1"/>
    <n v="541"/>
    <x v="0"/>
    <n v="2"/>
    <n v="3"/>
    <x v="3"/>
    <n v="1391"/>
    <n v="2"/>
    <x v="1"/>
    <n v="3"/>
    <n v="3"/>
    <x v="0"/>
    <n v="2"/>
    <s v="Married"/>
    <n v="10596"/>
    <n v="2"/>
    <x v="1"/>
    <n v="11"/>
    <n v="3"/>
    <n v="2"/>
    <n v="0"/>
    <n v="14"/>
    <n v="5"/>
    <n v="3"/>
    <n v="4"/>
    <n v="2"/>
    <n v="3"/>
    <n v="2"/>
    <s v="Bachelor"/>
    <s v="Medium"/>
    <s v="High"/>
    <x v="2"/>
    <s v="Medium"/>
    <s v="Excellent"/>
    <s v="Medium"/>
    <x v="1"/>
    <s v="No_stock"/>
    <x v="0"/>
  </r>
  <r>
    <x v="0"/>
    <x v="1"/>
    <x v="1"/>
    <n v="1200"/>
    <x v="1"/>
    <n v="22"/>
    <n v="3"/>
    <x v="0"/>
    <n v="1392"/>
    <n v="4"/>
    <x v="0"/>
    <n v="3"/>
    <n v="2"/>
    <x v="1"/>
    <n v="4"/>
    <s v="Divorced"/>
    <n v="5467"/>
    <n v="3"/>
    <x v="0"/>
    <n v="14"/>
    <n v="3"/>
    <n v="1"/>
    <n v="2"/>
    <n v="12"/>
    <n v="4"/>
    <n v="2"/>
    <n v="6"/>
    <n v="2"/>
    <n v="3"/>
    <n v="3"/>
    <s v="Bachelor"/>
    <s v="Very High"/>
    <s v="High"/>
    <x v="0"/>
    <s v="Very High"/>
    <s v="Excellent"/>
    <s v="Low"/>
    <x v="2"/>
    <s v="Medium"/>
    <x v="2"/>
  </r>
  <r>
    <x v="2"/>
    <x v="1"/>
    <x v="0"/>
    <n v="1439"/>
    <x v="1"/>
    <n v="4"/>
    <n v="1"/>
    <x v="0"/>
    <n v="1394"/>
    <n v="3"/>
    <x v="1"/>
    <n v="3"/>
    <n v="1"/>
    <x v="1"/>
    <n v="3"/>
    <s v="Married"/>
    <n v="2996"/>
    <n v="7"/>
    <x v="0"/>
    <n v="15"/>
    <n v="3"/>
    <n v="4"/>
    <n v="0"/>
    <n v="8"/>
    <n v="2"/>
    <n v="3"/>
    <n v="6"/>
    <n v="4"/>
    <n v="1"/>
    <n v="3"/>
    <s v="Before College"/>
    <s v="High"/>
    <s v="High"/>
    <x v="1"/>
    <s v="High"/>
    <s v="Excellent"/>
    <s v="Very High"/>
    <x v="1"/>
    <s v="No_stock"/>
    <x v="0"/>
  </r>
  <r>
    <x v="3"/>
    <x v="1"/>
    <x v="1"/>
    <n v="1111"/>
    <x v="0"/>
    <n v="5"/>
    <n v="1"/>
    <x v="0"/>
    <n v="1395"/>
    <n v="2"/>
    <x v="1"/>
    <n v="3"/>
    <n v="2"/>
    <x v="0"/>
    <n v="4"/>
    <s v="Married"/>
    <n v="9998"/>
    <n v="6"/>
    <x v="1"/>
    <n v="13"/>
    <n v="3"/>
    <n v="1"/>
    <n v="0"/>
    <n v="8"/>
    <n v="2"/>
    <n v="4"/>
    <n v="5"/>
    <n v="4"/>
    <n v="1"/>
    <n v="2"/>
    <s v="Before College"/>
    <s v="Medium"/>
    <s v="High"/>
    <x v="0"/>
    <s v="Very High"/>
    <s v="Excellent"/>
    <s v="Low"/>
    <x v="3"/>
    <s v="No_stock"/>
    <x v="0"/>
  </r>
  <r>
    <x v="5"/>
    <x v="1"/>
    <x v="0"/>
    <n v="499"/>
    <x v="0"/>
    <n v="2"/>
    <n v="1"/>
    <x v="3"/>
    <n v="1396"/>
    <n v="3"/>
    <x v="1"/>
    <n v="3"/>
    <n v="2"/>
    <x v="0"/>
    <n v="2"/>
    <s v="Married"/>
    <n v="4078"/>
    <n v="0"/>
    <x v="0"/>
    <n v="13"/>
    <n v="3"/>
    <n v="1"/>
    <n v="3"/>
    <n v="4"/>
    <n v="3"/>
    <n v="2"/>
    <n v="3"/>
    <n v="2"/>
    <n v="1"/>
    <n v="2"/>
    <s v="Before College"/>
    <s v="High"/>
    <s v="High"/>
    <x v="0"/>
    <s v="Medium"/>
    <s v="Excellent"/>
    <s v="Low"/>
    <x v="2"/>
    <s v="High"/>
    <x v="0"/>
  </r>
  <r>
    <x v="22"/>
    <x v="1"/>
    <x v="2"/>
    <n v="1485"/>
    <x v="1"/>
    <n v="25"/>
    <n v="2"/>
    <x v="0"/>
    <n v="1397"/>
    <n v="3"/>
    <x v="1"/>
    <n v="3"/>
    <n v="3"/>
    <x v="4"/>
    <n v="3"/>
    <s v="Married"/>
    <n v="10920"/>
    <n v="3"/>
    <x v="1"/>
    <n v="21"/>
    <n v="4"/>
    <n v="2"/>
    <n v="1"/>
    <n v="13"/>
    <n v="2"/>
    <n v="3"/>
    <n v="6"/>
    <n v="4"/>
    <n v="0"/>
    <n v="5"/>
    <s v="College"/>
    <s v="High"/>
    <s v="High"/>
    <x v="2"/>
    <s v="High"/>
    <s v="Outstanding"/>
    <s v="Medium"/>
    <x v="1"/>
    <s v="Low"/>
    <x v="2"/>
  </r>
  <r>
    <x v="36"/>
    <x v="1"/>
    <x v="0"/>
    <n v="1372"/>
    <x v="0"/>
    <n v="18"/>
    <n v="1"/>
    <x v="0"/>
    <n v="1399"/>
    <n v="1"/>
    <x v="1"/>
    <n v="4"/>
    <n v="2"/>
    <x v="0"/>
    <n v="3"/>
    <s v="Married"/>
    <n v="6232"/>
    <n v="2"/>
    <x v="1"/>
    <n v="11"/>
    <n v="3"/>
    <n v="2"/>
    <n v="0"/>
    <n v="6"/>
    <n v="3"/>
    <n v="2"/>
    <n v="3"/>
    <n v="2"/>
    <n v="1"/>
    <n v="2"/>
    <s v="Before College"/>
    <s v="Low"/>
    <s v="Very High"/>
    <x v="0"/>
    <s v="High"/>
    <s v="Excellent"/>
    <s v="Medium"/>
    <x v="2"/>
    <s v="No_stock"/>
    <x v="2"/>
  </r>
  <r>
    <x v="39"/>
    <x v="1"/>
    <x v="1"/>
    <n v="322"/>
    <x v="1"/>
    <n v="28"/>
    <n v="2"/>
    <x v="2"/>
    <n v="1401"/>
    <n v="4"/>
    <x v="0"/>
    <n v="4"/>
    <n v="4"/>
    <x v="3"/>
    <n v="3"/>
    <s v="Married"/>
    <n v="13247"/>
    <n v="2"/>
    <x v="0"/>
    <n v="11"/>
    <n v="3"/>
    <n v="2"/>
    <n v="1"/>
    <n v="24"/>
    <n v="3"/>
    <n v="2"/>
    <n v="5"/>
    <n v="3"/>
    <n v="0"/>
    <n v="2"/>
    <s v="College"/>
    <s v="Very High"/>
    <s v="Very High"/>
    <x v="3"/>
    <s v="High"/>
    <s v="Excellent"/>
    <s v="Medium"/>
    <x v="2"/>
    <s v="Low"/>
    <x v="2"/>
  </r>
  <r>
    <x v="23"/>
    <x v="1"/>
    <x v="0"/>
    <n v="930"/>
    <x v="1"/>
    <n v="6"/>
    <n v="3"/>
    <x v="2"/>
    <n v="1402"/>
    <n v="1"/>
    <x v="0"/>
    <n v="2"/>
    <n v="2"/>
    <x v="1"/>
    <n v="3"/>
    <s v="Single"/>
    <n v="4081"/>
    <n v="1"/>
    <x v="0"/>
    <n v="14"/>
    <n v="3"/>
    <n v="1"/>
    <n v="0"/>
    <n v="20"/>
    <n v="3"/>
    <n v="1"/>
    <n v="20"/>
    <n v="7"/>
    <n v="1"/>
    <n v="8"/>
    <s v="Bachelor"/>
    <s v="Low"/>
    <s v="Medium"/>
    <x v="0"/>
    <s v="High"/>
    <s v="Excellent"/>
    <s v="Low"/>
    <x v="0"/>
    <s v="No_stock"/>
    <x v="1"/>
  </r>
  <r>
    <x v="4"/>
    <x v="1"/>
    <x v="0"/>
    <n v="205"/>
    <x v="0"/>
    <n v="10"/>
    <n v="3"/>
    <x v="3"/>
    <n v="1403"/>
    <n v="4"/>
    <x v="0"/>
    <n v="2"/>
    <n v="2"/>
    <x v="0"/>
    <n v="4"/>
    <s v="Married"/>
    <n v="5769"/>
    <n v="1"/>
    <x v="0"/>
    <n v="11"/>
    <n v="3"/>
    <n v="4"/>
    <n v="0"/>
    <n v="6"/>
    <n v="3"/>
    <n v="3"/>
    <n v="6"/>
    <n v="2"/>
    <n v="4"/>
    <n v="4"/>
    <s v="Bachelor"/>
    <s v="Very High"/>
    <s v="Medium"/>
    <x v="0"/>
    <s v="Very High"/>
    <s v="Excellent"/>
    <s v="Very High"/>
    <x v="1"/>
    <s v="No_stock"/>
    <x v="1"/>
  </r>
  <r>
    <x v="4"/>
    <x v="0"/>
    <x v="0"/>
    <n v="135"/>
    <x v="1"/>
    <n v="17"/>
    <n v="4"/>
    <x v="0"/>
    <n v="1405"/>
    <n v="4"/>
    <x v="0"/>
    <n v="3"/>
    <n v="1"/>
    <x v="1"/>
    <n v="3"/>
    <s v="Single"/>
    <n v="2394"/>
    <n v="1"/>
    <x v="0"/>
    <n v="13"/>
    <n v="3"/>
    <n v="4"/>
    <n v="0"/>
    <n v="8"/>
    <n v="2"/>
    <n v="3"/>
    <n v="8"/>
    <n v="2"/>
    <n v="7"/>
    <n v="7"/>
    <s v="Master"/>
    <s v="Very High"/>
    <s v="High"/>
    <x v="1"/>
    <s v="High"/>
    <s v="Excellent"/>
    <s v="Very High"/>
    <x v="1"/>
    <s v="No_stock"/>
    <x v="2"/>
  </r>
  <r>
    <x v="25"/>
    <x v="1"/>
    <x v="0"/>
    <n v="683"/>
    <x v="1"/>
    <n v="2"/>
    <n v="1"/>
    <x v="2"/>
    <n v="1407"/>
    <n v="1"/>
    <x v="1"/>
    <n v="2"/>
    <n v="1"/>
    <x v="1"/>
    <n v="4"/>
    <s v="Single"/>
    <n v="3904"/>
    <n v="0"/>
    <x v="1"/>
    <n v="12"/>
    <n v="3"/>
    <n v="4"/>
    <n v="0"/>
    <n v="5"/>
    <n v="2"/>
    <n v="3"/>
    <n v="4"/>
    <n v="3"/>
    <n v="1"/>
    <n v="1"/>
    <s v="Before College"/>
    <s v="Low"/>
    <s v="Medium"/>
    <x v="1"/>
    <s v="Very High"/>
    <s v="Excellent"/>
    <s v="Very High"/>
    <x v="1"/>
    <s v="No_stock"/>
    <x v="0"/>
  </r>
  <r>
    <x v="19"/>
    <x v="1"/>
    <x v="0"/>
    <n v="1147"/>
    <x v="2"/>
    <n v="10"/>
    <n v="3"/>
    <x v="5"/>
    <n v="1408"/>
    <n v="3"/>
    <x v="0"/>
    <n v="3"/>
    <n v="4"/>
    <x v="5"/>
    <n v="1"/>
    <s v="Married"/>
    <n v="16799"/>
    <n v="0"/>
    <x v="1"/>
    <n v="14"/>
    <n v="3"/>
    <n v="3"/>
    <n v="1"/>
    <n v="21"/>
    <n v="5"/>
    <n v="3"/>
    <n v="20"/>
    <n v="7"/>
    <n v="0"/>
    <n v="9"/>
    <s v="Bachelor"/>
    <s v="High"/>
    <s v="High"/>
    <x v="3"/>
    <s v="Low"/>
    <s v="Excellent"/>
    <s v="High"/>
    <x v="1"/>
    <s v="Low"/>
    <x v="1"/>
  </r>
  <r>
    <x v="39"/>
    <x v="1"/>
    <x v="0"/>
    <n v="258"/>
    <x v="1"/>
    <n v="8"/>
    <n v="4"/>
    <x v="1"/>
    <n v="1409"/>
    <n v="3"/>
    <x v="0"/>
    <n v="3"/>
    <n v="1"/>
    <x v="2"/>
    <n v="1"/>
    <s v="Married"/>
    <n v="2950"/>
    <n v="9"/>
    <x v="1"/>
    <n v="13"/>
    <n v="3"/>
    <n v="3"/>
    <n v="0"/>
    <n v="12"/>
    <n v="2"/>
    <n v="1"/>
    <n v="5"/>
    <n v="4"/>
    <n v="0"/>
    <n v="4"/>
    <s v="Master"/>
    <s v="High"/>
    <s v="High"/>
    <x v="1"/>
    <s v="Low"/>
    <s v="Excellent"/>
    <s v="High"/>
    <x v="0"/>
    <s v="No_stock"/>
    <x v="1"/>
  </r>
  <r>
    <x v="2"/>
    <x v="1"/>
    <x v="0"/>
    <n v="1462"/>
    <x v="1"/>
    <n v="11"/>
    <n v="3"/>
    <x v="2"/>
    <n v="1411"/>
    <n v="1"/>
    <x v="0"/>
    <n v="3"/>
    <n v="1"/>
    <x v="2"/>
    <n v="3"/>
    <s v="Single"/>
    <n v="3629"/>
    <n v="4"/>
    <x v="1"/>
    <n v="18"/>
    <n v="3"/>
    <n v="1"/>
    <n v="0"/>
    <n v="8"/>
    <n v="6"/>
    <n v="3"/>
    <n v="3"/>
    <n v="2"/>
    <n v="0"/>
    <n v="2"/>
    <s v="Bachelor"/>
    <s v="Low"/>
    <s v="High"/>
    <x v="1"/>
    <s v="High"/>
    <s v="Excellent"/>
    <s v="Low"/>
    <x v="1"/>
    <s v="No_stock"/>
    <x v="1"/>
  </r>
  <r>
    <x v="10"/>
    <x v="1"/>
    <x v="1"/>
    <n v="200"/>
    <x v="1"/>
    <n v="18"/>
    <n v="2"/>
    <x v="0"/>
    <n v="1412"/>
    <n v="3"/>
    <x v="1"/>
    <n v="3"/>
    <n v="3"/>
    <x v="3"/>
    <n v="4"/>
    <s v="Single"/>
    <n v="9362"/>
    <n v="2"/>
    <x v="1"/>
    <n v="11"/>
    <n v="3"/>
    <n v="3"/>
    <n v="0"/>
    <n v="10"/>
    <n v="2"/>
    <n v="3"/>
    <n v="2"/>
    <n v="2"/>
    <n v="2"/>
    <n v="2"/>
    <s v="College"/>
    <s v="High"/>
    <s v="High"/>
    <x v="2"/>
    <s v="Very High"/>
    <s v="Excellent"/>
    <s v="High"/>
    <x v="1"/>
    <s v="No_stock"/>
    <x v="2"/>
  </r>
  <r>
    <x v="36"/>
    <x v="1"/>
    <x v="0"/>
    <n v="949"/>
    <x v="1"/>
    <n v="1"/>
    <n v="3"/>
    <x v="4"/>
    <n v="1415"/>
    <n v="1"/>
    <x v="1"/>
    <n v="3"/>
    <n v="1"/>
    <x v="2"/>
    <n v="4"/>
    <s v="Married"/>
    <n v="3229"/>
    <n v="4"/>
    <x v="1"/>
    <n v="11"/>
    <n v="3"/>
    <n v="2"/>
    <n v="1"/>
    <n v="7"/>
    <n v="2"/>
    <n v="2"/>
    <n v="3"/>
    <n v="2"/>
    <n v="0"/>
    <n v="2"/>
    <s v="Bachelor"/>
    <s v="Low"/>
    <s v="High"/>
    <x v="1"/>
    <s v="Very High"/>
    <s v="Excellent"/>
    <s v="Medium"/>
    <x v="2"/>
    <s v="Low"/>
    <x v="0"/>
  </r>
  <r>
    <x v="25"/>
    <x v="1"/>
    <x v="0"/>
    <n v="652"/>
    <x v="1"/>
    <n v="7"/>
    <n v="3"/>
    <x v="1"/>
    <n v="1417"/>
    <n v="3"/>
    <x v="1"/>
    <n v="4"/>
    <n v="1"/>
    <x v="2"/>
    <n v="1"/>
    <s v="Single"/>
    <n v="3578"/>
    <n v="0"/>
    <x v="1"/>
    <n v="12"/>
    <n v="3"/>
    <n v="4"/>
    <n v="0"/>
    <n v="8"/>
    <n v="2"/>
    <n v="3"/>
    <n v="7"/>
    <n v="7"/>
    <n v="0"/>
    <n v="7"/>
    <s v="Bachelor"/>
    <s v="High"/>
    <s v="Very High"/>
    <x v="1"/>
    <s v="Low"/>
    <s v="Excellent"/>
    <s v="Very High"/>
    <x v="1"/>
    <s v="No_stock"/>
    <x v="1"/>
  </r>
  <r>
    <x v="11"/>
    <x v="1"/>
    <x v="0"/>
    <n v="332"/>
    <x v="2"/>
    <n v="17"/>
    <n v="3"/>
    <x v="1"/>
    <n v="1419"/>
    <n v="2"/>
    <x v="1"/>
    <n v="2"/>
    <n v="3"/>
    <x v="8"/>
    <n v="1"/>
    <s v="Single"/>
    <n v="7988"/>
    <n v="1"/>
    <x v="1"/>
    <n v="13"/>
    <n v="3"/>
    <n v="1"/>
    <n v="0"/>
    <n v="10"/>
    <n v="3"/>
    <n v="2"/>
    <n v="10"/>
    <n v="9"/>
    <n v="0"/>
    <n v="9"/>
    <s v="Bachelor"/>
    <s v="Medium"/>
    <s v="Medium"/>
    <x v="2"/>
    <s v="Low"/>
    <s v="Excellent"/>
    <s v="Low"/>
    <x v="2"/>
    <s v="No_stock"/>
    <x v="2"/>
  </r>
  <r>
    <x v="1"/>
    <x v="0"/>
    <x v="1"/>
    <n v="1475"/>
    <x v="1"/>
    <n v="28"/>
    <n v="2"/>
    <x v="0"/>
    <n v="1420"/>
    <n v="1"/>
    <x v="1"/>
    <n v="2"/>
    <n v="2"/>
    <x v="2"/>
    <n v="1"/>
    <s v="Single"/>
    <n v="4284"/>
    <n v="3"/>
    <x v="1"/>
    <n v="20"/>
    <n v="4"/>
    <n v="1"/>
    <n v="0"/>
    <n v="20"/>
    <n v="2"/>
    <n v="3"/>
    <n v="4"/>
    <n v="3"/>
    <n v="1"/>
    <n v="3"/>
    <s v="College"/>
    <s v="Low"/>
    <s v="Medium"/>
    <x v="0"/>
    <s v="Low"/>
    <s v="Outstanding"/>
    <s v="Low"/>
    <x v="1"/>
    <s v="No_stock"/>
    <x v="2"/>
  </r>
  <r>
    <x v="11"/>
    <x v="0"/>
    <x v="1"/>
    <n v="337"/>
    <x v="1"/>
    <n v="14"/>
    <n v="1"/>
    <x v="1"/>
    <n v="1421"/>
    <n v="3"/>
    <x v="0"/>
    <n v="3"/>
    <n v="3"/>
    <x v="4"/>
    <n v="4"/>
    <s v="Single"/>
    <n v="7553"/>
    <n v="0"/>
    <x v="0"/>
    <n v="12"/>
    <n v="3"/>
    <n v="1"/>
    <n v="0"/>
    <n v="9"/>
    <n v="1"/>
    <n v="3"/>
    <n v="8"/>
    <n v="7"/>
    <n v="7"/>
    <n v="7"/>
    <s v="Before College"/>
    <s v="High"/>
    <s v="High"/>
    <x v="2"/>
    <s v="Very High"/>
    <s v="Excellent"/>
    <s v="Low"/>
    <x v="1"/>
    <s v="No_stock"/>
    <x v="1"/>
  </r>
  <r>
    <x v="33"/>
    <x v="1"/>
    <x v="0"/>
    <n v="971"/>
    <x v="1"/>
    <n v="1"/>
    <n v="3"/>
    <x v="2"/>
    <n v="1422"/>
    <n v="4"/>
    <x v="0"/>
    <n v="3"/>
    <n v="4"/>
    <x v="7"/>
    <n v="4"/>
    <s v="Single"/>
    <n v="17328"/>
    <n v="6"/>
    <x v="1"/>
    <n v="19"/>
    <n v="3"/>
    <n v="4"/>
    <n v="0"/>
    <n v="29"/>
    <n v="3"/>
    <n v="2"/>
    <n v="20"/>
    <n v="7"/>
    <n v="12"/>
    <n v="7"/>
    <s v="Bachelor"/>
    <s v="Very High"/>
    <s v="High"/>
    <x v="3"/>
    <s v="Very High"/>
    <s v="Excellent"/>
    <s v="Very High"/>
    <x v="2"/>
    <s v="No_stock"/>
    <x v="0"/>
  </r>
  <r>
    <x v="34"/>
    <x v="1"/>
    <x v="0"/>
    <n v="1055"/>
    <x v="1"/>
    <n v="1"/>
    <n v="3"/>
    <x v="2"/>
    <n v="1423"/>
    <n v="4"/>
    <x v="0"/>
    <n v="3"/>
    <n v="5"/>
    <x v="7"/>
    <n v="1"/>
    <s v="Married"/>
    <n v="19701"/>
    <n v="3"/>
    <x v="0"/>
    <n v="21"/>
    <n v="4"/>
    <n v="3"/>
    <n v="1"/>
    <n v="32"/>
    <n v="3"/>
    <n v="3"/>
    <n v="9"/>
    <n v="8"/>
    <n v="1"/>
    <n v="5"/>
    <s v="Bachelor"/>
    <s v="Very High"/>
    <s v="High"/>
    <x v="4"/>
    <s v="Low"/>
    <s v="Outstanding"/>
    <s v="High"/>
    <x v="1"/>
    <s v="Low"/>
    <x v="0"/>
  </r>
  <r>
    <x v="27"/>
    <x v="1"/>
    <x v="0"/>
    <n v="1136"/>
    <x v="1"/>
    <n v="1"/>
    <n v="4"/>
    <x v="2"/>
    <n v="1424"/>
    <n v="2"/>
    <x v="1"/>
    <n v="4"/>
    <n v="4"/>
    <x v="7"/>
    <n v="4"/>
    <s v="Divorced"/>
    <n v="14732"/>
    <n v="2"/>
    <x v="1"/>
    <n v="13"/>
    <n v="3"/>
    <n v="4"/>
    <n v="2"/>
    <n v="31"/>
    <n v="4"/>
    <n v="4"/>
    <n v="7"/>
    <n v="7"/>
    <n v="0"/>
    <n v="0"/>
    <s v="Master"/>
    <s v="Medium"/>
    <s v="Very High"/>
    <x v="3"/>
    <s v="Very High"/>
    <s v="Excellent"/>
    <s v="Very High"/>
    <x v="3"/>
    <s v="Medium"/>
    <x v="0"/>
  </r>
  <r>
    <x v="9"/>
    <x v="1"/>
    <x v="0"/>
    <n v="1174"/>
    <x v="0"/>
    <n v="3"/>
    <n v="4"/>
    <x v="3"/>
    <n v="1425"/>
    <n v="1"/>
    <x v="0"/>
    <n v="3"/>
    <n v="2"/>
    <x v="0"/>
    <n v="2"/>
    <s v="Single"/>
    <n v="9278"/>
    <n v="3"/>
    <x v="0"/>
    <n v="16"/>
    <n v="3"/>
    <n v="4"/>
    <n v="0"/>
    <n v="15"/>
    <n v="3"/>
    <n v="3"/>
    <n v="5"/>
    <n v="4"/>
    <n v="0"/>
    <n v="1"/>
    <s v="Master"/>
    <s v="Low"/>
    <s v="High"/>
    <x v="0"/>
    <s v="Medium"/>
    <s v="Excellent"/>
    <s v="Very High"/>
    <x v="1"/>
    <s v="No_stock"/>
    <x v="0"/>
  </r>
  <r>
    <x v="12"/>
    <x v="0"/>
    <x v="1"/>
    <n v="667"/>
    <x v="0"/>
    <n v="1"/>
    <n v="4"/>
    <x v="0"/>
    <n v="1427"/>
    <n v="2"/>
    <x v="0"/>
    <n v="1"/>
    <n v="1"/>
    <x v="6"/>
    <n v="3"/>
    <s v="Single"/>
    <n v="1359"/>
    <n v="1"/>
    <x v="1"/>
    <n v="12"/>
    <n v="3"/>
    <n v="2"/>
    <n v="0"/>
    <n v="1"/>
    <n v="3"/>
    <n v="3"/>
    <n v="1"/>
    <n v="0"/>
    <n v="0"/>
    <n v="0"/>
    <s v="Master"/>
    <s v="Medium"/>
    <s v="Low"/>
    <x v="1"/>
    <s v="High"/>
    <s v="Excellent"/>
    <s v="Medium"/>
    <x v="1"/>
    <s v="No_stock"/>
    <x v="0"/>
  </r>
  <r>
    <x v="7"/>
    <x v="1"/>
    <x v="0"/>
    <n v="855"/>
    <x v="0"/>
    <n v="7"/>
    <n v="4"/>
    <x v="3"/>
    <n v="1428"/>
    <n v="4"/>
    <x v="0"/>
    <n v="3"/>
    <n v="2"/>
    <x v="0"/>
    <n v="1"/>
    <s v="Divorced"/>
    <n v="4779"/>
    <n v="7"/>
    <x v="1"/>
    <n v="14"/>
    <n v="3"/>
    <n v="2"/>
    <n v="2"/>
    <n v="8"/>
    <n v="3"/>
    <n v="3"/>
    <n v="3"/>
    <n v="2"/>
    <n v="0"/>
    <n v="2"/>
    <s v="Master"/>
    <s v="Very High"/>
    <s v="High"/>
    <x v="0"/>
    <s v="Low"/>
    <s v="Excellent"/>
    <s v="Medium"/>
    <x v="1"/>
    <s v="Medium"/>
    <x v="1"/>
  </r>
  <r>
    <x v="12"/>
    <x v="1"/>
    <x v="0"/>
    <n v="182"/>
    <x v="1"/>
    <n v="8"/>
    <n v="5"/>
    <x v="0"/>
    <n v="1430"/>
    <n v="1"/>
    <x v="0"/>
    <n v="3"/>
    <n v="4"/>
    <x v="7"/>
    <n v="2"/>
    <s v="Single"/>
    <n v="16422"/>
    <n v="3"/>
    <x v="1"/>
    <n v="11"/>
    <n v="3"/>
    <n v="3"/>
    <n v="0"/>
    <n v="9"/>
    <n v="3"/>
    <n v="4"/>
    <n v="3"/>
    <n v="2"/>
    <n v="1"/>
    <n v="0"/>
    <s v="Doctor"/>
    <s v="Low"/>
    <s v="High"/>
    <x v="3"/>
    <s v="Medium"/>
    <s v="Excellent"/>
    <s v="High"/>
    <x v="3"/>
    <s v="No_stock"/>
    <x v="1"/>
  </r>
  <r>
    <x v="13"/>
    <x v="1"/>
    <x v="1"/>
    <n v="560"/>
    <x v="1"/>
    <n v="1"/>
    <n v="4"/>
    <x v="1"/>
    <n v="1431"/>
    <n v="4"/>
    <x v="1"/>
    <n v="3"/>
    <n v="1"/>
    <x v="1"/>
    <n v="1"/>
    <s v="Divorced"/>
    <n v="2996"/>
    <n v="5"/>
    <x v="1"/>
    <n v="14"/>
    <n v="3"/>
    <n v="3"/>
    <n v="2"/>
    <n v="10"/>
    <n v="2"/>
    <n v="3"/>
    <n v="4"/>
    <n v="3"/>
    <n v="1"/>
    <n v="3"/>
    <s v="Master"/>
    <s v="Very High"/>
    <s v="High"/>
    <x v="1"/>
    <s v="Low"/>
    <s v="Excellent"/>
    <s v="High"/>
    <x v="1"/>
    <s v="Medium"/>
    <x v="0"/>
  </r>
  <r>
    <x v="12"/>
    <x v="0"/>
    <x v="0"/>
    <n v="202"/>
    <x v="1"/>
    <n v="8"/>
    <n v="3"/>
    <x v="0"/>
    <n v="1433"/>
    <n v="1"/>
    <x v="0"/>
    <n v="2"/>
    <n v="1"/>
    <x v="1"/>
    <n v="2"/>
    <s v="Single"/>
    <n v="1261"/>
    <n v="1"/>
    <x v="1"/>
    <n v="12"/>
    <n v="3"/>
    <n v="3"/>
    <n v="0"/>
    <n v="1"/>
    <n v="3"/>
    <n v="4"/>
    <n v="1"/>
    <n v="0"/>
    <n v="0"/>
    <n v="0"/>
    <s v="Bachelor"/>
    <s v="Low"/>
    <s v="Medium"/>
    <x v="1"/>
    <s v="Medium"/>
    <s v="Excellent"/>
    <s v="High"/>
    <x v="3"/>
    <s v="No_stock"/>
    <x v="1"/>
  </r>
  <r>
    <x v="4"/>
    <x v="1"/>
    <x v="0"/>
    <n v="1377"/>
    <x v="1"/>
    <n v="11"/>
    <n v="1"/>
    <x v="0"/>
    <n v="1434"/>
    <n v="2"/>
    <x v="1"/>
    <n v="3"/>
    <n v="1"/>
    <x v="2"/>
    <n v="1"/>
    <s v="Married"/>
    <n v="2099"/>
    <n v="0"/>
    <x v="1"/>
    <n v="14"/>
    <n v="3"/>
    <n v="2"/>
    <n v="0"/>
    <n v="6"/>
    <n v="3"/>
    <n v="4"/>
    <n v="5"/>
    <n v="0"/>
    <n v="1"/>
    <n v="4"/>
    <s v="Before College"/>
    <s v="Medium"/>
    <s v="High"/>
    <x v="1"/>
    <s v="Low"/>
    <s v="Excellent"/>
    <s v="Medium"/>
    <x v="3"/>
    <s v="No_stock"/>
    <x v="1"/>
  </r>
  <r>
    <x v="9"/>
    <x v="1"/>
    <x v="0"/>
    <n v="172"/>
    <x v="1"/>
    <n v="4"/>
    <n v="4"/>
    <x v="0"/>
    <n v="1435"/>
    <n v="1"/>
    <x v="1"/>
    <n v="2"/>
    <n v="2"/>
    <x v="2"/>
    <n v="4"/>
    <s v="Single"/>
    <n v="5810"/>
    <n v="1"/>
    <x v="1"/>
    <n v="16"/>
    <n v="3"/>
    <n v="3"/>
    <n v="0"/>
    <n v="10"/>
    <n v="2"/>
    <n v="2"/>
    <n v="10"/>
    <n v="4"/>
    <n v="1"/>
    <n v="8"/>
    <s v="Master"/>
    <s v="Low"/>
    <s v="Medium"/>
    <x v="0"/>
    <s v="Very High"/>
    <s v="Excellent"/>
    <s v="High"/>
    <x v="2"/>
    <s v="No_stock"/>
    <x v="0"/>
  </r>
  <r>
    <x v="9"/>
    <x v="1"/>
    <x v="0"/>
    <n v="329"/>
    <x v="0"/>
    <n v="16"/>
    <n v="4"/>
    <x v="3"/>
    <n v="1436"/>
    <n v="3"/>
    <x v="0"/>
    <n v="2"/>
    <n v="2"/>
    <x v="0"/>
    <n v="1"/>
    <s v="Married"/>
    <n v="5647"/>
    <n v="4"/>
    <x v="1"/>
    <n v="13"/>
    <n v="3"/>
    <n v="1"/>
    <n v="2"/>
    <n v="11"/>
    <n v="3"/>
    <n v="2"/>
    <n v="3"/>
    <n v="2"/>
    <n v="0"/>
    <n v="2"/>
    <s v="Master"/>
    <s v="High"/>
    <s v="Medium"/>
    <x v="0"/>
    <s v="Low"/>
    <s v="Excellent"/>
    <s v="Low"/>
    <x v="2"/>
    <s v="Medium"/>
    <x v="2"/>
  </r>
  <r>
    <x v="40"/>
    <x v="1"/>
    <x v="0"/>
    <n v="465"/>
    <x v="1"/>
    <n v="1"/>
    <n v="3"/>
    <x v="4"/>
    <n v="1438"/>
    <n v="1"/>
    <x v="1"/>
    <n v="3"/>
    <n v="1"/>
    <x v="1"/>
    <n v="4"/>
    <s v="Married"/>
    <n v="3420"/>
    <n v="7"/>
    <x v="1"/>
    <n v="12"/>
    <n v="3"/>
    <n v="3"/>
    <n v="1"/>
    <n v="17"/>
    <n v="2"/>
    <n v="2"/>
    <n v="6"/>
    <n v="5"/>
    <n v="1"/>
    <n v="2"/>
    <s v="Bachelor"/>
    <s v="Low"/>
    <s v="High"/>
    <x v="1"/>
    <s v="Very High"/>
    <s v="Excellent"/>
    <s v="High"/>
    <x v="2"/>
    <s v="Low"/>
    <x v="0"/>
  </r>
  <r>
    <x v="36"/>
    <x v="0"/>
    <x v="0"/>
    <n v="383"/>
    <x v="0"/>
    <n v="9"/>
    <n v="2"/>
    <x v="0"/>
    <n v="1439"/>
    <n v="1"/>
    <x v="1"/>
    <n v="2"/>
    <n v="1"/>
    <x v="6"/>
    <n v="1"/>
    <s v="Married"/>
    <n v="4400"/>
    <n v="3"/>
    <x v="1"/>
    <n v="12"/>
    <n v="3"/>
    <n v="1"/>
    <n v="0"/>
    <n v="6"/>
    <n v="2"/>
    <n v="3"/>
    <n v="3"/>
    <n v="2"/>
    <n v="2"/>
    <n v="2"/>
    <s v="College"/>
    <s v="Low"/>
    <s v="Medium"/>
    <x v="1"/>
    <s v="Low"/>
    <s v="Excellent"/>
    <s v="Low"/>
    <x v="1"/>
    <s v="No_stock"/>
    <x v="1"/>
  </r>
  <r>
    <x v="2"/>
    <x v="1"/>
    <x v="2"/>
    <n v="1413"/>
    <x v="1"/>
    <n v="5"/>
    <n v="2"/>
    <x v="4"/>
    <n v="1440"/>
    <n v="3"/>
    <x v="1"/>
    <n v="4"/>
    <n v="1"/>
    <x v="2"/>
    <n v="3"/>
    <s v="Single"/>
    <n v="3500"/>
    <n v="0"/>
    <x v="1"/>
    <n v="14"/>
    <n v="3"/>
    <n v="1"/>
    <n v="0"/>
    <n v="7"/>
    <n v="2"/>
    <n v="1"/>
    <n v="6"/>
    <n v="5"/>
    <n v="1"/>
    <n v="3"/>
    <s v="College"/>
    <s v="High"/>
    <s v="Very High"/>
    <x v="1"/>
    <s v="High"/>
    <s v="Excellent"/>
    <s v="Low"/>
    <x v="0"/>
    <s v="No_stock"/>
    <x v="0"/>
  </r>
  <r>
    <x v="29"/>
    <x v="1"/>
    <x v="0"/>
    <n v="1255"/>
    <x v="1"/>
    <n v="1"/>
    <n v="2"/>
    <x v="0"/>
    <n v="1441"/>
    <n v="1"/>
    <x v="0"/>
    <n v="3"/>
    <n v="1"/>
    <x v="1"/>
    <n v="1"/>
    <s v="Married"/>
    <n v="2066"/>
    <n v="2"/>
    <x v="1"/>
    <n v="22"/>
    <n v="4"/>
    <n v="4"/>
    <n v="1"/>
    <n v="5"/>
    <n v="3"/>
    <n v="4"/>
    <n v="3"/>
    <n v="2"/>
    <n v="1"/>
    <n v="0"/>
    <s v="College"/>
    <s v="Low"/>
    <s v="High"/>
    <x v="1"/>
    <s v="Low"/>
    <s v="Outstanding"/>
    <s v="Very High"/>
    <x v="3"/>
    <s v="Low"/>
    <x v="0"/>
  </r>
  <r>
    <x v="40"/>
    <x v="1"/>
    <x v="0"/>
    <n v="359"/>
    <x v="1"/>
    <n v="2"/>
    <n v="4"/>
    <x v="2"/>
    <n v="1443"/>
    <n v="1"/>
    <x v="0"/>
    <n v="3"/>
    <n v="4"/>
    <x v="7"/>
    <n v="3"/>
    <s v="Married"/>
    <n v="17169"/>
    <n v="3"/>
    <x v="1"/>
    <n v="19"/>
    <n v="3"/>
    <n v="2"/>
    <n v="2"/>
    <n v="26"/>
    <n v="2"/>
    <n v="4"/>
    <n v="20"/>
    <n v="17"/>
    <n v="5"/>
    <n v="6"/>
    <s v="Master"/>
    <s v="Low"/>
    <s v="High"/>
    <x v="3"/>
    <s v="High"/>
    <s v="Excellent"/>
    <s v="Medium"/>
    <x v="3"/>
    <s v="Medium"/>
    <x v="0"/>
  </r>
  <r>
    <x v="17"/>
    <x v="1"/>
    <x v="0"/>
    <n v="1476"/>
    <x v="0"/>
    <n v="4"/>
    <n v="1"/>
    <x v="2"/>
    <n v="1445"/>
    <n v="4"/>
    <x v="0"/>
    <n v="3"/>
    <n v="2"/>
    <x v="0"/>
    <n v="3"/>
    <s v="Married"/>
    <n v="4162"/>
    <n v="1"/>
    <x v="0"/>
    <n v="12"/>
    <n v="3"/>
    <n v="3"/>
    <n v="2"/>
    <n v="5"/>
    <n v="3"/>
    <n v="3"/>
    <n v="5"/>
    <n v="4"/>
    <n v="0"/>
    <n v="3"/>
    <s v="Before College"/>
    <s v="Very High"/>
    <s v="High"/>
    <x v="0"/>
    <s v="High"/>
    <s v="Excellent"/>
    <s v="High"/>
    <x v="1"/>
    <s v="Medium"/>
    <x v="0"/>
  </r>
  <r>
    <x v="5"/>
    <x v="1"/>
    <x v="0"/>
    <n v="601"/>
    <x v="0"/>
    <n v="7"/>
    <n v="5"/>
    <x v="3"/>
    <n v="1446"/>
    <n v="4"/>
    <x v="1"/>
    <n v="3"/>
    <n v="2"/>
    <x v="0"/>
    <n v="4"/>
    <s v="Married"/>
    <n v="9204"/>
    <n v="4"/>
    <x v="1"/>
    <n v="12"/>
    <n v="3"/>
    <n v="3"/>
    <n v="1"/>
    <n v="7"/>
    <n v="3"/>
    <n v="2"/>
    <n v="4"/>
    <n v="3"/>
    <n v="0"/>
    <n v="3"/>
    <s v="Doctor"/>
    <s v="Very High"/>
    <s v="High"/>
    <x v="0"/>
    <s v="Very High"/>
    <s v="Excellent"/>
    <s v="High"/>
    <x v="2"/>
    <s v="Low"/>
    <x v="1"/>
  </r>
  <r>
    <x v="13"/>
    <x v="1"/>
    <x v="0"/>
    <n v="401"/>
    <x v="1"/>
    <n v="1"/>
    <n v="3"/>
    <x v="0"/>
    <n v="1447"/>
    <n v="4"/>
    <x v="0"/>
    <n v="2"/>
    <n v="1"/>
    <x v="2"/>
    <n v="2"/>
    <s v="Married"/>
    <n v="3294"/>
    <n v="5"/>
    <x v="1"/>
    <n v="17"/>
    <n v="3"/>
    <n v="1"/>
    <n v="1"/>
    <n v="7"/>
    <n v="2"/>
    <n v="2"/>
    <n v="5"/>
    <n v="4"/>
    <n v="0"/>
    <n v="2"/>
    <s v="Bachelor"/>
    <s v="Very High"/>
    <s v="Medium"/>
    <x v="1"/>
    <s v="Medium"/>
    <s v="Excellent"/>
    <s v="Low"/>
    <x v="2"/>
    <s v="Low"/>
    <x v="0"/>
  </r>
  <r>
    <x v="0"/>
    <x v="1"/>
    <x v="0"/>
    <n v="1283"/>
    <x v="1"/>
    <n v="5"/>
    <n v="5"/>
    <x v="2"/>
    <n v="1448"/>
    <n v="2"/>
    <x v="1"/>
    <n v="4"/>
    <n v="1"/>
    <x v="1"/>
    <n v="3"/>
    <s v="Married"/>
    <n v="2127"/>
    <n v="2"/>
    <x v="0"/>
    <n v="12"/>
    <n v="3"/>
    <n v="1"/>
    <n v="0"/>
    <n v="7"/>
    <n v="5"/>
    <n v="2"/>
    <n v="4"/>
    <n v="2"/>
    <n v="0"/>
    <n v="3"/>
    <s v="Doctor"/>
    <s v="Medium"/>
    <s v="Very High"/>
    <x v="1"/>
    <s v="High"/>
    <s v="Excellent"/>
    <s v="Low"/>
    <x v="2"/>
    <s v="No_stock"/>
    <x v="0"/>
  </r>
  <r>
    <x v="32"/>
    <x v="1"/>
    <x v="2"/>
    <n v="663"/>
    <x v="1"/>
    <n v="9"/>
    <n v="4"/>
    <x v="1"/>
    <n v="1449"/>
    <n v="3"/>
    <x v="1"/>
    <n v="3"/>
    <n v="2"/>
    <x v="2"/>
    <n v="3"/>
    <s v="Divorced"/>
    <n v="3975"/>
    <n v="3"/>
    <x v="1"/>
    <n v="11"/>
    <n v="3"/>
    <n v="3"/>
    <n v="2"/>
    <n v="11"/>
    <n v="2"/>
    <n v="4"/>
    <n v="8"/>
    <n v="7"/>
    <n v="0"/>
    <n v="7"/>
    <s v="Master"/>
    <s v="High"/>
    <s v="High"/>
    <x v="0"/>
    <s v="High"/>
    <s v="Excellent"/>
    <s v="High"/>
    <x v="3"/>
    <s v="Medium"/>
    <x v="1"/>
  </r>
  <r>
    <x v="12"/>
    <x v="1"/>
    <x v="0"/>
    <n v="326"/>
    <x v="0"/>
    <n v="8"/>
    <n v="2"/>
    <x v="0"/>
    <n v="1453"/>
    <n v="1"/>
    <x v="1"/>
    <n v="3"/>
    <n v="3"/>
    <x v="0"/>
    <n v="4"/>
    <s v="Divorced"/>
    <n v="10793"/>
    <n v="1"/>
    <x v="1"/>
    <n v="18"/>
    <n v="3"/>
    <n v="1"/>
    <n v="1"/>
    <n v="13"/>
    <n v="5"/>
    <n v="3"/>
    <n v="13"/>
    <n v="7"/>
    <n v="9"/>
    <n v="9"/>
    <s v="College"/>
    <s v="Low"/>
    <s v="High"/>
    <x v="2"/>
    <s v="Very High"/>
    <s v="Excellent"/>
    <s v="Low"/>
    <x v="1"/>
    <s v="Low"/>
    <x v="1"/>
  </r>
  <r>
    <x v="21"/>
    <x v="0"/>
    <x v="0"/>
    <n v="377"/>
    <x v="0"/>
    <n v="9"/>
    <n v="3"/>
    <x v="3"/>
    <n v="1457"/>
    <n v="1"/>
    <x v="1"/>
    <n v="3"/>
    <n v="3"/>
    <x v="0"/>
    <n v="4"/>
    <s v="Divorced"/>
    <n v="10096"/>
    <n v="4"/>
    <x v="1"/>
    <n v="11"/>
    <n v="3"/>
    <n v="1"/>
    <n v="1"/>
    <n v="28"/>
    <n v="1"/>
    <n v="4"/>
    <n v="7"/>
    <n v="7"/>
    <n v="4"/>
    <n v="3"/>
    <s v="Bachelor"/>
    <s v="Low"/>
    <s v="High"/>
    <x v="2"/>
    <s v="Very High"/>
    <s v="Excellent"/>
    <s v="Low"/>
    <x v="3"/>
    <s v="Low"/>
    <x v="1"/>
  </r>
  <r>
    <x v="22"/>
    <x v="0"/>
    <x v="2"/>
    <n v="592"/>
    <x v="1"/>
    <n v="2"/>
    <n v="3"/>
    <x v="0"/>
    <n v="1458"/>
    <n v="1"/>
    <x v="0"/>
    <n v="2"/>
    <n v="1"/>
    <x v="2"/>
    <n v="1"/>
    <s v="Single"/>
    <n v="3646"/>
    <n v="2"/>
    <x v="0"/>
    <n v="23"/>
    <n v="4"/>
    <n v="2"/>
    <n v="0"/>
    <n v="11"/>
    <n v="2"/>
    <n v="4"/>
    <n v="1"/>
    <n v="0"/>
    <n v="0"/>
    <n v="0"/>
    <s v="Bachelor"/>
    <s v="Low"/>
    <s v="Medium"/>
    <x v="1"/>
    <s v="Low"/>
    <s v="Outstanding"/>
    <s v="Medium"/>
    <x v="3"/>
    <s v="No_stock"/>
    <x v="0"/>
  </r>
  <r>
    <x v="12"/>
    <x v="0"/>
    <x v="1"/>
    <n v="1445"/>
    <x v="1"/>
    <n v="1"/>
    <n v="5"/>
    <x v="0"/>
    <n v="1459"/>
    <n v="3"/>
    <x v="0"/>
    <n v="4"/>
    <n v="3"/>
    <x v="3"/>
    <n v="2"/>
    <s v="Single"/>
    <n v="7446"/>
    <n v="1"/>
    <x v="1"/>
    <n v="11"/>
    <n v="3"/>
    <n v="1"/>
    <n v="0"/>
    <n v="10"/>
    <n v="2"/>
    <n v="3"/>
    <n v="10"/>
    <n v="8"/>
    <n v="4"/>
    <n v="7"/>
    <s v="Doctor"/>
    <s v="High"/>
    <s v="Very High"/>
    <x v="2"/>
    <s v="Medium"/>
    <s v="Excellent"/>
    <s v="Low"/>
    <x v="1"/>
    <s v="No_stock"/>
    <x v="0"/>
  </r>
  <r>
    <x v="28"/>
    <x v="1"/>
    <x v="0"/>
    <n v="1038"/>
    <x v="1"/>
    <n v="20"/>
    <n v="3"/>
    <x v="2"/>
    <n v="1460"/>
    <n v="2"/>
    <x v="1"/>
    <n v="1"/>
    <n v="3"/>
    <x v="4"/>
    <n v="1"/>
    <s v="Divorced"/>
    <n v="10851"/>
    <n v="2"/>
    <x v="0"/>
    <n v="18"/>
    <n v="3"/>
    <n v="2"/>
    <n v="1"/>
    <n v="24"/>
    <n v="2"/>
    <n v="3"/>
    <n v="7"/>
    <n v="7"/>
    <n v="0"/>
    <n v="7"/>
    <s v="Bachelor"/>
    <s v="Medium"/>
    <s v="Low"/>
    <x v="2"/>
    <s v="Low"/>
    <s v="Excellent"/>
    <s v="Medium"/>
    <x v="1"/>
    <s v="Low"/>
    <x v="2"/>
  </r>
  <r>
    <x v="12"/>
    <x v="1"/>
    <x v="0"/>
    <n v="1398"/>
    <x v="2"/>
    <n v="8"/>
    <n v="2"/>
    <x v="2"/>
    <n v="1461"/>
    <n v="4"/>
    <x v="0"/>
    <n v="4"/>
    <n v="1"/>
    <x v="8"/>
    <n v="2"/>
    <s v="Single"/>
    <n v="2109"/>
    <n v="9"/>
    <x v="1"/>
    <n v="18"/>
    <n v="3"/>
    <n v="4"/>
    <n v="0"/>
    <n v="8"/>
    <n v="3"/>
    <n v="3"/>
    <n v="3"/>
    <n v="2"/>
    <n v="0"/>
    <n v="2"/>
    <s v="College"/>
    <s v="Very High"/>
    <s v="Very High"/>
    <x v="1"/>
    <s v="Medium"/>
    <s v="Excellent"/>
    <s v="Very High"/>
    <x v="1"/>
    <s v="No_stock"/>
    <x v="1"/>
  </r>
  <r>
    <x v="12"/>
    <x v="0"/>
    <x v="1"/>
    <n v="523"/>
    <x v="1"/>
    <n v="2"/>
    <n v="3"/>
    <x v="0"/>
    <n v="1464"/>
    <n v="2"/>
    <x v="1"/>
    <n v="3"/>
    <n v="1"/>
    <x v="2"/>
    <n v="4"/>
    <s v="Married"/>
    <n v="3722"/>
    <n v="6"/>
    <x v="0"/>
    <n v="13"/>
    <n v="3"/>
    <n v="3"/>
    <n v="1"/>
    <n v="7"/>
    <n v="2"/>
    <n v="1"/>
    <n v="2"/>
    <n v="2"/>
    <n v="2"/>
    <n v="2"/>
    <s v="Bachelor"/>
    <s v="Medium"/>
    <s v="High"/>
    <x v="1"/>
    <s v="Very High"/>
    <s v="Excellent"/>
    <s v="High"/>
    <x v="0"/>
    <s v="Low"/>
    <x v="0"/>
  </r>
  <r>
    <x v="28"/>
    <x v="1"/>
    <x v="0"/>
    <n v="1448"/>
    <x v="1"/>
    <n v="29"/>
    <n v="3"/>
    <x v="4"/>
    <n v="1465"/>
    <n v="2"/>
    <x v="1"/>
    <n v="3"/>
    <n v="3"/>
    <x v="3"/>
    <n v="4"/>
    <s v="Married"/>
    <n v="9380"/>
    <n v="4"/>
    <x v="0"/>
    <n v="18"/>
    <n v="3"/>
    <n v="4"/>
    <n v="2"/>
    <n v="10"/>
    <n v="4"/>
    <n v="4"/>
    <n v="3"/>
    <n v="1"/>
    <n v="1"/>
    <n v="2"/>
    <s v="Bachelor"/>
    <s v="Medium"/>
    <s v="High"/>
    <x v="2"/>
    <s v="Very High"/>
    <s v="Excellent"/>
    <s v="Very High"/>
    <x v="3"/>
    <s v="Medium"/>
    <x v="2"/>
  </r>
  <r>
    <x v="26"/>
    <x v="1"/>
    <x v="0"/>
    <n v="1221"/>
    <x v="0"/>
    <n v="7"/>
    <n v="3"/>
    <x v="3"/>
    <n v="1466"/>
    <n v="3"/>
    <x v="1"/>
    <n v="3"/>
    <n v="2"/>
    <x v="0"/>
    <n v="1"/>
    <s v="Divorced"/>
    <n v="5486"/>
    <n v="4"/>
    <x v="1"/>
    <n v="11"/>
    <n v="3"/>
    <n v="1"/>
    <n v="3"/>
    <n v="15"/>
    <n v="3"/>
    <n v="3"/>
    <n v="2"/>
    <n v="2"/>
    <n v="2"/>
    <n v="2"/>
    <s v="Bachelor"/>
    <s v="High"/>
    <s v="High"/>
    <x v="0"/>
    <s v="Low"/>
    <s v="Excellent"/>
    <s v="Low"/>
    <x v="1"/>
    <s v="High"/>
    <x v="1"/>
  </r>
  <r>
    <x v="13"/>
    <x v="0"/>
    <x v="0"/>
    <n v="1107"/>
    <x v="2"/>
    <n v="9"/>
    <n v="4"/>
    <x v="4"/>
    <n v="1467"/>
    <n v="1"/>
    <x v="0"/>
    <n v="3"/>
    <n v="1"/>
    <x v="8"/>
    <n v="3"/>
    <s v="Married"/>
    <n v="2742"/>
    <n v="1"/>
    <x v="1"/>
    <n v="15"/>
    <n v="3"/>
    <n v="4"/>
    <n v="0"/>
    <n v="2"/>
    <n v="0"/>
    <n v="3"/>
    <n v="2"/>
    <n v="2"/>
    <n v="2"/>
    <n v="2"/>
    <s v="Master"/>
    <s v="Low"/>
    <s v="High"/>
    <x v="1"/>
    <s v="High"/>
    <s v="Excellent"/>
    <s v="Very High"/>
    <x v="1"/>
    <s v="No_stock"/>
    <x v="1"/>
  </r>
  <r>
    <x v="32"/>
    <x v="1"/>
    <x v="2"/>
    <n v="218"/>
    <x v="1"/>
    <n v="8"/>
    <n v="1"/>
    <x v="2"/>
    <n v="1468"/>
    <n v="4"/>
    <x v="1"/>
    <n v="2"/>
    <n v="3"/>
    <x v="7"/>
    <n v="2"/>
    <s v="Divorced"/>
    <n v="13757"/>
    <n v="2"/>
    <x v="1"/>
    <n v="11"/>
    <n v="3"/>
    <n v="3"/>
    <n v="1"/>
    <n v="16"/>
    <n v="5"/>
    <n v="3"/>
    <n v="9"/>
    <n v="8"/>
    <n v="4"/>
    <n v="8"/>
    <s v="Before College"/>
    <s v="Very High"/>
    <s v="Medium"/>
    <x v="2"/>
    <s v="Medium"/>
    <s v="Excellent"/>
    <s v="High"/>
    <x v="1"/>
    <s v="Low"/>
    <x v="1"/>
  </r>
  <r>
    <x v="14"/>
    <x v="1"/>
    <x v="0"/>
    <n v="866"/>
    <x v="0"/>
    <n v="5"/>
    <n v="3"/>
    <x v="2"/>
    <n v="1469"/>
    <n v="4"/>
    <x v="1"/>
    <n v="3"/>
    <n v="2"/>
    <x v="0"/>
    <n v="1"/>
    <s v="Single"/>
    <n v="8463"/>
    <n v="0"/>
    <x v="1"/>
    <n v="18"/>
    <n v="3"/>
    <n v="4"/>
    <n v="0"/>
    <n v="6"/>
    <n v="4"/>
    <n v="3"/>
    <n v="5"/>
    <n v="4"/>
    <n v="1"/>
    <n v="3"/>
    <s v="Bachelor"/>
    <s v="Very High"/>
    <s v="High"/>
    <x v="0"/>
    <s v="Low"/>
    <s v="Excellent"/>
    <s v="Very High"/>
    <x v="1"/>
    <s v="No_stock"/>
    <x v="0"/>
  </r>
  <r>
    <x v="20"/>
    <x v="1"/>
    <x v="2"/>
    <n v="981"/>
    <x v="1"/>
    <n v="5"/>
    <n v="3"/>
    <x v="0"/>
    <n v="1471"/>
    <n v="3"/>
    <x v="1"/>
    <n v="2"/>
    <n v="1"/>
    <x v="2"/>
    <n v="3"/>
    <s v="Single"/>
    <n v="3162"/>
    <n v="3"/>
    <x v="1"/>
    <n v="14"/>
    <n v="3"/>
    <n v="4"/>
    <n v="0"/>
    <n v="7"/>
    <n v="5"/>
    <n v="3"/>
    <n v="5"/>
    <n v="2"/>
    <n v="0"/>
    <n v="3"/>
    <s v="Bachelor"/>
    <s v="High"/>
    <s v="Medium"/>
    <x v="1"/>
    <s v="High"/>
    <s v="Excellent"/>
    <s v="Very High"/>
    <x v="1"/>
    <s v="No_stock"/>
    <x v="0"/>
  </r>
  <r>
    <x v="16"/>
    <x v="1"/>
    <x v="0"/>
    <n v="447"/>
    <x v="1"/>
    <n v="2"/>
    <n v="3"/>
    <x v="2"/>
    <n v="1472"/>
    <n v="4"/>
    <x v="1"/>
    <n v="4"/>
    <n v="4"/>
    <x v="7"/>
    <n v="2"/>
    <s v="Single"/>
    <n v="16598"/>
    <n v="4"/>
    <x v="1"/>
    <n v="12"/>
    <n v="3"/>
    <n v="2"/>
    <n v="0"/>
    <n v="35"/>
    <n v="2"/>
    <n v="2"/>
    <n v="9"/>
    <n v="8"/>
    <n v="8"/>
    <n v="8"/>
    <s v="Bachelor"/>
    <s v="Very High"/>
    <s v="Very High"/>
    <x v="3"/>
    <s v="Medium"/>
    <s v="Excellent"/>
    <s v="Medium"/>
    <x v="2"/>
    <s v="No_stock"/>
    <x v="0"/>
  </r>
  <r>
    <x v="1"/>
    <x v="1"/>
    <x v="0"/>
    <n v="1495"/>
    <x v="1"/>
    <n v="5"/>
    <n v="4"/>
    <x v="4"/>
    <n v="1473"/>
    <n v="1"/>
    <x v="1"/>
    <n v="3"/>
    <n v="2"/>
    <x v="4"/>
    <n v="3"/>
    <s v="Married"/>
    <n v="6651"/>
    <n v="2"/>
    <x v="1"/>
    <n v="14"/>
    <n v="3"/>
    <n v="2"/>
    <n v="1"/>
    <n v="20"/>
    <n v="0"/>
    <n v="2"/>
    <n v="3"/>
    <n v="2"/>
    <n v="1"/>
    <n v="2"/>
    <s v="Master"/>
    <s v="Low"/>
    <s v="High"/>
    <x v="0"/>
    <s v="High"/>
    <s v="Excellent"/>
    <s v="Medium"/>
    <x v="2"/>
    <s v="Low"/>
    <x v="0"/>
  </r>
  <r>
    <x v="32"/>
    <x v="1"/>
    <x v="0"/>
    <n v="896"/>
    <x v="1"/>
    <n v="2"/>
    <n v="3"/>
    <x v="2"/>
    <n v="1474"/>
    <n v="3"/>
    <x v="1"/>
    <n v="3"/>
    <n v="1"/>
    <x v="1"/>
    <n v="3"/>
    <s v="Divorced"/>
    <n v="2345"/>
    <n v="2"/>
    <x v="1"/>
    <n v="14"/>
    <n v="3"/>
    <n v="3"/>
    <n v="1"/>
    <n v="8"/>
    <n v="3"/>
    <n v="4"/>
    <n v="3"/>
    <n v="1"/>
    <n v="1"/>
    <n v="2"/>
    <s v="Bachelor"/>
    <s v="High"/>
    <s v="High"/>
    <x v="1"/>
    <s v="High"/>
    <s v="Excellent"/>
    <s v="High"/>
    <x v="3"/>
    <s v="Low"/>
    <x v="0"/>
  </r>
  <r>
    <x v="20"/>
    <x v="1"/>
    <x v="0"/>
    <n v="1467"/>
    <x v="1"/>
    <n v="20"/>
    <n v="3"/>
    <x v="0"/>
    <n v="1475"/>
    <n v="4"/>
    <x v="1"/>
    <n v="3"/>
    <n v="1"/>
    <x v="1"/>
    <n v="2"/>
    <s v="Single"/>
    <n v="3420"/>
    <n v="1"/>
    <x v="1"/>
    <n v="13"/>
    <n v="3"/>
    <n v="3"/>
    <n v="0"/>
    <n v="6"/>
    <n v="3"/>
    <n v="2"/>
    <n v="5"/>
    <n v="2"/>
    <n v="1"/>
    <n v="3"/>
    <s v="Bachelor"/>
    <s v="Very High"/>
    <s v="High"/>
    <x v="1"/>
    <s v="Medium"/>
    <s v="Excellent"/>
    <s v="High"/>
    <x v="2"/>
    <s v="No_stock"/>
    <x v="2"/>
  </r>
  <r>
    <x v="3"/>
    <x v="1"/>
    <x v="1"/>
    <n v="430"/>
    <x v="0"/>
    <n v="7"/>
    <n v="3"/>
    <x v="2"/>
    <n v="1477"/>
    <n v="4"/>
    <x v="1"/>
    <n v="3"/>
    <n v="2"/>
    <x v="0"/>
    <n v="1"/>
    <s v="Married"/>
    <n v="4373"/>
    <n v="0"/>
    <x v="1"/>
    <n v="14"/>
    <n v="3"/>
    <n v="1"/>
    <n v="2"/>
    <n v="5"/>
    <n v="2"/>
    <n v="3"/>
    <n v="4"/>
    <n v="3"/>
    <n v="0"/>
    <n v="3"/>
    <s v="Bachelor"/>
    <s v="Very High"/>
    <s v="High"/>
    <x v="0"/>
    <s v="Low"/>
    <s v="Excellent"/>
    <s v="Low"/>
    <x v="1"/>
    <s v="Medium"/>
    <x v="1"/>
  </r>
  <r>
    <x v="13"/>
    <x v="1"/>
    <x v="0"/>
    <n v="1326"/>
    <x v="0"/>
    <n v="3"/>
    <n v="3"/>
    <x v="1"/>
    <n v="1478"/>
    <n v="4"/>
    <x v="1"/>
    <n v="1"/>
    <n v="2"/>
    <x v="0"/>
    <n v="1"/>
    <s v="Single"/>
    <n v="4759"/>
    <n v="3"/>
    <x v="1"/>
    <n v="18"/>
    <n v="3"/>
    <n v="4"/>
    <n v="0"/>
    <n v="15"/>
    <n v="2"/>
    <n v="3"/>
    <n v="13"/>
    <n v="9"/>
    <n v="3"/>
    <n v="12"/>
    <s v="Bachelor"/>
    <s v="Very High"/>
    <s v="Low"/>
    <x v="0"/>
    <s v="Low"/>
    <s v="Excellent"/>
    <s v="Very High"/>
    <x v="1"/>
    <s v="No_stock"/>
    <x v="0"/>
  </r>
  <r>
    <x v="7"/>
    <x v="1"/>
    <x v="0"/>
    <n v="1358"/>
    <x v="0"/>
    <n v="16"/>
    <n v="1"/>
    <x v="0"/>
    <n v="1479"/>
    <n v="4"/>
    <x v="1"/>
    <n v="3"/>
    <n v="2"/>
    <x v="0"/>
    <n v="3"/>
    <s v="Married"/>
    <n v="5301"/>
    <n v="8"/>
    <x v="1"/>
    <n v="15"/>
    <n v="3"/>
    <n v="3"/>
    <n v="2"/>
    <n v="4"/>
    <n v="2"/>
    <n v="2"/>
    <n v="2"/>
    <n v="1"/>
    <n v="2"/>
    <n v="2"/>
    <s v="Before College"/>
    <s v="Very High"/>
    <s v="High"/>
    <x v="0"/>
    <s v="High"/>
    <s v="Excellent"/>
    <s v="High"/>
    <x v="2"/>
    <s v="Medium"/>
    <x v="2"/>
  </r>
  <r>
    <x v="19"/>
    <x v="1"/>
    <x v="1"/>
    <n v="748"/>
    <x v="1"/>
    <n v="9"/>
    <n v="2"/>
    <x v="2"/>
    <n v="1480"/>
    <n v="1"/>
    <x v="0"/>
    <n v="3"/>
    <n v="1"/>
    <x v="2"/>
    <n v="4"/>
    <s v="Single"/>
    <n v="3673"/>
    <n v="1"/>
    <x v="1"/>
    <n v="13"/>
    <n v="3"/>
    <n v="3"/>
    <n v="0"/>
    <n v="12"/>
    <n v="3"/>
    <n v="3"/>
    <n v="12"/>
    <n v="9"/>
    <n v="5"/>
    <n v="8"/>
    <s v="College"/>
    <s v="Low"/>
    <s v="High"/>
    <x v="1"/>
    <s v="Very High"/>
    <s v="Excellent"/>
    <s v="High"/>
    <x v="1"/>
    <s v="No_stock"/>
    <x v="1"/>
  </r>
  <r>
    <x v="20"/>
    <x v="1"/>
    <x v="1"/>
    <n v="383"/>
    <x v="0"/>
    <n v="1"/>
    <n v="5"/>
    <x v="3"/>
    <n v="1481"/>
    <n v="1"/>
    <x v="0"/>
    <n v="3"/>
    <n v="2"/>
    <x v="0"/>
    <n v="3"/>
    <s v="Married"/>
    <n v="4768"/>
    <n v="7"/>
    <x v="1"/>
    <n v="12"/>
    <n v="3"/>
    <n v="3"/>
    <n v="1"/>
    <n v="11"/>
    <n v="4"/>
    <n v="2"/>
    <n v="1"/>
    <n v="0"/>
    <n v="0"/>
    <n v="0"/>
    <s v="Doctor"/>
    <s v="Low"/>
    <s v="High"/>
    <x v="0"/>
    <s v="High"/>
    <s v="Excellent"/>
    <s v="High"/>
    <x v="2"/>
    <s v="Low"/>
    <x v="0"/>
  </r>
  <r>
    <x v="7"/>
    <x v="1"/>
    <x v="2"/>
    <n v="990"/>
    <x v="1"/>
    <n v="7"/>
    <n v="3"/>
    <x v="4"/>
    <n v="1482"/>
    <n v="3"/>
    <x v="1"/>
    <n v="3"/>
    <n v="1"/>
    <x v="1"/>
    <n v="3"/>
    <s v="Divorced"/>
    <n v="1274"/>
    <n v="1"/>
    <x v="1"/>
    <n v="13"/>
    <n v="3"/>
    <n v="2"/>
    <n v="2"/>
    <n v="1"/>
    <n v="2"/>
    <n v="2"/>
    <n v="1"/>
    <n v="0"/>
    <n v="0"/>
    <n v="0"/>
    <s v="Bachelor"/>
    <s v="High"/>
    <s v="High"/>
    <x v="1"/>
    <s v="High"/>
    <s v="Excellent"/>
    <s v="Medium"/>
    <x v="2"/>
    <s v="Medium"/>
    <x v="1"/>
  </r>
  <r>
    <x v="38"/>
    <x v="1"/>
    <x v="0"/>
    <n v="405"/>
    <x v="1"/>
    <n v="1"/>
    <n v="2"/>
    <x v="0"/>
    <n v="1483"/>
    <n v="2"/>
    <x v="1"/>
    <n v="4"/>
    <n v="2"/>
    <x v="1"/>
    <n v="3"/>
    <s v="Married"/>
    <n v="4900"/>
    <n v="0"/>
    <x v="1"/>
    <n v="24"/>
    <n v="4"/>
    <n v="1"/>
    <n v="1"/>
    <n v="13"/>
    <n v="2"/>
    <n v="2"/>
    <n v="12"/>
    <n v="9"/>
    <n v="2"/>
    <n v="8"/>
    <s v="College"/>
    <s v="Medium"/>
    <s v="Very High"/>
    <x v="0"/>
    <s v="High"/>
    <s v="Outstanding"/>
    <s v="Low"/>
    <x v="2"/>
    <s v="Low"/>
    <x v="0"/>
  </r>
  <r>
    <x v="1"/>
    <x v="1"/>
    <x v="0"/>
    <n v="1490"/>
    <x v="1"/>
    <n v="7"/>
    <n v="4"/>
    <x v="0"/>
    <n v="1484"/>
    <n v="3"/>
    <x v="1"/>
    <n v="3"/>
    <n v="3"/>
    <x v="4"/>
    <n v="2"/>
    <s v="Divorced"/>
    <n v="10466"/>
    <n v="3"/>
    <x v="1"/>
    <n v="14"/>
    <n v="3"/>
    <n v="2"/>
    <n v="2"/>
    <n v="29"/>
    <n v="3"/>
    <n v="3"/>
    <n v="8"/>
    <n v="7"/>
    <n v="0"/>
    <n v="7"/>
    <s v="Master"/>
    <s v="High"/>
    <s v="High"/>
    <x v="2"/>
    <s v="Medium"/>
    <s v="Excellent"/>
    <s v="Medium"/>
    <x v="1"/>
    <s v="Medium"/>
    <x v="1"/>
  </r>
  <r>
    <x v="13"/>
    <x v="1"/>
    <x v="1"/>
    <n v="829"/>
    <x v="1"/>
    <n v="15"/>
    <n v="3"/>
    <x v="2"/>
    <n v="1485"/>
    <n v="2"/>
    <x v="1"/>
    <n v="3"/>
    <n v="4"/>
    <x v="7"/>
    <n v="1"/>
    <s v="Divorced"/>
    <n v="17007"/>
    <n v="7"/>
    <x v="1"/>
    <n v="14"/>
    <n v="3"/>
    <n v="4"/>
    <n v="2"/>
    <n v="16"/>
    <n v="3"/>
    <n v="2"/>
    <n v="14"/>
    <n v="8"/>
    <n v="6"/>
    <n v="9"/>
    <s v="Bachelor"/>
    <s v="Medium"/>
    <s v="High"/>
    <x v="3"/>
    <s v="Low"/>
    <s v="Excellent"/>
    <s v="Very High"/>
    <x v="2"/>
    <s v="Medium"/>
    <x v="1"/>
  </r>
  <r>
    <x v="14"/>
    <x v="0"/>
    <x v="1"/>
    <n v="1496"/>
    <x v="0"/>
    <n v="1"/>
    <n v="3"/>
    <x v="4"/>
    <n v="1486"/>
    <n v="1"/>
    <x v="1"/>
    <n v="3"/>
    <n v="1"/>
    <x v="6"/>
    <n v="3"/>
    <s v="Married"/>
    <n v="2909"/>
    <n v="3"/>
    <x v="1"/>
    <n v="15"/>
    <n v="3"/>
    <n v="4"/>
    <n v="1"/>
    <n v="5"/>
    <n v="3"/>
    <n v="4"/>
    <n v="3"/>
    <n v="2"/>
    <n v="1"/>
    <n v="2"/>
    <s v="Bachelor"/>
    <s v="Low"/>
    <s v="High"/>
    <x v="1"/>
    <s v="High"/>
    <s v="Excellent"/>
    <s v="Very High"/>
    <x v="3"/>
    <s v="Low"/>
    <x v="0"/>
  </r>
  <r>
    <x v="11"/>
    <x v="0"/>
    <x v="1"/>
    <n v="115"/>
    <x v="0"/>
    <n v="13"/>
    <n v="3"/>
    <x v="4"/>
    <n v="1487"/>
    <n v="1"/>
    <x v="0"/>
    <n v="3"/>
    <n v="2"/>
    <x v="0"/>
    <n v="2"/>
    <s v="Single"/>
    <n v="5765"/>
    <n v="5"/>
    <x v="1"/>
    <n v="11"/>
    <n v="3"/>
    <n v="1"/>
    <n v="0"/>
    <n v="7"/>
    <n v="4"/>
    <n v="1"/>
    <n v="5"/>
    <n v="3"/>
    <n v="0"/>
    <n v="0"/>
    <s v="Bachelor"/>
    <s v="Low"/>
    <s v="High"/>
    <x v="0"/>
    <s v="Medium"/>
    <s v="Excellent"/>
    <s v="Low"/>
    <x v="0"/>
    <s v="No_stock"/>
    <x v="1"/>
  </r>
  <r>
    <x v="13"/>
    <x v="0"/>
    <x v="0"/>
    <n v="790"/>
    <x v="0"/>
    <n v="24"/>
    <n v="4"/>
    <x v="2"/>
    <n v="1489"/>
    <n v="1"/>
    <x v="0"/>
    <n v="2"/>
    <n v="2"/>
    <x v="0"/>
    <n v="2"/>
    <s v="Single"/>
    <n v="4599"/>
    <n v="0"/>
    <x v="0"/>
    <n v="23"/>
    <n v="4"/>
    <n v="3"/>
    <n v="0"/>
    <n v="16"/>
    <n v="2"/>
    <n v="4"/>
    <n v="15"/>
    <n v="9"/>
    <n v="10"/>
    <n v="10"/>
    <s v="Master"/>
    <s v="Low"/>
    <s v="Medium"/>
    <x v="0"/>
    <s v="Medium"/>
    <s v="Outstanding"/>
    <s v="High"/>
    <x v="3"/>
    <s v="No_stock"/>
    <x v="2"/>
  </r>
  <r>
    <x v="10"/>
    <x v="1"/>
    <x v="0"/>
    <n v="660"/>
    <x v="0"/>
    <n v="7"/>
    <n v="1"/>
    <x v="0"/>
    <n v="1492"/>
    <n v="4"/>
    <x v="1"/>
    <n v="3"/>
    <n v="1"/>
    <x v="6"/>
    <n v="3"/>
    <s v="Married"/>
    <n v="2404"/>
    <n v="1"/>
    <x v="1"/>
    <n v="13"/>
    <n v="3"/>
    <n v="1"/>
    <n v="1"/>
    <n v="1"/>
    <n v="3"/>
    <n v="3"/>
    <n v="1"/>
    <n v="0"/>
    <n v="0"/>
    <n v="0"/>
    <s v="Before College"/>
    <s v="Very High"/>
    <s v="High"/>
    <x v="1"/>
    <s v="High"/>
    <s v="Excellent"/>
    <s v="Low"/>
    <x v="1"/>
    <s v="Low"/>
    <x v="1"/>
  </r>
  <r>
    <x v="17"/>
    <x v="0"/>
    <x v="1"/>
    <n v="381"/>
    <x v="1"/>
    <n v="9"/>
    <n v="3"/>
    <x v="2"/>
    <n v="1494"/>
    <n v="2"/>
    <x v="1"/>
    <n v="3"/>
    <n v="1"/>
    <x v="2"/>
    <n v="1"/>
    <s v="Single"/>
    <n v="3172"/>
    <n v="2"/>
    <x v="0"/>
    <n v="11"/>
    <n v="3"/>
    <n v="3"/>
    <n v="0"/>
    <n v="4"/>
    <n v="2"/>
    <n v="2"/>
    <n v="0"/>
    <n v="0"/>
    <n v="0"/>
    <n v="0"/>
    <s v="Bachelor"/>
    <s v="Medium"/>
    <s v="High"/>
    <x v="1"/>
    <s v="Low"/>
    <s v="Excellent"/>
    <s v="High"/>
    <x v="2"/>
    <s v="No_stock"/>
    <x v="1"/>
  </r>
  <r>
    <x v="17"/>
    <x v="1"/>
    <x v="2"/>
    <n v="830"/>
    <x v="0"/>
    <n v="13"/>
    <n v="2"/>
    <x v="0"/>
    <n v="1495"/>
    <n v="4"/>
    <x v="0"/>
    <n v="3"/>
    <n v="1"/>
    <x v="6"/>
    <n v="2"/>
    <s v="Married"/>
    <n v="2033"/>
    <n v="1"/>
    <x v="1"/>
    <n v="13"/>
    <n v="3"/>
    <n v="3"/>
    <n v="1"/>
    <n v="1"/>
    <n v="2"/>
    <n v="3"/>
    <n v="1"/>
    <n v="0"/>
    <n v="0"/>
    <n v="0"/>
    <s v="College"/>
    <s v="Very High"/>
    <s v="High"/>
    <x v="1"/>
    <s v="Medium"/>
    <s v="Excellent"/>
    <s v="High"/>
    <x v="1"/>
    <s v="Low"/>
    <x v="1"/>
  </r>
  <r>
    <x v="20"/>
    <x v="1"/>
    <x v="1"/>
    <n v="1193"/>
    <x v="1"/>
    <n v="2"/>
    <n v="1"/>
    <x v="2"/>
    <n v="1496"/>
    <n v="2"/>
    <x v="1"/>
    <n v="3"/>
    <n v="3"/>
    <x v="3"/>
    <n v="3"/>
    <s v="Single"/>
    <n v="10209"/>
    <n v="5"/>
    <x v="0"/>
    <n v="18"/>
    <n v="3"/>
    <n v="2"/>
    <n v="0"/>
    <n v="16"/>
    <n v="2"/>
    <n v="2"/>
    <n v="2"/>
    <n v="2"/>
    <n v="2"/>
    <n v="2"/>
    <s v="Before College"/>
    <s v="Medium"/>
    <s v="High"/>
    <x v="2"/>
    <s v="High"/>
    <s v="Excellent"/>
    <s v="Medium"/>
    <x v="2"/>
    <s v="No_stock"/>
    <x v="0"/>
  </r>
  <r>
    <x v="11"/>
    <x v="1"/>
    <x v="0"/>
    <n v="1246"/>
    <x v="0"/>
    <n v="19"/>
    <n v="3"/>
    <x v="0"/>
    <n v="1497"/>
    <n v="3"/>
    <x v="1"/>
    <n v="2"/>
    <n v="2"/>
    <x v="0"/>
    <n v="3"/>
    <s v="Divorced"/>
    <n v="8620"/>
    <n v="1"/>
    <x v="1"/>
    <n v="14"/>
    <n v="3"/>
    <n v="3"/>
    <n v="2"/>
    <n v="10"/>
    <n v="3"/>
    <n v="3"/>
    <n v="10"/>
    <n v="7"/>
    <n v="0"/>
    <n v="4"/>
    <s v="Bachelor"/>
    <s v="High"/>
    <s v="Medium"/>
    <x v="0"/>
    <s v="High"/>
    <s v="Excellent"/>
    <s v="High"/>
    <x v="1"/>
    <s v="Medium"/>
    <x v="2"/>
  </r>
  <r>
    <x v="7"/>
    <x v="1"/>
    <x v="0"/>
    <n v="330"/>
    <x v="2"/>
    <n v="1"/>
    <n v="3"/>
    <x v="0"/>
    <n v="1499"/>
    <n v="3"/>
    <x v="1"/>
    <n v="3"/>
    <n v="1"/>
    <x v="8"/>
    <n v="3"/>
    <s v="Divorced"/>
    <n v="2064"/>
    <n v="0"/>
    <x v="1"/>
    <n v="21"/>
    <n v="4"/>
    <n v="1"/>
    <n v="1"/>
    <n v="6"/>
    <n v="3"/>
    <n v="4"/>
    <n v="5"/>
    <n v="3"/>
    <n v="1"/>
    <n v="3"/>
    <s v="Bachelor"/>
    <s v="High"/>
    <s v="High"/>
    <x v="1"/>
    <s v="High"/>
    <s v="Outstanding"/>
    <s v="Low"/>
    <x v="3"/>
    <s v="Low"/>
    <x v="0"/>
  </r>
  <r>
    <x v="27"/>
    <x v="1"/>
    <x v="0"/>
    <n v="1229"/>
    <x v="1"/>
    <n v="4"/>
    <n v="4"/>
    <x v="0"/>
    <n v="1501"/>
    <n v="4"/>
    <x v="1"/>
    <n v="3"/>
    <n v="2"/>
    <x v="4"/>
    <n v="3"/>
    <s v="Married"/>
    <n v="4035"/>
    <n v="0"/>
    <x v="0"/>
    <n v="16"/>
    <n v="3"/>
    <n v="2"/>
    <n v="0"/>
    <n v="4"/>
    <n v="2"/>
    <n v="3"/>
    <n v="3"/>
    <n v="2"/>
    <n v="1"/>
    <n v="2"/>
    <s v="Master"/>
    <s v="Very High"/>
    <s v="High"/>
    <x v="0"/>
    <s v="High"/>
    <s v="Excellent"/>
    <s v="Medium"/>
    <x v="1"/>
    <s v="No_stock"/>
    <x v="0"/>
  </r>
  <r>
    <x v="3"/>
    <x v="1"/>
    <x v="0"/>
    <n v="1099"/>
    <x v="1"/>
    <n v="4"/>
    <n v="4"/>
    <x v="2"/>
    <n v="1502"/>
    <n v="1"/>
    <x v="0"/>
    <n v="2"/>
    <n v="1"/>
    <x v="2"/>
    <n v="2"/>
    <s v="Married"/>
    <n v="3838"/>
    <n v="8"/>
    <x v="1"/>
    <n v="11"/>
    <n v="3"/>
    <n v="4"/>
    <n v="0"/>
    <n v="8"/>
    <n v="5"/>
    <n v="3"/>
    <n v="5"/>
    <n v="4"/>
    <n v="0"/>
    <n v="2"/>
    <s v="Master"/>
    <s v="Low"/>
    <s v="Medium"/>
    <x v="1"/>
    <s v="Medium"/>
    <s v="Excellent"/>
    <s v="Very High"/>
    <x v="1"/>
    <s v="No_stock"/>
    <x v="0"/>
  </r>
  <r>
    <x v="40"/>
    <x v="1"/>
    <x v="0"/>
    <n v="571"/>
    <x v="0"/>
    <n v="14"/>
    <n v="3"/>
    <x v="2"/>
    <n v="1503"/>
    <n v="3"/>
    <x v="0"/>
    <n v="3"/>
    <n v="2"/>
    <x v="0"/>
    <n v="3"/>
    <s v="Married"/>
    <n v="4591"/>
    <n v="3"/>
    <x v="0"/>
    <n v="17"/>
    <n v="3"/>
    <n v="3"/>
    <n v="1"/>
    <n v="11"/>
    <n v="4"/>
    <n v="2"/>
    <n v="5"/>
    <n v="4"/>
    <n v="1"/>
    <n v="2"/>
    <s v="Bachelor"/>
    <s v="High"/>
    <s v="High"/>
    <x v="0"/>
    <s v="High"/>
    <s v="Excellent"/>
    <s v="High"/>
    <x v="2"/>
    <s v="Low"/>
    <x v="1"/>
  </r>
  <r>
    <x v="14"/>
    <x v="0"/>
    <x v="1"/>
    <n v="289"/>
    <x v="1"/>
    <n v="2"/>
    <n v="2"/>
    <x v="2"/>
    <n v="1504"/>
    <n v="3"/>
    <x v="1"/>
    <n v="2"/>
    <n v="1"/>
    <x v="2"/>
    <n v="1"/>
    <s v="Single"/>
    <n v="2561"/>
    <n v="7"/>
    <x v="1"/>
    <n v="11"/>
    <n v="3"/>
    <n v="3"/>
    <n v="0"/>
    <n v="8"/>
    <n v="2"/>
    <n v="2"/>
    <n v="0"/>
    <n v="0"/>
    <n v="0"/>
    <n v="0"/>
    <s v="College"/>
    <s v="High"/>
    <s v="Medium"/>
    <x v="1"/>
    <s v="Low"/>
    <s v="Excellent"/>
    <s v="High"/>
    <x v="2"/>
    <s v="No_stock"/>
    <x v="0"/>
  </r>
  <r>
    <x v="14"/>
    <x v="1"/>
    <x v="0"/>
    <n v="1423"/>
    <x v="1"/>
    <n v="1"/>
    <n v="3"/>
    <x v="0"/>
    <n v="1506"/>
    <n v="1"/>
    <x v="1"/>
    <n v="2"/>
    <n v="1"/>
    <x v="1"/>
    <n v="3"/>
    <s v="Divorced"/>
    <n v="1563"/>
    <n v="1"/>
    <x v="1"/>
    <n v="14"/>
    <n v="3"/>
    <n v="4"/>
    <n v="1"/>
    <n v="1"/>
    <n v="2"/>
    <n v="1"/>
    <n v="1"/>
    <n v="0"/>
    <n v="0"/>
    <n v="0"/>
    <s v="Bachelor"/>
    <s v="Low"/>
    <s v="Medium"/>
    <x v="1"/>
    <s v="High"/>
    <s v="Excellent"/>
    <s v="Very High"/>
    <x v="0"/>
    <s v="Low"/>
    <x v="0"/>
  </r>
  <r>
    <x v="14"/>
    <x v="1"/>
    <x v="1"/>
    <n v="467"/>
    <x v="0"/>
    <n v="7"/>
    <n v="3"/>
    <x v="0"/>
    <n v="1507"/>
    <n v="3"/>
    <x v="1"/>
    <n v="3"/>
    <n v="2"/>
    <x v="0"/>
    <n v="1"/>
    <s v="Single"/>
    <n v="4898"/>
    <n v="0"/>
    <x v="1"/>
    <n v="14"/>
    <n v="3"/>
    <n v="4"/>
    <n v="0"/>
    <n v="5"/>
    <n v="5"/>
    <n v="3"/>
    <n v="4"/>
    <n v="2"/>
    <n v="1"/>
    <n v="3"/>
    <s v="Bachelor"/>
    <s v="High"/>
    <s v="High"/>
    <x v="0"/>
    <s v="Low"/>
    <s v="Excellent"/>
    <s v="Very High"/>
    <x v="1"/>
    <s v="No_stock"/>
    <x v="1"/>
  </r>
  <r>
    <x v="1"/>
    <x v="1"/>
    <x v="0"/>
    <n v="271"/>
    <x v="1"/>
    <n v="3"/>
    <n v="2"/>
    <x v="2"/>
    <n v="1509"/>
    <n v="3"/>
    <x v="0"/>
    <n v="2"/>
    <n v="2"/>
    <x v="2"/>
    <n v="1"/>
    <s v="Married"/>
    <n v="4789"/>
    <n v="4"/>
    <x v="1"/>
    <n v="25"/>
    <n v="4"/>
    <n v="1"/>
    <n v="1"/>
    <n v="10"/>
    <n v="3"/>
    <n v="3"/>
    <n v="3"/>
    <n v="2"/>
    <n v="1"/>
    <n v="2"/>
    <s v="College"/>
    <s v="High"/>
    <s v="Medium"/>
    <x v="0"/>
    <s v="Low"/>
    <s v="Outstanding"/>
    <s v="Low"/>
    <x v="1"/>
    <s v="Low"/>
    <x v="0"/>
  </r>
  <r>
    <x v="11"/>
    <x v="1"/>
    <x v="1"/>
    <n v="410"/>
    <x v="1"/>
    <n v="2"/>
    <n v="1"/>
    <x v="0"/>
    <n v="1513"/>
    <n v="4"/>
    <x v="0"/>
    <n v="3"/>
    <n v="1"/>
    <x v="2"/>
    <n v="2"/>
    <s v="Married"/>
    <n v="3180"/>
    <n v="0"/>
    <x v="1"/>
    <n v="13"/>
    <n v="3"/>
    <n v="3"/>
    <n v="3"/>
    <n v="4"/>
    <n v="3"/>
    <n v="3"/>
    <n v="3"/>
    <n v="2"/>
    <n v="0"/>
    <n v="2"/>
    <s v="Before College"/>
    <s v="Very High"/>
    <s v="High"/>
    <x v="1"/>
    <s v="Medium"/>
    <s v="Excellent"/>
    <s v="High"/>
    <x v="1"/>
    <s v="High"/>
    <x v="0"/>
  </r>
  <r>
    <x v="14"/>
    <x v="1"/>
    <x v="0"/>
    <n v="1083"/>
    <x v="1"/>
    <n v="29"/>
    <n v="1"/>
    <x v="0"/>
    <n v="1514"/>
    <n v="3"/>
    <x v="1"/>
    <n v="1"/>
    <n v="2"/>
    <x v="3"/>
    <n v="2"/>
    <s v="Married"/>
    <n v="6549"/>
    <n v="1"/>
    <x v="1"/>
    <n v="14"/>
    <n v="3"/>
    <n v="2"/>
    <n v="2"/>
    <n v="8"/>
    <n v="2"/>
    <n v="2"/>
    <n v="8"/>
    <n v="6"/>
    <n v="1"/>
    <n v="7"/>
    <s v="Before College"/>
    <s v="High"/>
    <s v="Low"/>
    <x v="0"/>
    <s v="Medium"/>
    <s v="Excellent"/>
    <s v="Medium"/>
    <x v="2"/>
    <s v="Medium"/>
    <x v="2"/>
  </r>
  <r>
    <x v="3"/>
    <x v="1"/>
    <x v="0"/>
    <n v="516"/>
    <x v="1"/>
    <n v="8"/>
    <n v="5"/>
    <x v="0"/>
    <n v="1515"/>
    <n v="4"/>
    <x v="1"/>
    <n v="3"/>
    <n v="2"/>
    <x v="4"/>
    <n v="3"/>
    <s v="Single"/>
    <n v="6388"/>
    <n v="2"/>
    <x v="0"/>
    <n v="17"/>
    <n v="3"/>
    <n v="1"/>
    <n v="0"/>
    <n v="14"/>
    <n v="6"/>
    <n v="3"/>
    <n v="0"/>
    <n v="0"/>
    <n v="0"/>
    <n v="0"/>
    <s v="Doctor"/>
    <s v="Very High"/>
    <s v="High"/>
    <x v="0"/>
    <s v="High"/>
    <s v="Excellent"/>
    <s v="Low"/>
    <x v="1"/>
    <s v="No_stock"/>
    <x v="1"/>
  </r>
  <r>
    <x v="5"/>
    <x v="1"/>
    <x v="0"/>
    <n v="495"/>
    <x v="1"/>
    <n v="10"/>
    <n v="3"/>
    <x v="2"/>
    <n v="1516"/>
    <n v="3"/>
    <x v="1"/>
    <n v="3"/>
    <n v="3"/>
    <x v="5"/>
    <n v="4"/>
    <s v="Single"/>
    <n v="11244"/>
    <n v="2"/>
    <x v="1"/>
    <n v="25"/>
    <n v="4"/>
    <n v="2"/>
    <n v="0"/>
    <n v="10"/>
    <n v="5"/>
    <n v="4"/>
    <n v="5"/>
    <n v="2"/>
    <n v="0"/>
    <n v="0"/>
    <s v="Bachelor"/>
    <s v="High"/>
    <s v="High"/>
    <x v="2"/>
    <s v="Very High"/>
    <s v="Outstanding"/>
    <s v="Medium"/>
    <x v="3"/>
    <s v="No_stock"/>
    <x v="1"/>
  </r>
  <r>
    <x v="33"/>
    <x v="1"/>
    <x v="1"/>
    <n v="1050"/>
    <x v="1"/>
    <n v="11"/>
    <n v="4"/>
    <x v="2"/>
    <n v="1520"/>
    <n v="2"/>
    <x v="0"/>
    <n v="3"/>
    <n v="4"/>
    <x v="5"/>
    <n v="4"/>
    <s v="Divorced"/>
    <n v="16032"/>
    <n v="3"/>
    <x v="1"/>
    <n v="20"/>
    <n v="4"/>
    <n v="1"/>
    <n v="1"/>
    <n v="26"/>
    <n v="2"/>
    <n v="3"/>
    <n v="14"/>
    <n v="9"/>
    <n v="1"/>
    <n v="12"/>
    <s v="Master"/>
    <s v="Medium"/>
    <s v="High"/>
    <x v="3"/>
    <s v="Very High"/>
    <s v="Outstanding"/>
    <s v="Low"/>
    <x v="1"/>
    <s v="Low"/>
    <x v="1"/>
  </r>
  <r>
    <x v="11"/>
    <x v="0"/>
    <x v="0"/>
    <n v="224"/>
    <x v="1"/>
    <n v="1"/>
    <n v="4"/>
    <x v="4"/>
    <n v="1522"/>
    <n v="1"/>
    <x v="1"/>
    <n v="2"/>
    <n v="1"/>
    <x v="1"/>
    <n v="1"/>
    <s v="Single"/>
    <n v="2362"/>
    <n v="6"/>
    <x v="1"/>
    <n v="13"/>
    <n v="3"/>
    <n v="3"/>
    <n v="0"/>
    <n v="11"/>
    <n v="2"/>
    <n v="1"/>
    <n v="9"/>
    <n v="7"/>
    <n v="0"/>
    <n v="7"/>
    <s v="Master"/>
    <s v="Low"/>
    <s v="Medium"/>
    <x v="1"/>
    <s v="Low"/>
    <s v="Excellent"/>
    <s v="High"/>
    <x v="0"/>
    <s v="No_stock"/>
    <x v="0"/>
  </r>
  <r>
    <x v="20"/>
    <x v="1"/>
    <x v="0"/>
    <n v="136"/>
    <x v="1"/>
    <n v="28"/>
    <n v="3"/>
    <x v="0"/>
    <n v="1523"/>
    <n v="4"/>
    <x v="1"/>
    <n v="3"/>
    <n v="4"/>
    <x v="7"/>
    <n v="1"/>
    <s v="Married"/>
    <n v="16328"/>
    <n v="3"/>
    <x v="1"/>
    <n v="13"/>
    <n v="3"/>
    <n v="3"/>
    <n v="1"/>
    <n v="24"/>
    <n v="1"/>
    <n v="4"/>
    <n v="20"/>
    <n v="6"/>
    <n v="14"/>
    <n v="17"/>
    <s v="Bachelor"/>
    <s v="Very High"/>
    <s v="High"/>
    <x v="3"/>
    <s v="Low"/>
    <s v="Excellent"/>
    <s v="High"/>
    <x v="3"/>
    <s v="Low"/>
    <x v="2"/>
  </r>
  <r>
    <x v="22"/>
    <x v="1"/>
    <x v="0"/>
    <n v="1089"/>
    <x v="1"/>
    <n v="6"/>
    <n v="3"/>
    <x v="0"/>
    <n v="1525"/>
    <n v="2"/>
    <x v="0"/>
    <n v="3"/>
    <n v="3"/>
    <x v="3"/>
    <n v="2"/>
    <s v="Single"/>
    <n v="8376"/>
    <n v="4"/>
    <x v="1"/>
    <n v="18"/>
    <n v="3"/>
    <n v="4"/>
    <n v="0"/>
    <n v="9"/>
    <n v="3"/>
    <n v="3"/>
    <n v="2"/>
    <n v="0"/>
    <n v="2"/>
    <n v="2"/>
    <s v="Bachelor"/>
    <s v="Medium"/>
    <s v="High"/>
    <x v="2"/>
    <s v="Medium"/>
    <s v="Excellent"/>
    <s v="Very High"/>
    <x v="1"/>
    <s v="No_stock"/>
    <x v="1"/>
  </r>
  <r>
    <x v="21"/>
    <x v="1"/>
    <x v="0"/>
    <n v="228"/>
    <x v="0"/>
    <n v="3"/>
    <n v="3"/>
    <x v="0"/>
    <n v="1527"/>
    <n v="3"/>
    <x v="0"/>
    <n v="3"/>
    <n v="4"/>
    <x v="5"/>
    <n v="2"/>
    <s v="Married"/>
    <n v="16606"/>
    <n v="8"/>
    <x v="1"/>
    <n v="12"/>
    <n v="3"/>
    <n v="4"/>
    <n v="1"/>
    <n v="23"/>
    <n v="2"/>
    <n v="4"/>
    <n v="13"/>
    <n v="12"/>
    <n v="5"/>
    <n v="1"/>
    <s v="Bachelor"/>
    <s v="High"/>
    <s v="High"/>
    <x v="3"/>
    <s v="Medium"/>
    <s v="Excellent"/>
    <s v="Very High"/>
    <x v="3"/>
    <s v="Low"/>
    <x v="0"/>
  </r>
  <r>
    <x v="10"/>
    <x v="1"/>
    <x v="0"/>
    <n v="1029"/>
    <x v="1"/>
    <n v="16"/>
    <n v="3"/>
    <x v="0"/>
    <n v="1529"/>
    <n v="4"/>
    <x v="0"/>
    <n v="2"/>
    <n v="3"/>
    <x v="4"/>
    <n v="2"/>
    <s v="Single"/>
    <n v="8606"/>
    <n v="1"/>
    <x v="1"/>
    <n v="19"/>
    <n v="3"/>
    <n v="4"/>
    <n v="0"/>
    <n v="11"/>
    <n v="3"/>
    <n v="1"/>
    <n v="11"/>
    <n v="8"/>
    <n v="3"/>
    <n v="3"/>
    <s v="Bachelor"/>
    <s v="Very High"/>
    <s v="Medium"/>
    <x v="2"/>
    <s v="Medium"/>
    <s v="Excellent"/>
    <s v="Very High"/>
    <x v="0"/>
    <s v="No_stock"/>
    <x v="2"/>
  </r>
  <r>
    <x v="30"/>
    <x v="1"/>
    <x v="0"/>
    <n v="507"/>
    <x v="1"/>
    <n v="20"/>
    <n v="1"/>
    <x v="0"/>
    <n v="1533"/>
    <n v="1"/>
    <x v="1"/>
    <n v="3"/>
    <n v="2"/>
    <x v="2"/>
    <n v="3"/>
    <s v="Single"/>
    <n v="2272"/>
    <n v="0"/>
    <x v="1"/>
    <n v="14"/>
    <n v="3"/>
    <n v="2"/>
    <n v="0"/>
    <n v="5"/>
    <n v="2"/>
    <n v="3"/>
    <n v="4"/>
    <n v="3"/>
    <n v="1"/>
    <n v="2"/>
    <s v="Before College"/>
    <s v="Low"/>
    <s v="High"/>
    <x v="0"/>
    <s v="High"/>
    <s v="Excellent"/>
    <s v="Medium"/>
    <x v="1"/>
    <s v="No_stock"/>
    <x v="2"/>
  </r>
  <r>
    <x v="32"/>
    <x v="0"/>
    <x v="0"/>
    <n v="676"/>
    <x v="1"/>
    <n v="9"/>
    <n v="4"/>
    <x v="0"/>
    <n v="1534"/>
    <n v="4"/>
    <x v="1"/>
    <n v="3"/>
    <n v="1"/>
    <x v="2"/>
    <n v="1"/>
    <s v="Single"/>
    <n v="2018"/>
    <n v="3"/>
    <x v="1"/>
    <n v="14"/>
    <n v="3"/>
    <n v="2"/>
    <n v="0"/>
    <n v="15"/>
    <n v="3"/>
    <n v="1"/>
    <n v="5"/>
    <n v="4"/>
    <n v="1"/>
    <n v="0"/>
    <s v="Master"/>
    <s v="Very High"/>
    <s v="High"/>
    <x v="1"/>
    <s v="Low"/>
    <s v="Excellent"/>
    <s v="Medium"/>
    <x v="0"/>
    <s v="No_stock"/>
    <x v="1"/>
  </r>
  <r>
    <x v="13"/>
    <x v="1"/>
    <x v="0"/>
    <n v="971"/>
    <x v="0"/>
    <n v="1"/>
    <n v="3"/>
    <x v="4"/>
    <n v="1535"/>
    <n v="4"/>
    <x v="1"/>
    <n v="2"/>
    <n v="3"/>
    <x v="0"/>
    <n v="3"/>
    <s v="Married"/>
    <n v="7083"/>
    <n v="1"/>
    <x v="0"/>
    <n v="14"/>
    <n v="3"/>
    <n v="4"/>
    <n v="0"/>
    <n v="10"/>
    <n v="3"/>
    <n v="3"/>
    <n v="10"/>
    <n v="9"/>
    <n v="8"/>
    <n v="6"/>
    <s v="Bachelor"/>
    <s v="Very High"/>
    <s v="Medium"/>
    <x v="2"/>
    <s v="High"/>
    <s v="Excellent"/>
    <s v="Very High"/>
    <x v="1"/>
    <s v="No_stock"/>
    <x v="0"/>
  </r>
  <r>
    <x v="12"/>
    <x v="0"/>
    <x v="1"/>
    <n v="561"/>
    <x v="1"/>
    <n v="3"/>
    <n v="3"/>
    <x v="0"/>
    <n v="1537"/>
    <n v="4"/>
    <x v="0"/>
    <n v="3"/>
    <n v="1"/>
    <x v="1"/>
    <n v="3"/>
    <s v="Single"/>
    <n v="4084"/>
    <n v="1"/>
    <x v="1"/>
    <n v="12"/>
    <n v="3"/>
    <n v="1"/>
    <n v="0"/>
    <n v="7"/>
    <n v="2"/>
    <n v="1"/>
    <n v="7"/>
    <n v="2"/>
    <n v="7"/>
    <n v="7"/>
    <s v="Bachelor"/>
    <s v="Very High"/>
    <s v="High"/>
    <x v="1"/>
    <s v="High"/>
    <s v="Excellent"/>
    <s v="Low"/>
    <x v="0"/>
    <s v="No_stock"/>
    <x v="0"/>
  </r>
  <r>
    <x v="24"/>
    <x v="1"/>
    <x v="1"/>
    <n v="333"/>
    <x v="1"/>
    <n v="22"/>
    <n v="5"/>
    <x v="2"/>
    <n v="1539"/>
    <n v="3"/>
    <x v="1"/>
    <n v="1"/>
    <n v="4"/>
    <x v="7"/>
    <n v="4"/>
    <s v="Single"/>
    <n v="14411"/>
    <n v="1"/>
    <x v="0"/>
    <n v="13"/>
    <n v="3"/>
    <n v="4"/>
    <n v="0"/>
    <n v="32"/>
    <n v="2"/>
    <n v="3"/>
    <n v="32"/>
    <n v="6"/>
    <n v="13"/>
    <n v="9"/>
    <s v="Doctor"/>
    <s v="High"/>
    <s v="Low"/>
    <x v="3"/>
    <s v="Very High"/>
    <s v="Excellent"/>
    <s v="Very High"/>
    <x v="1"/>
    <s v="No_stock"/>
    <x v="2"/>
  </r>
  <r>
    <x v="13"/>
    <x v="1"/>
    <x v="0"/>
    <n v="1440"/>
    <x v="0"/>
    <n v="7"/>
    <n v="2"/>
    <x v="4"/>
    <n v="1541"/>
    <n v="2"/>
    <x v="1"/>
    <n v="3"/>
    <n v="1"/>
    <x v="6"/>
    <n v="3"/>
    <s v="Married"/>
    <n v="2308"/>
    <n v="0"/>
    <x v="0"/>
    <n v="25"/>
    <n v="4"/>
    <n v="2"/>
    <n v="1"/>
    <n v="12"/>
    <n v="4"/>
    <n v="3"/>
    <n v="11"/>
    <n v="10"/>
    <n v="5"/>
    <n v="7"/>
    <s v="College"/>
    <s v="Medium"/>
    <s v="High"/>
    <x v="1"/>
    <s v="High"/>
    <s v="Outstanding"/>
    <s v="Medium"/>
    <x v="1"/>
    <s v="Low"/>
    <x v="1"/>
  </r>
  <r>
    <x v="19"/>
    <x v="1"/>
    <x v="0"/>
    <n v="1210"/>
    <x v="1"/>
    <n v="2"/>
    <n v="3"/>
    <x v="2"/>
    <n v="1542"/>
    <n v="3"/>
    <x v="1"/>
    <n v="2"/>
    <n v="1"/>
    <x v="2"/>
    <n v="2"/>
    <s v="Married"/>
    <n v="4841"/>
    <n v="4"/>
    <x v="1"/>
    <n v="14"/>
    <n v="3"/>
    <n v="2"/>
    <n v="1"/>
    <n v="4"/>
    <n v="3"/>
    <n v="3"/>
    <n v="1"/>
    <n v="0"/>
    <n v="0"/>
    <n v="0"/>
    <s v="Bachelor"/>
    <s v="High"/>
    <s v="Medium"/>
    <x v="1"/>
    <s v="Medium"/>
    <s v="Excellent"/>
    <s v="Medium"/>
    <x v="1"/>
    <s v="Low"/>
    <x v="0"/>
  </r>
  <r>
    <x v="2"/>
    <x v="1"/>
    <x v="0"/>
    <n v="674"/>
    <x v="1"/>
    <n v="13"/>
    <n v="3"/>
    <x v="2"/>
    <n v="1543"/>
    <n v="1"/>
    <x v="1"/>
    <n v="3"/>
    <n v="2"/>
    <x v="1"/>
    <n v="4"/>
    <s v="Married"/>
    <n v="4285"/>
    <n v="1"/>
    <x v="1"/>
    <n v="17"/>
    <n v="3"/>
    <n v="1"/>
    <n v="0"/>
    <n v="10"/>
    <n v="2"/>
    <n v="3"/>
    <n v="10"/>
    <n v="8"/>
    <n v="3"/>
    <n v="7"/>
    <s v="Bachelor"/>
    <s v="Low"/>
    <s v="High"/>
    <x v="0"/>
    <s v="Very High"/>
    <s v="Excellent"/>
    <s v="Low"/>
    <x v="1"/>
    <s v="No_stock"/>
    <x v="1"/>
  </r>
  <r>
    <x v="11"/>
    <x v="1"/>
    <x v="0"/>
    <n v="441"/>
    <x v="1"/>
    <n v="8"/>
    <n v="1"/>
    <x v="1"/>
    <n v="1544"/>
    <n v="3"/>
    <x v="0"/>
    <n v="1"/>
    <n v="2"/>
    <x v="4"/>
    <n v="1"/>
    <s v="Married"/>
    <n v="9715"/>
    <n v="3"/>
    <x v="1"/>
    <n v="13"/>
    <n v="3"/>
    <n v="3"/>
    <n v="1"/>
    <n v="9"/>
    <n v="3"/>
    <n v="3"/>
    <n v="7"/>
    <n v="7"/>
    <n v="0"/>
    <n v="7"/>
    <s v="Before College"/>
    <s v="High"/>
    <s v="Low"/>
    <x v="0"/>
    <s v="Low"/>
    <s v="Excellent"/>
    <s v="High"/>
    <x v="1"/>
    <s v="Low"/>
    <x v="1"/>
  </r>
  <r>
    <x v="3"/>
    <x v="1"/>
    <x v="0"/>
    <n v="575"/>
    <x v="1"/>
    <n v="25"/>
    <n v="3"/>
    <x v="0"/>
    <n v="1545"/>
    <n v="4"/>
    <x v="1"/>
    <n v="2"/>
    <n v="2"/>
    <x v="3"/>
    <n v="2"/>
    <s v="Single"/>
    <n v="4320"/>
    <n v="1"/>
    <x v="1"/>
    <n v="13"/>
    <n v="3"/>
    <n v="4"/>
    <n v="0"/>
    <n v="5"/>
    <n v="2"/>
    <n v="3"/>
    <n v="5"/>
    <n v="3"/>
    <n v="0"/>
    <n v="2"/>
    <s v="Bachelor"/>
    <s v="Very High"/>
    <s v="Medium"/>
    <x v="0"/>
    <s v="Medium"/>
    <s v="Excellent"/>
    <s v="Very High"/>
    <x v="1"/>
    <s v="No_stock"/>
    <x v="2"/>
  </r>
  <r>
    <x v="28"/>
    <x v="1"/>
    <x v="0"/>
    <n v="950"/>
    <x v="1"/>
    <n v="28"/>
    <n v="3"/>
    <x v="4"/>
    <n v="1546"/>
    <n v="4"/>
    <x v="1"/>
    <n v="3"/>
    <n v="1"/>
    <x v="1"/>
    <n v="4"/>
    <s v="Married"/>
    <n v="2132"/>
    <n v="4"/>
    <x v="1"/>
    <n v="20"/>
    <n v="4"/>
    <n v="4"/>
    <n v="1"/>
    <n v="8"/>
    <n v="3"/>
    <n v="3"/>
    <n v="5"/>
    <n v="4"/>
    <n v="0"/>
    <n v="3"/>
    <s v="Bachelor"/>
    <s v="Very High"/>
    <s v="High"/>
    <x v="1"/>
    <s v="Very High"/>
    <s v="Outstanding"/>
    <s v="Very High"/>
    <x v="1"/>
    <s v="Low"/>
    <x v="2"/>
  </r>
  <r>
    <x v="19"/>
    <x v="1"/>
    <x v="1"/>
    <n v="288"/>
    <x v="1"/>
    <n v="2"/>
    <n v="3"/>
    <x v="0"/>
    <n v="1547"/>
    <n v="4"/>
    <x v="1"/>
    <n v="3"/>
    <n v="3"/>
    <x v="4"/>
    <n v="4"/>
    <s v="Married"/>
    <n v="10124"/>
    <n v="2"/>
    <x v="0"/>
    <n v="14"/>
    <n v="3"/>
    <n v="3"/>
    <n v="1"/>
    <n v="24"/>
    <n v="3"/>
    <n v="1"/>
    <n v="20"/>
    <n v="8"/>
    <n v="13"/>
    <n v="9"/>
    <s v="Bachelor"/>
    <s v="Very High"/>
    <s v="High"/>
    <x v="2"/>
    <s v="Very High"/>
    <s v="Excellent"/>
    <s v="High"/>
    <x v="0"/>
    <s v="Low"/>
    <x v="0"/>
  </r>
  <r>
    <x v="32"/>
    <x v="1"/>
    <x v="0"/>
    <n v="1342"/>
    <x v="0"/>
    <n v="9"/>
    <n v="2"/>
    <x v="2"/>
    <n v="1548"/>
    <n v="1"/>
    <x v="1"/>
    <n v="3"/>
    <n v="2"/>
    <x v="0"/>
    <n v="1"/>
    <s v="Married"/>
    <n v="5473"/>
    <n v="0"/>
    <x v="1"/>
    <n v="12"/>
    <n v="3"/>
    <n v="4"/>
    <n v="0"/>
    <n v="9"/>
    <n v="5"/>
    <n v="4"/>
    <n v="8"/>
    <n v="4"/>
    <n v="7"/>
    <n v="1"/>
    <s v="College"/>
    <s v="Low"/>
    <s v="High"/>
    <x v="0"/>
    <s v="Low"/>
    <s v="Excellent"/>
    <s v="Very High"/>
    <x v="3"/>
    <s v="No_stock"/>
    <x v="1"/>
  </r>
  <r>
    <x v="3"/>
    <x v="1"/>
    <x v="0"/>
    <n v="589"/>
    <x v="1"/>
    <n v="28"/>
    <n v="4"/>
    <x v="0"/>
    <n v="1549"/>
    <n v="2"/>
    <x v="1"/>
    <n v="3"/>
    <n v="2"/>
    <x v="2"/>
    <n v="3"/>
    <s v="Married"/>
    <n v="5207"/>
    <n v="1"/>
    <x v="0"/>
    <n v="12"/>
    <n v="3"/>
    <n v="2"/>
    <n v="1"/>
    <n v="15"/>
    <n v="3"/>
    <n v="3"/>
    <n v="15"/>
    <n v="14"/>
    <n v="5"/>
    <n v="7"/>
    <s v="Master"/>
    <s v="Medium"/>
    <s v="High"/>
    <x v="0"/>
    <s v="High"/>
    <s v="Excellent"/>
    <s v="Medium"/>
    <x v="1"/>
    <s v="Low"/>
    <x v="2"/>
  </r>
  <r>
    <x v="32"/>
    <x v="1"/>
    <x v="0"/>
    <n v="898"/>
    <x v="2"/>
    <n v="6"/>
    <n v="2"/>
    <x v="2"/>
    <n v="1550"/>
    <n v="3"/>
    <x v="1"/>
    <n v="3"/>
    <n v="4"/>
    <x v="5"/>
    <n v="4"/>
    <s v="Single"/>
    <n v="16437"/>
    <n v="1"/>
    <x v="0"/>
    <n v="21"/>
    <n v="4"/>
    <n v="4"/>
    <n v="0"/>
    <n v="21"/>
    <n v="2"/>
    <n v="3"/>
    <n v="21"/>
    <n v="7"/>
    <n v="7"/>
    <n v="7"/>
    <s v="College"/>
    <s v="High"/>
    <s v="High"/>
    <x v="3"/>
    <s v="Very High"/>
    <s v="Outstanding"/>
    <s v="Very High"/>
    <x v="1"/>
    <s v="No_stock"/>
    <x v="1"/>
  </r>
  <r>
    <x v="17"/>
    <x v="1"/>
    <x v="0"/>
    <n v="350"/>
    <x v="1"/>
    <n v="21"/>
    <n v="2"/>
    <x v="4"/>
    <n v="1551"/>
    <n v="3"/>
    <x v="1"/>
    <n v="2"/>
    <n v="1"/>
    <x v="2"/>
    <n v="1"/>
    <s v="Divorced"/>
    <n v="2296"/>
    <n v="0"/>
    <x v="1"/>
    <n v="14"/>
    <n v="3"/>
    <n v="2"/>
    <n v="3"/>
    <n v="2"/>
    <n v="3"/>
    <n v="3"/>
    <n v="1"/>
    <n v="1"/>
    <n v="0"/>
    <n v="0"/>
    <s v="College"/>
    <s v="High"/>
    <s v="Medium"/>
    <x v="1"/>
    <s v="Low"/>
    <s v="Excellent"/>
    <s v="Medium"/>
    <x v="1"/>
    <s v="High"/>
    <x v="2"/>
  </r>
  <r>
    <x v="32"/>
    <x v="1"/>
    <x v="2"/>
    <n v="1142"/>
    <x v="1"/>
    <n v="8"/>
    <n v="2"/>
    <x v="0"/>
    <n v="1552"/>
    <n v="4"/>
    <x v="1"/>
    <n v="3"/>
    <n v="2"/>
    <x v="4"/>
    <n v="4"/>
    <s v="Divorced"/>
    <n v="4069"/>
    <n v="3"/>
    <x v="0"/>
    <n v="18"/>
    <n v="3"/>
    <n v="3"/>
    <n v="0"/>
    <n v="8"/>
    <n v="2"/>
    <n v="3"/>
    <n v="2"/>
    <n v="2"/>
    <n v="2"/>
    <n v="2"/>
    <s v="College"/>
    <s v="Very High"/>
    <s v="High"/>
    <x v="0"/>
    <s v="Very High"/>
    <s v="Excellent"/>
    <s v="High"/>
    <x v="1"/>
    <s v="No_stock"/>
    <x v="1"/>
  </r>
  <r>
    <x v="28"/>
    <x v="1"/>
    <x v="0"/>
    <n v="538"/>
    <x v="1"/>
    <n v="1"/>
    <n v="4"/>
    <x v="4"/>
    <n v="1553"/>
    <n v="1"/>
    <x v="1"/>
    <n v="3"/>
    <n v="3"/>
    <x v="4"/>
    <n v="2"/>
    <s v="Divorced"/>
    <n v="7441"/>
    <n v="1"/>
    <x v="1"/>
    <n v="12"/>
    <n v="3"/>
    <n v="1"/>
    <n v="3"/>
    <n v="10"/>
    <n v="4"/>
    <n v="3"/>
    <n v="10"/>
    <n v="8"/>
    <n v="7"/>
    <n v="7"/>
    <s v="Master"/>
    <s v="Low"/>
    <s v="High"/>
    <x v="2"/>
    <s v="Medium"/>
    <s v="Excellent"/>
    <s v="Low"/>
    <x v="1"/>
    <s v="High"/>
    <x v="0"/>
  </r>
  <r>
    <x v="10"/>
    <x v="1"/>
    <x v="0"/>
    <n v="1402"/>
    <x v="0"/>
    <n v="28"/>
    <n v="4"/>
    <x v="0"/>
    <n v="1554"/>
    <n v="2"/>
    <x v="0"/>
    <n v="2"/>
    <n v="1"/>
    <x v="6"/>
    <n v="3"/>
    <s v="Married"/>
    <n v="2430"/>
    <n v="0"/>
    <x v="1"/>
    <n v="23"/>
    <n v="4"/>
    <n v="1"/>
    <n v="2"/>
    <n v="6"/>
    <n v="5"/>
    <n v="3"/>
    <n v="5"/>
    <n v="3"/>
    <n v="4"/>
    <n v="2"/>
    <s v="Master"/>
    <s v="Medium"/>
    <s v="Medium"/>
    <x v="1"/>
    <s v="High"/>
    <s v="Outstanding"/>
    <s v="Low"/>
    <x v="1"/>
    <s v="Medium"/>
    <x v="2"/>
  </r>
  <r>
    <x v="5"/>
    <x v="1"/>
    <x v="0"/>
    <n v="824"/>
    <x v="1"/>
    <n v="5"/>
    <n v="2"/>
    <x v="0"/>
    <n v="1555"/>
    <n v="4"/>
    <x v="0"/>
    <n v="2"/>
    <n v="2"/>
    <x v="1"/>
    <n v="2"/>
    <s v="Married"/>
    <n v="5878"/>
    <n v="3"/>
    <x v="1"/>
    <n v="12"/>
    <n v="3"/>
    <n v="1"/>
    <n v="1"/>
    <n v="12"/>
    <n v="2"/>
    <n v="3"/>
    <n v="7"/>
    <n v="1"/>
    <n v="2"/>
    <n v="5"/>
    <s v="College"/>
    <s v="Very High"/>
    <s v="Medium"/>
    <x v="0"/>
    <s v="Medium"/>
    <s v="Excellent"/>
    <s v="Low"/>
    <x v="1"/>
    <s v="Low"/>
    <x v="0"/>
  </r>
  <r>
    <x v="9"/>
    <x v="1"/>
    <x v="0"/>
    <n v="1157"/>
    <x v="0"/>
    <n v="2"/>
    <n v="4"/>
    <x v="0"/>
    <n v="1556"/>
    <n v="3"/>
    <x v="1"/>
    <n v="3"/>
    <n v="1"/>
    <x v="6"/>
    <n v="4"/>
    <s v="Single"/>
    <n v="2644"/>
    <n v="3"/>
    <x v="0"/>
    <n v="21"/>
    <n v="4"/>
    <n v="4"/>
    <n v="0"/>
    <n v="7"/>
    <n v="3"/>
    <n v="2"/>
    <n v="3"/>
    <n v="2"/>
    <n v="1"/>
    <n v="2"/>
    <s v="Master"/>
    <s v="High"/>
    <s v="High"/>
    <x v="1"/>
    <s v="Very High"/>
    <s v="Outstanding"/>
    <s v="Very High"/>
    <x v="2"/>
    <s v="No_stock"/>
    <x v="0"/>
  </r>
  <r>
    <x v="26"/>
    <x v="1"/>
    <x v="0"/>
    <n v="492"/>
    <x v="0"/>
    <n v="16"/>
    <n v="4"/>
    <x v="0"/>
    <n v="1557"/>
    <n v="3"/>
    <x v="0"/>
    <n v="3"/>
    <n v="2"/>
    <x v="0"/>
    <n v="3"/>
    <s v="Divorced"/>
    <n v="6439"/>
    <n v="8"/>
    <x v="1"/>
    <n v="14"/>
    <n v="3"/>
    <n v="3"/>
    <n v="1"/>
    <n v="18"/>
    <n v="2"/>
    <n v="3"/>
    <n v="8"/>
    <n v="7"/>
    <n v="7"/>
    <n v="7"/>
    <s v="Master"/>
    <s v="High"/>
    <s v="High"/>
    <x v="0"/>
    <s v="High"/>
    <s v="Excellent"/>
    <s v="High"/>
    <x v="1"/>
    <s v="Low"/>
    <x v="2"/>
  </r>
  <r>
    <x v="11"/>
    <x v="1"/>
    <x v="0"/>
    <n v="598"/>
    <x v="1"/>
    <n v="9"/>
    <n v="3"/>
    <x v="0"/>
    <n v="1558"/>
    <n v="3"/>
    <x v="1"/>
    <n v="4"/>
    <n v="1"/>
    <x v="1"/>
    <n v="3"/>
    <s v="Married"/>
    <n v="2451"/>
    <n v="6"/>
    <x v="1"/>
    <n v="18"/>
    <n v="3"/>
    <n v="1"/>
    <n v="2"/>
    <n v="5"/>
    <n v="2"/>
    <n v="2"/>
    <n v="1"/>
    <n v="0"/>
    <n v="0"/>
    <n v="0"/>
    <s v="Bachelor"/>
    <s v="High"/>
    <s v="Very High"/>
    <x v="1"/>
    <s v="High"/>
    <s v="Excellent"/>
    <s v="Low"/>
    <x v="2"/>
    <s v="Medium"/>
    <x v="1"/>
  </r>
  <r>
    <x v="3"/>
    <x v="1"/>
    <x v="0"/>
    <n v="1242"/>
    <x v="0"/>
    <n v="8"/>
    <n v="4"/>
    <x v="0"/>
    <n v="1560"/>
    <n v="1"/>
    <x v="1"/>
    <n v="3"/>
    <n v="2"/>
    <x v="0"/>
    <n v="1"/>
    <s v="Married"/>
    <n v="6392"/>
    <n v="2"/>
    <x v="1"/>
    <n v="13"/>
    <n v="3"/>
    <n v="4"/>
    <n v="1"/>
    <n v="8"/>
    <n v="6"/>
    <n v="1"/>
    <n v="2"/>
    <n v="2"/>
    <n v="2"/>
    <n v="2"/>
    <s v="Master"/>
    <s v="Low"/>
    <s v="High"/>
    <x v="0"/>
    <s v="Low"/>
    <s v="Excellent"/>
    <s v="Very High"/>
    <x v="0"/>
    <s v="Low"/>
    <x v="1"/>
  </r>
  <r>
    <x v="7"/>
    <x v="0"/>
    <x v="0"/>
    <n v="740"/>
    <x v="0"/>
    <n v="1"/>
    <n v="3"/>
    <x v="0"/>
    <n v="1562"/>
    <n v="2"/>
    <x v="1"/>
    <n v="2"/>
    <n v="2"/>
    <x v="0"/>
    <n v="1"/>
    <s v="Married"/>
    <n v="9714"/>
    <n v="1"/>
    <x v="1"/>
    <n v="11"/>
    <n v="3"/>
    <n v="4"/>
    <n v="1"/>
    <n v="10"/>
    <n v="4"/>
    <n v="3"/>
    <n v="10"/>
    <n v="8"/>
    <n v="6"/>
    <n v="7"/>
    <s v="Bachelor"/>
    <s v="Medium"/>
    <s v="Medium"/>
    <x v="0"/>
    <s v="Low"/>
    <s v="Excellent"/>
    <s v="Very High"/>
    <x v="1"/>
    <s v="Low"/>
    <x v="0"/>
  </r>
  <r>
    <x v="8"/>
    <x v="1"/>
    <x v="1"/>
    <n v="888"/>
    <x v="2"/>
    <n v="10"/>
    <n v="4"/>
    <x v="5"/>
    <n v="1563"/>
    <n v="3"/>
    <x v="1"/>
    <n v="3"/>
    <n v="2"/>
    <x v="8"/>
    <n v="3"/>
    <s v="Married"/>
    <n v="6077"/>
    <n v="3"/>
    <x v="1"/>
    <n v="11"/>
    <n v="3"/>
    <n v="3"/>
    <n v="0"/>
    <n v="10"/>
    <n v="2"/>
    <n v="3"/>
    <n v="6"/>
    <n v="3"/>
    <n v="1"/>
    <n v="2"/>
    <s v="Master"/>
    <s v="High"/>
    <s v="High"/>
    <x v="0"/>
    <s v="High"/>
    <s v="Excellent"/>
    <s v="High"/>
    <x v="1"/>
    <s v="No_stock"/>
    <x v="1"/>
  </r>
  <r>
    <x v="10"/>
    <x v="1"/>
    <x v="0"/>
    <n v="992"/>
    <x v="1"/>
    <n v="1"/>
    <n v="3"/>
    <x v="2"/>
    <n v="1564"/>
    <n v="4"/>
    <x v="1"/>
    <n v="2"/>
    <n v="1"/>
    <x v="2"/>
    <n v="1"/>
    <s v="Single"/>
    <n v="2450"/>
    <n v="1"/>
    <x v="1"/>
    <n v="19"/>
    <n v="3"/>
    <n v="2"/>
    <n v="0"/>
    <n v="3"/>
    <n v="3"/>
    <n v="3"/>
    <n v="3"/>
    <n v="0"/>
    <n v="1"/>
    <n v="2"/>
    <s v="Bachelor"/>
    <s v="Very High"/>
    <s v="Medium"/>
    <x v="1"/>
    <s v="Low"/>
    <s v="Excellent"/>
    <s v="Medium"/>
    <x v="1"/>
    <s v="No_stock"/>
    <x v="0"/>
  </r>
  <r>
    <x v="7"/>
    <x v="1"/>
    <x v="0"/>
    <n v="1288"/>
    <x v="0"/>
    <n v="29"/>
    <n v="4"/>
    <x v="4"/>
    <n v="1568"/>
    <n v="3"/>
    <x v="1"/>
    <n v="3"/>
    <n v="3"/>
    <x v="0"/>
    <n v="2"/>
    <s v="Married"/>
    <n v="9250"/>
    <n v="3"/>
    <x v="1"/>
    <n v="12"/>
    <n v="3"/>
    <n v="2"/>
    <n v="1"/>
    <n v="9"/>
    <n v="3"/>
    <n v="3"/>
    <n v="4"/>
    <n v="2"/>
    <n v="1"/>
    <n v="3"/>
    <s v="Master"/>
    <s v="High"/>
    <s v="High"/>
    <x v="2"/>
    <s v="Medium"/>
    <s v="Excellent"/>
    <s v="Medium"/>
    <x v="1"/>
    <s v="Low"/>
    <x v="2"/>
  </r>
  <r>
    <x v="10"/>
    <x v="0"/>
    <x v="0"/>
    <n v="104"/>
    <x v="1"/>
    <n v="2"/>
    <n v="3"/>
    <x v="0"/>
    <n v="1569"/>
    <n v="1"/>
    <x v="0"/>
    <n v="3"/>
    <n v="1"/>
    <x v="2"/>
    <n v="1"/>
    <s v="Divorced"/>
    <n v="2074"/>
    <n v="1"/>
    <x v="0"/>
    <n v="12"/>
    <n v="3"/>
    <n v="4"/>
    <n v="1"/>
    <n v="1"/>
    <n v="2"/>
    <n v="3"/>
    <n v="1"/>
    <n v="0"/>
    <n v="0"/>
    <n v="0"/>
    <s v="Bachelor"/>
    <s v="Low"/>
    <s v="High"/>
    <x v="1"/>
    <s v="Low"/>
    <s v="Excellent"/>
    <s v="Very High"/>
    <x v="1"/>
    <s v="Low"/>
    <x v="0"/>
  </r>
  <r>
    <x v="16"/>
    <x v="0"/>
    <x v="0"/>
    <n v="607"/>
    <x v="1"/>
    <n v="2"/>
    <n v="5"/>
    <x v="4"/>
    <n v="1572"/>
    <n v="3"/>
    <x v="0"/>
    <n v="2"/>
    <n v="3"/>
    <x v="3"/>
    <n v="4"/>
    <s v="Married"/>
    <n v="10169"/>
    <n v="0"/>
    <x v="1"/>
    <n v="16"/>
    <n v="3"/>
    <n v="2"/>
    <n v="1"/>
    <n v="34"/>
    <n v="4"/>
    <n v="3"/>
    <n v="33"/>
    <n v="7"/>
    <n v="1"/>
    <n v="9"/>
    <s v="Doctor"/>
    <s v="High"/>
    <s v="Medium"/>
    <x v="2"/>
    <s v="Very High"/>
    <s v="Excellent"/>
    <s v="Medium"/>
    <x v="1"/>
    <s v="Low"/>
    <x v="0"/>
  </r>
  <r>
    <x v="8"/>
    <x v="0"/>
    <x v="0"/>
    <n v="903"/>
    <x v="1"/>
    <n v="2"/>
    <n v="3"/>
    <x v="2"/>
    <n v="1573"/>
    <n v="3"/>
    <x v="1"/>
    <n v="3"/>
    <n v="2"/>
    <x v="3"/>
    <n v="2"/>
    <s v="Married"/>
    <n v="4855"/>
    <n v="4"/>
    <x v="1"/>
    <n v="11"/>
    <n v="3"/>
    <n v="1"/>
    <n v="2"/>
    <n v="7"/>
    <n v="2"/>
    <n v="3"/>
    <n v="5"/>
    <n v="2"/>
    <n v="1"/>
    <n v="4"/>
    <s v="Bachelor"/>
    <s v="High"/>
    <s v="High"/>
    <x v="0"/>
    <s v="Medium"/>
    <s v="Excellent"/>
    <s v="Low"/>
    <x v="1"/>
    <s v="Medium"/>
    <x v="0"/>
  </r>
  <r>
    <x v="5"/>
    <x v="1"/>
    <x v="2"/>
    <n v="1200"/>
    <x v="1"/>
    <n v="1"/>
    <n v="4"/>
    <x v="4"/>
    <n v="1574"/>
    <n v="4"/>
    <x v="1"/>
    <n v="3"/>
    <n v="2"/>
    <x v="1"/>
    <n v="1"/>
    <s v="Married"/>
    <n v="4087"/>
    <n v="4"/>
    <x v="1"/>
    <n v="14"/>
    <n v="3"/>
    <n v="2"/>
    <n v="1"/>
    <n v="9"/>
    <n v="3"/>
    <n v="2"/>
    <n v="6"/>
    <n v="5"/>
    <n v="1"/>
    <n v="2"/>
    <s v="Master"/>
    <s v="Very High"/>
    <s v="High"/>
    <x v="0"/>
    <s v="Low"/>
    <s v="Excellent"/>
    <s v="Medium"/>
    <x v="2"/>
    <s v="Low"/>
    <x v="0"/>
  </r>
  <r>
    <x v="26"/>
    <x v="1"/>
    <x v="0"/>
    <n v="1108"/>
    <x v="1"/>
    <n v="15"/>
    <n v="4"/>
    <x v="1"/>
    <n v="1576"/>
    <n v="3"/>
    <x v="0"/>
    <n v="3"/>
    <n v="1"/>
    <x v="1"/>
    <n v="1"/>
    <s v="Married"/>
    <n v="2367"/>
    <n v="8"/>
    <x v="1"/>
    <n v="12"/>
    <n v="3"/>
    <n v="4"/>
    <n v="1"/>
    <n v="10"/>
    <n v="3"/>
    <n v="2"/>
    <n v="8"/>
    <n v="2"/>
    <n v="7"/>
    <n v="6"/>
    <s v="Master"/>
    <s v="High"/>
    <s v="High"/>
    <x v="1"/>
    <s v="Low"/>
    <s v="Excellent"/>
    <s v="Very High"/>
    <x v="2"/>
    <s v="Low"/>
    <x v="1"/>
  </r>
  <r>
    <x v="13"/>
    <x v="1"/>
    <x v="0"/>
    <n v="479"/>
    <x v="1"/>
    <n v="7"/>
    <n v="4"/>
    <x v="2"/>
    <n v="1577"/>
    <n v="1"/>
    <x v="1"/>
    <n v="3"/>
    <n v="1"/>
    <x v="1"/>
    <n v="4"/>
    <s v="Single"/>
    <n v="2972"/>
    <n v="1"/>
    <x v="1"/>
    <n v="13"/>
    <n v="3"/>
    <n v="3"/>
    <n v="0"/>
    <n v="1"/>
    <n v="4"/>
    <n v="1"/>
    <n v="1"/>
    <n v="0"/>
    <n v="0"/>
    <n v="0"/>
    <s v="Master"/>
    <s v="Low"/>
    <s v="High"/>
    <x v="1"/>
    <s v="Very High"/>
    <s v="Excellent"/>
    <s v="High"/>
    <x v="0"/>
    <s v="No_stock"/>
    <x v="1"/>
  </r>
  <r>
    <x v="27"/>
    <x v="1"/>
    <x v="0"/>
    <n v="685"/>
    <x v="0"/>
    <n v="26"/>
    <n v="5"/>
    <x v="3"/>
    <n v="1578"/>
    <n v="3"/>
    <x v="1"/>
    <n v="2"/>
    <n v="5"/>
    <x v="5"/>
    <n v="4"/>
    <s v="Married"/>
    <n v="19586"/>
    <n v="1"/>
    <x v="1"/>
    <n v="21"/>
    <n v="4"/>
    <n v="3"/>
    <n v="1"/>
    <n v="36"/>
    <n v="3"/>
    <n v="3"/>
    <n v="36"/>
    <n v="6"/>
    <n v="2"/>
    <n v="13"/>
    <s v="Doctor"/>
    <s v="High"/>
    <s v="Medium"/>
    <x v="4"/>
    <s v="Very High"/>
    <s v="Outstanding"/>
    <s v="High"/>
    <x v="1"/>
    <s v="Low"/>
    <x v="2"/>
  </r>
  <r>
    <x v="13"/>
    <x v="1"/>
    <x v="0"/>
    <n v="1351"/>
    <x v="1"/>
    <n v="1"/>
    <n v="4"/>
    <x v="0"/>
    <n v="1580"/>
    <n v="2"/>
    <x v="1"/>
    <n v="3"/>
    <n v="2"/>
    <x v="1"/>
    <n v="4"/>
    <s v="Married"/>
    <n v="5484"/>
    <n v="9"/>
    <x v="1"/>
    <n v="17"/>
    <n v="3"/>
    <n v="2"/>
    <n v="1"/>
    <n v="9"/>
    <n v="3"/>
    <n v="2"/>
    <n v="2"/>
    <n v="2"/>
    <n v="2"/>
    <n v="1"/>
    <s v="Master"/>
    <s v="Medium"/>
    <s v="High"/>
    <x v="0"/>
    <s v="Very High"/>
    <s v="Excellent"/>
    <s v="Medium"/>
    <x v="2"/>
    <s v="Low"/>
    <x v="0"/>
  </r>
  <r>
    <x v="25"/>
    <x v="1"/>
    <x v="0"/>
    <n v="474"/>
    <x v="1"/>
    <n v="3"/>
    <n v="3"/>
    <x v="0"/>
    <n v="1581"/>
    <n v="1"/>
    <x v="0"/>
    <n v="3"/>
    <n v="1"/>
    <x v="1"/>
    <n v="4"/>
    <s v="Married"/>
    <n v="2061"/>
    <n v="1"/>
    <x v="1"/>
    <n v="21"/>
    <n v="4"/>
    <n v="1"/>
    <n v="0"/>
    <n v="1"/>
    <n v="5"/>
    <n v="3"/>
    <n v="1"/>
    <n v="0"/>
    <n v="0"/>
    <n v="0"/>
    <s v="Bachelor"/>
    <s v="Low"/>
    <s v="High"/>
    <x v="1"/>
    <s v="Very High"/>
    <s v="Outstanding"/>
    <s v="Low"/>
    <x v="1"/>
    <s v="No_stock"/>
    <x v="0"/>
  </r>
  <r>
    <x v="8"/>
    <x v="1"/>
    <x v="0"/>
    <n v="1245"/>
    <x v="0"/>
    <n v="14"/>
    <n v="3"/>
    <x v="0"/>
    <n v="1582"/>
    <n v="3"/>
    <x v="1"/>
    <n v="3"/>
    <n v="2"/>
    <x v="0"/>
    <n v="2"/>
    <s v="Married"/>
    <n v="9924"/>
    <n v="0"/>
    <x v="1"/>
    <n v="11"/>
    <n v="3"/>
    <n v="4"/>
    <n v="1"/>
    <n v="10"/>
    <n v="3"/>
    <n v="3"/>
    <n v="9"/>
    <n v="8"/>
    <n v="7"/>
    <n v="7"/>
    <s v="Bachelor"/>
    <s v="High"/>
    <s v="High"/>
    <x v="0"/>
    <s v="Medium"/>
    <s v="Excellent"/>
    <s v="Very High"/>
    <x v="1"/>
    <s v="Low"/>
    <x v="1"/>
  </r>
  <r>
    <x v="8"/>
    <x v="1"/>
    <x v="0"/>
    <n v="437"/>
    <x v="0"/>
    <n v="16"/>
    <n v="3"/>
    <x v="0"/>
    <n v="1583"/>
    <n v="2"/>
    <x v="0"/>
    <n v="3"/>
    <n v="2"/>
    <x v="0"/>
    <n v="2"/>
    <s v="Single"/>
    <n v="4198"/>
    <n v="2"/>
    <x v="1"/>
    <n v="12"/>
    <n v="3"/>
    <n v="2"/>
    <n v="0"/>
    <n v="8"/>
    <n v="5"/>
    <n v="4"/>
    <n v="3"/>
    <n v="2"/>
    <n v="1"/>
    <n v="2"/>
    <s v="Bachelor"/>
    <s v="Medium"/>
    <s v="High"/>
    <x v="0"/>
    <s v="Medium"/>
    <s v="Excellent"/>
    <s v="Medium"/>
    <x v="3"/>
    <s v="No_stock"/>
    <x v="2"/>
  </r>
  <r>
    <x v="9"/>
    <x v="1"/>
    <x v="0"/>
    <n v="884"/>
    <x v="0"/>
    <n v="1"/>
    <n v="4"/>
    <x v="0"/>
    <n v="1585"/>
    <n v="2"/>
    <x v="0"/>
    <n v="3"/>
    <n v="2"/>
    <x v="0"/>
    <n v="3"/>
    <s v="Single"/>
    <n v="6815"/>
    <n v="6"/>
    <x v="1"/>
    <n v="13"/>
    <n v="3"/>
    <n v="1"/>
    <n v="0"/>
    <n v="15"/>
    <n v="5"/>
    <n v="3"/>
    <n v="1"/>
    <n v="0"/>
    <n v="0"/>
    <n v="0"/>
    <s v="Master"/>
    <s v="Medium"/>
    <s v="High"/>
    <x v="0"/>
    <s v="High"/>
    <s v="Excellent"/>
    <s v="Low"/>
    <x v="1"/>
    <s v="No_stock"/>
    <x v="0"/>
  </r>
  <r>
    <x v="11"/>
    <x v="1"/>
    <x v="0"/>
    <n v="1370"/>
    <x v="1"/>
    <n v="3"/>
    <n v="1"/>
    <x v="2"/>
    <n v="1586"/>
    <n v="2"/>
    <x v="1"/>
    <n v="3"/>
    <n v="1"/>
    <x v="2"/>
    <n v="1"/>
    <s v="Single"/>
    <n v="4723"/>
    <n v="1"/>
    <x v="0"/>
    <n v="18"/>
    <n v="3"/>
    <n v="4"/>
    <n v="0"/>
    <n v="10"/>
    <n v="3"/>
    <n v="3"/>
    <n v="10"/>
    <n v="9"/>
    <n v="1"/>
    <n v="5"/>
    <s v="Before College"/>
    <s v="Medium"/>
    <s v="High"/>
    <x v="1"/>
    <s v="Low"/>
    <s v="Excellent"/>
    <s v="Very High"/>
    <x v="1"/>
    <s v="No_stock"/>
    <x v="0"/>
  </r>
  <r>
    <x v="10"/>
    <x v="1"/>
    <x v="0"/>
    <n v="670"/>
    <x v="1"/>
    <n v="10"/>
    <n v="4"/>
    <x v="2"/>
    <n v="1587"/>
    <n v="1"/>
    <x v="0"/>
    <n v="3"/>
    <n v="2"/>
    <x v="4"/>
    <n v="3"/>
    <s v="Single"/>
    <n v="6142"/>
    <n v="3"/>
    <x v="0"/>
    <n v="16"/>
    <n v="3"/>
    <n v="3"/>
    <n v="0"/>
    <n v="10"/>
    <n v="4"/>
    <n v="3"/>
    <n v="5"/>
    <n v="2"/>
    <n v="0"/>
    <n v="4"/>
    <s v="Master"/>
    <s v="Low"/>
    <s v="High"/>
    <x v="0"/>
    <s v="High"/>
    <s v="Excellent"/>
    <s v="High"/>
    <x v="1"/>
    <s v="No_stock"/>
    <x v="1"/>
  </r>
  <r>
    <x v="22"/>
    <x v="1"/>
    <x v="0"/>
    <n v="1462"/>
    <x v="0"/>
    <n v="6"/>
    <n v="3"/>
    <x v="2"/>
    <n v="1588"/>
    <n v="4"/>
    <x v="1"/>
    <n v="4"/>
    <n v="3"/>
    <x v="0"/>
    <n v="3"/>
    <s v="Married"/>
    <n v="8237"/>
    <n v="2"/>
    <x v="1"/>
    <n v="11"/>
    <n v="3"/>
    <n v="1"/>
    <n v="1"/>
    <n v="11"/>
    <n v="3"/>
    <n v="3"/>
    <n v="7"/>
    <n v="6"/>
    <n v="7"/>
    <n v="6"/>
    <s v="Bachelor"/>
    <s v="Very High"/>
    <s v="Very High"/>
    <x v="2"/>
    <s v="High"/>
    <s v="Excellent"/>
    <s v="Low"/>
    <x v="1"/>
    <s v="Low"/>
    <x v="1"/>
  </r>
  <r>
    <x v="11"/>
    <x v="1"/>
    <x v="1"/>
    <n v="995"/>
    <x v="1"/>
    <n v="2"/>
    <n v="1"/>
    <x v="0"/>
    <n v="1590"/>
    <n v="1"/>
    <x v="1"/>
    <n v="3"/>
    <n v="2"/>
    <x v="4"/>
    <n v="4"/>
    <s v="Divorced"/>
    <n v="8853"/>
    <n v="1"/>
    <x v="1"/>
    <n v="19"/>
    <n v="3"/>
    <n v="4"/>
    <n v="1"/>
    <n v="6"/>
    <n v="0"/>
    <n v="4"/>
    <n v="6"/>
    <n v="4"/>
    <n v="1"/>
    <n v="3"/>
    <s v="Before College"/>
    <s v="Low"/>
    <s v="High"/>
    <x v="0"/>
    <s v="Very High"/>
    <s v="Excellent"/>
    <s v="Very High"/>
    <x v="3"/>
    <s v="Low"/>
    <x v="0"/>
  </r>
  <r>
    <x v="24"/>
    <x v="1"/>
    <x v="0"/>
    <n v="264"/>
    <x v="0"/>
    <n v="9"/>
    <n v="3"/>
    <x v="3"/>
    <n v="1591"/>
    <n v="3"/>
    <x v="1"/>
    <n v="3"/>
    <n v="5"/>
    <x v="5"/>
    <n v="3"/>
    <s v="Married"/>
    <n v="19331"/>
    <n v="4"/>
    <x v="0"/>
    <n v="16"/>
    <n v="3"/>
    <n v="3"/>
    <n v="1"/>
    <n v="27"/>
    <n v="2"/>
    <n v="3"/>
    <n v="1"/>
    <n v="0"/>
    <n v="0"/>
    <n v="0"/>
    <s v="Bachelor"/>
    <s v="High"/>
    <s v="High"/>
    <x v="4"/>
    <s v="High"/>
    <s v="Excellent"/>
    <s v="High"/>
    <x v="1"/>
    <s v="Low"/>
    <x v="1"/>
  </r>
  <r>
    <x v="30"/>
    <x v="1"/>
    <x v="0"/>
    <n v="977"/>
    <x v="1"/>
    <n v="10"/>
    <n v="3"/>
    <x v="4"/>
    <n v="1592"/>
    <n v="4"/>
    <x v="1"/>
    <n v="4"/>
    <n v="1"/>
    <x v="1"/>
    <n v="3"/>
    <s v="Married"/>
    <n v="2073"/>
    <n v="2"/>
    <x v="1"/>
    <n v="16"/>
    <n v="3"/>
    <n v="4"/>
    <n v="1"/>
    <n v="4"/>
    <n v="2"/>
    <n v="3"/>
    <n v="2"/>
    <n v="2"/>
    <n v="2"/>
    <n v="2"/>
    <s v="Bachelor"/>
    <s v="Very High"/>
    <s v="Very High"/>
    <x v="1"/>
    <s v="High"/>
    <s v="Excellent"/>
    <s v="Very High"/>
    <x v="1"/>
    <s v="Low"/>
    <x v="1"/>
  </r>
  <r>
    <x v="9"/>
    <x v="1"/>
    <x v="1"/>
    <n v="1302"/>
    <x v="1"/>
    <n v="6"/>
    <n v="4"/>
    <x v="0"/>
    <n v="1594"/>
    <n v="1"/>
    <x v="1"/>
    <n v="4"/>
    <n v="2"/>
    <x v="2"/>
    <n v="1"/>
    <s v="Married"/>
    <n v="5562"/>
    <n v="3"/>
    <x v="0"/>
    <n v="13"/>
    <n v="3"/>
    <n v="4"/>
    <n v="1"/>
    <n v="9"/>
    <n v="3"/>
    <n v="3"/>
    <n v="3"/>
    <n v="2"/>
    <n v="0"/>
    <n v="2"/>
    <s v="Master"/>
    <s v="Low"/>
    <s v="Very High"/>
    <x v="0"/>
    <s v="Low"/>
    <s v="Excellent"/>
    <s v="Very High"/>
    <x v="1"/>
    <s v="Low"/>
    <x v="1"/>
  </r>
  <r>
    <x v="19"/>
    <x v="1"/>
    <x v="0"/>
    <n v="1059"/>
    <x v="1"/>
    <n v="9"/>
    <n v="2"/>
    <x v="1"/>
    <n v="1595"/>
    <n v="4"/>
    <x v="1"/>
    <n v="2"/>
    <n v="5"/>
    <x v="5"/>
    <n v="4"/>
    <s v="Single"/>
    <n v="19613"/>
    <n v="8"/>
    <x v="1"/>
    <n v="22"/>
    <n v="4"/>
    <n v="4"/>
    <n v="0"/>
    <n v="24"/>
    <n v="2"/>
    <n v="3"/>
    <n v="1"/>
    <n v="0"/>
    <n v="0"/>
    <n v="1"/>
    <s v="College"/>
    <s v="Very High"/>
    <s v="Medium"/>
    <x v="4"/>
    <s v="Very High"/>
    <s v="Outstanding"/>
    <s v="Very High"/>
    <x v="1"/>
    <s v="No_stock"/>
    <x v="1"/>
  </r>
  <r>
    <x v="10"/>
    <x v="1"/>
    <x v="0"/>
    <n v="750"/>
    <x v="1"/>
    <n v="28"/>
    <n v="3"/>
    <x v="0"/>
    <n v="1596"/>
    <n v="2"/>
    <x v="1"/>
    <n v="4"/>
    <n v="2"/>
    <x v="2"/>
    <n v="3"/>
    <s v="Married"/>
    <n v="3407"/>
    <n v="1"/>
    <x v="1"/>
    <n v="17"/>
    <n v="3"/>
    <n v="4"/>
    <n v="2"/>
    <n v="10"/>
    <n v="3"/>
    <n v="2"/>
    <n v="10"/>
    <n v="9"/>
    <n v="6"/>
    <n v="8"/>
    <s v="Bachelor"/>
    <s v="Medium"/>
    <s v="Very High"/>
    <x v="0"/>
    <s v="High"/>
    <s v="Excellent"/>
    <s v="Very High"/>
    <x v="2"/>
    <s v="Medium"/>
    <x v="2"/>
  </r>
  <r>
    <x v="13"/>
    <x v="1"/>
    <x v="1"/>
    <n v="653"/>
    <x v="1"/>
    <n v="10"/>
    <n v="4"/>
    <x v="4"/>
    <n v="1597"/>
    <n v="4"/>
    <x v="1"/>
    <n v="2"/>
    <n v="2"/>
    <x v="4"/>
    <n v="3"/>
    <s v="Married"/>
    <n v="5063"/>
    <n v="1"/>
    <x v="1"/>
    <n v="14"/>
    <n v="3"/>
    <n v="2"/>
    <n v="1"/>
    <n v="8"/>
    <n v="3"/>
    <n v="2"/>
    <n v="8"/>
    <n v="2"/>
    <n v="7"/>
    <n v="7"/>
    <s v="Master"/>
    <s v="Very High"/>
    <s v="Medium"/>
    <x v="0"/>
    <s v="High"/>
    <s v="Excellent"/>
    <s v="Medium"/>
    <x v="2"/>
    <s v="Low"/>
    <x v="1"/>
  </r>
  <r>
    <x v="32"/>
    <x v="1"/>
    <x v="0"/>
    <n v="118"/>
    <x v="0"/>
    <n v="14"/>
    <n v="2"/>
    <x v="0"/>
    <n v="1598"/>
    <n v="4"/>
    <x v="0"/>
    <n v="3"/>
    <n v="2"/>
    <x v="0"/>
    <n v="1"/>
    <s v="Married"/>
    <n v="4639"/>
    <n v="1"/>
    <x v="1"/>
    <n v="15"/>
    <n v="3"/>
    <n v="3"/>
    <n v="1"/>
    <n v="5"/>
    <n v="2"/>
    <n v="3"/>
    <n v="5"/>
    <n v="4"/>
    <n v="1"/>
    <n v="2"/>
    <s v="College"/>
    <s v="Very High"/>
    <s v="High"/>
    <x v="0"/>
    <s v="Low"/>
    <s v="Excellent"/>
    <s v="High"/>
    <x v="1"/>
    <s v="Low"/>
    <x v="1"/>
  </r>
  <r>
    <x v="23"/>
    <x v="1"/>
    <x v="0"/>
    <n v="990"/>
    <x v="1"/>
    <n v="27"/>
    <n v="3"/>
    <x v="4"/>
    <n v="1599"/>
    <n v="4"/>
    <x v="1"/>
    <n v="4"/>
    <n v="1"/>
    <x v="2"/>
    <n v="2"/>
    <s v="Divorced"/>
    <n v="4876"/>
    <n v="5"/>
    <x v="1"/>
    <n v="12"/>
    <n v="3"/>
    <n v="3"/>
    <n v="1"/>
    <n v="8"/>
    <n v="0"/>
    <n v="3"/>
    <n v="6"/>
    <n v="4"/>
    <n v="0"/>
    <n v="2"/>
    <s v="Bachelor"/>
    <s v="Very High"/>
    <s v="Very High"/>
    <x v="1"/>
    <s v="Medium"/>
    <s v="Excellent"/>
    <s v="High"/>
    <x v="1"/>
    <s v="Low"/>
    <x v="2"/>
  </r>
  <r>
    <x v="10"/>
    <x v="1"/>
    <x v="0"/>
    <n v="1349"/>
    <x v="1"/>
    <n v="7"/>
    <n v="2"/>
    <x v="0"/>
    <n v="1601"/>
    <n v="3"/>
    <x v="1"/>
    <n v="2"/>
    <n v="1"/>
    <x v="2"/>
    <n v="4"/>
    <s v="Married"/>
    <n v="2690"/>
    <n v="1"/>
    <x v="1"/>
    <n v="18"/>
    <n v="3"/>
    <n v="4"/>
    <n v="1"/>
    <n v="1"/>
    <n v="5"/>
    <n v="2"/>
    <n v="1"/>
    <n v="0"/>
    <n v="0"/>
    <n v="1"/>
    <s v="College"/>
    <s v="High"/>
    <s v="Medium"/>
    <x v="1"/>
    <s v="Very High"/>
    <s v="Excellent"/>
    <s v="Very High"/>
    <x v="2"/>
    <s v="Low"/>
    <x v="1"/>
  </r>
  <r>
    <x v="21"/>
    <x v="1"/>
    <x v="0"/>
    <n v="563"/>
    <x v="0"/>
    <n v="1"/>
    <n v="4"/>
    <x v="0"/>
    <n v="1602"/>
    <n v="4"/>
    <x v="1"/>
    <n v="4"/>
    <n v="4"/>
    <x v="5"/>
    <n v="1"/>
    <s v="Single"/>
    <n v="17567"/>
    <n v="1"/>
    <x v="1"/>
    <n v="15"/>
    <n v="3"/>
    <n v="2"/>
    <n v="0"/>
    <n v="27"/>
    <n v="5"/>
    <n v="1"/>
    <n v="26"/>
    <n v="0"/>
    <n v="0"/>
    <n v="12"/>
    <s v="Master"/>
    <s v="Very High"/>
    <s v="Very High"/>
    <x v="3"/>
    <s v="Low"/>
    <s v="Excellent"/>
    <s v="Medium"/>
    <x v="0"/>
    <s v="No_stock"/>
    <x v="0"/>
  </r>
  <r>
    <x v="14"/>
    <x v="0"/>
    <x v="0"/>
    <n v="329"/>
    <x v="1"/>
    <n v="24"/>
    <n v="3"/>
    <x v="2"/>
    <n v="1604"/>
    <n v="3"/>
    <x v="1"/>
    <n v="3"/>
    <n v="1"/>
    <x v="2"/>
    <n v="2"/>
    <s v="Married"/>
    <n v="2408"/>
    <n v="1"/>
    <x v="0"/>
    <n v="17"/>
    <n v="3"/>
    <n v="3"/>
    <n v="3"/>
    <n v="1"/>
    <n v="3"/>
    <n v="3"/>
    <n v="1"/>
    <n v="1"/>
    <n v="0"/>
    <n v="0"/>
    <s v="Bachelor"/>
    <s v="High"/>
    <s v="High"/>
    <x v="1"/>
    <s v="Medium"/>
    <s v="Excellent"/>
    <s v="High"/>
    <x v="1"/>
    <s v="High"/>
    <x v="2"/>
  </r>
  <r>
    <x v="15"/>
    <x v="1"/>
    <x v="2"/>
    <n v="457"/>
    <x v="1"/>
    <n v="26"/>
    <n v="2"/>
    <x v="1"/>
    <n v="1605"/>
    <n v="2"/>
    <x v="0"/>
    <n v="2"/>
    <n v="1"/>
    <x v="1"/>
    <n v="3"/>
    <s v="Married"/>
    <n v="2814"/>
    <n v="1"/>
    <x v="0"/>
    <n v="14"/>
    <n v="3"/>
    <n v="2"/>
    <n v="0"/>
    <n v="4"/>
    <n v="2"/>
    <n v="2"/>
    <n v="4"/>
    <n v="2"/>
    <n v="1"/>
    <n v="3"/>
    <s v="College"/>
    <s v="Medium"/>
    <s v="Medium"/>
    <x v="1"/>
    <s v="High"/>
    <s v="Excellent"/>
    <s v="Medium"/>
    <x v="2"/>
    <s v="No_stock"/>
    <x v="2"/>
  </r>
  <r>
    <x v="24"/>
    <x v="1"/>
    <x v="1"/>
    <n v="1234"/>
    <x v="1"/>
    <n v="20"/>
    <n v="5"/>
    <x v="2"/>
    <n v="1606"/>
    <n v="2"/>
    <x v="1"/>
    <n v="3"/>
    <n v="4"/>
    <x v="4"/>
    <n v="3"/>
    <s v="Married"/>
    <n v="11245"/>
    <n v="2"/>
    <x v="0"/>
    <n v="15"/>
    <n v="3"/>
    <n v="3"/>
    <n v="1"/>
    <n v="32"/>
    <n v="3"/>
    <n v="3"/>
    <n v="30"/>
    <n v="8"/>
    <n v="12"/>
    <n v="13"/>
    <s v="Doctor"/>
    <s v="Medium"/>
    <s v="High"/>
    <x v="3"/>
    <s v="High"/>
    <s v="Excellent"/>
    <s v="High"/>
    <x v="1"/>
    <s v="Low"/>
    <x v="2"/>
  </r>
  <r>
    <x v="5"/>
    <x v="1"/>
    <x v="0"/>
    <n v="634"/>
    <x v="1"/>
    <n v="5"/>
    <n v="4"/>
    <x v="1"/>
    <n v="1607"/>
    <n v="2"/>
    <x v="0"/>
    <n v="4"/>
    <n v="1"/>
    <x v="1"/>
    <n v="4"/>
    <s v="Married"/>
    <n v="3312"/>
    <n v="3"/>
    <x v="1"/>
    <n v="17"/>
    <n v="3"/>
    <n v="4"/>
    <n v="2"/>
    <n v="6"/>
    <n v="3"/>
    <n v="3"/>
    <n v="3"/>
    <n v="2"/>
    <n v="0"/>
    <n v="2"/>
    <s v="Master"/>
    <s v="Medium"/>
    <s v="Very High"/>
    <x v="1"/>
    <s v="Very High"/>
    <s v="Excellent"/>
    <s v="Very High"/>
    <x v="1"/>
    <s v="Medium"/>
    <x v="0"/>
  </r>
  <r>
    <x v="20"/>
    <x v="1"/>
    <x v="0"/>
    <n v="1313"/>
    <x v="1"/>
    <n v="7"/>
    <n v="3"/>
    <x v="2"/>
    <n v="1608"/>
    <n v="2"/>
    <x v="0"/>
    <n v="3"/>
    <n v="5"/>
    <x v="7"/>
    <n v="4"/>
    <s v="Divorced"/>
    <n v="19049"/>
    <n v="0"/>
    <x v="0"/>
    <n v="14"/>
    <n v="3"/>
    <n v="4"/>
    <n v="1"/>
    <n v="23"/>
    <n v="4"/>
    <n v="2"/>
    <n v="22"/>
    <n v="7"/>
    <n v="1"/>
    <n v="10"/>
    <s v="Bachelor"/>
    <s v="Medium"/>
    <s v="High"/>
    <x v="4"/>
    <s v="Very High"/>
    <s v="Excellent"/>
    <s v="Very High"/>
    <x v="2"/>
    <s v="Low"/>
    <x v="1"/>
  </r>
  <r>
    <x v="7"/>
    <x v="1"/>
    <x v="0"/>
    <n v="241"/>
    <x v="1"/>
    <n v="7"/>
    <n v="3"/>
    <x v="2"/>
    <n v="1609"/>
    <n v="2"/>
    <x v="1"/>
    <n v="2"/>
    <n v="1"/>
    <x v="1"/>
    <n v="2"/>
    <s v="Married"/>
    <n v="2141"/>
    <n v="1"/>
    <x v="1"/>
    <n v="12"/>
    <n v="3"/>
    <n v="2"/>
    <n v="1"/>
    <n v="6"/>
    <n v="3"/>
    <n v="2"/>
    <n v="6"/>
    <n v="4"/>
    <n v="1"/>
    <n v="1"/>
    <s v="Bachelor"/>
    <s v="Medium"/>
    <s v="Medium"/>
    <x v="1"/>
    <s v="Medium"/>
    <s v="Excellent"/>
    <s v="Medium"/>
    <x v="2"/>
    <s v="Low"/>
    <x v="1"/>
  </r>
  <r>
    <x v="28"/>
    <x v="1"/>
    <x v="0"/>
    <n v="1015"/>
    <x v="1"/>
    <n v="5"/>
    <n v="5"/>
    <x v="2"/>
    <n v="1611"/>
    <n v="3"/>
    <x v="0"/>
    <n v="1"/>
    <n v="2"/>
    <x v="2"/>
    <n v="1"/>
    <s v="Single"/>
    <n v="5769"/>
    <n v="1"/>
    <x v="0"/>
    <n v="14"/>
    <n v="3"/>
    <n v="1"/>
    <n v="0"/>
    <n v="10"/>
    <n v="3"/>
    <n v="3"/>
    <n v="10"/>
    <n v="7"/>
    <n v="1"/>
    <n v="4"/>
    <s v="Doctor"/>
    <s v="High"/>
    <s v="Low"/>
    <x v="0"/>
    <s v="Low"/>
    <s v="Excellent"/>
    <s v="Low"/>
    <x v="1"/>
    <s v="No_stock"/>
    <x v="0"/>
  </r>
  <r>
    <x v="28"/>
    <x v="1"/>
    <x v="2"/>
    <n v="336"/>
    <x v="0"/>
    <n v="26"/>
    <n v="3"/>
    <x v="3"/>
    <n v="1612"/>
    <n v="1"/>
    <x v="1"/>
    <n v="2"/>
    <n v="2"/>
    <x v="0"/>
    <n v="1"/>
    <s v="Married"/>
    <n v="4385"/>
    <n v="1"/>
    <x v="1"/>
    <n v="15"/>
    <n v="3"/>
    <n v="1"/>
    <n v="1"/>
    <n v="10"/>
    <n v="2"/>
    <n v="3"/>
    <n v="10"/>
    <n v="7"/>
    <n v="4"/>
    <n v="5"/>
    <s v="Bachelor"/>
    <s v="Low"/>
    <s v="Medium"/>
    <x v="0"/>
    <s v="Low"/>
    <s v="Excellent"/>
    <s v="Low"/>
    <x v="1"/>
    <s v="Low"/>
    <x v="2"/>
  </r>
  <r>
    <x v="12"/>
    <x v="1"/>
    <x v="1"/>
    <n v="715"/>
    <x v="0"/>
    <n v="2"/>
    <n v="4"/>
    <x v="1"/>
    <n v="1613"/>
    <n v="4"/>
    <x v="1"/>
    <n v="3"/>
    <n v="2"/>
    <x v="0"/>
    <n v="1"/>
    <s v="Single"/>
    <n v="5332"/>
    <n v="7"/>
    <x v="1"/>
    <n v="13"/>
    <n v="3"/>
    <n v="4"/>
    <n v="0"/>
    <n v="10"/>
    <n v="3"/>
    <n v="3"/>
    <n v="5"/>
    <n v="2"/>
    <n v="0"/>
    <n v="3"/>
    <s v="Master"/>
    <s v="Very High"/>
    <s v="High"/>
    <x v="0"/>
    <s v="Low"/>
    <s v="Excellent"/>
    <s v="Very High"/>
    <x v="1"/>
    <s v="No_stock"/>
    <x v="0"/>
  </r>
  <r>
    <x v="9"/>
    <x v="1"/>
    <x v="0"/>
    <n v="559"/>
    <x v="1"/>
    <n v="12"/>
    <n v="4"/>
    <x v="0"/>
    <n v="1614"/>
    <n v="3"/>
    <x v="0"/>
    <n v="3"/>
    <n v="2"/>
    <x v="3"/>
    <n v="3"/>
    <s v="Married"/>
    <n v="4663"/>
    <n v="9"/>
    <x v="0"/>
    <n v="12"/>
    <n v="3"/>
    <n v="2"/>
    <n v="2"/>
    <n v="7"/>
    <n v="2"/>
    <n v="3"/>
    <n v="3"/>
    <n v="2"/>
    <n v="1"/>
    <n v="1"/>
    <s v="Master"/>
    <s v="High"/>
    <s v="High"/>
    <x v="0"/>
    <s v="High"/>
    <s v="Excellent"/>
    <s v="Medium"/>
    <x v="1"/>
    <s v="Medium"/>
    <x v="1"/>
  </r>
  <r>
    <x v="13"/>
    <x v="1"/>
    <x v="1"/>
    <n v="426"/>
    <x v="1"/>
    <n v="10"/>
    <n v="4"/>
    <x v="0"/>
    <n v="1615"/>
    <n v="3"/>
    <x v="1"/>
    <n v="4"/>
    <n v="2"/>
    <x v="3"/>
    <n v="4"/>
    <s v="Divorced"/>
    <n v="4724"/>
    <n v="1"/>
    <x v="1"/>
    <n v="13"/>
    <n v="3"/>
    <n v="1"/>
    <n v="1"/>
    <n v="9"/>
    <n v="3"/>
    <n v="3"/>
    <n v="9"/>
    <n v="7"/>
    <n v="7"/>
    <n v="2"/>
    <s v="Master"/>
    <s v="High"/>
    <s v="Very High"/>
    <x v="0"/>
    <s v="Very High"/>
    <s v="Excellent"/>
    <s v="Low"/>
    <x v="1"/>
    <s v="Low"/>
    <x v="1"/>
  </r>
  <r>
    <x v="1"/>
    <x v="1"/>
    <x v="0"/>
    <n v="722"/>
    <x v="1"/>
    <n v="25"/>
    <n v="4"/>
    <x v="0"/>
    <n v="1617"/>
    <n v="3"/>
    <x v="0"/>
    <n v="3"/>
    <n v="1"/>
    <x v="2"/>
    <n v="1"/>
    <s v="Married"/>
    <n v="3211"/>
    <n v="1"/>
    <x v="1"/>
    <n v="14"/>
    <n v="3"/>
    <n v="4"/>
    <n v="1"/>
    <n v="10"/>
    <n v="3"/>
    <n v="2"/>
    <n v="9"/>
    <n v="6"/>
    <n v="1"/>
    <n v="4"/>
    <s v="Master"/>
    <s v="High"/>
    <s v="High"/>
    <x v="1"/>
    <s v="Low"/>
    <s v="Excellent"/>
    <s v="Very High"/>
    <x v="2"/>
    <s v="Low"/>
    <x v="2"/>
  </r>
  <r>
    <x v="22"/>
    <x v="1"/>
    <x v="0"/>
    <n v="1387"/>
    <x v="1"/>
    <n v="10"/>
    <n v="5"/>
    <x v="2"/>
    <n v="1618"/>
    <n v="2"/>
    <x v="1"/>
    <n v="3"/>
    <n v="2"/>
    <x v="3"/>
    <n v="1"/>
    <s v="Married"/>
    <n v="5377"/>
    <n v="2"/>
    <x v="1"/>
    <n v="13"/>
    <n v="3"/>
    <n v="4"/>
    <n v="3"/>
    <n v="10"/>
    <n v="3"/>
    <n v="3"/>
    <n v="7"/>
    <n v="7"/>
    <n v="7"/>
    <n v="7"/>
    <s v="Doctor"/>
    <s v="Medium"/>
    <s v="High"/>
    <x v="0"/>
    <s v="Low"/>
    <s v="Excellent"/>
    <s v="Very High"/>
    <x v="1"/>
    <s v="High"/>
    <x v="1"/>
  </r>
  <r>
    <x v="4"/>
    <x v="1"/>
    <x v="0"/>
    <n v="1302"/>
    <x v="1"/>
    <n v="19"/>
    <n v="3"/>
    <x v="1"/>
    <n v="1619"/>
    <n v="4"/>
    <x v="1"/>
    <n v="2"/>
    <n v="1"/>
    <x v="2"/>
    <n v="1"/>
    <s v="Divorced"/>
    <n v="4066"/>
    <n v="1"/>
    <x v="1"/>
    <n v="11"/>
    <n v="3"/>
    <n v="1"/>
    <n v="2"/>
    <n v="7"/>
    <n v="3"/>
    <n v="3"/>
    <n v="7"/>
    <n v="7"/>
    <n v="0"/>
    <n v="7"/>
    <s v="Bachelor"/>
    <s v="Very High"/>
    <s v="Medium"/>
    <x v="1"/>
    <s v="Low"/>
    <s v="Excellent"/>
    <s v="Low"/>
    <x v="1"/>
    <s v="Medium"/>
    <x v="2"/>
  </r>
  <r>
    <x v="10"/>
    <x v="1"/>
    <x v="0"/>
    <n v="819"/>
    <x v="1"/>
    <n v="18"/>
    <n v="5"/>
    <x v="0"/>
    <n v="1621"/>
    <n v="2"/>
    <x v="1"/>
    <n v="4"/>
    <n v="2"/>
    <x v="1"/>
    <n v="1"/>
    <s v="Married"/>
    <n v="5208"/>
    <n v="1"/>
    <x v="1"/>
    <n v="11"/>
    <n v="3"/>
    <n v="4"/>
    <n v="0"/>
    <n v="16"/>
    <n v="2"/>
    <n v="3"/>
    <n v="16"/>
    <n v="15"/>
    <n v="1"/>
    <n v="10"/>
    <s v="Doctor"/>
    <s v="Medium"/>
    <s v="Very High"/>
    <x v="0"/>
    <s v="Low"/>
    <s v="Excellent"/>
    <s v="Very High"/>
    <x v="1"/>
    <s v="No_stock"/>
    <x v="2"/>
  </r>
  <r>
    <x v="14"/>
    <x v="1"/>
    <x v="0"/>
    <n v="580"/>
    <x v="1"/>
    <n v="27"/>
    <n v="3"/>
    <x v="2"/>
    <n v="1622"/>
    <n v="2"/>
    <x v="0"/>
    <n v="1"/>
    <n v="2"/>
    <x v="3"/>
    <n v="1"/>
    <s v="Divorced"/>
    <n v="4877"/>
    <n v="0"/>
    <x v="1"/>
    <n v="21"/>
    <n v="4"/>
    <n v="2"/>
    <n v="1"/>
    <n v="6"/>
    <n v="5"/>
    <n v="2"/>
    <n v="5"/>
    <n v="3"/>
    <n v="0"/>
    <n v="0"/>
    <s v="Bachelor"/>
    <s v="Medium"/>
    <s v="Low"/>
    <x v="0"/>
    <s v="Low"/>
    <s v="Outstanding"/>
    <s v="Medium"/>
    <x v="2"/>
    <s v="Low"/>
    <x v="2"/>
  </r>
  <r>
    <x v="18"/>
    <x v="1"/>
    <x v="0"/>
    <n v="546"/>
    <x v="1"/>
    <n v="5"/>
    <n v="1"/>
    <x v="2"/>
    <n v="1623"/>
    <n v="3"/>
    <x v="1"/>
    <n v="3"/>
    <n v="1"/>
    <x v="1"/>
    <n v="4"/>
    <s v="Single"/>
    <n v="3117"/>
    <n v="1"/>
    <x v="1"/>
    <n v="18"/>
    <n v="3"/>
    <n v="3"/>
    <n v="0"/>
    <n v="3"/>
    <n v="2"/>
    <n v="3"/>
    <n v="2"/>
    <n v="2"/>
    <n v="2"/>
    <n v="2"/>
    <s v="Before College"/>
    <s v="High"/>
    <s v="High"/>
    <x v="1"/>
    <s v="Very High"/>
    <s v="Excellent"/>
    <s v="High"/>
    <x v="1"/>
    <s v="No_stock"/>
    <x v="0"/>
  </r>
  <r>
    <x v="41"/>
    <x v="0"/>
    <x v="1"/>
    <n v="544"/>
    <x v="0"/>
    <n v="3"/>
    <n v="2"/>
    <x v="2"/>
    <n v="1624"/>
    <n v="2"/>
    <x v="0"/>
    <n v="3"/>
    <n v="1"/>
    <x v="6"/>
    <n v="4"/>
    <s v="Single"/>
    <n v="1569"/>
    <n v="1"/>
    <x v="0"/>
    <n v="12"/>
    <n v="3"/>
    <n v="3"/>
    <n v="0"/>
    <n v="0"/>
    <n v="2"/>
    <n v="4"/>
    <n v="0"/>
    <n v="0"/>
    <n v="0"/>
    <n v="0"/>
    <s v="College"/>
    <s v="Medium"/>
    <s v="High"/>
    <x v="1"/>
    <s v="Very High"/>
    <s v="Excellent"/>
    <s v="High"/>
    <x v="3"/>
    <s v="No_stock"/>
    <x v="0"/>
  </r>
  <r>
    <x v="40"/>
    <x v="1"/>
    <x v="0"/>
    <n v="1176"/>
    <x v="2"/>
    <n v="26"/>
    <n v="4"/>
    <x v="0"/>
    <n v="1625"/>
    <n v="4"/>
    <x v="0"/>
    <n v="3"/>
    <n v="5"/>
    <x v="5"/>
    <n v="3"/>
    <s v="Married"/>
    <n v="19658"/>
    <n v="3"/>
    <x v="1"/>
    <n v="11"/>
    <n v="3"/>
    <n v="3"/>
    <n v="1"/>
    <n v="27"/>
    <n v="2"/>
    <n v="3"/>
    <n v="5"/>
    <n v="2"/>
    <n v="1"/>
    <n v="0"/>
    <s v="Master"/>
    <s v="Very High"/>
    <s v="High"/>
    <x v="4"/>
    <s v="High"/>
    <s v="Excellent"/>
    <s v="High"/>
    <x v="1"/>
    <s v="Low"/>
    <x v="2"/>
  </r>
  <r>
    <x v="22"/>
    <x v="1"/>
    <x v="0"/>
    <n v="170"/>
    <x v="1"/>
    <n v="3"/>
    <n v="2"/>
    <x v="2"/>
    <n v="1627"/>
    <n v="3"/>
    <x v="1"/>
    <n v="2"/>
    <n v="2"/>
    <x v="2"/>
    <n v="3"/>
    <s v="Divorced"/>
    <n v="3069"/>
    <n v="0"/>
    <x v="1"/>
    <n v="15"/>
    <n v="3"/>
    <n v="4"/>
    <n v="1"/>
    <n v="11"/>
    <n v="3"/>
    <n v="3"/>
    <n v="10"/>
    <n v="8"/>
    <n v="0"/>
    <n v="7"/>
    <s v="College"/>
    <s v="High"/>
    <s v="Medium"/>
    <x v="0"/>
    <s v="High"/>
    <s v="Excellent"/>
    <s v="Very High"/>
    <x v="1"/>
    <s v="Low"/>
    <x v="0"/>
  </r>
  <r>
    <x v="32"/>
    <x v="1"/>
    <x v="0"/>
    <n v="884"/>
    <x v="1"/>
    <n v="15"/>
    <n v="3"/>
    <x v="0"/>
    <n v="1628"/>
    <n v="1"/>
    <x v="0"/>
    <n v="2"/>
    <n v="3"/>
    <x v="3"/>
    <n v="3"/>
    <s v="Married"/>
    <n v="10435"/>
    <n v="1"/>
    <x v="1"/>
    <n v="13"/>
    <n v="3"/>
    <n v="4"/>
    <n v="2"/>
    <n v="18"/>
    <n v="2"/>
    <n v="3"/>
    <n v="18"/>
    <n v="15"/>
    <n v="14"/>
    <n v="12"/>
    <s v="Bachelor"/>
    <s v="Low"/>
    <s v="Medium"/>
    <x v="2"/>
    <s v="High"/>
    <s v="Excellent"/>
    <s v="Very High"/>
    <x v="1"/>
    <s v="Medium"/>
    <x v="1"/>
  </r>
  <r>
    <x v="10"/>
    <x v="1"/>
    <x v="2"/>
    <n v="208"/>
    <x v="1"/>
    <n v="8"/>
    <n v="4"/>
    <x v="0"/>
    <n v="1630"/>
    <n v="3"/>
    <x v="0"/>
    <n v="3"/>
    <n v="2"/>
    <x v="4"/>
    <n v="3"/>
    <s v="Married"/>
    <n v="4148"/>
    <n v="1"/>
    <x v="1"/>
    <n v="12"/>
    <n v="3"/>
    <n v="4"/>
    <n v="1"/>
    <n v="15"/>
    <n v="5"/>
    <n v="3"/>
    <n v="14"/>
    <n v="11"/>
    <n v="2"/>
    <n v="9"/>
    <s v="Master"/>
    <s v="High"/>
    <s v="High"/>
    <x v="0"/>
    <s v="High"/>
    <s v="Excellent"/>
    <s v="Very High"/>
    <x v="1"/>
    <s v="Low"/>
    <x v="1"/>
  </r>
  <r>
    <x v="2"/>
    <x v="1"/>
    <x v="0"/>
    <n v="671"/>
    <x v="1"/>
    <n v="19"/>
    <n v="3"/>
    <x v="0"/>
    <n v="1631"/>
    <n v="3"/>
    <x v="1"/>
    <n v="3"/>
    <n v="2"/>
    <x v="3"/>
    <n v="3"/>
    <s v="Married"/>
    <n v="5768"/>
    <n v="3"/>
    <x v="1"/>
    <n v="17"/>
    <n v="3"/>
    <n v="1"/>
    <n v="3"/>
    <n v="9"/>
    <n v="2"/>
    <n v="2"/>
    <n v="4"/>
    <n v="3"/>
    <n v="0"/>
    <n v="2"/>
    <s v="Bachelor"/>
    <s v="High"/>
    <s v="High"/>
    <x v="0"/>
    <s v="High"/>
    <s v="Excellent"/>
    <s v="Low"/>
    <x v="2"/>
    <s v="High"/>
    <x v="2"/>
  </r>
  <r>
    <x v="22"/>
    <x v="1"/>
    <x v="1"/>
    <n v="711"/>
    <x v="1"/>
    <n v="4"/>
    <n v="3"/>
    <x v="2"/>
    <n v="1633"/>
    <n v="1"/>
    <x v="0"/>
    <n v="3"/>
    <n v="2"/>
    <x v="3"/>
    <n v="3"/>
    <s v="Single"/>
    <n v="5042"/>
    <n v="0"/>
    <x v="1"/>
    <n v="13"/>
    <n v="3"/>
    <n v="4"/>
    <n v="0"/>
    <n v="10"/>
    <n v="2"/>
    <n v="1"/>
    <n v="9"/>
    <n v="2"/>
    <n v="3"/>
    <n v="8"/>
    <s v="Bachelor"/>
    <s v="Low"/>
    <s v="High"/>
    <x v="0"/>
    <s v="High"/>
    <s v="Excellent"/>
    <s v="Very High"/>
    <x v="0"/>
    <s v="No_stock"/>
    <x v="0"/>
  </r>
  <r>
    <x v="28"/>
    <x v="1"/>
    <x v="0"/>
    <n v="1329"/>
    <x v="1"/>
    <n v="2"/>
    <n v="2"/>
    <x v="1"/>
    <n v="1635"/>
    <n v="4"/>
    <x v="0"/>
    <n v="2"/>
    <n v="2"/>
    <x v="3"/>
    <n v="4"/>
    <s v="Divorced"/>
    <n v="5770"/>
    <n v="1"/>
    <x v="1"/>
    <n v="19"/>
    <n v="3"/>
    <n v="1"/>
    <n v="2"/>
    <n v="10"/>
    <n v="3"/>
    <n v="3"/>
    <n v="10"/>
    <n v="7"/>
    <n v="3"/>
    <n v="9"/>
    <s v="College"/>
    <s v="Very High"/>
    <s v="Medium"/>
    <x v="0"/>
    <s v="Very High"/>
    <s v="Excellent"/>
    <s v="Low"/>
    <x v="1"/>
    <s v="Medium"/>
    <x v="0"/>
  </r>
  <r>
    <x v="8"/>
    <x v="1"/>
    <x v="0"/>
    <n v="397"/>
    <x v="1"/>
    <n v="2"/>
    <n v="2"/>
    <x v="2"/>
    <n v="1638"/>
    <n v="4"/>
    <x v="0"/>
    <n v="2"/>
    <n v="3"/>
    <x v="3"/>
    <n v="3"/>
    <s v="Married"/>
    <n v="7756"/>
    <n v="3"/>
    <x v="0"/>
    <n v="19"/>
    <n v="3"/>
    <n v="4"/>
    <n v="1"/>
    <n v="10"/>
    <n v="6"/>
    <n v="4"/>
    <n v="5"/>
    <n v="4"/>
    <n v="0"/>
    <n v="2"/>
    <s v="College"/>
    <s v="Very High"/>
    <s v="Medium"/>
    <x v="2"/>
    <s v="High"/>
    <s v="Excellent"/>
    <s v="Very High"/>
    <x v="3"/>
    <s v="Low"/>
    <x v="0"/>
  </r>
  <r>
    <x v="10"/>
    <x v="0"/>
    <x v="0"/>
    <n v="737"/>
    <x v="0"/>
    <n v="10"/>
    <n v="3"/>
    <x v="2"/>
    <n v="1639"/>
    <n v="4"/>
    <x v="1"/>
    <n v="2"/>
    <n v="3"/>
    <x v="0"/>
    <n v="1"/>
    <s v="Married"/>
    <n v="10306"/>
    <n v="9"/>
    <x v="1"/>
    <n v="17"/>
    <n v="3"/>
    <n v="3"/>
    <n v="0"/>
    <n v="15"/>
    <n v="3"/>
    <n v="3"/>
    <n v="13"/>
    <n v="12"/>
    <n v="6"/>
    <n v="0"/>
    <s v="Bachelor"/>
    <s v="Very High"/>
    <s v="Medium"/>
    <x v="2"/>
    <s v="Low"/>
    <s v="Excellent"/>
    <s v="High"/>
    <x v="1"/>
    <s v="No_stock"/>
    <x v="1"/>
  </r>
  <r>
    <x v="2"/>
    <x v="1"/>
    <x v="0"/>
    <n v="1470"/>
    <x v="1"/>
    <n v="10"/>
    <n v="3"/>
    <x v="2"/>
    <n v="1640"/>
    <n v="2"/>
    <x v="0"/>
    <n v="3"/>
    <n v="1"/>
    <x v="1"/>
    <n v="2"/>
    <s v="Married"/>
    <n v="3936"/>
    <n v="1"/>
    <x v="1"/>
    <n v="11"/>
    <n v="3"/>
    <n v="1"/>
    <n v="1"/>
    <n v="8"/>
    <n v="2"/>
    <n v="1"/>
    <n v="8"/>
    <n v="4"/>
    <n v="7"/>
    <n v="7"/>
    <s v="Bachelor"/>
    <s v="Medium"/>
    <s v="High"/>
    <x v="1"/>
    <s v="Medium"/>
    <s v="Excellent"/>
    <s v="Low"/>
    <x v="0"/>
    <s v="Low"/>
    <x v="1"/>
  </r>
  <r>
    <x v="32"/>
    <x v="1"/>
    <x v="0"/>
    <n v="448"/>
    <x v="1"/>
    <n v="16"/>
    <n v="3"/>
    <x v="0"/>
    <n v="1641"/>
    <n v="3"/>
    <x v="0"/>
    <n v="3"/>
    <n v="3"/>
    <x v="3"/>
    <n v="4"/>
    <s v="Single"/>
    <n v="7945"/>
    <n v="6"/>
    <x v="0"/>
    <n v="15"/>
    <n v="3"/>
    <n v="4"/>
    <n v="0"/>
    <n v="18"/>
    <n v="2"/>
    <n v="2"/>
    <n v="4"/>
    <n v="2"/>
    <n v="3"/>
    <n v="3"/>
    <s v="Bachelor"/>
    <s v="High"/>
    <s v="High"/>
    <x v="2"/>
    <s v="Very High"/>
    <s v="Excellent"/>
    <s v="Very High"/>
    <x v="2"/>
    <s v="No_stock"/>
    <x v="2"/>
  </r>
  <r>
    <x v="20"/>
    <x v="1"/>
    <x v="1"/>
    <n v="602"/>
    <x v="2"/>
    <n v="1"/>
    <n v="5"/>
    <x v="5"/>
    <n v="1642"/>
    <n v="1"/>
    <x v="1"/>
    <n v="3"/>
    <n v="2"/>
    <x v="8"/>
    <n v="4"/>
    <s v="Married"/>
    <n v="5743"/>
    <n v="4"/>
    <x v="0"/>
    <n v="11"/>
    <n v="3"/>
    <n v="3"/>
    <n v="0"/>
    <n v="14"/>
    <n v="3"/>
    <n v="3"/>
    <n v="10"/>
    <n v="7"/>
    <n v="0"/>
    <n v="2"/>
    <s v="Doctor"/>
    <s v="Low"/>
    <s v="High"/>
    <x v="0"/>
    <s v="Very High"/>
    <s v="Excellent"/>
    <s v="High"/>
    <x v="1"/>
    <s v="No_stock"/>
    <x v="0"/>
  </r>
  <r>
    <x v="26"/>
    <x v="1"/>
    <x v="1"/>
    <n v="365"/>
    <x v="1"/>
    <n v="4"/>
    <n v="5"/>
    <x v="2"/>
    <n v="1644"/>
    <n v="3"/>
    <x v="1"/>
    <n v="2"/>
    <n v="4"/>
    <x v="5"/>
    <n v="4"/>
    <s v="Married"/>
    <n v="15202"/>
    <n v="2"/>
    <x v="1"/>
    <n v="25"/>
    <n v="4"/>
    <n v="2"/>
    <n v="1"/>
    <n v="23"/>
    <n v="3"/>
    <n v="3"/>
    <n v="2"/>
    <n v="2"/>
    <n v="2"/>
    <n v="2"/>
    <s v="Doctor"/>
    <s v="High"/>
    <s v="Medium"/>
    <x v="3"/>
    <s v="Very High"/>
    <s v="Outstanding"/>
    <s v="Medium"/>
    <x v="1"/>
    <s v="Low"/>
    <x v="0"/>
  </r>
  <r>
    <x v="10"/>
    <x v="0"/>
    <x v="0"/>
    <n v="763"/>
    <x v="0"/>
    <n v="15"/>
    <n v="2"/>
    <x v="2"/>
    <n v="1645"/>
    <n v="1"/>
    <x v="1"/>
    <n v="1"/>
    <n v="2"/>
    <x v="0"/>
    <n v="4"/>
    <s v="Divorced"/>
    <n v="5440"/>
    <n v="6"/>
    <x v="0"/>
    <n v="14"/>
    <n v="3"/>
    <n v="4"/>
    <n v="2"/>
    <n v="7"/>
    <n v="2"/>
    <n v="2"/>
    <n v="2"/>
    <n v="2"/>
    <n v="2"/>
    <n v="2"/>
    <s v="College"/>
    <s v="Low"/>
    <s v="Low"/>
    <x v="0"/>
    <s v="Very High"/>
    <s v="Excellent"/>
    <s v="Very High"/>
    <x v="2"/>
    <s v="Medium"/>
    <x v="1"/>
  </r>
  <r>
    <x v="17"/>
    <x v="1"/>
    <x v="1"/>
    <n v="567"/>
    <x v="1"/>
    <n v="2"/>
    <n v="1"/>
    <x v="4"/>
    <n v="1646"/>
    <n v="1"/>
    <x v="0"/>
    <n v="3"/>
    <n v="1"/>
    <x v="1"/>
    <n v="4"/>
    <s v="Single"/>
    <n v="3760"/>
    <n v="1"/>
    <x v="0"/>
    <n v="13"/>
    <n v="3"/>
    <n v="3"/>
    <n v="0"/>
    <n v="6"/>
    <n v="2"/>
    <n v="3"/>
    <n v="6"/>
    <n v="3"/>
    <n v="1"/>
    <n v="3"/>
    <s v="Before College"/>
    <s v="Low"/>
    <s v="High"/>
    <x v="1"/>
    <s v="Very High"/>
    <s v="Excellent"/>
    <s v="High"/>
    <x v="1"/>
    <s v="No_stock"/>
    <x v="0"/>
  </r>
  <r>
    <x v="4"/>
    <x v="1"/>
    <x v="0"/>
    <n v="486"/>
    <x v="1"/>
    <n v="8"/>
    <n v="3"/>
    <x v="2"/>
    <n v="1647"/>
    <n v="2"/>
    <x v="0"/>
    <n v="4"/>
    <n v="1"/>
    <x v="1"/>
    <n v="3"/>
    <s v="Married"/>
    <n v="3517"/>
    <n v="7"/>
    <x v="1"/>
    <n v="17"/>
    <n v="3"/>
    <n v="1"/>
    <n v="0"/>
    <n v="5"/>
    <n v="0"/>
    <n v="3"/>
    <n v="3"/>
    <n v="2"/>
    <n v="0"/>
    <n v="2"/>
    <s v="Bachelor"/>
    <s v="Medium"/>
    <s v="Very High"/>
    <x v="1"/>
    <s v="High"/>
    <s v="Excellent"/>
    <s v="Low"/>
    <x v="1"/>
    <s v="No_stock"/>
    <x v="1"/>
  </r>
  <r>
    <x v="4"/>
    <x v="1"/>
    <x v="1"/>
    <n v="591"/>
    <x v="1"/>
    <n v="2"/>
    <n v="3"/>
    <x v="2"/>
    <n v="1648"/>
    <n v="4"/>
    <x v="1"/>
    <n v="3"/>
    <n v="1"/>
    <x v="1"/>
    <n v="4"/>
    <s v="Single"/>
    <n v="2580"/>
    <n v="2"/>
    <x v="1"/>
    <n v="13"/>
    <n v="3"/>
    <n v="3"/>
    <n v="0"/>
    <n v="6"/>
    <n v="0"/>
    <n v="2"/>
    <n v="4"/>
    <n v="2"/>
    <n v="1"/>
    <n v="2"/>
    <s v="Bachelor"/>
    <s v="Very High"/>
    <s v="High"/>
    <x v="1"/>
    <s v="Very High"/>
    <s v="Excellent"/>
    <s v="High"/>
    <x v="2"/>
    <s v="No_stock"/>
    <x v="0"/>
  </r>
  <r>
    <x v="32"/>
    <x v="0"/>
    <x v="0"/>
    <n v="1329"/>
    <x v="1"/>
    <n v="7"/>
    <n v="3"/>
    <x v="0"/>
    <n v="1649"/>
    <n v="1"/>
    <x v="1"/>
    <n v="3"/>
    <n v="1"/>
    <x v="2"/>
    <n v="1"/>
    <s v="Single"/>
    <n v="2166"/>
    <n v="3"/>
    <x v="0"/>
    <n v="14"/>
    <n v="3"/>
    <n v="2"/>
    <n v="0"/>
    <n v="10"/>
    <n v="3"/>
    <n v="1"/>
    <n v="4"/>
    <n v="2"/>
    <n v="0"/>
    <n v="3"/>
    <s v="Bachelor"/>
    <s v="Low"/>
    <s v="High"/>
    <x v="1"/>
    <s v="Low"/>
    <s v="Excellent"/>
    <s v="Medium"/>
    <x v="0"/>
    <s v="No_stock"/>
    <x v="1"/>
  </r>
  <r>
    <x v="11"/>
    <x v="1"/>
    <x v="0"/>
    <n v="469"/>
    <x v="0"/>
    <n v="10"/>
    <n v="3"/>
    <x v="2"/>
    <n v="1650"/>
    <n v="3"/>
    <x v="1"/>
    <n v="2"/>
    <n v="2"/>
    <x v="0"/>
    <n v="3"/>
    <s v="Single"/>
    <n v="5869"/>
    <n v="9"/>
    <x v="1"/>
    <n v="11"/>
    <n v="3"/>
    <n v="3"/>
    <n v="0"/>
    <n v="8"/>
    <n v="2"/>
    <n v="3"/>
    <n v="5"/>
    <n v="2"/>
    <n v="1"/>
    <n v="4"/>
    <s v="Bachelor"/>
    <s v="High"/>
    <s v="Medium"/>
    <x v="0"/>
    <s v="High"/>
    <s v="Excellent"/>
    <s v="High"/>
    <x v="1"/>
    <s v="No_stock"/>
    <x v="1"/>
  </r>
  <r>
    <x v="9"/>
    <x v="1"/>
    <x v="0"/>
    <n v="711"/>
    <x v="1"/>
    <n v="5"/>
    <n v="4"/>
    <x v="0"/>
    <n v="1651"/>
    <n v="2"/>
    <x v="0"/>
    <n v="3"/>
    <n v="3"/>
    <x v="4"/>
    <n v="1"/>
    <s v="Married"/>
    <n v="8008"/>
    <n v="4"/>
    <x v="1"/>
    <n v="12"/>
    <n v="3"/>
    <n v="3"/>
    <n v="2"/>
    <n v="9"/>
    <n v="6"/>
    <n v="3"/>
    <n v="3"/>
    <n v="2"/>
    <n v="0"/>
    <n v="2"/>
    <s v="Master"/>
    <s v="Medium"/>
    <s v="High"/>
    <x v="2"/>
    <s v="Low"/>
    <s v="Excellent"/>
    <s v="High"/>
    <x v="1"/>
    <s v="Medium"/>
    <x v="0"/>
  </r>
  <r>
    <x v="36"/>
    <x v="1"/>
    <x v="1"/>
    <n v="772"/>
    <x v="1"/>
    <n v="2"/>
    <n v="1"/>
    <x v="0"/>
    <n v="1653"/>
    <n v="4"/>
    <x v="1"/>
    <n v="4"/>
    <n v="2"/>
    <x v="3"/>
    <n v="3"/>
    <s v="Divorced"/>
    <n v="5206"/>
    <n v="1"/>
    <x v="1"/>
    <n v="17"/>
    <n v="3"/>
    <n v="3"/>
    <n v="2"/>
    <n v="7"/>
    <n v="6"/>
    <n v="3"/>
    <n v="7"/>
    <n v="7"/>
    <n v="0"/>
    <n v="7"/>
    <s v="Before College"/>
    <s v="Very High"/>
    <s v="Very High"/>
    <x v="0"/>
    <s v="High"/>
    <s v="Excellent"/>
    <s v="High"/>
    <x v="1"/>
    <s v="Medium"/>
    <x v="0"/>
  </r>
  <r>
    <x v="22"/>
    <x v="1"/>
    <x v="0"/>
    <n v="492"/>
    <x v="1"/>
    <n v="12"/>
    <n v="3"/>
    <x v="2"/>
    <n v="1654"/>
    <n v="4"/>
    <x v="1"/>
    <n v="3"/>
    <n v="2"/>
    <x v="3"/>
    <n v="2"/>
    <s v="Married"/>
    <n v="5295"/>
    <n v="4"/>
    <x v="1"/>
    <n v="21"/>
    <n v="4"/>
    <n v="3"/>
    <n v="0"/>
    <n v="7"/>
    <n v="3"/>
    <n v="3"/>
    <n v="5"/>
    <n v="4"/>
    <n v="1"/>
    <n v="0"/>
    <s v="Bachelor"/>
    <s v="Very High"/>
    <s v="High"/>
    <x v="0"/>
    <s v="Medium"/>
    <s v="Outstanding"/>
    <s v="High"/>
    <x v="1"/>
    <s v="No_stock"/>
    <x v="1"/>
  </r>
  <r>
    <x v="1"/>
    <x v="1"/>
    <x v="0"/>
    <n v="301"/>
    <x v="1"/>
    <n v="22"/>
    <n v="4"/>
    <x v="1"/>
    <n v="1655"/>
    <n v="1"/>
    <x v="0"/>
    <n v="3"/>
    <n v="4"/>
    <x v="7"/>
    <n v="2"/>
    <s v="Married"/>
    <n v="16413"/>
    <n v="3"/>
    <x v="1"/>
    <n v="16"/>
    <n v="3"/>
    <n v="2"/>
    <n v="2"/>
    <n v="27"/>
    <n v="2"/>
    <n v="3"/>
    <n v="4"/>
    <n v="2"/>
    <n v="1"/>
    <n v="2"/>
    <s v="Master"/>
    <s v="Low"/>
    <s v="High"/>
    <x v="3"/>
    <s v="Medium"/>
    <s v="Excellent"/>
    <s v="Medium"/>
    <x v="1"/>
    <s v="Medium"/>
    <x v="2"/>
  </r>
  <r>
    <x v="24"/>
    <x v="1"/>
    <x v="0"/>
    <n v="813"/>
    <x v="1"/>
    <n v="17"/>
    <n v="5"/>
    <x v="0"/>
    <n v="1656"/>
    <n v="4"/>
    <x v="0"/>
    <n v="2"/>
    <n v="3"/>
    <x v="7"/>
    <n v="1"/>
    <s v="Divorced"/>
    <n v="13269"/>
    <n v="5"/>
    <x v="1"/>
    <n v="15"/>
    <n v="3"/>
    <n v="3"/>
    <n v="3"/>
    <n v="19"/>
    <n v="3"/>
    <n v="3"/>
    <n v="14"/>
    <n v="11"/>
    <n v="1"/>
    <n v="11"/>
    <s v="Doctor"/>
    <s v="Very High"/>
    <s v="Medium"/>
    <x v="2"/>
    <s v="Low"/>
    <s v="Excellent"/>
    <s v="High"/>
    <x v="1"/>
    <s v="High"/>
    <x v="2"/>
  </r>
  <r>
    <x v="35"/>
    <x v="1"/>
    <x v="0"/>
    <n v="1141"/>
    <x v="0"/>
    <n v="2"/>
    <n v="3"/>
    <x v="2"/>
    <n v="1657"/>
    <n v="3"/>
    <x v="0"/>
    <n v="3"/>
    <n v="1"/>
    <x v="6"/>
    <n v="3"/>
    <s v="Single"/>
    <n v="2783"/>
    <n v="1"/>
    <x v="1"/>
    <n v="19"/>
    <n v="3"/>
    <n v="1"/>
    <n v="0"/>
    <n v="2"/>
    <n v="3"/>
    <n v="3"/>
    <n v="2"/>
    <n v="2"/>
    <n v="2"/>
    <n v="2"/>
    <s v="Bachelor"/>
    <s v="High"/>
    <s v="High"/>
    <x v="1"/>
    <s v="High"/>
    <s v="Excellent"/>
    <s v="Low"/>
    <x v="1"/>
    <s v="No_stock"/>
    <x v="0"/>
  </r>
  <r>
    <x v="13"/>
    <x v="1"/>
    <x v="0"/>
    <n v="1130"/>
    <x v="1"/>
    <n v="3"/>
    <n v="3"/>
    <x v="0"/>
    <n v="1658"/>
    <n v="4"/>
    <x v="0"/>
    <n v="3"/>
    <n v="2"/>
    <x v="1"/>
    <n v="2"/>
    <s v="Divorced"/>
    <n v="5433"/>
    <n v="1"/>
    <x v="1"/>
    <n v="12"/>
    <n v="3"/>
    <n v="3"/>
    <n v="1"/>
    <n v="11"/>
    <n v="2"/>
    <n v="3"/>
    <n v="11"/>
    <n v="8"/>
    <n v="7"/>
    <n v="9"/>
    <s v="Bachelor"/>
    <s v="Very High"/>
    <s v="High"/>
    <x v="0"/>
    <s v="Medium"/>
    <s v="Excellent"/>
    <s v="High"/>
    <x v="1"/>
    <s v="Low"/>
    <x v="0"/>
  </r>
  <r>
    <x v="9"/>
    <x v="1"/>
    <x v="0"/>
    <n v="311"/>
    <x v="1"/>
    <n v="7"/>
    <n v="3"/>
    <x v="0"/>
    <n v="1659"/>
    <n v="1"/>
    <x v="1"/>
    <n v="3"/>
    <n v="1"/>
    <x v="2"/>
    <n v="2"/>
    <s v="Single"/>
    <n v="2013"/>
    <n v="2"/>
    <x v="1"/>
    <n v="11"/>
    <n v="3"/>
    <n v="3"/>
    <n v="0"/>
    <n v="15"/>
    <n v="4"/>
    <n v="3"/>
    <n v="4"/>
    <n v="3"/>
    <n v="1"/>
    <n v="3"/>
    <s v="Bachelor"/>
    <s v="Low"/>
    <s v="High"/>
    <x v="1"/>
    <s v="Medium"/>
    <s v="Excellent"/>
    <s v="High"/>
    <x v="1"/>
    <s v="No_stock"/>
    <x v="1"/>
  </r>
  <r>
    <x v="1"/>
    <x v="1"/>
    <x v="0"/>
    <n v="465"/>
    <x v="1"/>
    <n v="6"/>
    <n v="1"/>
    <x v="0"/>
    <n v="1661"/>
    <n v="3"/>
    <x v="0"/>
    <n v="2"/>
    <n v="4"/>
    <x v="4"/>
    <n v="3"/>
    <s v="Married"/>
    <n v="13966"/>
    <n v="2"/>
    <x v="0"/>
    <n v="19"/>
    <n v="3"/>
    <n v="2"/>
    <n v="1"/>
    <n v="30"/>
    <n v="3"/>
    <n v="3"/>
    <n v="15"/>
    <n v="11"/>
    <n v="2"/>
    <n v="12"/>
    <s v="Before College"/>
    <s v="High"/>
    <s v="Medium"/>
    <x v="3"/>
    <s v="High"/>
    <s v="Excellent"/>
    <s v="Medium"/>
    <x v="1"/>
    <s v="Low"/>
    <x v="1"/>
  </r>
  <r>
    <x v="9"/>
    <x v="1"/>
    <x v="2"/>
    <n v="894"/>
    <x v="1"/>
    <n v="1"/>
    <n v="4"/>
    <x v="2"/>
    <n v="1662"/>
    <n v="4"/>
    <x v="0"/>
    <n v="2"/>
    <n v="2"/>
    <x v="3"/>
    <n v="3"/>
    <s v="Married"/>
    <n v="4374"/>
    <n v="0"/>
    <x v="1"/>
    <n v="15"/>
    <n v="3"/>
    <n v="3"/>
    <n v="0"/>
    <n v="4"/>
    <n v="6"/>
    <n v="3"/>
    <n v="3"/>
    <n v="2"/>
    <n v="1"/>
    <n v="2"/>
    <s v="Master"/>
    <s v="Very High"/>
    <s v="Medium"/>
    <x v="0"/>
    <s v="High"/>
    <s v="Excellent"/>
    <s v="High"/>
    <x v="1"/>
    <s v="No_stock"/>
    <x v="0"/>
  </r>
  <r>
    <x v="9"/>
    <x v="1"/>
    <x v="0"/>
    <n v="1040"/>
    <x v="1"/>
    <n v="3"/>
    <n v="2"/>
    <x v="0"/>
    <n v="1664"/>
    <n v="4"/>
    <x v="1"/>
    <n v="4"/>
    <n v="2"/>
    <x v="4"/>
    <n v="1"/>
    <s v="Divorced"/>
    <n v="6842"/>
    <n v="6"/>
    <x v="1"/>
    <n v="20"/>
    <n v="4"/>
    <n v="1"/>
    <n v="1"/>
    <n v="13"/>
    <n v="3"/>
    <n v="3"/>
    <n v="5"/>
    <n v="4"/>
    <n v="0"/>
    <n v="4"/>
    <s v="College"/>
    <s v="Very High"/>
    <s v="Very High"/>
    <x v="0"/>
    <s v="Low"/>
    <s v="Outstanding"/>
    <s v="Low"/>
    <x v="1"/>
    <s v="Low"/>
    <x v="0"/>
  </r>
  <r>
    <x v="33"/>
    <x v="1"/>
    <x v="0"/>
    <n v="584"/>
    <x v="1"/>
    <n v="22"/>
    <n v="5"/>
    <x v="2"/>
    <n v="1665"/>
    <n v="2"/>
    <x v="0"/>
    <n v="3"/>
    <n v="4"/>
    <x v="5"/>
    <n v="3"/>
    <s v="Married"/>
    <n v="17426"/>
    <n v="3"/>
    <x v="1"/>
    <n v="25"/>
    <n v="4"/>
    <n v="3"/>
    <n v="1"/>
    <n v="36"/>
    <n v="6"/>
    <n v="3"/>
    <n v="10"/>
    <n v="8"/>
    <n v="4"/>
    <n v="7"/>
    <s v="Doctor"/>
    <s v="Medium"/>
    <s v="High"/>
    <x v="3"/>
    <s v="High"/>
    <s v="Outstanding"/>
    <s v="High"/>
    <x v="1"/>
    <s v="Low"/>
    <x v="2"/>
  </r>
  <r>
    <x v="23"/>
    <x v="1"/>
    <x v="0"/>
    <n v="1291"/>
    <x v="1"/>
    <n v="15"/>
    <n v="2"/>
    <x v="0"/>
    <n v="1666"/>
    <n v="3"/>
    <x v="1"/>
    <n v="2"/>
    <n v="4"/>
    <x v="7"/>
    <n v="3"/>
    <s v="Married"/>
    <n v="17603"/>
    <n v="1"/>
    <x v="1"/>
    <n v="24"/>
    <n v="4"/>
    <n v="1"/>
    <n v="1"/>
    <n v="14"/>
    <n v="3"/>
    <n v="3"/>
    <n v="14"/>
    <n v="10"/>
    <n v="6"/>
    <n v="11"/>
    <s v="College"/>
    <s v="High"/>
    <s v="Medium"/>
    <x v="3"/>
    <s v="High"/>
    <s v="Outstanding"/>
    <s v="Low"/>
    <x v="1"/>
    <s v="Low"/>
    <x v="1"/>
  </r>
  <r>
    <x v="10"/>
    <x v="0"/>
    <x v="1"/>
    <n v="880"/>
    <x v="0"/>
    <n v="12"/>
    <n v="4"/>
    <x v="1"/>
    <n v="1667"/>
    <n v="4"/>
    <x v="1"/>
    <n v="3"/>
    <n v="2"/>
    <x v="0"/>
    <n v="4"/>
    <s v="Single"/>
    <n v="4581"/>
    <n v="3"/>
    <x v="0"/>
    <n v="24"/>
    <n v="4"/>
    <n v="1"/>
    <n v="0"/>
    <n v="13"/>
    <n v="2"/>
    <n v="4"/>
    <n v="11"/>
    <n v="9"/>
    <n v="6"/>
    <n v="7"/>
    <s v="Master"/>
    <s v="Very High"/>
    <s v="High"/>
    <x v="0"/>
    <s v="Very High"/>
    <s v="Outstanding"/>
    <s v="Low"/>
    <x v="3"/>
    <s v="No_stock"/>
    <x v="1"/>
  </r>
  <r>
    <x v="8"/>
    <x v="1"/>
    <x v="1"/>
    <n v="1189"/>
    <x v="1"/>
    <n v="1"/>
    <n v="3"/>
    <x v="0"/>
    <n v="1668"/>
    <n v="4"/>
    <x v="1"/>
    <n v="3"/>
    <n v="2"/>
    <x v="1"/>
    <n v="4"/>
    <s v="Married"/>
    <n v="4735"/>
    <n v="7"/>
    <x v="1"/>
    <n v="15"/>
    <n v="3"/>
    <n v="4"/>
    <n v="2"/>
    <n v="19"/>
    <n v="4"/>
    <n v="4"/>
    <n v="13"/>
    <n v="11"/>
    <n v="2"/>
    <n v="9"/>
    <s v="Bachelor"/>
    <s v="Very High"/>
    <s v="High"/>
    <x v="0"/>
    <s v="Very High"/>
    <s v="Excellent"/>
    <s v="Very High"/>
    <x v="3"/>
    <s v="Medium"/>
    <x v="0"/>
  </r>
  <r>
    <x v="11"/>
    <x v="1"/>
    <x v="0"/>
    <n v="991"/>
    <x v="0"/>
    <n v="5"/>
    <n v="3"/>
    <x v="2"/>
    <n v="1669"/>
    <n v="1"/>
    <x v="1"/>
    <n v="2"/>
    <n v="2"/>
    <x v="0"/>
    <n v="2"/>
    <s v="Divorced"/>
    <n v="4187"/>
    <n v="1"/>
    <x v="0"/>
    <n v="13"/>
    <n v="3"/>
    <n v="2"/>
    <n v="1"/>
    <n v="10"/>
    <n v="3"/>
    <n v="2"/>
    <n v="10"/>
    <n v="0"/>
    <n v="0"/>
    <n v="9"/>
    <s v="Bachelor"/>
    <s v="Low"/>
    <s v="Medium"/>
    <x v="0"/>
    <s v="Medium"/>
    <s v="Excellent"/>
    <s v="Medium"/>
    <x v="2"/>
    <s v="Low"/>
    <x v="0"/>
  </r>
  <r>
    <x v="3"/>
    <x v="1"/>
    <x v="0"/>
    <n v="392"/>
    <x v="0"/>
    <n v="2"/>
    <n v="4"/>
    <x v="2"/>
    <n v="1670"/>
    <n v="4"/>
    <x v="1"/>
    <n v="3"/>
    <n v="2"/>
    <x v="0"/>
    <n v="4"/>
    <s v="Divorced"/>
    <n v="5505"/>
    <n v="1"/>
    <x v="1"/>
    <n v="14"/>
    <n v="3"/>
    <n v="3"/>
    <n v="2"/>
    <n v="6"/>
    <n v="5"/>
    <n v="3"/>
    <n v="6"/>
    <n v="2"/>
    <n v="0"/>
    <n v="4"/>
    <s v="Master"/>
    <s v="Very High"/>
    <s v="High"/>
    <x v="0"/>
    <s v="Very High"/>
    <s v="Excellent"/>
    <s v="High"/>
    <x v="1"/>
    <s v="Medium"/>
    <x v="0"/>
  </r>
  <r>
    <x v="5"/>
    <x v="1"/>
    <x v="0"/>
    <n v="977"/>
    <x v="1"/>
    <n v="2"/>
    <n v="3"/>
    <x v="2"/>
    <n v="1671"/>
    <n v="4"/>
    <x v="1"/>
    <n v="3"/>
    <n v="2"/>
    <x v="1"/>
    <n v="2"/>
    <s v="Divorced"/>
    <n v="5470"/>
    <n v="0"/>
    <x v="1"/>
    <n v="13"/>
    <n v="3"/>
    <n v="3"/>
    <n v="2"/>
    <n v="10"/>
    <n v="4"/>
    <n v="2"/>
    <n v="9"/>
    <n v="5"/>
    <n v="1"/>
    <n v="6"/>
    <s v="Bachelor"/>
    <s v="Very High"/>
    <s v="High"/>
    <x v="0"/>
    <s v="Medium"/>
    <s v="Excellent"/>
    <s v="High"/>
    <x v="2"/>
    <s v="Medium"/>
    <x v="0"/>
  </r>
  <r>
    <x v="12"/>
    <x v="1"/>
    <x v="0"/>
    <n v="1112"/>
    <x v="0"/>
    <n v="5"/>
    <n v="4"/>
    <x v="0"/>
    <n v="1673"/>
    <n v="1"/>
    <x v="0"/>
    <n v="3"/>
    <n v="2"/>
    <x v="0"/>
    <n v="4"/>
    <s v="Married"/>
    <n v="5476"/>
    <n v="1"/>
    <x v="1"/>
    <n v="11"/>
    <n v="3"/>
    <n v="1"/>
    <n v="2"/>
    <n v="10"/>
    <n v="2"/>
    <n v="3"/>
    <n v="10"/>
    <n v="0"/>
    <n v="0"/>
    <n v="2"/>
    <s v="Master"/>
    <s v="Low"/>
    <s v="High"/>
    <x v="0"/>
    <s v="Very High"/>
    <s v="Excellent"/>
    <s v="Low"/>
    <x v="1"/>
    <s v="Medium"/>
    <x v="0"/>
  </r>
  <r>
    <x v="1"/>
    <x v="1"/>
    <x v="0"/>
    <n v="464"/>
    <x v="1"/>
    <n v="16"/>
    <n v="3"/>
    <x v="2"/>
    <n v="1674"/>
    <n v="4"/>
    <x v="0"/>
    <n v="3"/>
    <n v="1"/>
    <x v="2"/>
    <n v="1"/>
    <s v="Divorced"/>
    <n v="2587"/>
    <n v="4"/>
    <x v="0"/>
    <n v="16"/>
    <n v="3"/>
    <n v="2"/>
    <n v="1"/>
    <n v="17"/>
    <n v="2"/>
    <n v="2"/>
    <n v="2"/>
    <n v="2"/>
    <n v="2"/>
    <n v="2"/>
    <s v="Bachelor"/>
    <s v="Very High"/>
    <s v="High"/>
    <x v="1"/>
    <s v="Low"/>
    <s v="Excellent"/>
    <s v="Medium"/>
    <x v="2"/>
    <s v="Low"/>
    <x v="2"/>
  </r>
  <r>
    <x v="8"/>
    <x v="1"/>
    <x v="1"/>
    <n v="148"/>
    <x v="1"/>
    <n v="2"/>
    <n v="3"/>
    <x v="2"/>
    <n v="1675"/>
    <n v="4"/>
    <x v="0"/>
    <n v="2"/>
    <n v="1"/>
    <x v="2"/>
    <n v="2"/>
    <s v="Single"/>
    <n v="2440"/>
    <n v="1"/>
    <x v="1"/>
    <n v="22"/>
    <n v="4"/>
    <n v="2"/>
    <n v="0"/>
    <n v="4"/>
    <n v="3"/>
    <n v="3"/>
    <n v="4"/>
    <n v="3"/>
    <n v="3"/>
    <n v="3"/>
    <s v="Bachelor"/>
    <s v="Very High"/>
    <s v="Medium"/>
    <x v="1"/>
    <s v="Medium"/>
    <s v="Outstanding"/>
    <s v="Medium"/>
    <x v="1"/>
    <s v="No_stock"/>
    <x v="0"/>
  </r>
  <r>
    <x v="40"/>
    <x v="1"/>
    <x v="0"/>
    <n v="1225"/>
    <x v="0"/>
    <n v="2"/>
    <n v="4"/>
    <x v="0"/>
    <n v="1676"/>
    <n v="2"/>
    <x v="0"/>
    <n v="4"/>
    <n v="4"/>
    <x v="5"/>
    <n v="2"/>
    <s v="Divorced"/>
    <n v="15972"/>
    <n v="6"/>
    <x v="1"/>
    <n v="14"/>
    <n v="3"/>
    <n v="3"/>
    <n v="3"/>
    <n v="29"/>
    <n v="2"/>
    <n v="3"/>
    <n v="3"/>
    <n v="2"/>
    <n v="1"/>
    <n v="2"/>
    <s v="Master"/>
    <s v="Medium"/>
    <s v="Very High"/>
    <x v="3"/>
    <s v="Medium"/>
    <s v="Excellent"/>
    <s v="High"/>
    <x v="1"/>
    <s v="High"/>
    <x v="0"/>
  </r>
  <r>
    <x v="1"/>
    <x v="1"/>
    <x v="0"/>
    <n v="809"/>
    <x v="1"/>
    <n v="1"/>
    <n v="3"/>
    <x v="0"/>
    <n v="1677"/>
    <n v="3"/>
    <x v="1"/>
    <n v="3"/>
    <n v="4"/>
    <x v="5"/>
    <n v="3"/>
    <s v="Single"/>
    <n v="15379"/>
    <n v="4"/>
    <x v="1"/>
    <n v="14"/>
    <n v="3"/>
    <n v="1"/>
    <n v="0"/>
    <n v="23"/>
    <n v="2"/>
    <n v="3"/>
    <n v="8"/>
    <n v="7"/>
    <n v="0"/>
    <n v="0"/>
    <s v="Bachelor"/>
    <s v="High"/>
    <s v="High"/>
    <x v="3"/>
    <s v="High"/>
    <s v="Excellent"/>
    <s v="Low"/>
    <x v="1"/>
    <s v="No_stock"/>
    <x v="0"/>
  </r>
  <r>
    <x v="0"/>
    <x v="1"/>
    <x v="0"/>
    <n v="1206"/>
    <x v="0"/>
    <n v="23"/>
    <n v="2"/>
    <x v="0"/>
    <n v="1678"/>
    <n v="4"/>
    <x v="1"/>
    <n v="3"/>
    <n v="3"/>
    <x v="0"/>
    <n v="3"/>
    <s v="Single"/>
    <n v="7082"/>
    <n v="3"/>
    <x v="0"/>
    <n v="16"/>
    <n v="3"/>
    <n v="4"/>
    <n v="0"/>
    <n v="21"/>
    <n v="2"/>
    <n v="3"/>
    <n v="2"/>
    <n v="0"/>
    <n v="0"/>
    <n v="2"/>
    <s v="College"/>
    <s v="Very High"/>
    <s v="High"/>
    <x v="2"/>
    <s v="High"/>
    <s v="Excellent"/>
    <s v="Very High"/>
    <x v="1"/>
    <s v="No_stock"/>
    <x v="2"/>
  </r>
  <r>
    <x v="35"/>
    <x v="1"/>
    <x v="0"/>
    <n v="727"/>
    <x v="0"/>
    <n v="9"/>
    <n v="1"/>
    <x v="0"/>
    <n v="1680"/>
    <n v="4"/>
    <x v="1"/>
    <n v="3"/>
    <n v="1"/>
    <x v="6"/>
    <n v="1"/>
    <s v="Single"/>
    <n v="2728"/>
    <n v="1"/>
    <x v="1"/>
    <n v="11"/>
    <n v="3"/>
    <n v="1"/>
    <n v="0"/>
    <n v="2"/>
    <n v="3"/>
    <n v="3"/>
    <n v="2"/>
    <n v="2"/>
    <n v="0"/>
    <n v="2"/>
    <s v="Before College"/>
    <s v="Very High"/>
    <s v="High"/>
    <x v="1"/>
    <s v="Low"/>
    <s v="Excellent"/>
    <s v="Low"/>
    <x v="1"/>
    <s v="No_stock"/>
    <x v="1"/>
  </r>
  <r>
    <x v="3"/>
    <x v="1"/>
    <x v="2"/>
    <n v="530"/>
    <x v="0"/>
    <n v="16"/>
    <n v="3"/>
    <x v="0"/>
    <n v="1681"/>
    <n v="3"/>
    <x v="0"/>
    <n v="3"/>
    <n v="2"/>
    <x v="0"/>
    <n v="4"/>
    <s v="Divorced"/>
    <n v="5368"/>
    <n v="1"/>
    <x v="0"/>
    <n v="25"/>
    <n v="4"/>
    <n v="3"/>
    <n v="1"/>
    <n v="7"/>
    <n v="2"/>
    <n v="3"/>
    <n v="6"/>
    <n v="5"/>
    <n v="1"/>
    <n v="2"/>
    <s v="Bachelor"/>
    <s v="High"/>
    <s v="High"/>
    <x v="0"/>
    <s v="Very High"/>
    <s v="Outstanding"/>
    <s v="High"/>
    <x v="1"/>
    <s v="Low"/>
    <x v="2"/>
  </r>
  <r>
    <x v="9"/>
    <x v="1"/>
    <x v="0"/>
    <n v="1351"/>
    <x v="1"/>
    <n v="26"/>
    <n v="4"/>
    <x v="0"/>
    <n v="1682"/>
    <n v="1"/>
    <x v="1"/>
    <n v="3"/>
    <n v="2"/>
    <x v="4"/>
    <n v="3"/>
    <s v="Married"/>
    <n v="5347"/>
    <n v="6"/>
    <x v="1"/>
    <n v="14"/>
    <n v="3"/>
    <n v="2"/>
    <n v="2"/>
    <n v="10"/>
    <n v="2"/>
    <n v="2"/>
    <n v="3"/>
    <n v="2"/>
    <n v="0"/>
    <n v="2"/>
    <s v="Master"/>
    <s v="Low"/>
    <s v="High"/>
    <x v="0"/>
    <s v="High"/>
    <s v="Excellent"/>
    <s v="Medium"/>
    <x v="2"/>
    <s v="Medium"/>
    <x v="2"/>
  </r>
  <r>
    <x v="20"/>
    <x v="1"/>
    <x v="0"/>
    <n v="528"/>
    <x v="2"/>
    <n v="1"/>
    <n v="3"/>
    <x v="0"/>
    <n v="1683"/>
    <n v="3"/>
    <x v="0"/>
    <n v="3"/>
    <n v="1"/>
    <x v="8"/>
    <n v="4"/>
    <s v="Divorced"/>
    <n v="3195"/>
    <n v="4"/>
    <x v="0"/>
    <n v="18"/>
    <n v="3"/>
    <n v="1"/>
    <n v="3"/>
    <n v="8"/>
    <n v="2"/>
    <n v="3"/>
    <n v="2"/>
    <n v="2"/>
    <n v="2"/>
    <n v="2"/>
    <s v="Bachelor"/>
    <s v="High"/>
    <s v="High"/>
    <x v="1"/>
    <s v="Very High"/>
    <s v="Excellent"/>
    <s v="Low"/>
    <x v="1"/>
    <s v="High"/>
    <x v="0"/>
  </r>
  <r>
    <x v="30"/>
    <x v="0"/>
    <x v="0"/>
    <n v="1320"/>
    <x v="1"/>
    <n v="8"/>
    <n v="1"/>
    <x v="2"/>
    <n v="1684"/>
    <n v="4"/>
    <x v="1"/>
    <n v="2"/>
    <n v="1"/>
    <x v="2"/>
    <n v="3"/>
    <s v="Single"/>
    <n v="3989"/>
    <n v="1"/>
    <x v="0"/>
    <n v="11"/>
    <n v="3"/>
    <n v="1"/>
    <n v="0"/>
    <n v="5"/>
    <n v="2"/>
    <n v="3"/>
    <n v="5"/>
    <n v="4"/>
    <n v="1"/>
    <n v="2"/>
    <s v="Before College"/>
    <s v="Very High"/>
    <s v="Medium"/>
    <x v="1"/>
    <s v="High"/>
    <s v="Excellent"/>
    <s v="Low"/>
    <x v="1"/>
    <s v="No_stock"/>
    <x v="1"/>
  </r>
  <r>
    <x v="8"/>
    <x v="1"/>
    <x v="0"/>
    <n v="1495"/>
    <x v="1"/>
    <n v="4"/>
    <n v="2"/>
    <x v="2"/>
    <n v="1687"/>
    <n v="4"/>
    <x v="0"/>
    <n v="3"/>
    <n v="1"/>
    <x v="2"/>
    <n v="3"/>
    <s v="Married"/>
    <n v="3306"/>
    <n v="7"/>
    <x v="1"/>
    <n v="19"/>
    <n v="3"/>
    <n v="4"/>
    <n v="1"/>
    <n v="7"/>
    <n v="5"/>
    <n v="2"/>
    <n v="0"/>
    <n v="0"/>
    <n v="0"/>
    <n v="0"/>
    <s v="College"/>
    <s v="Very High"/>
    <s v="High"/>
    <x v="1"/>
    <s v="High"/>
    <s v="Excellent"/>
    <s v="Very High"/>
    <x v="2"/>
    <s v="Low"/>
    <x v="0"/>
  </r>
  <r>
    <x v="16"/>
    <x v="1"/>
    <x v="0"/>
    <n v="1395"/>
    <x v="1"/>
    <n v="24"/>
    <n v="4"/>
    <x v="2"/>
    <n v="1689"/>
    <n v="2"/>
    <x v="1"/>
    <n v="4"/>
    <n v="3"/>
    <x v="4"/>
    <n v="4"/>
    <s v="Married"/>
    <n v="7005"/>
    <n v="3"/>
    <x v="1"/>
    <n v="15"/>
    <n v="3"/>
    <n v="3"/>
    <n v="0"/>
    <n v="11"/>
    <n v="2"/>
    <n v="3"/>
    <n v="4"/>
    <n v="3"/>
    <n v="1"/>
    <n v="2"/>
    <s v="Master"/>
    <s v="Medium"/>
    <s v="Very High"/>
    <x v="2"/>
    <s v="Very High"/>
    <s v="Excellent"/>
    <s v="High"/>
    <x v="1"/>
    <s v="No_stock"/>
    <x v="2"/>
  </r>
  <r>
    <x v="26"/>
    <x v="0"/>
    <x v="1"/>
    <n v="708"/>
    <x v="0"/>
    <n v="7"/>
    <n v="2"/>
    <x v="2"/>
    <n v="1691"/>
    <n v="4"/>
    <x v="0"/>
    <n v="3"/>
    <n v="1"/>
    <x v="6"/>
    <n v="3"/>
    <s v="Married"/>
    <n v="2655"/>
    <n v="2"/>
    <x v="0"/>
    <n v="11"/>
    <n v="3"/>
    <n v="3"/>
    <n v="2"/>
    <n v="19"/>
    <n v="3"/>
    <n v="3"/>
    <n v="9"/>
    <n v="7"/>
    <n v="7"/>
    <n v="7"/>
    <s v="College"/>
    <s v="Very High"/>
    <s v="High"/>
    <x v="1"/>
    <s v="High"/>
    <s v="Excellent"/>
    <s v="High"/>
    <x v="1"/>
    <s v="Medium"/>
    <x v="1"/>
  </r>
  <r>
    <x v="5"/>
    <x v="0"/>
    <x v="0"/>
    <n v="1259"/>
    <x v="1"/>
    <n v="2"/>
    <n v="4"/>
    <x v="0"/>
    <n v="1692"/>
    <n v="4"/>
    <x v="1"/>
    <n v="3"/>
    <n v="1"/>
    <x v="2"/>
    <n v="2"/>
    <s v="Single"/>
    <n v="1393"/>
    <n v="1"/>
    <x v="1"/>
    <n v="12"/>
    <n v="3"/>
    <n v="1"/>
    <n v="0"/>
    <n v="1"/>
    <n v="2"/>
    <n v="3"/>
    <n v="1"/>
    <n v="0"/>
    <n v="0"/>
    <n v="0"/>
    <s v="Master"/>
    <s v="Very High"/>
    <s v="High"/>
    <x v="1"/>
    <s v="Medium"/>
    <s v="Excellent"/>
    <s v="Low"/>
    <x v="1"/>
    <s v="No_stock"/>
    <x v="0"/>
  </r>
  <r>
    <x v="25"/>
    <x v="1"/>
    <x v="2"/>
    <n v="786"/>
    <x v="1"/>
    <n v="7"/>
    <n v="3"/>
    <x v="2"/>
    <n v="1693"/>
    <n v="4"/>
    <x v="1"/>
    <n v="3"/>
    <n v="1"/>
    <x v="2"/>
    <n v="4"/>
    <s v="Single"/>
    <n v="2570"/>
    <n v="1"/>
    <x v="1"/>
    <n v="20"/>
    <n v="4"/>
    <n v="3"/>
    <n v="0"/>
    <n v="7"/>
    <n v="5"/>
    <n v="3"/>
    <n v="7"/>
    <n v="7"/>
    <n v="5"/>
    <n v="7"/>
    <s v="Bachelor"/>
    <s v="Very High"/>
    <s v="High"/>
    <x v="1"/>
    <s v="Very High"/>
    <s v="Outstanding"/>
    <s v="High"/>
    <x v="1"/>
    <s v="No_stock"/>
    <x v="1"/>
  </r>
  <r>
    <x v="27"/>
    <x v="1"/>
    <x v="0"/>
    <n v="1441"/>
    <x v="1"/>
    <n v="22"/>
    <n v="3"/>
    <x v="4"/>
    <n v="1694"/>
    <n v="1"/>
    <x v="1"/>
    <n v="2"/>
    <n v="1"/>
    <x v="1"/>
    <n v="2"/>
    <s v="Divorced"/>
    <n v="3537"/>
    <n v="5"/>
    <x v="1"/>
    <n v="12"/>
    <n v="3"/>
    <n v="4"/>
    <n v="1"/>
    <n v="8"/>
    <n v="1"/>
    <n v="3"/>
    <n v="4"/>
    <n v="2"/>
    <n v="1"/>
    <n v="2"/>
    <s v="Bachelor"/>
    <s v="Low"/>
    <s v="Medium"/>
    <x v="1"/>
    <s v="Medium"/>
    <s v="Excellent"/>
    <s v="Very High"/>
    <x v="1"/>
    <s v="Low"/>
    <x v="2"/>
  </r>
  <r>
    <x v="13"/>
    <x v="1"/>
    <x v="0"/>
    <n v="1157"/>
    <x v="1"/>
    <n v="5"/>
    <n v="2"/>
    <x v="2"/>
    <n v="1696"/>
    <n v="2"/>
    <x v="1"/>
    <n v="2"/>
    <n v="2"/>
    <x v="2"/>
    <n v="4"/>
    <s v="Married"/>
    <n v="3986"/>
    <n v="1"/>
    <x v="1"/>
    <n v="14"/>
    <n v="3"/>
    <n v="3"/>
    <n v="1"/>
    <n v="15"/>
    <n v="3"/>
    <n v="4"/>
    <n v="15"/>
    <n v="10"/>
    <n v="4"/>
    <n v="13"/>
    <s v="College"/>
    <s v="Medium"/>
    <s v="Medium"/>
    <x v="0"/>
    <s v="Very High"/>
    <s v="Excellent"/>
    <s v="High"/>
    <x v="3"/>
    <s v="Low"/>
    <x v="0"/>
  </r>
  <r>
    <x v="42"/>
    <x v="1"/>
    <x v="0"/>
    <n v="370"/>
    <x v="1"/>
    <n v="1"/>
    <n v="4"/>
    <x v="2"/>
    <n v="1697"/>
    <n v="3"/>
    <x v="1"/>
    <n v="1"/>
    <n v="3"/>
    <x v="4"/>
    <n v="4"/>
    <s v="Divorced"/>
    <n v="10883"/>
    <n v="3"/>
    <x v="1"/>
    <n v="20"/>
    <n v="4"/>
    <n v="3"/>
    <n v="1"/>
    <n v="19"/>
    <n v="2"/>
    <n v="4"/>
    <n v="1"/>
    <n v="0"/>
    <n v="0"/>
    <n v="0"/>
    <s v="Master"/>
    <s v="High"/>
    <s v="Low"/>
    <x v="2"/>
    <s v="Very High"/>
    <s v="Outstanding"/>
    <s v="High"/>
    <x v="3"/>
    <s v="Low"/>
    <x v="0"/>
  </r>
  <r>
    <x v="3"/>
    <x v="1"/>
    <x v="0"/>
    <n v="267"/>
    <x v="1"/>
    <n v="21"/>
    <n v="3"/>
    <x v="2"/>
    <n v="1698"/>
    <n v="2"/>
    <x v="1"/>
    <n v="4"/>
    <n v="1"/>
    <x v="2"/>
    <n v="2"/>
    <s v="Married"/>
    <n v="2028"/>
    <n v="1"/>
    <x v="1"/>
    <n v="18"/>
    <n v="3"/>
    <n v="4"/>
    <n v="3"/>
    <n v="14"/>
    <n v="6"/>
    <n v="3"/>
    <n v="14"/>
    <n v="11"/>
    <n v="2"/>
    <n v="13"/>
    <s v="Bachelor"/>
    <s v="Medium"/>
    <s v="Very High"/>
    <x v="1"/>
    <s v="Medium"/>
    <s v="Excellent"/>
    <s v="Very High"/>
    <x v="1"/>
    <s v="High"/>
    <x v="2"/>
  </r>
  <r>
    <x v="2"/>
    <x v="1"/>
    <x v="1"/>
    <n v="1278"/>
    <x v="0"/>
    <n v="1"/>
    <n v="4"/>
    <x v="2"/>
    <n v="1700"/>
    <n v="3"/>
    <x v="1"/>
    <n v="1"/>
    <n v="2"/>
    <x v="0"/>
    <n v="4"/>
    <s v="Divorced"/>
    <n v="9525"/>
    <n v="1"/>
    <x v="1"/>
    <n v="14"/>
    <n v="3"/>
    <n v="3"/>
    <n v="2"/>
    <n v="6"/>
    <n v="2"/>
    <n v="2"/>
    <n v="6"/>
    <n v="3"/>
    <n v="1"/>
    <n v="3"/>
    <s v="Master"/>
    <s v="High"/>
    <s v="Low"/>
    <x v="0"/>
    <s v="Very High"/>
    <s v="Excellent"/>
    <s v="High"/>
    <x v="2"/>
    <s v="Medium"/>
    <x v="0"/>
  </r>
  <r>
    <x v="13"/>
    <x v="1"/>
    <x v="0"/>
    <n v="678"/>
    <x v="1"/>
    <n v="19"/>
    <n v="3"/>
    <x v="0"/>
    <n v="1701"/>
    <n v="2"/>
    <x v="0"/>
    <n v="2"/>
    <n v="1"/>
    <x v="1"/>
    <n v="4"/>
    <s v="Married"/>
    <n v="2929"/>
    <n v="1"/>
    <x v="1"/>
    <n v="12"/>
    <n v="3"/>
    <n v="2"/>
    <n v="0"/>
    <n v="10"/>
    <n v="3"/>
    <n v="3"/>
    <n v="10"/>
    <n v="9"/>
    <n v="8"/>
    <n v="7"/>
    <s v="Bachelor"/>
    <s v="Medium"/>
    <s v="Medium"/>
    <x v="1"/>
    <s v="Very High"/>
    <s v="Excellent"/>
    <s v="Medium"/>
    <x v="1"/>
    <s v="No_stock"/>
    <x v="2"/>
  </r>
  <r>
    <x v="30"/>
    <x v="0"/>
    <x v="0"/>
    <n v="427"/>
    <x v="0"/>
    <n v="7"/>
    <n v="3"/>
    <x v="0"/>
    <n v="1702"/>
    <n v="3"/>
    <x v="1"/>
    <n v="3"/>
    <n v="1"/>
    <x v="6"/>
    <n v="4"/>
    <s v="Divorced"/>
    <n v="2275"/>
    <n v="1"/>
    <x v="0"/>
    <n v="21"/>
    <n v="4"/>
    <n v="2"/>
    <n v="1"/>
    <n v="3"/>
    <n v="2"/>
    <n v="3"/>
    <n v="3"/>
    <n v="2"/>
    <n v="0"/>
    <n v="2"/>
    <s v="Bachelor"/>
    <s v="High"/>
    <s v="High"/>
    <x v="1"/>
    <s v="Very High"/>
    <s v="Outstanding"/>
    <s v="Medium"/>
    <x v="1"/>
    <s v="Low"/>
    <x v="1"/>
  </r>
  <r>
    <x v="20"/>
    <x v="1"/>
    <x v="0"/>
    <n v="921"/>
    <x v="1"/>
    <n v="2"/>
    <n v="3"/>
    <x v="0"/>
    <n v="1703"/>
    <n v="3"/>
    <x v="0"/>
    <n v="4"/>
    <n v="3"/>
    <x v="4"/>
    <n v="4"/>
    <s v="Married"/>
    <n v="7879"/>
    <n v="1"/>
    <x v="0"/>
    <n v="19"/>
    <n v="3"/>
    <n v="2"/>
    <n v="1"/>
    <n v="9"/>
    <n v="2"/>
    <n v="3"/>
    <n v="8"/>
    <n v="7"/>
    <n v="6"/>
    <n v="7"/>
    <s v="Bachelor"/>
    <s v="High"/>
    <s v="Very High"/>
    <x v="2"/>
    <s v="Very High"/>
    <s v="Excellent"/>
    <s v="Medium"/>
    <x v="1"/>
    <s v="Low"/>
    <x v="0"/>
  </r>
  <r>
    <x v="10"/>
    <x v="1"/>
    <x v="1"/>
    <n v="146"/>
    <x v="1"/>
    <n v="2"/>
    <n v="4"/>
    <x v="2"/>
    <n v="1704"/>
    <n v="1"/>
    <x v="1"/>
    <n v="2"/>
    <n v="1"/>
    <x v="1"/>
    <n v="4"/>
    <s v="Single"/>
    <n v="4930"/>
    <n v="0"/>
    <x v="0"/>
    <n v="14"/>
    <n v="3"/>
    <n v="3"/>
    <n v="0"/>
    <n v="6"/>
    <n v="2"/>
    <n v="4"/>
    <n v="5"/>
    <n v="4"/>
    <n v="1"/>
    <n v="4"/>
    <s v="Master"/>
    <s v="Low"/>
    <s v="Medium"/>
    <x v="1"/>
    <s v="Very High"/>
    <s v="Excellent"/>
    <s v="High"/>
    <x v="3"/>
    <s v="No_stock"/>
    <x v="0"/>
  </r>
  <r>
    <x v="23"/>
    <x v="1"/>
    <x v="0"/>
    <n v="1179"/>
    <x v="0"/>
    <n v="2"/>
    <n v="3"/>
    <x v="2"/>
    <n v="1706"/>
    <n v="4"/>
    <x v="1"/>
    <n v="3"/>
    <n v="2"/>
    <x v="0"/>
    <n v="4"/>
    <s v="Married"/>
    <n v="7847"/>
    <n v="1"/>
    <x v="0"/>
    <n v="17"/>
    <n v="3"/>
    <n v="1"/>
    <n v="1"/>
    <n v="10"/>
    <n v="3"/>
    <n v="3"/>
    <n v="10"/>
    <n v="9"/>
    <n v="8"/>
    <n v="8"/>
    <s v="Bachelor"/>
    <s v="Very High"/>
    <s v="High"/>
    <x v="0"/>
    <s v="Very High"/>
    <s v="Excellent"/>
    <s v="Low"/>
    <x v="1"/>
    <s v="Low"/>
    <x v="0"/>
  </r>
  <r>
    <x v="17"/>
    <x v="1"/>
    <x v="0"/>
    <n v="581"/>
    <x v="1"/>
    <n v="9"/>
    <n v="3"/>
    <x v="2"/>
    <n v="1707"/>
    <n v="3"/>
    <x v="1"/>
    <n v="4"/>
    <n v="1"/>
    <x v="1"/>
    <n v="3"/>
    <s v="Married"/>
    <n v="4401"/>
    <n v="1"/>
    <x v="1"/>
    <n v="16"/>
    <n v="3"/>
    <n v="4"/>
    <n v="1"/>
    <n v="5"/>
    <n v="1"/>
    <n v="3"/>
    <n v="5"/>
    <n v="3"/>
    <n v="0"/>
    <n v="4"/>
    <s v="Bachelor"/>
    <s v="High"/>
    <s v="Very High"/>
    <x v="1"/>
    <s v="High"/>
    <s v="Excellent"/>
    <s v="Very High"/>
    <x v="1"/>
    <s v="Low"/>
    <x v="1"/>
  </r>
  <r>
    <x v="0"/>
    <x v="1"/>
    <x v="0"/>
    <n v="918"/>
    <x v="0"/>
    <n v="6"/>
    <n v="3"/>
    <x v="3"/>
    <n v="1708"/>
    <n v="4"/>
    <x v="1"/>
    <n v="3"/>
    <n v="3"/>
    <x v="0"/>
    <n v="3"/>
    <s v="Single"/>
    <n v="9241"/>
    <n v="1"/>
    <x v="1"/>
    <n v="12"/>
    <n v="3"/>
    <n v="2"/>
    <n v="0"/>
    <n v="10"/>
    <n v="3"/>
    <n v="3"/>
    <n v="10"/>
    <n v="8"/>
    <n v="8"/>
    <n v="7"/>
    <s v="Bachelor"/>
    <s v="Very High"/>
    <s v="High"/>
    <x v="2"/>
    <s v="High"/>
    <s v="Excellent"/>
    <s v="Medium"/>
    <x v="1"/>
    <s v="No_stock"/>
    <x v="1"/>
  </r>
  <r>
    <x v="11"/>
    <x v="1"/>
    <x v="0"/>
    <n v="1082"/>
    <x v="1"/>
    <n v="9"/>
    <n v="4"/>
    <x v="2"/>
    <n v="1709"/>
    <n v="4"/>
    <x v="0"/>
    <n v="3"/>
    <n v="1"/>
    <x v="2"/>
    <n v="3"/>
    <s v="Married"/>
    <n v="2974"/>
    <n v="9"/>
    <x v="1"/>
    <n v="17"/>
    <n v="3"/>
    <n v="3"/>
    <n v="1"/>
    <n v="9"/>
    <n v="2"/>
    <n v="3"/>
    <n v="5"/>
    <n v="3"/>
    <n v="1"/>
    <n v="2"/>
    <s v="Master"/>
    <s v="Very High"/>
    <s v="High"/>
    <x v="1"/>
    <s v="High"/>
    <s v="Excellent"/>
    <s v="High"/>
    <x v="1"/>
    <s v="Low"/>
    <x v="1"/>
  </r>
  <r>
    <x v="9"/>
    <x v="1"/>
    <x v="0"/>
    <n v="530"/>
    <x v="0"/>
    <n v="2"/>
    <n v="4"/>
    <x v="0"/>
    <n v="1710"/>
    <n v="3"/>
    <x v="0"/>
    <n v="3"/>
    <n v="2"/>
    <x v="6"/>
    <n v="4"/>
    <s v="Single"/>
    <n v="4502"/>
    <n v="3"/>
    <x v="1"/>
    <n v="15"/>
    <n v="3"/>
    <n v="3"/>
    <n v="0"/>
    <n v="17"/>
    <n v="2"/>
    <n v="2"/>
    <n v="13"/>
    <n v="7"/>
    <n v="6"/>
    <n v="7"/>
    <s v="Master"/>
    <s v="High"/>
    <s v="High"/>
    <x v="0"/>
    <s v="Very High"/>
    <s v="Excellent"/>
    <s v="High"/>
    <x v="2"/>
    <s v="No_stock"/>
    <x v="0"/>
  </r>
  <r>
    <x v="28"/>
    <x v="1"/>
    <x v="2"/>
    <n v="1238"/>
    <x v="1"/>
    <n v="1"/>
    <n v="1"/>
    <x v="0"/>
    <n v="1712"/>
    <n v="3"/>
    <x v="1"/>
    <n v="2"/>
    <n v="3"/>
    <x v="4"/>
    <n v="3"/>
    <s v="Married"/>
    <n v="10748"/>
    <n v="3"/>
    <x v="1"/>
    <n v="23"/>
    <n v="4"/>
    <n v="4"/>
    <n v="1"/>
    <n v="25"/>
    <n v="3"/>
    <n v="2"/>
    <n v="23"/>
    <n v="15"/>
    <n v="14"/>
    <n v="4"/>
    <s v="Before College"/>
    <s v="High"/>
    <s v="Medium"/>
    <x v="2"/>
    <s v="High"/>
    <s v="Outstanding"/>
    <s v="Very High"/>
    <x v="2"/>
    <s v="Low"/>
    <x v="0"/>
  </r>
  <r>
    <x v="17"/>
    <x v="0"/>
    <x v="0"/>
    <n v="240"/>
    <x v="2"/>
    <n v="22"/>
    <n v="1"/>
    <x v="5"/>
    <n v="1714"/>
    <n v="4"/>
    <x v="1"/>
    <n v="1"/>
    <n v="1"/>
    <x v="8"/>
    <n v="3"/>
    <s v="Married"/>
    <n v="1555"/>
    <n v="1"/>
    <x v="1"/>
    <n v="11"/>
    <n v="3"/>
    <n v="3"/>
    <n v="1"/>
    <n v="1"/>
    <n v="2"/>
    <n v="3"/>
    <n v="1"/>
    <n v="0"/>
    <n v="0"/>
    <n v="0"/>
    <s v="Before College"/>
    <s v="Very High"/>
    <s v="Low"/>
    <x v="1"/>
    <s v="High"/>
    <s v="Excellent"/>
    <s v="High"/>
    <x v="1"/>
    <s v="Low"/>
    <x v="2"/>
  </r>
  <r>
    <x v="40"/>
    <x v="0"/>
    <x v="1"/>
    <n v="1093"/>
    <x v="0"/>
    <n v="9"/>
    <n v="3"/>
    <x v="0"/>
    <n v="1716"/>
    <n v="3"/>
    <x v="1"/>
    <n v="1"/>
    <n v="4"/>
    <x v="0"/>
    <n v="3"/>
    <s v="Married"/>
    <n v="12936"/>
    <n v="7"/>
    <x v="1"/>
    <n v="11"/>
    <n v="3"/>
    <n v="3"/>
    <n v="0"/>
    <n v="25"/>
    <n v="3"/>
    <n v="1"/>
    <n v="23"/>
    <n v="5"/>
    <n v="14"/>
    <n v="10"/>
    <s v="Bachelor"/>
    <s v="High"/>
    <s v="Low"/>
    <x v="3"/>
    <s v="High"/>
    <s v="Excellent"/>
    <s v="High"/>
    <x v="0"/>
    <s v="No_stock"/>
    <x v="1"/>
  </r>
  <r>
    <x v="25"/>
    <x v="1"/>
    <x v="0"/>
    <n v="390"/>
    <x v="1"/>
    <n v="17"/>
    <n v="4"/>
    <x v="2"/>
    <n v="1718"/>
    <n v="4"/>
    <x v="1"/>
    <n v="1"/>
    <n v="1"/>
    <x v="2"/>
    <n v="3"/>
    <s v="Married"/>
    <n v="2305"/>
    <n v="1"/>
    <x v="1"/>
    <n v="15"/>
    <n v="3"/>
    <n v="3"/>
    <n v="3"/>
    <n v="3"/>
    <n v="3"/>
    <n v="4"/>
    <n v="3"/>
    <n v="2"/>
    <n v="0"/>
    <n v="2"/>
    <s v="Master"/>
    <s v="Very High"/>
    <s v="Low"/>
    <x v="1"/>
    <s v="High"/>
    <s v="Excellent"/>
    <s v="High"/>
    <x v="3"/>
    <s v="High"/>
    <x v="2"/>
  </r>
  <r>
    <x v="28"/>
    <x v="1"/>
    <x v="0"/>
    <n v="1005"/>
    <x v="1"/>
    <n v="28"/>
    <n v="2"/>
    <x v="4"/>
    <n v="1719"/>
    <n v="4"/>
    <x v="0"/>
    <n v="2"/>
    <n v="4"/>
    <x v="7"/>
    <n v="2"/>
    <s v="Single"/>
    <n v="16704"/>
    <n v="1"/>
    <x v="1"/>
    <n v="11"/>
    <n v="3"/>
    <n v="3"/>
    <n v="0"/>
    <n v="21"/>
    <n v="2"/>
    <n v="3"/>
    <n v="21"/>
    <n v="6"/>
    <n v="8"/>
    <n v="6"/>
    <s v="College"/>
    <s v="Very High"/>
    <s v="Medium"/>
    <x v="3"/>
    <s v="Medium"/>
    <s v="Excellent"/>
    <s v="High"/>
    <x v="1"/>
    <s v="No_stock"/>
    <x v="2"/>
  </r>
  <r>
    <x v="5"/>
    <x v="1"/>
    <x v="1"/>
    <n v="585"/>
    <x v="1"/>
    <n v="10"/>
    <n v="3"/>
    <x v="0"/>
    <n v="1720"/>
    <n v="1"/>
    <x v="1"/>
    <n v="3"/>
    <n v="1"/>
    <x v="1"/>
    <n v="3"/>
    <s v="Married"/>
    <n v="3433"/>
    <n v="6"/>
    <x v="1"/>
    <n v="13"/>
    <n v="3"/>
    <n v="1"/>
    <n v="1"/>
    <n v="10"/>
    <n v="3"/>
    <n v="2"/>
    <n v="5"/>
    <n v="2"/>
    <n v="1"/>
    <n v="3"/>
    <s v="Bachelor"/>
    <s v="Low"/>
    <s v="High"/>
    <x v="1"/>
    <s v="High"/>
    <s v="Excellent"/>
    <s v="Low"/>
    <x v="2"/>
    <s v="Low"/>
    <x v="1"/>
  </r>
  <r>
    <x v="12"/>
    <x v="1"/>
    <x v="0"/>
    <n v="741"/>
    <x v="1"/>
    <n v="2"/>
    <n v="4"/>
    <x v="0"/>
    <n v="1721"/>
    <n v="2"/>
    <x v="1"/>
    <n v="3"/>
    <n v="1"/>
    <x v="2"/>
    <n v="3"/>
    <s v="Married"/>
    <n v="3477"/>
    <n v="1"/>
    <x v="1"/>
    <n v="14"/>
    <n v="3"/>
    <n v="4"/>
    <n v="1"/>
    <n v="6"/>
    <n v="2"/>
    <n v="4"/>
    <n v="5"/>
    <n v="2"/>
    <n v="0"/>
    <n v="3"/>
    <s v="Master"/>
    <s v="Medium"/>
    <s v="High"/>
    <x v="1"/>
    <s v="High"/>
    <s v="Excellent"/>
    <s v="Very High"/>
    <x v="3"/>
    <s v="Low"/>
    <x v="0"/>
  </r>
  <r>
    <x v="0"/>
    <x v="1"/>
    <x v="2"/>
    <n v="552"/>
    <x v="2"/>
    <n v="4"/>
    <n v="3"/>
    <x v="5"/>
    <n v="1722"/>
    <n v="3"/>
    <x v="1"/>
    <n v="1"/>
    <n v="2"/>
    <x v="8"/>
    <n v="2"/>
    <s v="Married"/>
    <n v="6430"/>
    <n v="6"/>
    <x v="1"/>
    <n v="19"/>
    <n v="3"/>
    <n v="2"/>
    <n v="1"/>
    <n v="10"/>
    <n v="4"/>
    <n v="3"/>
    <n v="3"/>
    <n v="2"/>
    <n v="1"/>
    <n v="2"/>
    <s v="Bachelor"/>
    <s v="High"/>
    <s v="Low"/>
    <x v="0"/>
    <s v="Medium"/>
    <s v="Excellent"/>
    <s v="Medium"/>
    <x v="1"/>
    <s v="Low"/>
    <x v="0"/>
  </r>
  <r>
    <x v="32"/>
    <x v="1"/>
    <x v="0"/>
    <n v="369"/>
    <x v="1"/>
    <n v="8"/>
    <n v="2"/>
    <x v="0"/>
    <n v="1724"/>
    <n v="2"/>
    <x v="0"/>
    <n v="3"/>
    <n v="2"/>
    <x v="3"/>
    <n v="1"/>
    <s v="Married"/>
    <n v="6516"/>
    <n v="2"/>
    <x v="0"/>
    <n v="16"/>
    <n v="3"/>
    <n v="2"/>
    <n v="1"/>
    <n v="18"/>
    <n v="3"/>
    <n v="3"/>
    <n v="1"/>
    <n v="0"/>
    <n v="0"/>
    <n v="0"/>
    <s v="College"/>
    <s v="Medium"/>
    <s v="High"/>
    <x v="0"/>
    <s v="Low"/>
    <s v="Excellent"/>
    <s v="Medium"/>
    <x v="1"/>
    <s v="Low"/>
    <x v="1"/>
  </r>
  <r>
    <x v="17"/>
    <x v="1"/>
    <x v="0"/>
    <n v="506"/>
    <x v="1"/>
    <n v="29"/>
    <n v="1"/>
    <x v="2"/>
    <n v="1725"/>
    <n v="2"/>
    <x v="1"/>
    <n v="3"/>
    <n v="1"/>
    <x v="2"/>
    <n v="1"/>
    <s v="Divorced"/>
    <n v="3907"/>
    <n v="1"/>
    <x v="1"/>
    <n v="13"/>
    <n v="3"/>
    <n v="2"/>
    <n v="3"/>
    <n v="6"/>
    <n v="2"/>
    <n v="4"/>
    <n v="6"/>
    <n v="2"/>
    <n v="1"/>
    <n v="2"/>
    <s v="Before College"/>
    <s v="Medium"/>
    <s v="High"/>
    <x v="1"/>
    <s v="Low"/>
    <s v="Excellent"/>
    <s v="Medium"/>
    <x v="3"/>
    <s v="High"/>
    <x v="2"/>
  </r>
  <r>
    <x v="21"/>
    <x v="1"/>
    <x v="0"/>
    <n v="717"/>
    <x v="1"/>
    <n v="13"/>
    <n v="4"/>
    <x v="0"/>
    <n v="1727"/>
    <n v="3"/>
    <x v="1"/>
    <n v="3"/>
    <n v="2"/>
    <x v="4"/>
    <n v="2"/>
    <s v="Single"/>
    <n v="5562"/>
    <n v="6"/>
    <x v="1"/>
    <n v="14"/>
    <n v="3"/>
    <n v="4"/>
    <n v="0"/>
    <n v="19"/>
    <n v="3"/>
    <n v="3"/>
    <n v="10"/>
    <n v="7"/>
    <n v="0"/>
    <n v="9"/>
    <s v="Master"/>
    <s v="High"/>
    <s v="High"/>
    <x v="0"/>
    <s v="Medium"/>
    <s v="Excellent"/>
    <s v="Very High"/>
    <x v="1"/>
    <s v="No_stock"/>
    <x v="1"/>
  </r>
  <r>
    <x v="10"/>
    <x v="1"/>
    <x v="0"/>
    <n v="1370"/>
    <x v="1"/>
    <n v="27"/>
    <n v="4"/>
    <x v="0"/>
    <n v="1728"/>
    <n v="4"/>
    <x v="1"/>
    <n v="3"/>
    <n v="2"/>
    <x v="3"/>
    <n v="3"/>
    <s v="Married"/>
    <n v="6883"/>
    <n v="2"/>
    <x v="1"/>
    <n v="16"/>
    <n v="3"/>
    <n v="2"/>
    <n v="1"/>
    <n v="17"/>
    <n v="3"/>
    <n v="3"/>
    <n v="7"/>
    <n v="7"/>
    <n v="0"/>
    <n v="7"/>
    <s v="Master"/>
    <s v="Very High"/>
    <s v="High"/>
    <x v="0"/>
    <s v="High"/>
    <s v="Excellent"/>
    <s v="Medium"/>
    <x v="1"/>
    <s v="Low"/>
    <x v="2"/>
  </r>
  <r>
    <x v="7"/>
    <x v="1"/>
    <x v="0"/>
    <n v="793"/>
    <x v="1"/>
    <n v="16"/>
    <n v="1"/>
    <x v="0"/>
    <n v="1729"/>
    <n v="2"/>
    <x v="1"/>
    <n v="3"/>
    <n v="1"/>
    <x v="1"/>
    <n v="4"/>
    <s v="Married"/>
    <n v="2862"/>
    <n v="1"/>
    <x v="1"/>
    <n v="12"/>
    <n v="3"/>
    <n v="2"/>
    <n v="1"/>
    <n v="10"/>
    <n v="2"/>
    <n v="2"/>
    <n v="10"/>
    <n v="0"/>
    <n v="0"/>
    <n v="8"/>
    <s v="Before College"/>
    <s v="Medium"/>
    <s v="High"/>
    <x v="1"/>
    <s v="Very High"/>
    <s v="Excellent"/>
    <s v="Medium"/>
    <x v="2"/>
    <s v="Low"/>
    <x v="2"/>
  </r>
  <r>
    <x v="40"/>
    <x v="1"/>
    <x v="2"/>
    <n v="543"/>
    <x v="0"/>
    <n v="2"/>
    <n v="4"/>
    <x v="3"/>
    <n v="1731"/>
    <n v="3"/>
    <x v="1"/>
    <n v="3"/>
    <n v="2"/>
    <x v="0"/>
    <n v="2"/>
    <s v="Married"/>
    <n v="4978"/>
    <n v="7"/>
    <x v="1"/>
    <n v="11"/>
    <n v="3"/>
    <n v="4"/>
    <n v="1"/>
    <n v="4"/>
    <n v="3"/>
    <n v="1"/>
    <n v="1"/>
    <n v="0"/>
    <n v="0"/>
    <n v="0"/>
    <s v="Master"/>
    <s v="High"/>
    <s v="High"/>
    <x v="0"/>
    <s v="Medium"/>
    <s v="Excellent"/>
    <s v="Very High"/>
    <x v="0"/>
    <s v="Low"/>
    <x v="0"/>
  </r>
  <r>
    <x v="21"/>
    <x v="1"/>
    <x v="0"/>
    <n v="1277"/>
    <x v="0"/>
    <n v="2"/>
    <n v="3"/>
    <x v="0"/>
    <n v="1732"/>
    <n v="3"/>
    <x v="1"/>
    <n v="3"/>
    <n v="3"/>
    <x v="0"/>
    <n v="4"/>
    <s v="Divorced"/>
    <n v="10368"/>
    <n v="4"/>
    <x v="0"/>
    <n v="12"/>
    <n v="3"/>
    <n v="2"/>
    <n v="1"/>
    <n v="13"/>
    <n v="5"/>
    <n v="2"/>
    <n v="10"/>
    <n v="6"/>
    <n v="0"/>
    <n v="3"/>
    <s v="Bachelor"/>
    <s v="High"/>
    <s v="High"/>
    <x v="2"/>
    <s v="Very High"/>
    <s v="Excellent"/>
    <s v="Medium"/>
    <x v="2"/>
    <s v="Low"/>
    <x v="0"/>
  </r>
  <r>
    <x v="9"/>
    <x v="0"/>
    <x v="0"/>
    <n v="1456"/>
    <x v="0"/>
    <n v="13"/>
    <n v="5"/>
    <x v="3"/>
    <n v="1733"/>
    <n v="2"/>
    <x v="1"/>
    <n v="2"/>
    <n v="2"/>
    <x v="0"/>
    <n v="1"/>
    <s v="Divorced"/>
    <n v="6134"/>
    <n v="5"/>
    <x v="0"/>
    <n v="13"/>
    <n v="3"/>
    <n v="2"/>
    <n v="3"/>
    <n v="16"/>
    <n v="3"/>
    <n v="3"/>
    <n v="2"/>
    <n v="2"/>
    <n v="2"/>
    <n v="2"/>
    <s v="Doctor"/>
    <s v="Medium"/>
    <s v="Medium"/>
    <x v="0"/>
    <s v="Low"/>
    <s v="Excellent"/>
    <s v="Medium"/>
    <x v="1"/>
    <s v="High"/>
    <x v="1"/>
  </r>
  <r>
    <x v="5"/>
    <x v="0"/>
    <x v="0"/>
    <n v="964"/>
    <x v="0"/>
    <n v="1"/>
    <n v="2"/>
    <x v="0"/>
    <n v="1734"/>
    <n v="1"/>
    <x v="1"/>
    <n v="1"/>
    <n v="2"/>
    <x v="0"/>
    <n v="2"/>
    <s v="Single"/>
    <n v="6735"/>
    <n v="6"/>
    <x v="1"/>
    <n v="15"/>
    <n v="3"/>
    <n v="2"/>
    <n v="0"/>
    <n v="10"/>
    <n v="2"/>
    <n v="3"/>
    <n v="0"/>
    <n v="0"/>
    <n v="0"/>
    <n v="0"/>
    <s v="College"/>
    <s v="Low"/>
    <s v="Low"/>
    <x v="0"/>
    <s v="Medium"/>
    <s v="Excellent"/>
    <s v="Medium"/>
    <x v="1"/>
    <s v="No_stock"/>
    <x v="0"/>
  </r>
  <r>
    <x v="30"/>
    <x v="1"/>
    <x v="0"/>
    <n v="160"/>
    <x v="1"/>
    <n v="4"/>
    <n v="1"/>
    <x v="2"/>
    <n v="1735"/>
    <n v="3"/>
    <x v="0"/>
    <n v="3"/>
    <n v="1"/>
    <x v="2"/>
    <n v="2"/>
    <s v="Single"/>
    <n v="3295"/>
    <n v="1"/>
    <x v="1"/>
    <n v="13"/>
    <n v="3"/>
    <n v="3"/>
    <n v="0"/>
    <n v="3"/>
    <n v="3"/>
    <n v="1"/>
    <n v="3"/>
    <n v="2"/>
    <n v="1"/>
    <n v="2"/>
    <s v="Before College"/>
    <s v="High"/>
    <s v="High"/>
    <x v="1"/>
    <s v="Medium"/>
    <s v="Excellent"/>
    <s v="High"/>
    <x v="0"/>
    <s v="No_stock"/>
    <x v="0"/>
  </r>
  <r>
    <x v="12"/>
    <x v="1"/>
    <x v="1"/>
    <n v="163"/>
    <x v="1"/>
    <n v="24"/>
    <n v="1"/>
    <x v="4"/>
    <n v="1736"/>
    <n v="4"/>
    <x v="0"/>
    <n v="3"/>
    <n v="2"/>
    <x v="3"/>
    <n v="4"/>
    <s v="Single"/>
    <n v="5238"/>
    <n v="2"/>
    <x v="1"/>
    <n v="20"/>
    <n v="4"/>
    <n v="4"/>
    <n v="0"/>
    <n v="9"/>
    <n v="3"/>
    <n v="2"/>
    <n v="5"/>
    <n v="4"/>
    <n v="1"/>
    <n v="4"/>
    <s v="Before College"/>
    <s v="Very High"/>
    <s v="High"/>
    <x v="0"/>
    <s v="Very High"/>
    <s v="Outstanding"/>
    <s v="Very High"/>
    <x v="2"/>
    <s v="No_stock"/>
    <x v="2"/>
  </r>
  <r>
    <x v="22"/>
    <x v="1"/>
    <x v="2"/>
    <n v="792"/>
    <x v="1"/>
    <n v="1"/>
    <n v="3"/>
    <x v="0"/>
    <n v="1737"/>
    <n v="4"/>
    <x v="1"/>
    <n v="3"/>
    <n v="2"/>
    <x v="2"/>
    <n v="4"/>
    <s v="Married"/>
    <n v="6472"/>
    <n v="1"/>
    <x v="0"/>
    <n v="15"/>
    <n v="3"/>
    <n v="4"/>
    <n v="1"/>
    <n v="9"/>
    <n v="2"/>
    <n v="3"/>
    <n v="9"/>
    <n v="8"/>
    <n v="5"/>
    <n v="8"/>
    <s v="Bachelor"/>
    <s v="Very High"/>
    <s v="High"/>
    <x v="0"/>
    <s v="Very High"/>
    <s v="Excellent"/>
    <s v="Very High"/>
    <x v="1"/>
    <s v="Low"/>
    <x v="0"/>
  </r>
  <r>
    <x v="5"/>
    <x v="1"/>
    <x v="0"/>
    <n v="371"/>
    <x v="0"/>
    <n v="19"/>
    <n v="3"/>
    <x v="0"/>
    <n v="1739"/>
    <n v="4"/>
    <x v="1"/>
    <n v="1"/>
    <n v="3"/>
    <x v="0"/>
    <n v="3"/>
    <s v="Married"/>
    <n v="9610"/>
    <n v="3"/>
    <x v="1"/>
    <n v="13"/>
    <n v="3"/>
    <n v="3"/>
    <n v="1"/>
    <n v="10"/>
    <n v="2"/>
    <n v="1"/>
    <n v="4"/>
    <n v="3"/>
    <n v="0"/>
    <n v="2"/>
    <s v="Bachelor"/>
    <s v="Very High"/>
    <s v="Low"/>
    <x v="2"/>
    <s v="High"/>
    <s v="Excellent"/>
    <s v="High"/>
    <x v="0"/>
    <s v="Low"/>
    <x v="2"/>
  </r>
  <r>
    <x v="32"/>
    <x v="1"/>
    <x v="0"/>
    <n v="611"/>
    <x v="0"/>
    <n v="7"/>
    <n v="4"/>
    <x v="2"/>
    <n v="1740"/>
    <n v="2"/>
    <x v="1"/>
    <n v="3"/>
    <n v="5"/>
    <x v="5"/>
    <n v="2"/>
    <s v="Single"/>
    <n v="19833"/>
    <n v="1"/>
    <x v="1"/>
    <n v="14"/>
    <n v="3"/>
    <n v="2"/>
    <n v="0"/>
    <n v="21"/>
    <n v="3"/>
    <n v="2"/>
    <n v="21"/>
    <n v="8"/>
    <n v="12"/>
    <n v="8"/>
    <s v="Master"/>
    <s v="Medium"/>
    <s v="High"/>
    <x v="4"/>
    <s v="Medium"/>
    <s v="Excellent"/>
    <s v="Medium"/>
    <x v="2"/>
    <s v="No_stock"/>
    <x v="1"/>
  </r>
  <r>
    <x v="28"/>
    <x v="1"/>
    <x v="0"/>
    <n v="176"/>
    <x v="2"/>
    <n v="4"/>
    <n v="3"/>
    <x v="0"/>
    <n v="1744"/>
    <n v="3"/>
    <x v="0"/>
    <n v="1"/>
    <n v="3"/>
    <x v="8"/>
    <n v="3"/>
    <s v="Married"/>
    <n v="9756"/>
    <n v="4"/>
    <x v="1"/>
    <n v="21"/>
    <n v="4"/>
    <n v="3"/>
    <n v="2"/>
    <n v="9"/>
    <n v="2"/>
    <n v="4"/>
    <n v="5"/>
    <n v="0"/>
    <n v="0"/>
    <n v="3"/>
    <s v="Bachelor"/>
    <s v="High"/>
    <s v="Low"/>
    <x v="2"/>
    <s v="High"/>
    <s v="Outstanding"/>
    <s v="High"/>
    <x v="3"/>
    <s v="Medium"/>
    <x v="0"/>
  </r>
  <r>
    <x v="7"/>
    <x v="1"/>
    <x v="1"/>
    <n v="1312"/>
    <x v="1"/>
    <n v="2"/>
    <n v="4"/>
    <x v="4"/>
    <n v="1745"/>
    <n v="4"/>
    <x v="0"/>
    <n v="2"/>
    <n v="1"/>
    <x v="1"/>
    <n v="1"/>
    <s v="Single"/>
    <n v="4968"/>
    <n v="0"/>
    <x v="1"/>
    <n v="16"/>
    <n v="3"/>
    <n v="4"/>
    <n v="0"/>
    <n v="10"/>
    <n v="2"/>
    <n v="3"/>
    <n v="9"/>
    <n v="7"/>
    <n v="0"/>
    <n v="7"/>
    <s v="Master"/>
    <s v="Very High"/>
    <s v="Medium"/>
    <x v="1"/>
    <s v="Low"/>
    <s v="Excellent"/>
    <s v="Very High"/>
    <x v="1"/>
    <s v="No_stock"/>
    <x v="0"/>
  </r>
  <r>
    <x v="17"/>
    <x v="1"/>
    <x v="1"/>
    <n v="897"/>
    <x v="2"/>
    <n v="10"/>
    <n v="3"/>
    <x v="2"/>
    <n v="1746"/>
    <n v="1"/>
    <x v="1"/>
    <n v="3"/>
    <n v="1"/>
    <x v="8"/>
    <n v="4"/>
    <s v="Married"/>
    <n v="2145"/>
    <n v="0"/>
    <x v="1"/>
    <n v="14"/>
    <n v="3"/>
    <n v="4"/>
    <n v="1"/>
    <n v="3"/>
    <n v="2"/>
    <n v="3"/>
    <n v="2"/>
    <n v="2"/>
    <n v="2"/>
    <n v="1"/>
    <s v="Bachelor"/>
    <s v="Low"/>
    <s v="High"/>
    <x v="1"/>
    <s v="Very High"/>
    <s v="Excellent"/>
    <s v="Very High"/>
    <x v="1"/>
    <s v="Low"/>
    <x v="1"/>
  </r>
  <r>
    <x v="7"/>
    <x v="0"/>
    <x v="1"/>
    <n v="600"/>
    <x v="2"/>
    <n v="8"/>
    <n v="3"/>
    <x v="5"/>
    <n v="1747"/>
    <n v="3"/>
    <x v="0"/>
    <n v="2"/>
    <n v="1"/>
    <x v="8"/>
    <n v="4"/>
    <s v="Divorced"/>
    <n v="2180"/>
    <n v="6"/>
    <x v="1"/>
    <n v="11"/>
    <n v="3"/>
    <n v="3"/>
    <n v="1"/>
    <n v="6"/>
    <n v="0"/>
    <n v="2"/>
    <n v="4"/>
    <n v="2"/>
    <n v="1"/>
    <n v="2"/>
    <s v="Bachelor"/>
    <s v="High"/>
    <s v="Medium"/>
    <x v="1"/>
    <s v="Very High"/>
    <s v="Excellent"/>
    <s v="High"/>
    <x v="2"/>
    <s v="Low"/>
    <x v="1"/>
  </r>
  <r>
    <x v="12"/>
    <x v="1"/>
    <x v="0"/>
    <n v="1003"/>
    <x v="0"/>
    <n v="5"/>
    <n v="3"/>
    <x v="4"/>
    <n v="1749"/>
    <n v="1"/>
    <x v="1"/>
    <n v="3"/>
    <n v="2"/>
    <x v="0"/>
    <n v="3"/>
    <s v="Married"/>
    <n v="8346"/>
    <n v="1"/>
    <x v="1"/>
    <n v="19"/>
    <n v="3"/>
    <n v="3"/>
    <n v="1"/>
    <n v="6"/>
    <n v="3"/>
    <n v="3"/>
    <n v="5"/>
    <n v="2"/>
    <n v="0"/>
    <n v="2"/>
    <s v="Bachelor"/>
    <s v="Low"/>
    <s v="High"/>
    <x v="0"/>
    <s v="High"/>
    <s v="Excellent"/>
    <s v="High"/>
    <x v="1"/>
    <s v="Low"/>
    <x v="0"/>
  </r>
  <r>
    <x v="4"/>
    <x v="1"/>
    <x v="0"/>
    <n v="1054"/>
    <x v="1"/>
    <n v="8"/>
    <n v="3"/>
    <x v="2"/>
    <n v="1751"/>
    <n v="3"/>
    <x v="0"/>
    <n v="3"/>
    <n v="1"/>
    <x v="1"/>
    <n v="4"/>
    <s v="Single"/>
    <n v="3445"/>
    <n v="1"/>
    <x v="1"/>
    <n v="11"/>
    <n v="3"/>
    <n v="3"/>
    <n v="0"/>
    <n v="6"/>
    <n v="5"/>
    <n v="2"/>
    <n v="6"/>
    <n v="2"/>
    <n v="1"/>
    <n v="4"/>
    <s v="Bachelor"/>
    <s v="High"/>
    <s v="High"/>
    <x v="1"/>
    <s v="Very High"/>
    <s v="Excellent"/>
    <s v="High"/>
    <x v="2"/>
    <s v="No_stock"/>
    <x v="1"/>
  </r>
  <r>
    <x v="11"/>
    <x v="0"/>
    <x v="0"/>
    <n v="428"/>
    <x v="0"/>
    <n v="9"/>
    <n v="3"/>
    <x v="3"/>
    <n v="1752"/>
    <n v="2"/>
    <x v="0"/>
    <n v="1"/>
    <n v="1"/>
    <x v="6"/>
    <n v="2"/>
    <s v="Single"/>
    <n v="2760"/>
    <n v="1"/>
    <x v="1"/>
    <n v="13"/>
    <n v="3"/>
    <n v="3"/>
    <n v="0"/>
    <n v="2"/>
    <n v="3"/>
    <n v="3"/>
    <n v="2"/>
    <n v="2"/>
    <n v="2"/>
    <n v="2"/>
    <s v="Bachelor"/>
    <s v="Medium"/>
    <s v="Low"/>
    <x v="1"/>
    <s v="Medium"/>
    <s v="Excellent"/>
    <s v="High"/>
    <x v="1"/>
    <s v="No_stock"/>
    <x v="1"/>
  </r>
  <r>
    <x v="11"/>
    <x v="1"/>
    <x v="1"/>
    <n v="461"/>
    <x v="1"/>
    <n v="1"/>
    <n v="3"/>
    <x v="0"/>
    <n v="1753"/>
    <n v="4"/>
    <x v="1"/>
    <n v="4"/>
    <n v="2"/>
    <x v="4"/>
    <n v="3"/>
    <s v="Single"/>
    <n v="6294"/>
    <n v="8"/>
    <x v="0"/>
    <n v="12"/>
    <n v="3"/>
    <n v="4"/>
    <n v="0"/>
    <n v="10"/>
    <n v="5"/>
    <n v="4"/>
    <n v="3"/>
    <n v="2"/>
    <n v="0"/>
    <n v="2"/>
    <s v="Bachelor"/>
    <s v="Very High"/>
    <s v="Very High"/>
    <x v="0"/>
    <s v="High"/>
    <s v="Excellent"/>
    <s v="Very High"/>
    <x v="3"/>
    <s v="No_stock"/>
    <x v="0"/>
  </r>
  <r>
    <x v="7"/>
    <x v="1"/>
    <x v="0"/>
    <n v="979"/>
    <x v="0"/>
    <n v="15"/>
    <n v="2"/>
    <x v="3"/>
    <n v="1754"/>
    <n v="3"/>
    <x v="1"/>
    <n v="2"/>
    <n v="3"/>
    <x v="0"/>
    <n v="1"/>
    <s v="Divorced"/>
    <n v="7140"/>
    <n v="2"/>
    <x v="1"/>
    <n v="11"/>
    <n v="3"/>
    <n v="1"/>
    <n v="1"/>
    <n v="12"/>
    <n v="2"/>
    <n v="3"/>
    <n v="7"/>
    <n v="7"/>
    <n v="1"/>
    <n v="7"/>
    <s v="College"/>
    <s v="High"/>
    <s v="Medium"/>
    <x v="2"/>
    <s v="Low"/>
    <s v="Excellent"/>
    <s v="Low"/>
    <x v="1"/>
    <s v="Low"/>
    <x v="1"/>
  </r>
  <r>
    <x v="13"/>
    <x v="1"/>
    <x v="0"/>
    <n v="181"/>
    <x v="1"/>
    <n v="2"/>
    <n v="4"/>
    <x v="2"/>
    <n v="1755"/>
    <n v="4"/>
    <x v="1"/>
    <n v="4"/>
    <n v="1"/>
    <x v="1"/>
    <n v="4"/>
    <s v="Married"/>
    <n v="2932"/>
    <n v="0"/>
    <x v="0"/>
    <n v="14"/>
    <n v="3"/>
    <n v="1"/>
    <n v="3"/>
    <n v="6"/>
    <n v="3"/>
    <n v="3"/>
    <n v="5"/>
    <n v="0"/>
    <n v="1"/>
    <n v="2"/>
    <s v="Master"/>
    <s v="Very High"/>
    <s v="Very High"/>
    <x v="1"/>
    <s v="Very High"/>
    <s v="Excellent"/>
    <s v="Low"/>
    <x v="1"/>
    <s v="High"/>
    <x v="0"/>
  </r>
  <r>
    <x v="3"/>
    <x v="1"/>
    <x v="2"/>
    <n v="1283"/>
    <x v="0"/>
    <n v="2"/>
    <n v="3"/>
    <x v="3"/>
    <n v="1756"/>
    <n v="4"/>
    <x v="0"/>
    <n v="3"/>
    <n v="2"/>
    <x v="0"/>
    <n v="2"/>
    <s v="Single"/>
    <n v="5147"/>
    <n v="8"/>
    <x v="1"/>
    <n v="15"/>
    <n v="3"/>
    <n v="4"/>
    <n v="0"/>
    <n v="13"/>
    <n v="2"/>
    <n v="2"/>
    <n v="11"/>
    <n v="7"/>
    <n v="1"/>
    <n v="7"/>
    <s v="Bachelor"/>
    <s v="Very High"/>
    <s v="High"/>
    <x v="0"/>
    <s v="Medium"/>
    <s v="Excellent"/>
    <s v="Very High"/>
    <x v="2"/>
    <s v="No_stock"/>
    <x v="0"/>
  </r>
  <r>
    <x v="1"/>
    <x v="1"/>
    <x v="0"/>
    <n v="1313"/>
    <x v="0"/>
    <n v="11"/>
    <n v="4"/>
    <x v="3"/>
    <n v="1757"/>
    <n v="4"/>
    <x v="0"/>
    <n v="3"/>
    <n v="2"/>
    <x v="0"/>
    <n v="4"/>
    <s v="Single"/>
    <n v="4507"/>
    <n v="3"/>
    <x v="1"/>
    <n v="12"/>
    <n v="3"/>
    <n v="3"/>
    <n v="0"/>
    <n v="8"/>
    <n v="1"/>
    <n v="4"/>
    <n v="5"/>
    <n v="1"/>
    <n v="0"/>
    <n v="4"/>
    <s v="Master"/>
    <s v="Very High"/>
    <s v="High"/>
    <x v="0"/>
    <s v="Very High"/>
    <s v="Excellent"/>
    <s v="High"/>
    <x v="3"/>
    <s v="No_stock"/>
    <x v="1"/>
  </r>
  <r>
    <x v="3"/>
    <x v="0"/>
    <x v="0"/>
    <n v="211"/>
    <x v="0"/>
    <n v="16"/>
    <n v="3"/>
    <x v="0"/>
    <n v="1758"/>
    <n v="1"/>
    <x v="0"/>
    <n v="3"/>
    <n v="3"/>
    <x v="0"/>
    <n v="1"/>
    <s v="Single"/>
    <n v="8564"/>
    <n v="2"/>
    <x v="0"/>
    <n v="20"/>
    <n v="4"/>
    <n v="3"/>
    <n v="0"/>
    <n v="11"/>
    <n v="2"/>
    <n v="2"/>
    <n v="0"/>
    <n v="0"/>
    <n v="0"/>
    <n v="0"/>
    <s v="Bachelor"/>
    <s v="Low"/>
    <s v="High"/>
    <x v="2"/>
    <s v="Low"/>
    <s v="Outstanding"/>
    <s v="High"/>
    <x v="2"/>
    <s v="No_stock"/>
    <x v="2"/>
  </r>
  <r>
    <x v="8"/>
    <x v="1"/>
    <x v="1"/>
    <n v="594"/>
    <x v="1"/>
    <n v="2"/>
    <n v="2"/>
    <x v="2"/>
    <n v="1760"/>
    <n v="3"/>
    <x v="0"/>
    <n v="2"/>
    <n v="1"/>
    <x v="2"/>
    <n v="2"/>
    <s v="Married"/>
    <n v="2468"/>
    <n v="4"/>
    <x v="1"/>
    <n v="14"/>
    <n v="3"/>
    <n v="2"/>
    <n v="1"/>
    <n v="9"/>
    <n v="4"/>
    <n v="2"/>
    <n v="6"/>
    <n v="1"/>
    <n v="0"/>
    <n v="5"/>
    <s v="College"/>
    <s v="High"/>
    <s v="Medium"/>
    <x v="1"/>
    <s v="Medium"/>
    <s v="Excellent"/>
    <s v="Medium"/>
    <x v="2"/>
    <s v="Low"/>
    <x v="0"/>
  </r>
  <r>
    <x v="12"/>
    <x v="0"/>
    <x v="0"/>
    <n v="1079"/>
    <x v="0"/>
    <n v="16"/>
    <n v="4"/>
    <x v="3"/>
    <n v="1761"/>
    <n v="1"/>
    <x v="1"/>
    <n v="3"/>
    <n v="3"/>
    <x v="0"/>
    <n v="3"/>
    <s v="Married"/>
    <n v="8161"/>
    <n v="2"/>
    <x v="1"/>
    <n v="13"/>
    <n v="3"/>
    <n v="1"/>
    <n v="3"/>
    <n v="10"/>
    <n v="2"/>
    <n v="3"/>
    <n v="1"/>
    <n v="0"/>
    <n v="0"/>
    <n v="0"/>
    <s v="Master"/>
    <s v="Low"/>
    <s v="High"/>
    <x v="2"/>
    <s v="High"/>
    <s v="Excellent"/>
    <s v="Low"/>
    <x v="1"/>
    <s v="High"/>
    <x v="2"/>
  </r>
  <r>
    <x v="11"/>
    <x v="1"/>
    <x v="0"/>
    <n v="590"/>
    <x v="1"/>
    <n v="4"/>
    <n v="3"/>
    <x v="4"/>
    <n v="1762"/>
    <n v="4"/>
    <x v="0"/>
    <n v="2"/>
    <n v="1"/>
    <x v="1"/>
    <n v="1"/>
    <s v="Divorced"/>
    <n v="2109"/>
    <n v="1"/>
    <x v="1"/>
    <n v="13"/>
    <n v="3"/>
    <n v="3"/>
    <n v="1"/>
    <n v="1"/>
    <n v="2"/>
    <n v="3"/>
    <n v="1"/>
    <n v="0"/>
    <n v="0"/>
    <n v="0"/>
    <s v="Bachelor"/>
    <s v="Very High"/>
    <s v="Medium"/>
    <x v="1"/>
    <s v="Low"/>
    <s v="Excellent"/>
    <s v="High"/>
    <x v="1"/>
    <s v="Low"/>
    <x v="0"/>
  </r>
  <r>
    <x v="7"/>
    <x v="1"/>
    <x v="0"/>
    <n v="305"/>
    <x v="1"/>
    <n v="16"/>
    <n v="3"/>
    <x v="0"/>
    <n v="1763"/>
    <n v="3"/>
    <x v="1"/>
    <n v="4"/>
    <n v="2"/>
    <x v="4"/>
    <n v="3"/>
    <s v="Married"/>
    <n v="5294"/>
    <n v="3"/>
    <x v="1"/>
    <n v="16"/>
    <n v="3"/>
    <n v="3"/>
    <n v="1"/>
    <n v="10"/>
    <n v="3"/>
    <n v="3"/>
    <n v="7"/>
    <n v="0"/>
    <n v="1"/>
    <n v="7"/>
    <s v="Bachelor"/>
    <s v="High"/>
    <s v="Very High"/>
    <x v="0"/>
    <s v="High"/>
    <s v="Excellent"/>
    <s v="High"/>
    <x v="1"/>
    <s v="Low"/>
    <x v="2"/>
  </r>
  <r>
    <x v="5"/>
    <x v="1"/>
    <x v="2"/>
    <n v="953"/>
    <x v="1"/>
    <n v="5"/>
    <n v="4"/>
    <x v="4"/>
    <n v="1764"/>
    <n v="2"/>
    <x v="1"/>
    <n v="3"/>
    <n v="1"/>
    <x v="1"/>
    <n v="2"/>
    <s v="Single"/>
    <n v="2718"/>
    <n v="2"/>
    <x v="1"/>
    <n v="14"/>
    <n v="3"/>
    <n v="2"/>
    <n v="0"/>
    <n v="12"/>
    <n v="3"/>
    <n v="3"/>
    <n v="7"/>
    <n v="7"/>
    <n v="0"/>
    <n v="7"/>
    <s v="Master"/>
    <s v="Medium"/>
    <s v="High"/>
    <x v="1"/>
    <s v="Medium"/>
    <s v="Excellent"/>
    <s v="Medium"/>
    <x v="1"/>
    <s v="No_stock"/>
    <x v="0"/>
  </r>
  <r>
    <x v="8"/>
    <x v="1"/>
    <x v="0"/>
    <n v="833"/>
    <x v="1"/>
    <n v="18"/>
    <n v="3"/>
    <x v="2"/>
    <n v="1766"/>
    <n v="2"/>
    <x v="1"/>
    <n v="1"/>
    <n v="2"/>
    <x v="4"/>
    <n v="4"/>
    <s v="Married"/>
    <n v="5811"/>
    <n v="3"/>
    <x v="0"/>
    <n v="16"/>
    <n v="3"/>
    <n v="3"/>
    <n v="1"/>
    <n v="15"/>
    <n v="2"/>
    <n v="3"/>
    <n v="1"/>
    <n v="0"/>
    <n v="1"/>
    <n v="0"/>
    <s v="Bachelor"/>
    <s v="Medium"/>
    <s v="Low"/>
    <x v="0"/>
    <s v="Very High"/>
    <s v="Excellent"/>
    <s v="High"/>
    <x v="1"/>
    <s v="Low"/>
    <x v="2"/>
  </r>
  <r>
    <x v="23"/>
    <x v="0"/>
    <x v="1"/>
    <n v="807"/>
    <x v="1"/>
    <n v="17"/>
    <n v="3"/>
    <x v="4"/>
    <n v="1767"/>
    <n v="3"/>
    <x v="1"/>
    <n v="2"/>
    <n v="1"/>
    <x v="1"/>
    <n v="3"/>
    <s v="Married"/>
    <n v="2437"/>
    <n v="9"/>
    <x v="0"/>
    <n v="16"/>
    <n v="3"/>
    <n v="4"/>
    <n v="1"/>
    <n v="6"/>
    <n v="4"/>
    <n v="3"/>
    <n v="1"/>
    <n v="0"/>
    <n v="0"/>
    <n v="0"/>
    <s v="Bachelor"/>
    <s v="High"/>
    <s v="Medium"/>
    <x v="1"/>
    <s v="High"/>
    <s v="Excellent"/>
    <s v="Very High"/>
    <x v="1"/>
    <s v="Low"/>
    <x v="2"/>
  </r>
  <r>
    <x v="19"/>
    <x v="1"/>
    <x v="0"/>
    <n v="855"/>
    <x v="1"/>
    <n v="12"/>
    <n v="3"/>
    <x v="2"/>
    <n v="1768"/>
    <n v="2"/>
    <x v="1"/>
    <n v="3"/>
    <n v="1"/>
    <x v="2"/>
    <n v="2"/>
    <s v="Divorced"/>
    <n v="2766"/>
    <n v="8"/>
    <x v="1"/>
    <n v="22"/>
    <n v="4"/>
    <n v="2"/>
    <n v="3"/>
    <n v="7"/>
    <n v="6"/>
    <n v="2"/>
    <n v="5"/>
    <n v="3"/>
    <n v="0"/>
    <n v="4"/>
    <s v="Bachelor"/>
    <s v="Medium"/>
    <s v="High"/>
    <x v="1"/>
    <s v="Medium"/>
    <s v="Outstanding"/>
    <s v="Medium"/>
    <x v="2"/>
    <s v="High"/>
    <x v="1"/>
  </r>
  <r>
    <x v="27"/>
    <x v="1"/>
    <x v="0"/>
    <n v="478"/>
    <x v="1"/>
    <n v="2"/>
    <n v="3"/>
    <x v="2"/>
    <n v="1770"/>
    <n v="3"/>
    <x v="1"/>
    <n v="2"/>
    <n v="5"/>
    <x v="7"/>
    <n v="1"/>
    <s v="Married"/>
    <n v="19038"/>
    <n v="8"/>
    <x v="1"/>
    <n v="12"/>
    <n v="3"/>
    <n v="2"/>
    <n v="3"/>
    <n v="34"/>
    <n v="2"/>
    <n v="3"/>
    <n v="1"/>
    <n v="0"/>
    <n v="0"/>
    <n v="0"/>
    <s v="Bachelor"/>
    <s v="High"/>
    <s v="Medium"/>
    <x v="4"/>
    <s v="Low"/>
    <s v="Excellent"/>
    <s v="Medium"/>
    <x v="1"/>
    <s v="High"/>
    <x v="0"/>
  </r>
  <r>
    <x v="3"/>
    <x v="1"/>
    <x v="2"/>
    <n v="775"/>
    <x v="1"/>
    <n v="4"/>
    <n v="3"/>
    <x v="4"/>
    <n v="1771"/>
    <n v="4"/>
    <x v="1"/>
    <n v="3"/>
    <n v="2"/>
    <x v="1"/>
    <n v="2"/>
    <s v="Divorced"/>
    <n v="3055"/>
    <n v="5"/>
    <x v="1"/>
    <n v="15"/>
    <n v="3"/>
    <n v="4"/>
    <n v="2"/>
    <n v="11"/>
    <n v="2"/>
    <n v="2"/>
    <n v="9"/>
    <n v="8"/>
    <n v="1"/>
    <n v="7"/>
    <s v="Bachelor"/>
    <s v="Very High"/>
    <s v="High"/>
    <x v="0"/>
    <s v="Medium"/>
    <s v="Excellent"/>
    <s v="Very High"/>
    <x v="2"/>
    <s v="Medium"/>
    <x v="0"/>
  </r>
  <r>
    <x v="0"/>
    <x v="1"/>
    <x v="0"/>
    <n v="548"/>
    <x v="1"/>
    <n v="9"/>
    <n v="4"/>
    <x v="0"/>
    <n v="1772"/>
    <n v="3"/>
    <x v="1"/>
    <n v="3"/>
    <n v="1"/>
    <x v="2"/>
    <n v="1"/>
    <s v="Divorced"/>
    <n v="2289"/>
    <n v="1"/>
    <x v="1"/>
    <n v="20"/>
    <n v="4"/>
    <n v="2"/>
    <n v="2"/>
    <n v="5"/>
    <n v="2"/>
    <n v="3"/>
    <n v="5"/>
    <n v="3"/>
    <n v="0"/>
    <n v="4"/>
    <s v="Master"/>
    <s v="High"/>
    <s v="High"/>
    <x v="1"/>
    <s v="Low"/>
    <s v="Outstanding"/>
    <s v="Medium"/>
    <x v="1"/>
    <s v="Medium"/>
    <x v="1"/>
  </r>
  <r>
    <x v="13"/>
    <x v="1"/>
    <x v="2"/>
    <n v="1375"/>
    <x v="0"/>
    <n v="10"/>
    <n v="3"/>
    <x v="0"/>
    <n v="1774"/>
    <n v="4"/>
    <x v="1"/>
    <n v="3"/>
    <n v="2"/>
    <x v="0"/>
    <n v="3"/>
    <s v="Divorced"/>
    <n v="4001"/>
    <n v="1"/>
    <x v="0"/>
    <n v="14"/>
    <n v="3"/>
    <n v="3"/>
    <n v="1"/>
    <n v="15"/>
    <n v="3"/>
    <n v="3"/>
    <n v="15"/>
    <n v="14"/>
    <n v="0"/>
    <n v="7"/>
    <s v="Bachelor"/>
    <s v="Very High"/>
    <s v="High"/>
    <x v="0"/>
    <s v="High"/>
    <s v="Excellent"/>
    <s v="High"/>
    <x v="1"/>
    <s v="Low"/>
    <x v="1"/>
  </r>
  <r>
    <x v="16"/>
    <x v="1"/>
    <x v="2"/>
    <n v="661"/>
    <x v="1"/>
    <n v="1"/>
    <n v="4"/>
    <x v="2"/>
    <n v="1775"/>
    <n v="1"/>
    <x v="0"/>
    <n v="2"/>
    <n v="4"/>
    <x v="3"/>
    <n v="3"/>
    <s v="Married"/>
    <n v="12965"/>
    <n v="4"/>
    <x v="0"/>
    <n v="20"/>
    <n v="4"/>
    <n v="4"/>
    <n v="3"/>
    <n v="27"/>
    <n v="2"/>
    <n v="2"/>
    <n v="3"/>
    <n v="2"/>
    <n v="0"/>
    <n v="2"/>
    <s v="Master"/>
    <s v="Low"/>
    <s v="Medium"/>
    <x v="3"/>
    <s v="High"/>
    <s v="Outstanding"/>
    <s v="Very High"/>
    <x v="2"/>
    <s v="High"/>
    <x v="0"/>
  </r>
  <r>
    <x v="23"/>
    <x v="1"/>
    <x v="0"/>
    <n v="244"/>
    <x v="2"/>
    <n v="2"/>
    <n v="3"/>
    <x v="0"/>
    <n v="1778"/>
    <n v="2"/>
    <x v="1"/>
    <n v="3"/>
    <n v="1"/>
    <x v="8"/>
    <n v="4"/>
    <s v="Single"/>
    <n v="3539"/>
    <n v="0"/>
    <x v="1"/>
    <n v="13"/>
    <n v="3"/>
    <n v="2"/>
    <n v="0"/>
    <n v="10"/>
    <n v="5"/>
    <n v="3"/>
    <n v="9"/>
    <n v="7"/>
    <n v="1"/>
    <n v="8"/>
    <s v="Bachelor"/>
    <s v="Medium"/>
    <s v="High"/>
    <x v="1"/>
    <s v="Very High"/>
    <s v="Excellent"/>
    <s v="Medium"/>
    <x v="1"/>
    <s v="No_stock"/>
    <x v="0"/>
  </r>
  <r>
    <x v="13"/>
    <x v="1"/>
    <x v="0"/>
    <n v="511"/>
    <x v="0"/>
    <n v="3"/>
    <n v="2"/>
    <x v="0"/>
    <n v="1779"/>
    <n v="4"/>
    <x v="0"/>
    <n v="1"/>
    <n v="2"/>
    <x v="0"/>
    <n v="4"/>
    <s v="Single"/>
    <n v="6029"/>
    <n v="5"/>
    <x v="1"/>
    <n v="12"/>
    <n v="3"/>
    <n v="1"/>
    <n v="0"/>
    <n v="6"/>
    <n v="3"/>
    <n v="3"/>
    <n v="2"/>
    <n v="2"/>
    <n v="2"/>
    <n v="2"/>
    <s v="College"/>
    <s v="Very High"/>
    <s v="Low"/>
    <x v="0"/>
    <s v="Very High"/>
    <s v="Excellent"/>
    <s v="Low"/>
    <x v="1"/>
    <s v="No_stock"/>
    <x v="0"/>
  </r>
  <r>
    <x v="18"/>
    <x v="0"/>
    <x v="0"/>
    <n v="337"/>
    <x v="0"/>
    <n v="7"/>
    <n v="1"/>
    <x v="3"/>
    <n v="1780"/>
    <n v="2"/>
    <x v="1"/>
    <n v="3"/>
    <n v="1"/>
    <x v="6"/>
    <n v="2"/>
    <s v="Single"/>
    <n v="2679"/>
    <n v="1"/>
    <x v="1"/>
    <n v="13"/>
    <n v="3"/>
    <n v="2"/>
    <n v="0"/>
    <n v="1"/>
    <n v="3"/>
    <n v="3"/>
    <n v="1"/>
    <n v="0"/>
    <n v="1"/>
    <n v="0"/>
    <s v="Before College"/>
    <s v="Medium"/>
    <s v="High"/>
    <x v="1"/>
    <s v="Medium"/>
    <s v="Excellent"/>
    <s v="Medium"/>
    <x v="1"/>
    <s v="No_stock"/>
    <x v="1"/>
  </r>
  <r>
    <x v="8"/>
    <x v="1"/>
    <x v="0"/>
    <n v="1153"/>
    <x v="1"/>
    <n v="6"/>
    <n v="2"/>
    <x v="1"/>
    <n v="1782"/>
    <n v="4"/>
    <x v="0"/>
    <n v="2"/>
    <n v="1"/>
    <x v="2"/>
    <n v="3"/>
    <s v="Married"/>
    <n v="3702"/>
    <n v="1"/>
    <x v="1"/>
    <n v="11"/>
    <n v="3"/>
    <n v="2"/>
    <n v="1"/>
    <n v="5"/>
    <n v="3"/>
    <n v="3"/>
    <n v="5"/>
    <n v="4"/>
    <n v="0"/>
    <n v="4"/>
    <s v="College"/>
    <s v="Very High"/>
    <s v="Medium"/>
    <x v="1"/>
    <s v="High"/>
    <s v="Excellent"/>
    <s v="Medium"/>
    <x v="1"/>
    <s v="Low"/>
    <x v="1"/>
  </r>
  <r>
    <x v="15"/>
    <x v="0"/>
    <x v="0"/>
    <n v="1294"/>
    <x v="1"/>
    <n v="8"/>
    <n v="1"/>
    <x v="2"/>
    <n v="1783"/>
    <n v="3"/>
    <x v="0"/>
    <n v="3"/>
    <n v="1"/>
    <x v="2"/>
    <n v="1"/>
    <s v="Married"/>
    <n v="2398"/>
    <n v="1"/>
    <x v="0"/>
    <n v="17"/>
    <n v="3"/>
    <n v="3"/>
    <n v="0"/>
    <n v="1"/>
    <n v="6"/>
    <n v="3"/>
    <n v="1"/>
    <n v="0"/>
    <n v="0"/>
    <n v="0"/>
    <s v="Before College"/>
    <s v="High"/>
    <s v="High"/>
    <x v="1"/>
    <s v="Low"/>
    <s v="Excellent"/>
    <s v="High"/>
    <x v="1"/>
    <s v="No_stock"/>
    <x v="1"/>
  </r>
  <r>
    <x v="12"/>
    <x v="1"/>
    <x v="0"/>
    <n v="196"/>
    <x v="0"/>
    <n v="29"/>
    <n v="4"/>
    <x v="3"/>
    <n v="1784"/>
    <n v="1"/>
    <x v="0"/>
    <n v="2"/>
    <n v="2"/>
    <x v="0"/>
    <n v="4"/>
    <s v="Married"/>
    <n v="5468"/>
    <n v="1"/>
    <x v="1"/>
    <n v="14"/>
    <n v="3"/>
    <n v="1"/>
    <n v="2"/>
    <n v="13"/>
    <n v="3"/>
    <n v="3"/>
    <n v="12"/>
    <n v="7"/>
    <n v="5"/>
    <n v="7"/>
    <s v="Master"/>
    <s v="Low"/>
    <s v="Medium"/>
    <x v="0"/>
    <s v="Very High"/>
    <s v="Excellent"/>
    <s v="Low"/>
    <x v="1"/>
    <s v="Medium"/>
    <x v="2"/>
  </r>
  <r>
    <x v="31"/>
    <x v="1"/>
    <x v="0"/>
    <n v="942"/>
    <x v="1"/>
    <n v="3"/>
    <n v="3"/>
    <x v="4"/>
    <n v="1786"/>
    <n v="1"/>
    <x v="0"/>
    <n v="3"/>
    <n v="3"/>
    <x v="5"/>
    <n v="3"/>
    <s v="Married"/>
    <n v="13116"/>
    <n v="2"/>
    <x v="1"/>
    <n v="11"/>
    <n v="3"/>
    <n v="4"/>
    <n v="0"/>
    <n v="15"/>
    <n v="2"/>
    <n v="3"/>
    <n v="2"/>
    <n v="2"/>
    <n v="2"/>
    <n v="2"/>
    <s v="Bachelor"/>
    <s v="Low"/>
    <s v="High"/>
    <x v="2"/>
    <s v="High"/>
    <s v="Excellent"/>
    <s v="Very High"/>
    <x v="1"/>
    <s v="No_stock"/>
    <x v="0"/>
  </r>
  <r>
    <x v="2"/>
    <x v="1"/>
    <x v="0"/>
    <n v="589"/>
    <x v="0"/>
    <n v="9"/>
    <n v="2"/>
    <x v="3"/>
    <n v="1787"/>
    <n v="2"/>
    <x v="1"/>
    <n v="2"/>
    <n v="2"/>
    <x v="0"/>
    <n v="2"/>
    <s v="Married"/>
    <n v="4189"/>
    <n v="1"/>
    <x v="1"/>
    <n v="14"/>
    <n v="3"/>
    <n v="1"/>
    <n v="2"/>
    <n v="5"/>
    <n v="2"/>
    <n v="3"/>
    <n v="5"/>
    <n v="2"/>
    <n v="0"/>
    <n v="3"/>
    <s v="College"/>
    <s v="Medium"/>
    <s v="Medium"/>
    <x v="0"/>
    <s v="Medium"/>
    <s v="Excellent"/>
    <s v="Low"/>
    <x v="1"/>
    <s v="Medium"/>
    <x v="1"/>
  </r>
  <r>
    <x v="21"/>
    <x v="1"/>
    <x v="0"/>
    <n v="734"/>
    <x v="1"/>
    <n v="2"/>
    <n v="4"/>
    <x v="2"/>
    <n v="1789"/>
    <n v="3"/>
    <x v="1"/>
    <n v="3"/>
    <n v="5"/>
    <x v="7"/>
    <n v="4"/>
    <s v="Divorced"/>
    <n v="19328"/>
    <n v="7"/>
    <x v="0"/>
    <n v="17"/>
    <n v="3"/>
    <n v="3"/>
    <n v="1"/>
    <n v="24"/>
    <n v="3"/>
    <n v="3"/>
    <n v="2"/>
    <n v="1"/>
    <n v="2"/>
    <n v="2"/>
    <s v="Master"/>
    <s v="High"/>
    <s v="High"/>
    <x v="4"/>
    <s v="Very High"/>
    <s v="Excellent"/>
    <s v="High"/>
    <x v="1"/>
    <s v="Low"/>
    <x v="0"/>
  </r>
  <r>
    <x v="9"/>
    <x v="1"/>
    <x v="0"/>
    <n v="1383"/>
    <x v="1"/>
    <n v="10"/>
    <n v="3"/>
    <x v="0"/>
    <n v="1790"/>
    <n v="4"/>
    <x v="1"/>
    <n v="3"/>
    <n v="3"/>
    <x v="4"/>
    <n v="1"/>
    <s v="Married"/>
    <n v="8321"/>
    <n v="7"/>
    <x v="0"/>
    <n v="13"/>
    <n v="3"/>
    <n v="4"/>
    <n v="1"/>
    <n v="15"/>
    <n v="1"/>
    <n v="3"/>
    <n v="12"/>
    <n v="8"/>
    <n v="5"/>
    <n v="7"/>
    <s v="Bachelor"/>
    <s v="Very High"/>
    <s v="High"/>
    <x v="2"/>
    <s v="Low"/>
    <s v="Excellent"/>
    <s v="Very High"/>
    <x v="1"/>
    <s v="Low"/>
    <x v="1"/>
  </r>
  <r>
    <x v="20"/>
    <x v="0"/>
    <x v="1"/>
    <n v="429"/>
    <x v="1"/>
    <n v="1"/>
    <n v="2"/>
    <x v="2"/>
    <n v="1792"/>
    <n v="3"/>
    <x v="1"/>
    <n v="3"/>
    <n v="1"/>
    <x v="1"/>
    <n v="2"/>
    <s v="Divorced"/>
    <n v="2342"/>
    <n v="1"/>
    <x v="0"/>
    <n v="12"/>
    <n v="3"/>
    <n v="3"/>
    <n v="3"/>
    <n v="6"/>
    <n v="2"/>
    <n v="2"/>
    <n v="5"/>
    <n v="3"/>
    <n v="2"/>
    <n v="3"/>
    <s v="College"/>
    <s v="High"/>
    <s v="High"/>
    <x v="1"/>
    <s v="Medium"/>
    <s v="Excellent"/>
    <s v="High"/>
    <x v="2"/>
    <s v="High"/>
    <x v="0"/>
  </r>
  <r>
    <x v="2"/>
    <x v="1"/>
    <x v="0"/>
    <n v="1239"/>
    <x v="2"/>
    <n v="8"/>
    <n v="2"/>
    <x v="1"/>
    <n v="1794"/>
    <n v="3"/>
    <x v="1"/>
    <n v="3"/>
    <n v="2"/>
    <x v="8"/>
    <n v="2"/>
    <s v="Divorced"/>
    <n v="4071"/>
    <n v="2"/>
    <x v="1"/>
    <n v="13"/>
    <n v="3"/>
    <n v="3"/>
    <n v="0"/>
    <n v="19"/>
    <n v="4"/>
    <n v="2"/>
    <n v="10"/>
    <n v="0"/>
    <n v="4"/>
    <n v="7"/>
    <s v="College"/>
    <s v="High"/>
    <s v="High"/>
    <x v="0"/>
    <s v="Medium"/>
    <s v="Excellent"/>
    <s v="High"/>
    <x v="2"/>
    <s v="No_stock"/>
    <x v="1"/>
  </r>
  <r>
    <x v="10"/>
    <x v="0"/>
    <x v="0"/>
    <n v="303"/>
    <x v="0"/>
    <n v="27"/>
    <n v="3"/>
    <x v="0"/>
    <n v="1797"/>
    <n v="3"/>
    <x v="1"/>
    <n v="3"/>
    <n v="2"/>
    <x v="0"/>
    <n v="4"/>
    <s v="Single"/>
    <n v="5813"/>
    <n v="1"/>
    <x v="0"/>
    <n v="18"/>
    <n v="3"/>
    <n v="4"/>
    <n v="0"/>
    <n v="10"/>
    <n v="2"/>
    <n v="3"/>
    <n v="10"/>
    <n v="7"/>
    <n v="7"/>
    <n v="7"/>
    <s v="Bachelor"/>
    <s v="High"/>
    <s v="High"/>
    <x v="0"/>
    <s v="Very High"/>
    <s v="Excellent"/>
    <s v="Very High"/>
    <x v="1"/>
    <s v="No_stock"/>
    <x v="2"/>
  </r>
  <r>
    <x v="3"/>
    <x v="1"/>
    <x v="0"/>
    <n v="867"/>
    <x v="1"/>
    <n v="8"/>
    <n v="4"/>
    <x v="0"/>
    <n v="1798"/>
    <n v="4"/>
    <x v="1"/>
    <n v="4"/>
    <n v="1"/>
    <x v="1"/>
    <n v="1"/>
    <s v="Married"/>
    <n v="3143"/>
    <n v="6"/>
    <x v="1"/>
    <n v="19"/>
    <n v="3"/>
    <n v="2"/>
    <n v="1"/>
    <n v="14"/>
    <n v="1"/>
    <n v="3"/>
    <n v="10"/>
    <n v="8"/>
    <n v="7"/>
    <n v="6"/>
    <s v="Master"/>
    <s v="Very High"/>
    <s v="Very High"/>
    <x v="1"/>
    <s v="Low"/>
    <s v="Excellent"/>
    <s v="Medium"/>
    <x v="1"/>
    <s v="Low"/>
    <x v="1"/>
  </r>
  <r>
    <x v="14"/>
    <x v="1"/>
    <x v="0"/>
    <n v="1181"/>
    <x v="1"/>
    <n v="1"/>
    <n v="3"/>
    <x v="0"/>
    <n v="1799"/>
    <n v="3"/>
    <x v="1"/>
    <n v="3"/>
    <n v="1"/>
    <x v="1"/>
    <n v="4"/>
    <s v="Married"/>
    <n v="2044"/>
    <n v="1"/>
    <x v="1"/>
    <n v="11"/>
    <n v="3"/>
    <n v="3"/>
    <n v="1"/>
    <n v="5"/>
    <n v="6"/>
    <n v="4"/>
    <n v="5"/>
    <n v="3"/>
    <n v="0"/>
    <n v="3"/>
    <s v="Bachelor"/>
    <s v="High"/>
    <s v="High"/>
    <x v="1"/>
    <s v="Very High"/>
    <s v="Excellent"/>
    <s v="High"/>
    <x v="3"/>
    <s v="Low"/>
    <x v="0"/>
  </r>
  <r>
    <x v="22"/>
    <x v="1"/>
    <x v="0"/>
    <n v="1253"/>
    <x v="1"/>
    <n v="10"/>
    <n v="1"/>
    <x v="2"/>
    <n v="1800"/>
    <n v="3"/>
    <x v="1"/>
    <n v="3"/>
    <n v="3"/>
    <x v="7"/>
    <n v="3"/>
    <s v="Single"/>
    <n v="13464"/>
    <n v="7"/>
    <x v="1"/>
    <n v="21"/>
    <n v="4"/>
    <n v="3"/>
    <n v="0"/>
    <n v="9"/>
    <n v="3"/>
    <n v="3"/>
    <n v="4"/>
    <n v="3"/>
    <n v="2"/>
    <n v="2"/>
    <s v="Before College"/>
    <s v="High"/>
    <s v="High"/>
    <x v="2"/>
    <s v="High"/>
    <s v="Outstanding"/>
    <s v="High"/>
    <x v="1"/>
    <s v="No_stock"/>
    <x v="1"/>
  </r>
  <r>
    <x v="21"/>
    <x v="1"/>
    <x v="2"/>
    <n v="849"/>
    <x v="0"/>
    <n v="26"/>
    <n v="2"/>
    <x v="0"/>
    <n v="1801"/>
    <n v="2"/>
    <x v="1"/>
    <n v="2"/>
    <n v="2"/>
    <x v="0"/>
    <n v="2"/>
    <s v="Single"/>
    <n v="7991"/>
    <n v="8"/>
    <x v="1"/>
    <n v="15"/>
    <n v="3"/>
    <n v="3"/>
    <n v="0"/>
    <n v="6"/>
    <n v="3"/>
    <n v="3"/>
    <n v="2"/>
    <n v="2"/>
    <n v="2"/>
    <n v="2"/>
    <s v="College"/>
    <s v="Medium"/>
    <s v="Medium"/>
    <x v="0"/>
    <s v="Medium"/>
    <s v="Excellent"/>
    <s v="High"/>
    <x v="1"/>
    <s v="No_stock"/>
    <x v="2"/>
  </r>
  <r>
    <x v="32"/>
    <x v="1"/>
    <x v="0"/>
    <n v="616"/>
    <x v="1"/>
    <n v="2"/>
    <n v="2"/>
    <x v="0"/>
    <n v="1802"/>
    <n v="3"/>
    <x v="0"/>
    <n v="3"/>
    <n v="1"/>
    <x v="2"/>
    <n v="1"/>
    <s v="Married"/>
    <n v="3377"/>
    <n v="4"/>
    <x v="1"/>
    <n v="17"/>
    <n v="3"/>
    <n v="4"/>
    <n v="1"/>
    <n v="7"/>
    <n v="5"/>
    <n v="2"/>
    <n v="4"/>
    <n v="3"/>
    <n v="0"/>
    <n v="2"/>
    <s v="College"/>
    <s v="High"/>
    <s v="High"/>
    <x v="1"/>
    <s v="Low"/>
    <s v="Excellent"/>
    <s v="Very High"/>
    <x v="2"/>
    <s v="Low"/>
    <x v="0"/>
  </r>
  <r>
    <x v="19"/>
    <x v="1"/>
    <x v="0"/>
    <n v="1128"/>
    <x v="1"/>
    <n v="13"/>
    <n v="3"/>
    <x v="2"/>
    <n v="1803"/>
    <n v="2"/>
    <x v="1"/>
    <n v="4"/>
    <n v="2"/>
    <x v="4"/>
    <n v="1"/>
    <s v="Married"/>
    <n v="5538"/>
    <n v="5"/>
    <x v="1"/>
    <n v="18"/>
    <n v="3"/>
    <n v="3"/>
    <n v="2"/>
    <n v="10"/>
    <n v="2"/>
    <n v="2"/>
    <n v="0"/>
    <n v="0"/>
    <n v="0"/>
    <n v="0"/>
    <s v="Bachelor"/>
    <s v="Medium"/>
    <s v="Very High"/>
    <x v="0"/>
    <s v="Low"/>
    <s v="Excellent"/>
    <s v="High"/>
    <x v="2"/>
    <s v="Medium"/>
    <x v="1"/>
  </r>
  <r>
    <x v="10"/>
    <x v="1"/>
    <x v="2"/>
    <n v="1180"/>
    <x v="1"/>
    <n v="2"/>
    <n v="2"/>
    <x v="2"/>
    <n v="1804"/>
    <n v="2"/>
    <x v="1"/>
    <n v="3"/>
    <n v="2"/>
    <x v="3"/>
    <n v="4"/>
    <s v="Divorced"/>
    <n v="5762"/>
    <n v="2"/>
    <x v="1"/>
    <n v="14"/>
    <n v="3"/>
    <n v="3"/>
    <n v="1"/>
    <n v="15"/>
    <n v="6"/>
    <n v="3"/>
    <n v="7"/>
    <n v="7"/>
    <n v="1"/>
    <n v="7"/>
    <s v="College"/>
    <s v="Medium"/>
    <s v="High"/>
    <x v="0"/>
    <s v="Very High"/>
    <s v="Excellent"/>
    <s v="High"/>
    <x v="1"/>
    <s v="Low"/>
    <x v="0"/>
  </r>
  <r>
    <x v="8"/>
    <x v="1"/>
    <x v="2"/>
    <n v="1336"/>
    <x v="2"/>
    <n v="2"/>
    <n v="3"/>
    <x v="5"/>
    <n v="1805"/>
    <n v="1"/>
    <x v="1"/>
    <n v="3"/>
    <n v="1"/>
    <x v="8"/>
    <n v="2"/>
    <s v="Divorced"/>
    <n v="2592"/>
    <n v="5"/>
    <x v="1"/>
    <n v="13"/>
    <n v="3"/>
    <n v="4"/>
    <n v="3"/>
    <n v="13"/>
    <n v="3"/>
    <n v="3"/>
    <n v="11"/>
    <n v="10"/>
    <n v="3"/>
    <n v="8"/>
    <s v="Bachelor"/>
    <s v="Low"/>
    <s v="High"/>
    <x v="1"/>
    <s v="Medium"/>
    <s v="Excellent"/>
    <s v="Very High"/>
    <x v="1"/>
    <s v="High"/>
    <x v="0"/>
  </r>
  <r>
    <x v="13"/>
    <x v="0"/>
    <x v="1"/>
    <n v="234"/>
    <x v="1"/>
    <n v="9"/>
    <n v="4"/>
    <x v="0"/>
    <n v="1807"/>
    <n v="4"/>
    <x v="1"/>
    <n v="3"/>
    <n v="2"/>
    <x v="2"/>
    <n v="1"/>
    <s v="Married"/>
    <n v="5346"/>
    <n v="4"/>
    <x v="1"/>
    <n v="17"/>
    <n v="3"/>
    <n v="3"/>
    <n v="1"/>
    <n v="11"/>
    <n v="3"/>
    <n v="2"/>
    <n v="7"/>
    <n v="1"/>
    <n v="0"/>
    <n v="7"/>
    <s v="Master"/>
    <s v="Very High"/>
    <s v="High"/>
    <x v="0"/>
    <s v="Low"/>
    <s v="Excellent"/>
    <s v="High"/>
    <x v="2"/>
    <s v="Low"/>
    <x v="1"/>
  </r>
  <r>
    <x v="2"/>
    <x v="0"/>
    <x v="0"/>
    <n v="370"/>
    <x v="1"/>
    <n v="10"/>
    <n v="4"/>
    <x v="2"/>
    <n v="1809"/>
    <n v="4"/>
    <x v="1"/>
    <n v="3"/>
    <n v="2"/>
    <x v="3"/>
    <n v="1"/>
    <s v="Single"/>
    <n v="4213"/>
    <n v="1"/>
    <x v="1"/>
    <n v="15"/>
    <n v="3"/>
    <n v="2"/>
    <n v="0"/>
    <n v="10"/>
    <n v="4"/>
    <n v="1"/>
    <n v="10"/>
    <n v="3"/>
    <n v="0"/>
    <n v="8"/>
    <s v="Master"/>
    <s v="Very High"/>
    <s v="High"/>
    <x v="0"/>
    <s v="Low"/>
    <s v="Excellent"/>
    <s v="Medium"/>
    <x v="0"/>
    <s v="No_stock"/>
    <x v="1"/>
  </r>
  <r>
    <x v="22"/>
    <x v="1"/>
    <x v="1"/>
    <n v="766"/>
    <x v="0"/>
    <n v="20"/>
    <n v="3"/>
    <x v="0"/>
    <n v="1812"/>
    <n v="3"/>
    <x v="1"/>
    <n v="3"/>
    <n v="2"/>
    <x v="0"/>
    <n v="4"/>
    <s v="Divorced"/>
    <n v="4127"/>
    <n v="2"/>
    <x v="1"/>
    <n v="18"/>
    <n v="3"/>
    <n v="4"/>
    <n v="1"/>
    <n v="7"/>
    <n v="6"/>
    <n v="3"/>
    <n v="2"/>
    <n v="1"/>
    <n v="2"/>
    <n v="2"/>
    <s v="Bachelor"/>
    <s v="High"/>
    <s v="High"/>
    <x v="0"/>
    <s v="Very High"/>
    <s v="Excellent"/>
    <s v="Very High"/>
    <x v="1"/>
    <s v="Low"/>
    <x v="2"/>
  </r>
  <r>
    <x v="23"/>
    <x v="1"/>
    <x v="2"/>
    <n v="343"/>
    <x v="1"/>
    <n v="9"/>
    <n v="3"/>
    <x v="0"/>
    <n v="1813"/>
    <n v="1"/>
    <x v="1"/>
    <n v="3"/>
    <n v="1"/>
    <x v="1"/>
    <n v="3"/>
    <s v="Single"/>
    <n v="2438"/>
    <n v="4"/>
    <x v="1"/>
    <n v="13"/>
    <n v="3"/>
    <n v="3"/>
    <n v="0"/>
    <n v="7"/>
    <n v="2"/>
    <n v="2"/>
    <n v="3"/>
    <n v="2"/>
    <n v="1"/>
    <n v="2"/>
    <s v="Bachelor"/>
    <s v="Low"/>
    <s v="High"/>
    <x v="1"/>
    <s v="High"/>
    <s v="Excellent"/>
    <s v="High"/>
    <x v="2"/>
    <s v="No_stock"/>
    <x v="1"/>
  </r>
  <r>
    <x v="0"/>
    <x v="1"/>
    <x v="0"/>
    <n v="447"/>
    <x v="1"/>
    <n v="5"/>
    <n v="3"/>
    <x v="0"/>
    <n v="1814"/>
    <n v="2"/>
    <x v="1"/>
    <n v="4"/>
    <n v="2"/>
    <x v="4"/>
    <n v="2"/>
    <s v="Single"/>
    <n v="6870"/>
    <n v="3"/>
    <x v="1"/>
    <n v="12"/>
    <n v="3"/>
    <n v="1"/>
    <n v="0"/>
    <n v="11"/>
    <n v="3"/>
    <n v="1"/>
    <n v="3"/>
    <n v="2"/>
    <n v="1"/>
    <n v="2"/>
    <s v="Bachelor"/>
    <s v="Medium"/>
    <s v="Very High"/>
    <x v="0"/>
    <s v="Medium"/>
    <s v="Excellent"/>
    <s v="Low"/>
    <x v="0"/>
    <s v="No_stock"/>
    <x v="0"/>
  </r>
  <r>
    <x v="0"/>
    <x v="1"/>
    <x v="0"/>
    <n v="796"/>
    <x v="0"/>
    <n v="4"/>
    <n v="1"/>
    <x v="3"/>
    <n v="1815"/>
    <n v="3"/>
    <x v="0"/>
    <n v="3"/>
    <n v="3"/>
    <x v="0"/>
    <n v="3"/>
    <s v="Divorced"/>
    <n v="10447"/>
    <n v="0"/>
    <x v="0"/>
    <n v="13"/>
    <n v="3"/>
    <n v="4"/>
    <n v="1"/>
    <n v="23"/>
    <n v="3"/>
    <n v="4"/>
    <n v="22"/>
    <n v="14"/>
    <n v="13"/>
    <n v="5"/>
    <s v="Before College"/>
    <s v="High"/>
    <s v="High"/>
    <x v="2"/>
    <s v="High"/>
    <s v="Excellent"/>
    <s v="Very High"/>
    <x v="3"/>
    <s v="Low"/>
    <x v="0"/>
  </r>
  <r>
    <x v="7"/>
    <x v="1"/>
    <x v="0"/>
    <n v="1092"/>
    <x v="1"/>
    <n v="10"/>
    <n v="3"/>
    <x v="2"/>
    <n v="1816"/>
    <n v="1"/>
    <x v="0"/>
    <n v="3"/>
    <n v="3"/>
    <x v="3"/>
    <n v="3"/>
    <s v="Single"/>
    <n v="9667"/>
    <n v="9"/>
    <x v="1"/>
    <n v="14"/>
    <n v="3"/>
    <n v="2"/>
    <n v="0"/>
    <n v="9"/>
    <n v="3"/>
    <n v="3"/>
    <n v="7"/>
    <n v="7"/>
    <n v="0"/>
    <n v="2"/>
    <s v="Bachelor"/>
    <s v="Low"/>
    <s v="High"/>
    <x v="2"/>
    <s v="High"/>
    <s v="Excellent"/>
    <s v="Medium"/>
    <x v="1"/>
    <s v="No_stock"/>
    <x v="1"/>
  </r>
  <r>
    <x v="25"/>
    <x v="0"/>
    <x v="0"/>
    <n v="920"/>
    <x v="2"/>
    <n v="20"/>
    <n v="2"/>
    <x v="2"/>
    <n v="1818"/>
    <n v="4"/>
    <x v="0"/>
    <n v="3"/>
    <n v="1"/>
    <x v="8"/>
    <n v="2"/>
    <s v="Married"/>
    <n v="2148"/>
    <n v="0"/>
    <x v="0"/>
    <n v="11"/>
    <n v="3"/>
    <n v="3"/>
    <n v="0"/>
    <n v="6"/>
    <n v="3"/>
    <n v="3"/>
    <n v="5"/>
    <n v="1"/>
    <n v="1"/>
    <n v="4"/>
    <s v="College"/>
    <s v="Very High"/>
    <s v="High"/>
    <x v="1"/>
    <s v="Medium"/>
    <s v="Excellent"/>
    <s v="High"/>
    <x v="1"/>
    <s v="No_stock"/>
    <x v="2"/>
  </r>
  <r>
    <x v="21"/>
    <x v="0"/>
    <x v="0"/>
    <n v="261"/>
    <x v="1"/>
    <n v="21"/>
    <n v="2"/>
    <x v="2"/>
    <n v="1821"/>
    <n v="4"/>
    <x v="0"/>
    <n v="3"/>
    <n v="2"/>
    <x v="4"/>
    <n v="2"/>
    <s v="Married"/>
    <n v="8926"/>
    <n v="4"/>
    <x v="1"/>
    <n v="22"/>
    <n v="4"/>
    <n v="4"/>
    <n v="1"/>
    <n v="13"/>
    <n v="2"/>
    <n v="4"/>
    <n v="9"/>
    <n v="7"/>
    <n v="3"/>
    <n v="7"/>
    <s v="College"/>
    <s v="Very High"/>
    <s v="High"/>
    <x v="0"/>
    <s v="Medium"/>
    <s v="Outstanding"/>
    <s v="Very High"/>
    <x v="3"/>
    <s v="Low"/>
    <x v="2"/>
  </r>
  <r>
    <x v="32"/>
    <x v="1"/>
    <x v="0"/>
    <n v="1194"/>
    <x v="1"/>
    <n v="1"/>
    <n v="3"/>
    <x v="0"/>
    <n v="1822"/>
    <n v="3"/>
    <x v="0"/>
    <n v="3"/>
    <n v="2"/>
    <x v="4"/>
    <n v="4"/>
    <s v="Divorced"/>
    <n v="6513"/>
    <n v="4"/>
    <x v="1"/>
    <n v="17"/>
    <n v="3"/>
    <n v="4"/>
    <n v="1"/>
    <n v="12"/>
    <n v="3"/>
    <n v="3"/>
    <n v="5"/>
    <n v="3"/>
    <n v="0"/>
    <n v="3"/>
    <s v="Bachelor"/>
    <s v="High"/>
    <s v="High"/>
    <x v="0"/>
    <s v="Very High"/>
    <s v="Excellent"/>
    <s v="Very High"/>
    <x v="1"/>
    <s v="Low"/>
    <x v="0"/>
  </r>
  <r>
    <x v="13"/>
    <x v="1"/>
    <x v="0"/>
    <n v="810"/>
    <x v="0"/>
    <n v="8"/>
    <n v="2"/>
    <x v="4"/>
    <n v="1823"/>
    <n v="2"/>
    <x v="1"/>
    <n v="4"/>
    <n v="2"/>
    <x v="0"/>
    <n v="3"/>
    <s v="Married"/>
    <n v="6799"/>
    <n v="1"/>
    <x v="1"/>
    <n v="21"/>
    <n v="4"/>
    <n v="3"/>
    <n v="2"/>
    <n v="10"/>
    <n v="5"/>
    <n v="3"/>
    <n v="10"/>
    <n v="8"/>
    <n v="4"/>
    <n v="8"/>
    <s v="College"/>
    <s v="Medium"/>
    <s v="Very High"/>
    <x v="0"/>
    <s v="High"/>
    <s v="Outstanding"/>
    <s v="High"/>
    <x v="1"/>
    <s v="Medium"/>
    <x v="1"/>
  </r>
  <r>
    <x v="34"/>
    <x v="1"/>
    <x v="2"/>
    <n v="350"/>
    <x v="0"/>
    <n v="2"/>
    <n v="3"/>
    <x v="2"/>
    <n v="1824"/>
    <n v="2"/>
    <x v="1"/>
    <n v="3"/>
    <n v="4"/>
    <x v="5"/>
    <n v="2"/>
    <s v="Divorced"/>
    <n v="16291"/>
    <n v="4"/>
    <x v="1"/>
    <n v="22"/>
    <n v="4"/>
    <n v="4"/>
    <n v="1"/>
    <n v="37"/>
    <n v="0"/>
    <n v="2"/>
    <n v="16"/>
    <n v="9"/>
    <n v="14"/>
    <n v="14"/>
    <s v="Bachelor"/>
    <s v="Medium"/>
    <s v="High"/>
    <x v="3"/>
    <s v="Medium"/>
    <s v="Outstanding"/>
    <s v="Very High"/>
    <x v="2"/>
    <s v="Low"/>
    <x v="0"/>
  </r>
  <r>
    <x v="10"/>
    <x v="1"/>
    <x v="0"/>
    <n v="185"/>
    <x v="1"/>
    <n v="23"/>
    <n v="4"/>
    <x v="2"/>
    <n v="1826"/>
    <n v="2"/>
    <x v="1"/>
    <n v="1"/>
    <n v="1"/>
    <x v="2"/>
    <n v="3"/>
    <s v="Married"/>
    <n v="2705"/>
    <n v="0"/>
    <x v="1"/>
    <n v="16"/>
    <n v="3"/>
    <n v="2"/>
    <n v="1"/>
    <n v="6"/>
    <n v="2"/>
    <n v="4"/>
    <n v="5"/>
    <n v="4"/>
    <n v="0"/>
    <n v="3"/>
    <s v="Master"/>
    <s v="Medium"/>
    <s v="Low"/>
    <x v="1"/>
    <s v="High"/>
    <s v="Excellent"/>
    <s v="Medium"/>
    <x v="3"/>
    <s v="Low"/>
    <x v="2"/>
  </r>
  <r>
    <x v="40"/>
    <x v="1"/>
    <x v="0"/>
    <n v="1001"/>
    <x v="1"/>
    <n v="4"/>
    <n v="3"/>
    <x v="0"/>
    <n v="1827"/>
    <n v="3"/>
    <x v="0"/>
    <n v="2"/>
    <n v="3"/>
    <x v="3"/>
    <n v="2"/>
    <s v="Divorced"/>
    <n v="10333"/>
    <n v="8"/>
    <x v="0"/>
    <n v="12"/>
    <n v="3"/>
    <n v="3"/>
    <n v="1"/>
    <n v="28"/>
    <n v="4"/>
    <n v="3"/>
    <n v="22"/>
    <n v="11"/>
    <n v="14"/>
    <n v="10"/>
    <s v="Bachelor"/>
    <s v="High"/>
    <s v="Medium"/>
    <x v="2"/>
    <s v="Medium"/>
    <s v="Excellent"/>
    <s v="High"/>
    <x v="1"/>
    <s v="Low"/>
    <x v="0"/>
  </r>
  <r>
    <x v="32"/>
    <x v="1"/>
    <x v="0"/>
    <n v="750"/>
    <x v="1"/>
    <n v="12"/>
    <n v="3"/>
    <x v="0"/>
    <n v="1829"/>
    <n v="2"/>
    <x v="0"/>
    <n v="3"/>
    <n v="2"/>
    <x v="4"/>
    <n v="1"/>
    <s v="Divorced"/>
    <n v="4448"/>
    <n v="2"/>
    <x v="1"/>
    <n v="12"/>
    <n v="3"/>
    <n v="2"/>
    <n v="1"/>
    <n v="15"/>
    <n v="3"/>
    <n v="3"/>
    <n v="7"/>
    <n v="4"/>
    <n v="7"/>
    <n v="7"/>
    <s v="Bachelor"/>
    <s v="Medium"/>
    <s v="High"/>
    <x v="0"/>
    <s v="Low"/>
    <s v="Excellent"/>
    <s v="Medium"/>
    <x v="1"/>
    <s v="Low"/>
    <x v="1"/>
  </r>
  <r>
    <x v="33"/>
    <x v="1"/>
    <x v="0"/>
    <n v="431"/>
    <x v="1"/>
    <n v="7"/>
    <n v="4"/>
    <x v="2"/>
    <n v="1830"/>
    <n v="4"/>
    <x v="0"/>
    <n v="3"/>
    <n v="2"/>
    <x v="1"/>
    <n v="4"/>
    <s v="Married"/>
    <n v="6854"/>
    <n v="4"/>
    <x v="1"/>
    <n v="15"/>
    <n v="3"/>
    <n v="2"/>
    <n v="1"/>
    <n v="14"/>
    <n v="2"/>
    <n v="2"/>
    <n v="7"/>
    <n v="1"/>
    <n v="1"/>
    <n v="7"/>
    <s v="Master"/>
    <s v="Very High"/>
    <s v="High"/>
    <x v="0"/>
    <s v="Very High"/>
    <s v="Excellent"/>
    <s v="Medium"/>
    <x v="2"/>
    <s v="Low"/>
    <x v="1"/>
  </r>
  <r>
    <x v="12"/>
    <x v="1"/>
    <x v="1"/>
    <n v="1125"/>
    <x v="0"/>
    <n v="7"/>
    <n v="4"/>
    <x v="3"/>
    <n v="1833"/>
    <n v="1"/>
    <x v="0"/>
    <n v="3"/>
    <n v="3"/>
    <x v="0"/>
    <n v="1"/>
    <s v="Married"/>
    <n v="9637"/>
    <n v="2"/>
    <x v="1"/>
    <n v="14"/>
    <n v="3"/>
    <n v="4"/>
    <n v="2"/>
    <n v="9"/>
    <n v="3"/>
    <n v="3"/>
    <n v="3"/>
    <n v="2"/>
    <n v="2"/>
    <n v="2"/>
    <s v="Master"/>
    <s v="Low"/>
    <s v="High"/>
    <x v="2"/>
    <s v="Low"/>
    <s v="Excellent"/>
    <s v="Very High"/>
    <x v="1"/>
    <s v="Medium"/>
    <x v="1"/>
  </r>
  <r>
    <x v="14"/>
    <x v="1"/>
    <x v="0"/>
    <n v="1217"/>
    <x v="1"/>
    <n v="1"/>
    <n v="3"/>
    <x v="2"/>
    <n v="1834"/>
    <n v="3"/>
    <x v="0"/>
    <n v="3"/>
    <n v="1"/>
    <x v="1"/>
    <n v="1"/>
    <s v="Married"/>
    <n v="3591"/>
    <n v="1"/>
    <x v="1"/>
    <n v="25"/>
    <n v="4"/>
    <n v="3"/>
    <n v="1"/>
    <n v="3"/>
    <n v="3"/>
    <n v="3"/>
    <n v="3"/>
    <n v="2"/>
    <n v="1"/>
    <n v="2"/>
    <s v="Bachelor"/>
    <s v="High"/>
    <s v="High"/>
    <x v="1"/>
    <s v="Low"/>
    <s v="Outstanding"/>
    <s v="High"/>
    <x v="1"/>
    <s v="Low"/>
    <x v="0"/>
  </r>
  <r>
    <x v="8"/>
    <x v="1"/>
    <x v="0"/>
    <n v="723"/>
    <x v="0"/>
    <n v="2"/>
    <n v="4"/>
    <x v="3"/>
    <n v="1835"/>
    <n v="2"/>
    <x v="0"/>
    <n v="1"/>
    <n v="2"/>
    <x v="6"/>
    <n v="4"/>
    <s v="Married"/>
    <n v="5405"/>
    <n v="2"/>
    <x v="0"/>
    <n v="20"/>
    <n v="4"/>
    <n v="1"/>
    <n v="2"/>
    <n v="20"/>
    <n v="4"/>
    <n v="2"/>
    <n v="4"/>
    <n v="2"/>
    <n v="0"/>
    <n v="3"/>
    <s v="Master"/>
    <s v="Medium"/>
    <s v="Low"/>
    <x v="0"/>
    <s v="Very High"/>
    <s v="Outstanding"/>
    <s v="Low"/>
    <x v="2"/>
    <s v="Medium"/>
    <x v="0"/>
  </r>
  <r>
    <x v="25"/>
    <x v="1"/>
    <x v="0"/>
    <n v="572"/>
    <x v="0"/>
    <n v="10"/>
    <n v="3"/>
    <x v="2"/>
    <n v="1836"/>
    <n v="3"/>
    <x v="1"/>
    <n v="3"/>
    <n v="2"/>
    <x v="0"/>
    <n v="4"/>
    <s v="Single"/>
    <n v="4684"/>
    <n v="1"/>
    <x v="1"/>
    <n v="13"/>
    <n v="3"/>
    <n v="1"/>
    <n v="0"/>
    <n v="5"/>
    <n v="4"/>
    <n v="3"/>
    <n v="5"/>
    <n v="3"/>
    <n v="1"/>
    <n v="2"/>
    <s v="Bachelor"/>
    <s v="High"/>
    <s v="High"/>
    <x v="0"/>
    <s v="Very High"/>
    <s v="Excellent"/>
    <s v="Low"/>
    <x v="1"/>
    <s v="No_stock"/>
    <x v="1"/>
  </r>
  <r>
    <x v="34"/>
    <x v="1"/>
    <x v="1"/>
    <n v="1216"/>
    <x v="1"/>
    <n v="15"/>
    <n v="4"/>
    <x v="0"/>
    <n v="1837"/>
    <n v="1"/>
    <x v="1"/>
    <n v="3"/>
    <n v="4"/>
    <x v="7"/>
    <n v="3"/>
    <s v="Married"/>
    <n v="15787"/>
    <n v="2"/>
    <x v="0"/>
    <n v="14"/>
    <n v="3"/>
    <n v="2"/>
    <n v="0"/>
    <n v="23"/>
    <n v="3"/>
    <n v="3"/>
    <n v="2"/>
    <n v="2"/>
    <n v="2"/>
    <n v="2"/>
    <s v="Master"/>
    <s v="Low"/>
    <s v="High"/>
    <x v="3"/>
    <s v="High"/>
    <s v="Excellent"/>
    <s v="Medium"/>
    <x v="1"/>
    <s v="No_stock"/>
    <x v="1"/>
  </r>
  <r>
    <x v="41"/>
    <x v="1"/>
    <x v="2"/>
    <n v="1431"/>
    <x v="1"/>
    <n v="14"/>
    <n v="3"/>
    <x v="2"/>
    <n v="1839"/>
    <n v="2"/>
    <x v="0"/>
    <n v="3"/>
    <n v="1"/>
    <x v="1"/>
    <n v="3"/>
    <s v="Single"/>
    <n v="1514"/>
    <n v="1"/>
    <x v="1"/>
    <n v="16"/>
    <n v="3"/>
    <n v="3"/>
    <n v="0"/>
    <n v="0"/>
    <n v="4"/>
    <n v="1"/>
    <n v="0"/>
    <n v="0"/>
    <n v="0"/>
    <n v="0"/>
    <s v="Bachelor"/>
    <s v="Medium"/>
    <s v="High"/>
    <x v="1"/>
    <s v="High"/>
    <s v="Excellent"/>
    <s v="High"/>
    <x v="0"/>
    <s v="No_stock"/>
    <x v="1"/>
  </r>
  <r>
    <x v="12"/>
    <x v="0"/>
    <x v="0"/>
    <n v="359"/>
    <x v="2"/>
    <n v="18"/>
    <n v="5"/>
    <x v="5"/>
    <n v="1842"/>
    <n v="4"/>
    <x v="1"/>
    <n v="4"/>
    <n v="1"/>
    <x v="8"/>
    <n v="1"/>
    <s v="Married"/>
    <n v="2956"/>
    <n v="0"/>
    <x v="1"/>
    <n v="17"/>
    <n v="3"/>
    <n v="3"/>
    <n v="0"/>
    <n v="2"/>
    <n v="4"/>
    <n v="3"/>
    <n v="1"/>
    <n v="0"/>
    <n v="0"/>
    <n v="0"/>
    <s v="Doctor"/>
    <s v="Very High"/>
    <s v="Very High"/>
    <x v="1"/>
    <s v="Low"/>
    <s v="Excellent"/>
    <s v="High"/>
    <x v="1"/>
    <s v="No_stock"/>
    <x v="2"/>
  </r>
  <r>
    <x v="11"/>
    <x v="0"/>
    <x v="0"/>
    <n v="350"/>
    <x v="2"/>
    <n v="13"/>
    <n v="3"/>
    <x v="5"/>
    <n v="1844"/>
    <n v="1"/>
    <x v="1"/>
    <n v="2"/>
    <n v="1"/>
    <x v="8"/>
    <n v="1"/>
    <s v="Divorced"/>
    <n v="2335"/>
    <n v="4"/>
    <x v="0"/>
    <n v="15"/>
    <n v="3"/>
    <n v="4"/>
    <n v="3"/>
    <n v="4"/>
    <n v="3"/>
    <n v="3"/>
    <n v="2"/>
    <n v="2"/>
    <n v="2"/>
    <n v="0"/>
    <s v="Bachelor"/>
    <s v="Low"/>
    <s v="Medium"/>
    <x v="1"/>
    <s v="Low"/>
    <s v="Excellent"/>
    <s v="Very High"/>
    <x v="1"/>
    <s v="High"/>
    <x v="1"/>
  </r>
  <r>
    <x v="28"/>
    <x v="1"/>
    <x v="2"/>
    <n v="589"/>
    <x v="0"/>
    <n v="2"/>
    <n v="4"/>
    <x v="0"/>
    <n v="1845"/>
    <n v="3"/>
    <x v="0"/>
    <n v="3"/>
    <n v="2"/>
    <x v="0"/>
    <n v="3"/>
    <s v="Married"/>
    <n v="5154"/>
    <n v="4"/>
    <x v="1"/>
    <n v="22"/>
    <n v="4"/>
    <n v="2"/>
    <n v="2"/>
    <n v="10"/>
    <n v="3"/>
    <n v="4"/>
    <n v="8"/>
    <n v="7"/>
    <n v="5"/>
    <n v="7"/>
    <s v="Master"/>
    <s v="High"/>
    <s v="High"/>
    <x v="0"/>
    <s v="High"/>
    <s v="Outstanding"/>
    <s v="Medium"/>
    <x v="3"/>
    <s v="Medium"/>
    <x v="0"/>
  </r>
  <r>
    <x v="9"/>
    <x v="1"/>
    <x v="0"/>
    <n v="430"/>
    <x v="1"/>
    <n v="2"/>
    <n v="4"/>
    <x v="1"/>
    <n v="1847"/>
    <n v="4"/>
    <x v="0"/>
    <n v="3"/>
    <n v="2"/>
    <x v="1"/>
    <n v="2"/>
    <s v="Married"/>
    <n v="6962"/>
    <n v="4"/>
    <x v="0"/>
    <n v="22"/>
    <n v="4"/>
    <n v="4"/>
    <n v="1"/>
    <n v="15"/>
    <n v="2"/>
    <n v="3"/>
    <n v="1"/>
    <n v="0"/>
    <n v="0"/>
    <n v="0"/>
    <s v="Master"/>
    <s v="Very High"/>
    <s v="High"/>
    <x v="0"/>
    <s v="Medium"/>
    <s v="Outstanding"/>
    <s v="Very High"/>
    <x v="1"/>
    <s v="Low"/>
    <x v="0"/>
  </r>
  <r>
    <x v="23"/>
    <x v="1"/>
    <x v="1"/>
    <n v="1422"/>
    <x v="0"/>
    <n v="2"/>
    <n v="4"/>
    <x v="0"/>
    <n v="1849"/>
    <n v="1"/>
    <x v="1"/>
    <n v="3"/>
    <n v="2"/>
    <x v="0"/>
    <n v="4"/>
    <s v="Married"/>
    <n v="5675"/>
    <n v="1"/>
    <x v="1"/>
    <n v="20"/>
    <n v="4"/>
    <n v="3"/>
    <n v="1"/>
    <n v="7"/>
    <n v="5"/>
    <n v="3"/>
    <n v="7"/>
    <n v="7"/>
    <n v="7"/>
    <n v="7"/>
    <s v="Master"/>
    <s v="Low"/>
    <s v="High"/>
    <x v="0"/>
    <s v="Very High"/>
    <s v="Outstanding"/>
    <s v="High"/>
    <x v="1"/>
    <s v="Low"/>
    <x v="0"/>
  </r>
  <r>
    <x v="4"/>
    <x v="1"/>
    <x v="1"/>
    <n v="1297"/>
    <x v="1"/>
    <n v="5"/>
    <n v="2"/>
    <x v="0"/>
    <n v="1850"/>
    <n v="4"/>
    <x v="0"/>
    <n v="3"/>
    <n v="1"/>
    <x v="2"/>
    <n v="4"/>
    <s v="Single"/>
    <n v="2379"/>
    <n v="0"/>
    <x v="0"/>
    <n v="14"/>
    <n v="3"/>
    <n v="3"/>
    <n v="0"/>
    <n v="6"/>
    <n v="3"/>
    <n v="2"/>
    <n v="5"/>
    <n v="4"/>
    <n v="0"/>
    <n v="2"/>
    <s v="College"/>
    <s v="Very High"/>
    <s v="High"/>
    <x v="1"/>
    <s v="Very High"/>
    <s v="Excellent"/>
    <s v="High"/>
    <x v="2"/>
    <s v="No_stock"/>
    <x v="0"/>
  </r>
  <r>
    <x v="11"/>
    <x v="1"/>
    <x v="1"/>
    <n v="574"/>
    <x v="1"/>
    <n v="20"/>
    <n v="1"/>
    <x v="2"/>
    <n v="1852"/>
    <n v="4"/>
    <x v="1"/>
    <n v="3"/>
    <n v="1"/>
    <x v="2"/>
    <n v="4"/>
    <s v="Married"/>
    <n v="3812"/>
    <n v="1"/>
    <x v="1"/>
    <n v="13"/>
    <n v="3"/>
    <n v="2"/>
    <n v="0"/>
    <n v="11"/>
    <n v="3"/>
    <n v="4"/>
    <n v="11"/>
    <n v="8"/>
    <n v="3"/>
    <n v="10"/>
    <s v="Before College"/>
    <s v="Very High"/>
    <s v="High"/>
    <x v="1"/>
    <s v="Very High"/>
    <s v="Excellent"/>
    <s v="Medium"/>
    <x v="3"/>
    <s v="No_stock"/>
    <x v="2"/>
  </r>
  <r>
    <x v="5"/>
    <x v="1"/>
    <x v="1"/>
    <n v="1318"/>
    <x v="0"/>
    <n v="10"/>
    <n v="4"/>
    <x v="3"/>
    <n v="1853"/>
    <n v="4"/>
    <x v="1"/>
    <n v="3"/>
    <n v="2"/>
    <x v="0"/>
    <n v="4"/>
    <s v="Single"/>
    <n v="4648"/>
    <n v="8"/>
    <x v="1"/>
    <n v="13"/>
    <n v="3"/>
    <n v="3"/>
    <n v="0"/>
    <n v="4"/>
    <n v="2"/>
    <n v="4"/>
    <n v="0"/>
    <n v="0"/>
    <n v="0"/>
    <n v="0"/>
    <s v="Master"/>
    <s v="Very High"/>
    <s v="High"/>
    <x v="0"/>
    <s v="Very High"/>
    <s v="Excellent"/>
    <s v="High"/>
    <x v="3"/>
    <s v="No_stock"/>
    <x v="1"/>
  </r>
  <r>
    <x v="19"/>
    <x v="1"/>
    <x v="2"/>
    <n v="355"/>
    <x v="1"/>
    <n v="10"/>
    <n v="4"/>
    <x v="4"/>
    <n v="1854"/>
    <n v="3"/>
    <x v="1"/>
    <n v="3"/>
    <n v="1"/>
    <x v="1"/>
    <n v="3"/>
    <s v="Married"/>
    <n v="2936"/>
    <n v="3"/>
    <x v="1"/>
    <n v="22"/>
    <n v="4"/>
    <n v="2"/>
    <n v="2"/>
    <n v="10"/>
    <n v="1"/>
    <n v="2"/>
    <n v="6"/>
    <n v="3"/>
    <n v="3"/>
    <n v="3"/>
    <s v="Master"/>
    <s v="High"/>
    <s v="High"/>
    <x v="1"/>
    <s v="High"/>
    <s v="Outstanding"/>
    <s v="Medium"/>
    <x v="2"/>
    <s v="Medium"/>
    <x v="1"/>
  </r>
  <r>
    <x v="40"/>
    <x v="1"/>
    <x v="0"/>
    <n v="207"/>
    <x v="1"/>
    <n v="9"/>
    <n v="4"/>
    <x v="0"/>
    <n v="1856"/>
    <n v="2"/>
    <x v="0"/>
    <n v="3"/>
    <n v="1"/>
    <x v="2"/>
    <n v="3"/>
    <s v="Single"/>
    <n v="2105"/>
    <n v="4"/>
    <x v="1"/>
    <n v="12"/>
    <n v="3"/>
    <n v="3"/>
    <n v="0"/>
    <n v="7"/>
    <n v="2"/>
    <n v="3"/>
    <n v="2"/>
    <n v="2"/>
    <n v="2"/>
    <n v="0"/>
    <s v="Master"/>
    <s v="Medium"/>
    <s v="High"/>
    <x v="1"/>
    <s v="High"/>
    <s v="Excellent"/>
    <s v="High"/>
    <x v="1"/>
    <s v="No_stock"/>
    <x v="1"/>
  </r>
  <r>
    <x v="21"/>
    <x v="1"/>
    <x v="0"/>
    <n v="706"/>
    <x v="1"/>
    <n v="2"/>
    <n v="2"/>
    <x v="0"/>
    <n v="1857"/>
    <n v="4"/>
    <x v="1"/>
    <n v="3"/>
    <n v="3"/>
    <x v="3"/>
    <n v="4"/>
    <s v="Divorced"/>
    <n v="8578"/>
    <n v="3"/>
    <x v="1"/>
    <n v="14"/>
    <n v="3"/>
    <n v="3"/>
    <n v="1"/>
    <n v="12"/>
    <n v="4"/>
    <n v="2"/>
    <n v="9"/>
    <n v="8"/>
    <n v="4"/>
    <n v="7"/>
    <s v="College"/>
    <s v="Very High"/>
    <s v="High"/>
    <x v="2"/>
    <s v="Very High"/>
    <s v="Excellent"/>
    <s v="High"/>
    <x v="2"/>
    <s v="Low"/>
    <x v="0"/>
  </r>
  <r>
    <x v="14"/>
    <x v="1"/>
    <x v="2"/>
    <n v="280"/>
    <x v="2"/>
    <n v="1"/>
    <n v="2"/>
    <x v="0"/>
    <n v="1858"/>
    <n v="3"/>
    <x v="1"/>
    <n v="3"/>
    <n v="1"/>
    <x v="8"/>
    <n v="4"/>
    <s v="Divorced"/>
    <n v="2706"/>
    <n v="1"/>
    <x v="1"/>
    <n v="15"/>
    <n v="3"/>
    <n v="2"/>
    <n v="1"/>
    <n v="3"/>
    <n v="2"/>
    <n v="3"/>
    <n v="3"/>
    <n v="2"/>
    <n v="2"/>
    <n v="2"/>
    <s v="College"/>
    <s v="High"/>
    <s v="High"/>
    <x v="1"/>
    <s v="Very High"/>
    <s v="Excellent"/>
    <s v="Medium"/>
    <x v="1"/>
    <s v="Low"/>
    <x v="0"/>
  </r>
  <r>
    <x v="11"/>
    <x v="1"/>
    <x v="0"/>
    <n v="726"/>
    <x v="1"/>
    <n v="29"/>
    <n v="1"/>
    <x v="0"/>
    <n v="1859"/>
    <n v="4"/>
    <x v="1"/>
    <n v="1"/>
    <n v="2"/>
    <x v="4"/>
    <n v="3"/>
    <s v="Divorced"/>
    <n v="6384"/>
    <n v="8"/>
    <x v="1"/>
    <n v="17"/>
    <n v="3"/>
    <n v="4"/>
    <n v="2"/>
    <n v="11"/>
    <n v="3"/>
    <n v="3"/>
    <n v="7"/>
    <n v="0"/>
    <n v="1"/>
    <n v="6"/>
    <s v="Before College"/>
    <s v="Very High"/>
    <s v="Low"/>
    <x v="0"/>
    <s v="High"/>
    <s v="Excellent"/>
    <s v="Very High"/>
    <x v="1"/>
    <s v="Medium"/>
    <x v="2"/>
  </r>
  <r>
    <x v="19"/>
    <x v="1"/>
    <x v="0"/>
    <n v="1142"/>
    <x v="1"/>
    <n v="8"/>
    <n v="3"/>
    <x v="0"/>
    <n v="1860"/>
    <n v="4"/>
    <x v="1"/>
    <n v="3"/>
    <n v="1"/>
    <x v="2"/>
    <n v="3"/>
    <s v="Single"/>
    <n v="3968"/>
    <n v="4"/>
    <x v="1"/>
    <n v="13"/>
    <n v="3"/>
    <n v="4"/>
    <n v="0"/>
    <n v="8"/>
    <n v="3"/>
    <n v="3"/>
    <n v="0"/>
    <n v="0"/>
    <n v="0"/>
    <n v="0"/>
    <s v="Bachelor"/>
    <s v="Very High"/>
    <s v="High"/>
    <x v="1"/>
    <s v="High"/>
    <s v="Excellent"/>
    <s v="Very High"/>
    <x v="1"/>
    <s v="No_stock"/>
    <x v="1"/>
  </r>
  <r>
    <x v="5"/>
    <x v="0"/>
    <x v="0"/>
    <n v="414"/>
    <x v="0"/>
    <n v="2"/>
    <n v="4"/>
    <x v="3"/>
    <n v="1862"/>
    <n v="3"/>
    <x v="1"/>
    <n v="2"/>
    <n v="2"/>
    <x v="0"/>
    <n v="2"/>
    <s v="Single"/>
    <n v="9907"/>
    <n v="7"/>
    <x v="0"/>
    <n v="12"/>
    <n v="3"/>
    <n v="3"/>
    <n v="0"/>
    <n v="7"/>
    <n v="3"/>
    <n v="2"/>
    <n v="2"/>
    <n v="2"/>
    <n v="2"/>
    <n v="2"/>
    <s v="Master"/>
    <s v="High"/>
    <s v="Medium"/>
    <x v="0"/>
    <s v="Medium"/>
    <s v="Excellent"/>
    <s v="High"/>
    <x v="2"/>
    <s v="No_stock"/>
    <x v="0"/>
  </r>
  <r>
    <x v="21"/>
    <x v="1"/>
    <x v="0"/>
    <n v="1319"/>
    <x v="0"/>
    <n v="3"/>
    <n v="3"/>
    <x v="4"/>
    <n v="1863"/>
    <n v="1"/>
    <x v="0"/>
    <n v="4"/>
    <n v="4"/>
    <x v="0"/>
    <n v="1"/>
    <s v="Divorced"/>
    <n v="13225"/>
    <n v="2"/>
    <x v="1"/>
    <n v="12"/>
    <n v="3"/>
    <n v="4"/>
    <n v="1"/>
    <n v="25"/>
    <n v="5"/>
    <n v="3"/>
    <n v="19"/>
    <n v="17"/>
    <n v="2"/>
    <n v="8"/>
    <s v="Bachelor"/>
    <s v="Low"/>
    <s v="Very High"/>
    <x v="3"/>
    <s v="Low"/>
    <s v="Excellent"/>
    <s v="Very High"/>
    <x v="1"/>
    <s v="Low"/>
    <x v="0"/>
  </r>
  <r>
    <x v="4"/>
    <x v="1"/>
    <x v="0"/>
    <n v="728"/>
    <x v="0"/>
    <n v="23"/>
    <n v="1"/>
    <x v="2"/>
    <n v="1864"/>
    <n v="2"/>
    <x v="0"/>
    <n v="2"/>
    <n v="2"/>
    <x v="6"/>
    <n v="3"/>
    <s v="Married"/>
    <n v="3540"/>
    <n v="1"/>
    <x v="1"/>
    <n v="21"/>
    <n v="4"/>
    <n v="4"/>
    <n v="1"/>
    <n v="9"/>
    <n v="5"/>
    <n v="3"/>
    <n v="9"/>
    <n v="8"/>
    <n v="5"/>
    <n v="8"/>
    <s v="Before College"/>
    <s v="Medium"/>
    <s v="Medium"/>
    <x v="0"/>
    <s v="High"/>
    <s v="Outstanding"/>
    <s v="Very High"/>
    <x v="1"/>
    <s v="Low"/>
    <x v="2"/>
  </r>
  <r>
    <x v="11"/>
    <x v="1"/>
    <x v="0"/>
    <n v="352"/>
    <x v="2"/>
    <n v="6"/>
    <n v="1"/>
    <x v="2"/>
    <n v="1865"/>
    <n v="4"/>
    <x v="1"/>
    <n v="2"/>
    <n v="1"/>
    <x v="8"/>
    <n v="2"/>
    <s v="Married"/>
    <n v="2804"/>
    <n v="1"/>
    <x v="1"/>
    <n v="11"/>
    <n v="3"/>
    <n v="4"/>
    <n v="0"/>
    <n v="1"/>
    <n v="3"/>
    <n v="3"/>
    <n v="1"/>
    <n v="0"/>
    <n v="0"/>
    <n v="0"/>
    <s v="Before College"/>
    <s v="Very High"/>
    <s v="Medium"/>
    <x v="1"/>
    <s v="Medium"/>
    <s v="Excellent"/>
    <s v="Very High"/>
    <x v="1"/>
    <s v="No_stock"/>
    <x v="1"/>
  </r>
  <r>
    <x v="23"/>
    <x v="1"/>
    <x v="0"/>
    <n v="823"/>
    <x v="1"/>
    <n v="6"/>
    <n v="3"/>
    <x v="2"/>
    <n v="1866"/>
    <n v="1"/>
    <x v="0"/>
    <n v="2"/>
    <n v="5"/>
    <x v="5"/>
    <n v="3"/>
    <s v="Married"/>
    <n v="19392"/>
    <n v="7"/>
    <x v="1"/>
    <n v="13"/>
    <n v="3"/>
    <n v="4"/>
    <n v="0"/>
    <n v="21"/>
    <n v="2"/>
    <n v="3"/>
    <n v="16"/>
    <n v="12"/>
    <n v="6"/>
    <n v="14"/>
    <s v="Bachelor"/>
    <s v="Low"/>
    <s v="Medium"/>
    <x v="4"/>
    <s v="High"/>
    <s v="Excellent"/>
    <s v="Very High"/>
    <x v="1"/>
    <s v="No_stock"/>
    <x v="1"/>
  </r>
  <r>
    <x v="26"/>
    <x v="1"/>
    <x v="0"/>
    <n v="1224"/>
    <x v="1"/>
    <n v="10"/>
    <n v="3"/>
    <x v="0"/>
    <n v="1867"/>
    <n v="4"/>
    <x v="1"/>
    <n v="2"/>
    <n v="5"/>
    <x v="7"/>
    <n v="2"/>
    <s v="Married"/>
    <n v="19665"/>
    <n v="4"/>
    <x v="1"/>
    <n v="12"/>
    <n v="3"/>
    <n v="4"/>
    <n v="0"/>
    <n v="29"/>
    <n v="3"/>
    <n v="3"/>
    <n v="22"/>
    <n v="10"/>
    <n v="12"/>
    <n v="9"/>
    <s v="Bachelor"/>
    <s v="Very High"/>
    <s v="Medium"/>
    <x v="4"/>
    <s v="Medium"/>
    <s v="Excellent"/>
    <s v="Very High"/>
    <x v="1"/>
    <s v="No_stock"/>
    <x v="1"/>
  </r>
  <r>
    <x v="11"/>
    <x v="0"/>
    <x v="1"/>
    <n v="459"/>
    <x v="1"/>
    <n v="24"/>
    <n v="2"/>
    <x v="0"/>
    <n v="1868"/>
    <n v="4"/>
    <x v="1"/>
    <n v="2"/>
    <n v="1"/>
    <x v="1"/>
    <n v="4"/>
    <s v="Single"/>
    <n v="2439"/>
    <n v="1"/>
    <x v="0"/>
    <n v="24"/>
    <n v="4"/>
    <n v="2"/>
    <n v="0"/>
    <n v="1"/>
    <n v="3"/>
    <n v="2"/>
    <n v="1"/>
    <n v="0"/>
    <n v="1"/>
    <n v="0"/>
    <s v="College"/>
    <s v="Very High"/>
    <s v="Medium"/>
    <x v="1"/>
    <s v="Very High"/>
    <s v="Outstanding"/>
    <s v="Medium"/>
    <x v="2"/>
    <s v="No_stock"/>
    <x v="2"/>
  </r>
  <r>
    <x v="21"/>
    <x v="0"/>
    <x v="0"/>
    <n v="1254"/>
    <x v="0"/>
    <n v="10"/>
    <n v="3"/>
    <x v="0"/>
    <n v="1869"/>
    <n v="3"/>
    <x v="0"/>
    <n v="3"/>
    <n v="3"/>
    <x v="0"/>
    <n v="2"/>
    <s v="Married"/>
    <n v="7314"/>
    <n v="5"/>
    <x v="1"/>
    <n v="21"/>
    <n v="4"/>
    <n v="3"/>
    <n v="3"/>
    <n v="14"/>
    <n v="2"/>
    <n v="3"/>
    <n v="8"/>
    <n v="7"/>
    <n v="0"/>
    <n v="7"/>
    <s v="Bachelor"/>
    <s v="High"/>
    <s v="High"/>
    <x v="2"/>
    <s v="Medium"/>
    <s v="Outstanding"/>
    <s v="High"/>
    <x v="1"/>
    <s v="High"/>
    <x v="1"/>
  </r>
  <r>
    <x v="4"/>
    <x v="1"/>
    <x v="1"/>
    <n v="1131"/>
    <x v="1"/>
    <n v="15"/>
    <n v="3"/>
    <x v="0"/>
    <n v="1870"/>
    <n v="4"/>
    <x v="0"/>
    <n v="2"/>
    <n v="1"/>
    <x v="1"/>
    <n v="1"/>
    <s v="Married"/>
    <n v="4774"/>
    <n v="0"/>
    <x v="1"/>
    <n v="19"/>
    <n v="3"/>
    <n v="4"/>
    <n v="1"/>
    <n v="8"/>
    <n v="2"/>
    <n v="2"/>
    <n v="7"/>
    <n v="6"/>
    <n v="7"/>
    <n v="3"/>
    <s v="Bachelor"/>
    <s v="Very High"/>
    <s v="Medium"/>
    <x v="1"/>
    <s v="Low"/>
    <s v="Excellent"/>
    <s v="Very High"/>
    <x v="2"/>
    <s v="Low"/>
    <x v="1"/>
  </r>
  <r>
    <x v="22"/>
    <x v="1"/>
    <x v="0"/>
    <n v="835"/>
    <x v="1"/>
    <n v="19"/>
    <n v="4"/>
    <x v="1"/>
    <n v="1871"/>
    <n v="4"/>
    <x v="1"/>
    <n v="3"/>
    <n v="2"/>
    <x v="1"/>
    <n v="4"/>
    <s v="Divorced"/>
    <n v="3902"/>
    <n v="8"/>
    <x v="1"/>
    <n v="14"/>
    <n v="3"/>
    <n v="2"/>
    <n v="3"/>
    <n v="7"/>
    <n v="2"/>
    <n v="3"/>
    <n v="2"/>
    <n v="2"/>
    <n v="2"/>
    <n v="2"/>
    <s v="Master"/>
    <s v="Very High"/>
    <s v="High"/>
    <x v="0"/>
    <s v="Very High"/>
    <s v="Excellent"/>
    <s v="Medium"/>
    <x v="1"/>
    <s v="High"/>
    <x v="2"/>
  </r>
  <r>
    <x v="27"/>
    <x v="1"/>
    <x v="0"/>
    <n v="836"/>
    <x v="1"/>
    <n v="2"/>
    <n v="4"/>
    <x v="4"/>
    <n v="1873"/>
    <n v="2"/>
    <x v="1"/>
    <n v="2"/>
    <n v="1"/>
    <x v="1"/>
    <n v="4"/>
    <s v="Married"/>
    <n v="2662"/>
    <n v="8"/>
    <x v="1"/>
    <n v="20"/>
    <n v="4"/>
    <n v="2"/>
    <n v="1"/>
    <n v="19"/>
    <n v="2"/>
    <n v="4"/>
    <n v="5"/>
    <n v="2"/>
    <n v="0"/>
    <n v="4"/>
    <s v="Master"/>
    <s v="Medium"/>
    <s v="Medium"/>
    <x v="1"/>
    <s v="Very High"/>
    <s v="Outstanding"/>
    <s v="Medium"/>
    <x v="3"/>
    <s v="Low"/>
    <x v="0"/>
  </r>
  <r>
    <x v="14"/>
    <x v="1"/>
    <x v="0"/>
    <n v="1172"/>
    <x v="0"/>
    <n v="3"/>
    <n v="3"/>
    <x v="2"/>
    <n v="1875"/>
    <n v="2"/>
    <x v="0"/>
    <n v="3"/>
    <n v="1"/>
    <x v="6"/>
    <n v="2"/>
    <s v="Married"/>
    <n v="2856"/>
    <n v="1"/>
    <x v="1"/>
    <n v="19"/>
    <n v="3"/>
    <n v="4"/>
    <n v="1"/>
    <n v="1"/>
    <n v="3"/>
    <n v="3"/>
    <n v="1"/>
    <n v="0"/>
    <n v="0"/>
    <n v="0"/>
    <s v="Bachelor"/>
    <s v="Medium"/>
    <s v="High"/>
    <x v="1"/>
    <s v="Medium"/>
    <s v="Excellent"/>
    <s v="Very High"/>
    <x v="1"/>
    <s v="Low"/>
    <x v="0"/>
  </r>
  <r>
    <x v="7"/>
    <x v="0"/>
    <x v="0"/>
    <n v="945"/>
    <x v="0"/>
    <n v="9"/>
    <n v="3"/>
    <x v="2"/>
    <n v="1876"/>
    <n v="2"/>
    <x v="1"/>
    <n v="3"/>
    <n v="1"/>
    <x v="6"/>
    <n v="4"/>
    <s v="Single"/>
    <n v="1081"/>
    <n v="1"/>
    <x v="1"/>
    <n v="13"/>
    <n v="3"/>
    <n v="3"/>
    <n v="0"/>
    <n v="1"/>
    <n v="3"/>
    <n v="2"/>
    <n v="1"/>
    <n v="0"/>
    <n v="0"/>
    <n v="0"/>
    <s v="Bachelor"/>
    <s v="Medium"/>
    <s v="High"/>
    <x v="1"/>
    <s v="Very High"/>
    <s v="Excellent"/>
    <s v="High"/>
    <x v="2"/>
    <s v="No_stock"/>
    <x v="1"/>
  </r>
  <r>
    <x v="15"/>
    <x v="0"/>
    <x v="0"/>
    <n v="391"/>
    <x v="1"/>
    <n v="7"/>
    <n v="1"/>
    <x v="0"/>
    <n v="1878"/>
    <n v="4"/>
    <x v="1"/>
    <n v="3"/>
    <n v="1"/>
    <x v="1"/>
    <n v="2"/>
    <s v="Single"/>
    <n v="2472"/>
    <n v="1"/>
    <x v="0"/>
    <n v="23"/>
    <n v="4"/>
    <n v="1"/>
    <n v="0"/>
    <n v="1"/>
    <n v="2"/>
    <n v="3"/>
    <n v="1"/>
    <n v="0"/>
    <n v="0"/>
    <n v="0"/>
    <s v="Before College"/>
    <s v="Very High"/>
    <s v="High"/>
    <x v="1"/>
    <s v="Medium"/>
    <s v="Outstanding"/>
    <s v="Low"/>
    <x v="1"/>
    <s v="No_stock"/>
    <x v="1"/>
  </r>
  <r>
    <x v="9"/>
    <x v="1"/>
    <x v="0"/>
    <n v="1266"/>
    <x v="0"/>
    <n v="10"/>
    <n v="4"/>
    <x v="4"/>
    <n v="1880"/>
    <n v="2"/>
    <x v="0"/>
    <n v="2"/>
    <n v="2"/>
    <x v="0"/>
    <n v="3"/>
    <s v="Married"/>
    <n v="5673"/>
    <n v="1"/>
    <x v="0"/>
    <n v="13"/>
    <n v="3"/>
    <n v="1"/>
    <n v="1"/>
    <n v="10"/>
    <n v="4"/>
    <n v="3"/>
    <n v="10"/>
    <n v="9"/>
    <n v="1"/>
    <n v="7"/>
    <s v="Master"/>
    <s v="Medium"/>
    <s v="Medium"/>
    <x v="0"/>
    <s v="High"/>
    <s v="Excellent"/>
    <s v="Low"/>
    <x v="1"/>
    <s v="Low"/>
    <x v="1"/>
  </r>
  <r>
    <x v="12"/>
    <x v="1"/>
    <x v="0"/>
    <n v="311"/>
    <x v="1"/>
    <n v="20"/>
    <n v="3"/>
    <x v="0"/>
    <n v="1881"/>
    <n v="2"/>
    <x v="1"/>
    <n v="3"/>
    <n v="2"/>
    <x v="2"/>
    <n v="3"/>
    <s v="Divorced"/>
    <n v="4197"/>
    <n v="1"/>
    <x v="1"/>
    <n v="11"/>
    <n v="3"/>
    <n v="1"/>
    <n v="1"/>
    <n v="10"/>
    <n v="2"/>
    <n v="3"/>
    <n v="10"/>
    <n v="8"/>
    <n v="0"/>
    <n v="2"/>
    <s v="Bachelor"/>
    <s v="Medium"/>
    <s v="High"/>
    <x v="0"/>
    <s v="High"/>
    <s v="Excellent"/>
    <s v="Low"/>
    <x v="1"/>
    <s v="Low"/>
    <x v="2"/>
  </r>
  <r>
    <x v="13"/>
    <x v="1"/>
    <x v="0"/>
    <n v="1480"/>
    <x v="0"/>
    <n v="4"/>
    <n v="3"/>
    <x v="0"/>
    <n v="1882"/>
    <n v="3"/>
    <x v="1"/>
    <n v="3"/>
    <n v="3"/>
    <x v="0"/>
    <n v="4"/>
    <s v="Married"/>
    <n v="9713"/>
    <n v="2"/>
    <x v="0"/>
    <n v="13"/>
    <n v="3"/>
    <n v="4"/>
    <n v="3"/>
    <n v="9"/>
    <n v="3"/>
    <n v="3"/>
    <n v="5"/>
    <n v="3"/>
    <n v="1"/>
    <n v="0"/>
    <s v="Bachelor"/>
    <s v="High"/>
    <s v="High"/>
    <x v="2"/>
    <s v="Very High"/>
    <s v="Excellent"/>
    <s v="Very High"/>
    <x v="1"/>
    <s v="High"/>
    <x v="0"/>
  </r>
  <r>
    <x v="11"/>
    <x v="1"/>
    <x v="0"/>
    <n v="592"/>
    <x v="1"/>
    <n v="7"/>
    <n v="3"/>
    <x v="0"/>
    <n v="1883"/>
    <n v="4"/>
    <x v="1"/>
    <n v="3"/>
    <n v="1"/>
    <x v="2"/>
    <n v="1"/>
    <s v="Single"/>
    <n v="2062"/>
    <n v="3"/>
    <x v="1"/>
    <n v="14"/>
    <n v="3"/>
    <n v="2"/>
    <n v="0"/>
    <n v="11"/>
    <n v="2"/>
    <n v="3"/>
    <n v="3"/>
    <n v="2"/>
    <n v="1"/>
    <n v="2"/>
    <s v="Bachelor"/>
    <s v="Very High"/>
    <s v="High"/>
    <x v="1"/>
    <s v="Low"/>
    <s v="Excellent"/>
    <s v="Medium"/>
    <x v="1"/>
    <s v="No_stock"/>
    <x v="1"/>
  </r>
  <r>
    <x v="2"/>
    <x v="1"/>
    <x v="0"/>
    <n v="783"/>
    <x v="1"/>
    <n v="7"/>
    <n v="4"/>
    <x v="2"/>
    <n v="1885"/>
    <n v="4"/>
    <x v="1"/>
    <n v="3"/>
    <n v="2"/>
    <x v="1"/>
    <n v="1"/>
    <s v="Married"/>
    <n v="4284"/>
    <n v="5"/>
    <x v="0"/>
    <n v="22"/>
    <n v="4"/>
    <n v="3"/>
    <n v="1"/>
    <n v="16"/>
    <n v="2"/>
    <n v="3"/>
    <n v="5"/>
    <n v="3"/>
    <n v="0"/>
    <n v="4"/>
    <s v="Master"/>
    <s v="Very High"/>
    <s v="High"/>
    <x v="0"/>
    <s v="Low"/>
    <s v="Outstanding"/>
    <s v="High"/>
    <x v="1"/>
    <s v="Low"/>
    <x v="1"/>
  </r>
  <r>
    <x v="10"/>
    <x v="1"/>
    <x v="0"/>
    <n v="219"/>
    <x v="1"/>
    <n v="16"/>
    <n v="2"/>
    <x v="1"/>
    <n v="1886"/>
    <n v="4"/>
    <x v="0"/>
    <n v="2"/>
    <n v="2"/>
    <x v="3"/>
    <n v="2"/>
    <s v="Married"/>
    <n v="4788"/>
    <n v="0"/>
    <x v="0"/>
    <n v="11"/>
    <n v="3"/>
    <n v="4"/>
    <n v="0"/>
    <n v="4"/>
    <n v="2"/>
    <n v="3"/>
    <n v="3"/>
    <n v="2"/>
    <n v="0"/>
    <n v="2"/>
    <s v="College"/>
    <s v="Very High"/>
    <s v="Medium"/>
    <x v="0"/>
    <s v="Medium"/>
    <s v="Excellent"/>
    <s v="Very High"/>
    <x v="1"/>
    <s v="No_stock"/>
    <x v="2"/>
  </r>
  <r>
    <x v="28"/>
    <x v="1"/>
    <x v="0"/>
    <n v="556"/>
    <x v="1"/>
    <n v="25"/>
    <n v="2"/>
    <x v="0"/>
    <n v="1888"/>
    <n v="2"/>
    <x v="0"/>
    <n v="2"/>
    <n v="2"/>
    <x v="3"/>
    <n v="4"/>
    <s v="Married"/>
    <n v="5906"/>
    <n v="0"/>
    <x v="1"/>
    <n v="13"/>
    <n v="3"/>
    <n v="4"/>
    <n v="2"/>
    <n v="10"/>
    <n v="2"/>
    <n v="2"/>
    <n v="9"/>
    <n v="8"/>
    <n v="3"/>
    <n v="8"/>
    <s v="College"/>
    <s v="Medium"/>
    <s v="Medium"/>
    <x v="0"/>
    <s v="Very High"/>
    <s v="Excellent"/>
    <s v="Very High"/>
    <x v="2"/>
    <s v="Medium"/>
    <x v="2"/>
  </r>
  <r>
    <x v="9"/>
    <x v="1"/>
    <x v="1"/>
    <n v="1213"/>
    <x v="2"/>
    <n v="2"/>
    <n v="1"/>
    <x v="5"/>
    <n v="1890"/>
    <n v="2"/>
    <x v="1"/>
    <n v="2"/>
    <n v="2"/>
    <x v="8"/>
    <n v="4"/>
    <s v="Single"/>
    <n v="3886"/>
    <n v="1"/>
    <x v="1"/>
    <n v="21"/>
    <n v="4"/>
    <n v="4"/>
    <n v="0"/>
    <n v="10"/>
    <n v="2"/>
    <n v="2"/>
    <n v="10"/>
    <n v="1"/>
    <n v="0"/>
    <n v="8"/>
    <s v="Before College"/>
    <s v="Medium"/>
    <s v="Medium"/>
    <x v="0"/>
    <s v="Very High"/>
    <s v="Outstanding"/>
    <s v="Very High"/>
    <x v="2"/>
    <s v="No_stock"/>
    <x v="0"/>
  </r>
  <r>
    <x v="32"/>
    <x v="1"/>
    <x v="0"/>
    <n v="1137"/>
    <x v="1"/>
    <n v="1"/>
    <n v="4"/>
    <x v="0"/>
    <n v="1892"/>
    <n v="1"/>
    <x v="1"/>
    <n v="3"/>
    <n v="4"/>
    <x v="5"/>
    <n v="1"/>
    <s v="Divorced"/>
    <n v="16823"/>
    <n v="2"/>
    <x v="1"/>
    <n v="11"/>
    <n v="3"/>
    <n v="1"/>
    <n v="1"/>
    <n v="22"/>
    <n v="3"/>
    <n v="3"/>
    <n v="19"/>
    <n v="7"/>
    <n v="11"/>
    <n v="16"/>
    <s v="Master"/>
    <s v="Low"/>
    <s v="High"/>
    <x v="3"/>
    <s v="Low"/>
    <s v="Excellent"/>
    <s v="Low"/>
    <x v="1"/>
    <s v="Low"/>
    <x v="0"/>
  </r>
  <r>
    <x v="25"/>
    <x v="1"/>
    <x v="0"/>
    <n v="482"/>
    <x v="1"/>
    <n v="1"/>
    <n v="2"/>
    <x v="0"/>
    <n v="1893"/>
    <n v="2"/>
    <x v="0"/>
    <n v="2"/>
    <n v="1"/>
    <x v="1"/>
    <n v="3"/>
    <s v="Married"/>
    <n v="2933"/>
    <n v="1"/>
    <x v="0"/>
    <n v="13"/>
    <n v="3"/>
    <n v="3"/>
    <n v="1"/>
    <n v="1"/>
    <n v="3"/>
    <n v="2"/>
    <n v="1"/>
    <n v="0"/>
    <n v="1"/>
    <n v="0"/>
    <s v="College"/>
    <s v="Medium"/>
    <s v="Medium"/>
    <x v="1"/>
    <s v="High"/>
    <s v="Excellent"/>
    <s v="High"/>
    <x v="2"/>
    <s v="Low"/>
    <x v="0"/>
  </r>
  <r>
    <x v="4"/>
    <x v="1"/>
    <x v="0"/>
    <n v="511"/>
    <x v="0"/>
    <n v="2"/>
    <n v="2"/>
    <x v="2"/>
    <n v="1898"/>
    <n v="1"/>
    <x v="0"/>
    <n v="4"/>
    <n v="2"/>
    <x v="0"/>
    <n v="3"/>
    <s v="Single"/>
    <n v="6500"/>
    <n v="0"/>
    <x v="1"/>
    <n v="14"/>
    <n v="3"/>
    <n v="2"/>
    <n v="0"/>
    <n v="9"/>
    <n v="5"/>
    <n v="2"/>
    <n v="8"/>
    <n v="7"/>
    <n v="0"/>
    <n v="7"/>
    <s v="College"/>
    <s v="Low"/>
    <s v="Very High"/>
    <x v="0"/>
    <s v="High"/>
    <s v="Excellent"/>
    <s v="Medium"/>
    <x v="2"/>
    <s v="No_stock"/>
    <x v="0"/>
  </r>
  <r>
    <x v="26"/>
    <x v="1"/>
    <x v="1"/>
    <n v="117"/>
    <x v="1"/>
    <n v="22"/>
    <n v="3"/>
    <x v="2"/>
    <n v="1900"/>
    <n v="4"/>
    <x v="0"/>
    <n v="3"/>
    <n v="4"/>
    <x v="5"/>
    <n v="4"/>
    <s v="Divorced"/>
    <n v="17174"/>
    <n v="3"/>
    <x v="1"/>
    <n v="11"/>
    <n v="3"/>
    <n v="2"/>
    <n v="1"/>
    <n v="24"/>
    <n v="3"/>
    <n v="3"/>
    <n v="22"/>
    <n v="17"/>
    <n v="4"/>
    <n v="7"/>
    <s v="Bachelor"/>
    <s v="Very High"/>
    <s v="High"/>
    <x v="3"/>
    <s v="Very High"/>
    <s v="Excellent"/>
    <s v="Medium"/>
    <x v="1"/>
    <s v="Low"/>
    <x v="2"/>
  </r>
  <r>
    <x v="20"/>
    <x v="1"/>
    <x v="0"/>
    <n v="170"/>
    <x v="1"/>
    <n v="1"/>
    <n v="4"/>
    <x v="0"/>
    <n v="1903"/>
    <n v="2"/>
    <x v="1"/>
    <n v="4"/>
    <n v="2"/>
    <x v="4"/>
    <n v="1"/>
    <s v="Married"/>
    <n v="5033"/>
    <n v="2"/>
    <x v="1"/>
    <n v="15"/>
    <n v="3"/>
    <n v="4"/>
    <n v="1"/>
    <n v="10"/>
    <n v="5"/>
    <n v="3"/>
    <n v="2"/>
    <n v="0"/>
    <n v="2"/>
    <n v="2"/>
    <s v="Master"/>
    <s v="Medium"/>
    <s v="Very High"/>
    <x v="0"/>
    <s v="Low"/>
    <s v="Excellent"/>
    <s v="Very High"/>
    <x v="1"/>
    <s v="Low"/>
    <x v="0"/>
  </r>
  <r>
    <x v="13"/>
    <x v="0"/>
    <x v="2"/>
    <n v="967"/>
    <x v="1"/>
    <n v="16"/>
    <n v="4"/>
    <x v="4"/>
    <n v="1905"/>
    <n v="4"/>
    <x v="1"/>
    <n v="1"/>
    <n v="1"/>
    <x v="1"/>
    <n v="1"/>
    <s v="Married"/>
    <n v="2307"/>
    <n v="1"/>
    <x v="0"/>
    <n v="23"/>
    <n v="4"/>
    <n v="2"/>
    <n v="1"/>
    <n v="5"/>
    <n v="2"/>
    <n v="3"/>
    <n v="5"/>
    <n v="2"/>
    <n v="3"/>
    <n v="0"/>
    <s v="Master"/>
    <s v="Very High"/>
    <s v="Low"/>
    <x v="1"/>
    <s v="Low"/>
    <s v="Outstanding"/>
    <s v="Medium"/>
    <x v="1"/>
    <s v="Low"/>
    <x v="2"/>
  </r>
  <r>
    <x v="29"/>
    <x v="0"/>
    <x v="0"/>
    <n v="1162"/>
    <x v="1"/>
    <n v="24"/>
    <n v="2"/>
    <x v="0"/>
    <n v="1907"/>
    <n v="1"/>
    <x v="1"/>
    <n v="3"/>
    <n v="1"/>
    <x v="2"/>
    <n v="4"/>
    <s v="Single"/>
    <n v="2587"/>
    <n v="1"/>
    <x v="1"/>
    <n v="16"/>
    <n v="3"/>
    <n v="4"/>
    <n v="0"/>
    <n v="5"/>
    <n v="3"/>
    <n v="3"/>
    <n v="4"/>
    <n v="2"/>
    <n v="1"/>
    <n v="0"/>
    <s v="College"/>
    <s v="Low"/>
    <s v="High"/>
    <x v="1"/>
    <s v="Very High"/>
    <s v="Excellent"/>
    <s v="Very High"/>
    <x v="1"/>
    <s v="No_stock"/>
    <x v="2"/>
  </r>
  <r>
    <x v="9"/>
    <x v="1"/>
    <x v="0"/>
    <n v="335"/>
    <x v="0"/>
    <n v="17"/>
    <n v="2"/>
    <x v="3"/>
    <n v="1908"/>
    <n v="3"/>
    <x v="1"/>
    <n v="2"/>
    <n v="2"/>
    <x v="0"/>
    <n v="2"/>
    <s v="Married"/>
    <n v="5507"/>
    <n v="2"/>
    <x v="1"/>
    <n v="16"/>
    <n v="3"/>
    <n v="3"/>
    <n v="2"/>
    <n v="12"/>
    <n v="1"/>
    <n v="1"/>
    <n v="4"/>
    <n v="2"/>
    <n v="1"/>
    <n v="3"/>
    <s v="College"/>
    <s v="High"/>
    <s v="Medium"/>
    <x v="0"/>
    <s v="Medium"/>
    <s v="Excellent"/>
    <s v="High"/>
    <x v="0"/>
    <s v="Medium"/>
    <x v="2"/>
  </r>
  <r>
    <x v="0"/>
    <x v="1"/>
    <x v="0"/>
    <n v="337"/>
    <x v="0"/>
    <n v="8"/>
    <n v="3"/>
    <x v="3"/>
    <n v="1909"/>
    <n v="3"/>
    <x v="0"/>
    <n v="3"/>
    <n v="2"/>
    <x v="0"/>
    <n v="2"/>
    <s v="Married"/>
    <n v="4393"/>
    <n v="5"/>
    <x v="1"/>
    <n v="21"/>
    <n v="4"/>
    <n v="3"/>
    <n v="1"/>
    <n v="14"/>
    <n v="3"/>
    <n v="3"/>
    <n v="5"/>
    <n v="4"/>
    <n v="1"/>
    <n v="4"/>
    <s v="Bachelor"/>
    <s v="High"/>
    <s v="High"/>
    <x v="0"/>
    <s v="Medium"/>
    <s v="Outstanding"/>
    <s v="High"/>
    <x v="1"/>
    <s v="Low"/>
    <x v="1"/>
  </r>
  <r>
    <x v="19"/>
    <x v="1"/>
    <x v="0"/>
    <n v="1396"/>
    <x v="1"/>
    <n v="6"/>
    <n v="3"/>
    <x v="2"/>
    <n v="1911"/>
    <n v="3"/>
    <x v="1"/>
    <n v="3"/>
    <n v="3"/>
    <x v="7"/>
    <n v="1"/>
    <s v="Married"/>
    <n v="13348"/>
    <n v="9"/>
    <x v="1"/>
    <n v="13"/>
    <n v="3"/>
    <n v="2"/>
    <n v="1"/>
    <n v="18"/>
    <n v="3"/>
    <n v="4"/>
    <n v="13"/>
    <n v="7"/>
    <n v="5"/>
    <n v="7"/>
    <s v="Bachelor"/>
    <s v="High"/>
    <s v="High"/>
    <x v="2"/>
    <s v="Low"/>
    <s v="Excellent"/>
    <s v="Medium"/>
    <x v="3"/>
    <s v="Low"/>
    <x v="1"/>
  </r>
  <r>
    <x v="12"/>
    <x v="1"/>
    <x v="0"/>
    <n v="1079"/>
    <x v="0"/>
    <n v="10"/>
    <n v="2"/>
    <x v="2"/>
    <n v="1912"/>
    <n v="3"/>
    <x v="0"/>
    <n v="3"/>
    <n v="2"/>
    <x v="0"/>
    <n v="4"/>
    <s v="Divorced"/>
    <n v="6583"/>
    <n v="2"/>
    <x v="0"/>
    <n v="11"/>
    <n v="3"/>
    <n v="4"/>
    <n v="1"/>
    <n v="8"/>
    <n v="2"/>
    <n v="3"/>
    <n v="5"/>
    <n v="2"/>
    <n v="1"/>
    <n v="4"/>
    <s v="College"/>
    <s v="High"/>
    <s v="High"/>
    <x v="0"/>
    <s v="Very High"/>
    <s v="Excellent"/>
    <s v="Very High"/>
    <x v="1"/>
    <s v="Low"/>
    <x v="1"/>
  </r>
  <r>
    <x v="13"/>
    <x v="1"/>
    <x v="0"/>
    <n v="735"/>
    <x v="0"/>
    <n v="3"/>
    <n v="1"/>
    <x v="2"/>
    <n v="1915"/>
    <n v="4"/>
    <x v="0"/>
    <n v="2"/>
    <n v="2"/>
    <x v="0"/>
    <n v="4"/>
    <s v="Married"/>
    <n v="8103"/>
    <n v="3"/>
    <x v="0"/>
    <n v="12"/>
    <n v="3"/>
    <n v="3"/>
    <n v="0"/>
    <n v="9"/>
    <n v="3"/>
    <n v="2"/>
    <n v="4"/>
    <n v="2"/>
    <n v="0"/>
    <n v="1"/>
    <s v="Before College"/>
    <s v="Very High"/>
    <s v="Medium"/>
    <x v="0"/>
    <s v="Very High"/>
    <s v="Excellent"/>
    <s v="High"/>
    <x v="2"/>
    <s v="No_stock"/>
    <x v="0"/>
  </r>
  <r>
    <x v="12"/>
    <x v="1"/>
    <x v="0"/>
    <n v="471"/>
    <x v="1"/>
    <n v="4"/>
    <n v="3"/>
    <x v="2"/>
    <n v="1916"/>
    <n v="1"/>
    <x v="0"/>
    <n v="4"/>
    <n v="1"/>
    <x v="2"/>
    <n v="3"/>
    <s v="Divorced"/>
    <n v="3978"/>
    <n v="8"/>
    <x v="1"/>
    <n v="12"/>
    <n v="3"/>
    <n v="2"/>
    <n v="1"/>
    <n v="4"/>
    <n v="0"/>
    <n v="2"/>
    <n v="2"/>
    <n v="2"/>
    <n v="2"/>
    <n v="2"/>
    <s v="Bachelor"/>
    <s v="Low"/>
    <s v="Very High"/>
    <x v="1"/>
    <s v="High"/>
    <s v="Excellent"/>
    <s v="Medium"/>
    <x v="2"/>
    <s v="Low"/>
    <x v="0"/>
  </r>
  <r>
    <x v="25"/>
    <x v="1"/>
    <x v="1"/>
    <n v="1096"/>
    <x v="1"/>
    <n v="6"/>
    <n v="3"/>
    <x v="1"/>
    <n v="1918"/>
    <n v="3"/>
    <x v="1"/>
    <n v="4"/>
    <n v="1"/>
    <x v="2"/>
    <n v="4"/>
    <s v="Married"/>
    <n v="2544"/>
    <n v="0"/>
    <x v="1"/>
    <n v="18"/>
    <n v="3"/>
    <n v="1"/>
    <n v="1"/>
    <n v="8"/>
    <n v="3"/>
    <n v="3"/>
    <n v="7"/>
    <n v="7"/>
    <n v="7"/>
    <n v="7"/>
    <s v="Bachelor"/>
    <s v="High"/>
    <s v="Very High"/>
    <x v="1"/>
    <s v="Very High"/>
    <s v="Excellent"/>
    <s v="Low"/>
    <x v="1"/>
    <s v="Low"/>
    <x v="1"/>
  </r>
  <r>
    <x v="28"/>
    <x v="1"/>
    <x v="1"/>
    <n v="1297"/>
    <x v="1"/>
    <n v="1"/>
    <n v="4"/>
    <x v="2"/>
    <n v="1922"/>
    <n v="2"/>
    <x v="1"/>
    <n v="3"/>
    <n v="2"/>
    <x v="4"/>
    <n v="3"/>
    <s v="Single"/>
    <n v="5399"/>
    <n v="4"/>
    <x v="1"/>
    <n v="12"/>
    <n v="3"/>
    <n v="3"/>
    <n v="0"/>
    <n v="12"/>
    <n v="3"/>
    <n v="3"/>
    <n v="4"/>
    <n v="2"/>
    <n v="0"/>
    <n v="3"/>
    <s v="Master"/>
    <s v="Medium"/>
    <s v="High"/>
    <x v="0"/>
    <s v="High"/>
    <s v="Excellent"/>
    <s v="High"/>
    <x v="1"/>
    <s v="No_stock"/>
    <x v="0"/>
  </r>
  <r>
    <x v="3"/>
    <x v="1"/>
    <x v="0"/>
    <n v="217"/>
    <x v="0"/>
    <n v="10"/>
    <n v="4"/>
    <x v="3"/>
    <n v="1924"/>
    <n v="2"/>
    <x v="1"/>
    <n v="3"/>
    <n v="2"/>
    <x v="0"/>
    <n v="3"/>
    <s v="Single"/>
    <n v="5487"/>
    <n v="1"/>
    <x v="1"/>
    <n v="14"/>
    <n v="3"/>
    <n v="2"/>
    <n v="0"/>
    <n v="10"/>
    <n v="2"/>
    <n v="2"/>
    <n v="10"/>
    <n v="4"/>
    <n v="0"/>
    <n v="9"/>
    <s v="Master"/>
    <s v="Medium"/>
    <s v="High"/>
    <x v="0"/>
    <s v="High"/>
    <s v="Excellent"/>
    <s v="Medium"/>
    <x v="2"/>
    <s v="No_stock"/>
    <x v="1"/>
  </r>
  <r>
    <x v="14"/>
    <x v="1"/>
    <x v="1"/>
    <n v="783"/>
    <x v="0"/>
    <n v="1"/>
    <n v="2"/>
    <x v="0"/>
    <n v="1927"/>
    <n v="3"/>
    <x v="1"/>
    <n v="2"/>
    <n v="2"/>
    <x v="0"/>
    <n v="4"/>
    <s v="Married"/>
    <n v="6834"/>
    <n v="1"/>
    <x v="0"/>
    <n v="12"/>
    <n v="3"/>
    <n v="3"/>
    <n v="1"/>
    <n v="7"/>
    <n v="2"/>
    <n v="3"/>
    <n v="7"/>
    <n v="7"/>
    <n v="0"/>
    <n v="7"/>
    <s v="College"/>
    <s v="High"/>
    <s v="Medium"/>
    <x v="0"/>
    <s v="Very High"/>
    <s v="Excellent"/>
    <s v="High"/>
    <x v="1"/>
    <s v="Low"/>
    <x v="0"/>
  </r>
  <r>
    <x v="11"/>
    <x v="0"/>
    <x v="1"/>
    <n v="746"/>
    <x v="0"/>
    <n v="24"/>
    <n v="3"/>
    <x v="4"/>
    <n v="1928"/>
    <n v="3"/>
    <x v="1"/>
    <n v="4"/>
    <n v="1"/>
    <x v="6"/>
    <n v="1"/>
    <s v="Single"/>
    <n v="1091"/>
    <n v="1"/>
    <x v="1"/>
    <n v="17"/>
    <n v="3"/>
    <n v="4"/>
    <n v="0"/>
    <n v="1"/>
    <n v="3"/>
    <n v="3"/>
    <n v="1"/>
    <n v="0"/>
    <n v="0"/>
    <n v="0"/>
    <s v="Bachelor"/>
    <s v="High"/>
    <s v="Very High"/>
    <x v="1"/>
    <s v="Low"/>
    <s v="Excellent"/>
    <s v="Very High"/>
    <x v="1"/>
    <s v="No_stock"/>
    <x v="2"/>
  </r>
  <r>
    <x v="22"/>
    <x v="1"/>
    <x v="2"/>
    <n v="1251"/>
    <x v="0"/>
    <n v="21"/>
    <n v="4"/>
    <x v="0"/>
    <n v="1929"/>
    <n v="1"/>
    <x v="0"/>
    <n v="1"/>
    <n v="2"/>
    <x v="0"/>
    <n v="3"/>
    <s v="Married"/>
    <n v="5736"/>
    <n v="6"/>
    <x v="1"/>
    <n v="19"/>
    <n v="3"/>
    <n v="3"/>
    <n v="1"/>
    <n v="10"/>
    <n v="1"/>
    <n v="3"/>
    <n v="3"/>
    <n v="2"/>
    <n v="1"/>
    <n v="2"/>
    <s v="Master"/>
    <s v="Low"/>
    <s v="Low"/>
    <x v="0"/>
    <s v="High"/>
    <s v="Excellent"/>
    <s v="High"/>
    <x v="1"/>
    <s v="Low"/>
    <x v="2"/>
  </r>
  <r>
    <x v="4"/>
    <x v="1"/>
    <x v="0"/>
    <n v="1354"/>
    <x v="1"/>
    <n v="2"/>
    <n v="4"/>
    <x v="4"/>
    <n v="1931"/>
    <n v="2"/>
    <x v="1"/>
    <n v="3"/>
    <n v="1"/>
    <x v="1"/>
    <n v="2"/>
    <s v="Married"/>
    <n v="2226"/>
    <n v="1"/>
    <x v="1"/>
    <n v="11"/>
    <n v="3"/>
    <n v="3"/>
    <n v="1"/>
    <n v="6"/>
    <n v="3"/>
    <n v="2"/>
    <n v="5"/>
    <n v="3"/>
    <n v="1"/>
    <n v="2"/>
    <s v="Master"/>
    <s v="Medium"/>
    <s v="High"/>
    <x v="1"/>
    <s v="Medium"/>
    <s v="Excellent"/>
    <s v="High"/>
    <x v="2"/>
    <s v="Low"/>
    <x v="0"/>
  </r>
  <r>
    <x v="13"/>
    <x v="1"/>
    <x v="1"/>
    <n v="735"/>
    <x v="1"/>
    <n v="22"/>
    <n v="4"/>
    <x v="1"/>
    <n v="1932"/>
    <n v="3"/>
    <x v="1"/>
    <n v="2"/>
    <n v="2"/>
    <x v="1"/>
    <n v="4"/>
    <s v="Married"/>
    <n v="5747"/>
    <n v="1"/>
    <x v="0"/>
    <n v="15"/>
    <n v="3"/>
    <n v="2"/>
    <n v="0"/>
    <n v="16"/>
    <n v="3"/>
    <n v="3"/>
    <n v="15"/>
    <n v="10"/>
    <n v="6"/>
    <n v="11"/>
    <s v="Master"/>
    <s v="High"/>
    <s v="Medium"/>
    <x v="0"/>
    <s v="Very High"/>
    <s v="Excellent"/>
    <s v="Medium"/>
    <x v="1"/>
    <s v="No_stock"/>
    <x v="2"/>
  </r>
  <r>
    <x v="14"/>
    <x v="0"/>
    <x v="0"/>
    <n v="1475"/>
    <x v="0"/>
    <n v="13"/>
    <n v="2"/>
    <x v="3"/>
    <n v="1933"/>
    <n v="4"/>
    <x v="0"/>
    <n v="3"/>
    <n v="2"/>
    <x v="0"/>
    <n v="3"/>
    <s v="Single"/>
    <n v="9854"/>
    <n v="3"/>
    <x v="0"/>
    <n v="11"/>
    <n v="3"/>
    <n v="4"/>
    <n v="0"/>
    <n v="6"/>
    <n v="0"/>
    <n v="3"/>
    <n v="2"/>
    <n v="0"/>
    <n v="2"/>
    <n v="2"/>
    <s v="College"/>
    <s v="Very High"/>
    <s v="High"/>
    <x v="0"/>
    <s v="High"/>
    <s v="Excellent"/>
    <s v="Very High"/>
    <x v="1"/>
    <s v="No_stock"/>
    <x v="1"/>
  </r>
  <r>
    <x v="40"/>
    <x v="1"/>
    <x v="2"/>
    <n v="1169"/>
    <x v="1"/>
    <n v="14"/>
    <n v="4"/>
    <x v="4"/>
    <n v="1934"/>
    <n v="3"/>
    <x v="1"/>
    <n v="3"/>
    <n v="2"/>
    <x v="1"/>
    <n v="2"/>
    <s v="Married"/>
    <n v="5467"/>
    <n v="8"/>
    <x v="1"/>
    <n v="18"/>
    <n v="3"/>
    <n v="3"/>
    <n v="1"/>
    <n v="16"/>
    <n v="4"/>
    <n v="4"/>
    <n v="8"/>
    <n v="7"/>
    <n v="1"/>
    <n v="7"/>
    <s v="Master"/>
    <s v="High"/>
    <s v="High"/>
    <x v="0"/>
    <s v="Medium"/>
    <s v="Excellent"/>
    <s v="High"/>
    <x v="3"/>
    <s v="Low"/>
    <x v="1"/>
  </r>
  <r>
    <x v="29"/>
    <x v="1"/>
    <x v="0"/>
    <n v="1443"/>
    <x v="0"/>
    <n v="11"/>
    <n v="5"/>
    <x v="3"/>
    <n v="1935"/>
    <n v="4"/>
    <x v="0"/>
    <n v="2"/>
    <n v="2"/>
    <x v="0"/>
    <n v="1"/>
    <s v="Married"/>
    <n v="5380"/>
    <n v="4"/>
    <x v="1"/>
    <n v="16"/>
    <n v="3"/>
    <n v="3"/>
    <n v="1"/>
    <n v="6"/>
    <n v="3"/>
    <n v="3"/>
    <n v="0"/>
    <n v="0"/>
    <n v="0"/>
    <n v="0"/>
    <s v="Doctor"/>
    <s v="Very High"/>
    <s v="Medium"/>
    <x v="0"/>
    <s v="Low"/>
    <s v="Excellent"/>
    <s v="High"/>
    <x v="1"/>
    <s v="Low"/>
    <x v="1"/>
  </r>
  <r>
    <x v="22"/>
    <x v="1"/>
    <x v="0"/>
    <n v="867"/>
    <x v="1"/>
    <n v="9"/>
    <n v="2"/>
    <x v="2"/>
    <n v="1936"/>
    <n v="1"/>
    <x v="1"/>
    <n v="3"/>
    <n v="2"/>
    <x v="3"/>
    <n v="1"/>
    <s v="Married"/>
    <n v="5151"/>
    <n v="1"/>
    <x v="1"/>
    <n v="25"/>
    <n v="4"/>
    <n v="4"/>
    <n v="1"/>
    <n v="10"/>
    <n v="3"/>
    <n v="3"/>
    <n v="10"/>
    <n v="0"/>
    <n v="7"/>
    <n v="9"/>
    <s v="College"/>
    <s v="Low"/>
    <s v="High"/>
    <x v="0"/>
    <s v="Low"/>
    <s v="Outstanding"/>
    <s v="Very High"/>
    <x v="1"/>
    <s v="Low"/>
    <x v="1"/>
  </r>
  <r>
    <x v="8"/>
    <x v="1"/>
    <x v="1"/>
    <n v="1394"/>
    <x v="1"/>
    <n v="8"/>
    <n v="3"/>
    <x v="2"/>
    <n v="1937"/>
    <n v="4"/>
    <x v="0"/>
    <n v="2"/>
    <n v="2"/>
    <x v="1"/>
    <n v="2"/>
    <s v="Divorced"/>
    <n v="2133"/>
    <n v="1"/>
    <x v="0"/>
    <n v="16"/>
    <n v="3"/>
    <n v="3"/>
    <n v="1"/>
    <n v="20"/>
    <n v="3"/>
    <n v="3"/>
    <n v="20"/>
    <n v="11"/>
    <n v="0"/>
    <n v="7"/>
    <s v="Bachelor"/>
    <s v="Very High"/>
    <s v="Medium"/>
    <x v="0"/>
    <s v="Medium"/>
    <s v="Excellent"/>
    <s v="High"/>
    <x v="1"/>
    <s v="Low"/>
    <x v="1"/>
  </r>
  <r>
    <x v="34"/>
    <x v="1"/>
    <x v="0"/>
    <n v="605"/>
    <x v="0"/>
    <n v="21"/>
    <n v="3"/>
    <x v="0"/>
    <n v="1938"/>
    <n v="4"/>
    <x v="0"/>
    <n v="3"/>
    <n v="4"/>
    <x v="5"/>
    <n v="4"/>
    <s v="Married"/>
    <n v="17875"/>
    <n v="4"/>
    <x v="0"/>
    <n v="13"/>
    <n v="3"/>
    <n v="3"/>
    <n v="1"/>
    <n v="29"/>
    <n v="2"/>
    <n v="2"/>
    <n v="1"/>
    <n v="0"/>
    <n v="0"/>
    <n v="0"/>
    <s v="Bachelor"/>
    <s v="Very High"/>
    <s v="High"/>
    <x v="3"/>
    <s v="Very High"/>
    <s v="Excellent"/>
    <s v="High"/>
    <x v="2"/>
    <s v="Low"/>
    <x v="2"/>
  </r>
  <r>
    <x v="5"/>
    <x v="0"/>
    <x v="1"/>
    <n v="238"/>
    <x v="1"/>
    <n v="5"/>
    <n v="2"/>
    <x v="0"/>
    <n v="1939"/>
    <n v="1"/>
    <x v="0"/>
    <n v="4"/>
    <n v="1"/>
    <x v="1"/>
    <n v="3"/>
    <s v="Single"/>
    <n v="2432"/>
    <n v="3"/>
    <x v="0"/>
    <n v="14"/>
    <n v="3"/>
    <n v="1"/>
    <n v="0"/>
    <n v="8"/>
    <n v="2"/>
    <n v="3"/>
    <n v="4"/>
    <n v="1"/>
    <n v="0"/>
    <n v="3"/>
    <s v="College"/>
    <s v="Low"/>
    <s v="Very High"/>
    <x v="1"/>
    <s v="High"/>
    <s v="Excellent"/>
    <s v="Low"/>
    <x v="1"/>
    <s v="No_stock"/>
    <x v="0"/>
  </r>
  <r>
    <x v="8"/>
    <x v="1"/>
    <x v="0"/>
    <n v="1206"/>
    <x v="1"/>
    <n v="9"/>
    <n v="2"/>
    <x v="0"/>
    <n v="1940"/>
    <n v="2"/>
    <x v="1"/>
    <n v="3"/>
    <n v="1"/>
    <x v="1"/>
    <n v="4"/>
    <s v="Divorced"/>
    <n v="4771"/>
    <n v="2"/>
    <x v="1"/>
    <n v="19"/>
    <n v="3"/>
    <n v="4"/>
    <n v="2"/>
    <n v="10"/>
    <n v="0"/>
    <n v="4"/>
    <n v="5"/>
    <n v="2"/>
    <n v="0"/>
    <n v="3"/>
    <s v="College"/>
    <s v="Medium"/>
    <s v="High"/>
    <x v="1"/>
    <s v="Very High"/>
    <s v="Excellent"/>
    <s v="Very High"/>
    <x v="3"/>
    <s v="Medium"/>
    <x v="1"/>
  </r>
  <r>
    <x v="1"/>
    <x v="1"/>
    <x v="1"/>
    <n v="1064"/>
    <x v="1"/>
    <n v="2"/>
    <n v="1"/>
    <x v="0"/>
    <n v="1941"/>
    <n v="2"/>
    <x v="1"/>
    <n v="3"/>
    <n v="5"/>
    <x v="7"/>
    <n v="4"/>
    <s v="Married"/>
    <n v="19161"/>
    <n v="3"/>
    <x v="1"/>
    <n v="15"/>
    <n v="3"/>
    <n v="4"/>
    <n v="0"/>
    <n v="28"/>
    <n v="3"/>
    <n v="3"/>
    <n v="5"/>
    <n v="4"/>
    <n v="4"/>
    <n v="3"/>
    <s v="Before College"/>
    <s v="Medium"/>
    <s v="High"/>
    <x v="4"/>
    <s v="Very High"/>
    <s v="Excellent"/>
    <s v="Very High"/>
    <x v="1"/>
    <s v="No_stock"/>
    <x v="0"/>
  </r>
  <r>
    <x v="19"/>
    <x v="1"/>
    <x v="0"/>
    <n v="419"/>
    <x v="0"/>
    <n v="12"/>
    <n v="4"/>
    <x v="3"/>
    <n v="1943"/>
    <n v="2"/>
    <x v="1"/>
    <n v="3"/>
    <n v="2"/>
    <x v="0"/>
    <n v="4"/>
    <s v="Divorced"/>
    <n v="5087"/>
    <n v="3"/>
    <x v="0"/>
    <n v="12"/>
    <n v="3"/>
    <n v="3"/>
    <n v="2"/>
    <n v="14"/>
    <n v="4"/>
    <n v="3"/>
    <n v="0"/>
    <n v="0"/>
    <n v="0"/>
    <n v="0"/>
    <s v="Master"/>
    <s v="Medium"/>
    <s v="High"/>
    <x v="0"/>
    <s v="Very High"/>
    <s v="Excellent"/>
    <s v="High"/>
    <x v="1"/>
    <s v="Medium"/>
    <x v="1"/>
  </r>
  <r>
    <x v="4"/>
    <x v="0"/>
    <x v="1"/>
    <n v="1337"/>
    <x v="2"/>
    <n v="22"/>
    <n v="3"/>
    <x v="5"/>
    <n v="1944"/>
    <n v="1"/>
    <x v="0"/>
    <n v="2"/>
    <n v="1"/>
    <x v="8"/>
    <n v="2"/>
    <s v="Married"/>
    <n v="2863"/>
    <n v="1"/>
    <x v="1"/>
    <n v="12"/>
    <n v="3"/>
    <n v="1"/>
    <n v="0"/>
    <n v="1"/>
    <n v="2"/>
    <n v="3"/>
    <n v="1"/>
    <n v="0"/>
    <n v="0"/>
    <n v="0"/>
    <s v="Bachelor"/>
    <s v="Low"/>
    <s v="Medium"/>
    <x v="1"/>
    <s v="Medium"/>
    <s v="Excellent"/>
    <s v="Low"/>
    <x v="1"/>
    <s v="No_stock"/>
    <x v="2"/>
  </r>
  <r>
    <x v="10"/>
    <x v="1"/>
    <x v="0"/>
    <n v="682"/>
    <x v="0"/>
    <n v="18"/>
    <n v="4"/>
    <x v="2"/>
    <n v="1945"/>
    <n v="2"/>
    <x v="1"/>
    <n v="3"/>
    <n v="2"/>
    <x v="0"/>
    <n v="1"/>
    <s v="Married"/>
    <n v="5561"/>
    <n v="0"/>
    <x v="1"/>
    <n v="16"/>
    <n v="3"/>
    <n v="4"/>
    <n v="1"/>
    <n v="6"/>
    <n v="2"/>
    <n v="1"/>
    <n v="5"/>
    <n v="3"/>
    <n v="0"/>
    <n v="4"/>
    <s v="Master"/>
    <s v="Medium"/>
    <s v="High"/>
    <x v="0"/>
    <s v="Low"/>
    <s v="Excellent"/>
    <s v="Very High"/>
    <x v="0"/>
    <s v="Low"/>
    <x v="2"/>
  </r>
  <r>
    <x v="14"/>
    <x v="1"/>
    <x v="2"/>
    <n v="1103"/>
    <x v="1"/>
    <n v="16"/>
    <n v="3"/>
    <x v="2"/>
    <n v="1947"/>
    <n v="3"/>
    <x v="1"/>
    <n v="3"/>
    <n v="1"/>
    <x v="1"/>
    <n v="3"/>
    <s v="Single"/>
    <n v="2144"/>
    <n v="1"/>
    <x v="1"/>
    <n v="14"/>
    <n v="3"/>
    <n v="3"/>
    <n v="0"/>
    <n v="5"/>
    <n v="3"/>
    <n v="2"/>
    <n v="5"/>
    <n v="3"/>
    <n v="1"/>
    <n v="4"/>
    <s v="Bachelor"/>
    <s v="High"/>
    <s v="High"/>
    <x v="1"/>
    <s v="High"/>
    <s v="Excellent"/>
    <s v="High"/>
    <x v="2"/>
    <s v="No_stock"/>
    <x v="2"/>
  </r>
  <r>
    <x v="12"/>
    <x v="1"/>
    <x v="2"/>
    <n v="976"/>
    <x v="1"/>
    <n v="3"/>
    <n v="2"/>
    <x v="2"/>
    <n v="1948"/>
    <n v="3"/>
    <x v="1"/>
    <n v="3"/>
    <n v="1"/>
    <x v="1"/>
    <n v="1"/>
    <s v="Divorced"/>
    <n v="3065"/>
    <n v="1"/>
    <x v="0"/>
    <n v="13"/>
    <n v="3"/>
    <n v="4"/>
    <n v="1"/>
    <n v="4"/>
    <n v="3"/>
    <n v="4"/>
    <n v="4"/>
    <n v="2"/>
    <n v="2"/>
    <n v="3"/>
    <s v="College"/>
    <s v="High"/>
    <s v="High"/>
    <x v="1"/>
    <s v="Low"/>
    <s v="Excellent"/>
    <s v="Very High"/>
    <x v="3"/>
    <s v="Low"/>
    <x v="0"/>
  </r>
  <r>
    <x v="9"/>
    <x v="1"/>
    <x v="2"/>
    <n v="1351"/>
    <x v="1"/>
    <n v="9"/>
    <n v="4"/>
    <x v="0"/>
    <n v="1949"/>
    <n v="1"/>
    <x v="1"/>
    <n v="4"/>
    <n v="1"/>
    <x v="2"/>
    <n v="2"/>
    <s v="Married"/>
    <n v="2810"/>
    <n v="1"/>
    <x v="1"/>
    <n v="22"/>
    <n v="4"/>
    <n v="2"/>
    <n v="0"/>
    <n v="5"/>
    <n v="3"/>
    <n v="3"/>
    <n v="5"/>
    <n v="4"/>
    <n v="0"/>
    <n v="2"/>
    <s v="Master"/>
    <s v="Low"/>
    <s v="Very High"/>
    <x v="1"/>
    <s v="Medium"/>
    <s v="Outstanding"/>
    <s v="Medium"/>
    <x v="1"/>
    <s v="No_stock"/>
    <x v="1"/>
  </r>
  <r>
    <x v="13"/>
    <x v="1"/>
    <x v="0"/>
    <n v="937"/>
    <x v="0"/>
    <n v="1"/>
    <n v="3"/>
    <x v="3"/>
    <n v="1950"/>
    <n v="1"/>
    <x v="1"/>
    <n v="3"/>
    <n v="3"/>
    <x v="0"/>
    <n v="4"/>
    <s v="Single"/>
    <n v="9888"/>
    <n v="1"/>
    <x v="1"/>
    <n v="21"/>
    <n v="4"/>
    <n v="1"/>
    <n v="0"/>
    <n v="14"/>
    <n v="3"/>
    <n v="2"/>
    <n v="14"/>
    <n v="8"/>
    <n v="2"/>
    <n v="1"/>
    <s v="Bachelor"/>
    <s v="Low"/>
    <s v="High"/>
    <x v="2"/>
    <s v="Very High"/>
    <s v="Outstanding"/>
    <s v="Low"/>
    <x v="2"/>
    <s v="No_stock"/>
    <x v="0"/>
  </r>
  <r>
    <x v="13"/>
    <x v="1"/>
    <x v="0"/>
    <n v="1239"/>
    <x v="0"/>
    <n v="13"/>
    <n v="4"/>
    <x v="2"/>
    <n v="1951"/>
    <n v="4"/>
    <x v="1"/>
    <n v="3"/>
    <n v="3"/>
    <x v="0"/>
    <n v="3"/>
    <s v="Divorced"/>
    <n v="8628"/>
    <n v="1"/>
    <x v="1"/>
    <n v="18"/>
    <n v="3"/>
    <n v="3"/>
    <n v="1"/>
    <n v="9"/>
    <n v="2"/>
    <n v="2"/>
    <n v="8"/>
    <n v="7"/>
    <n v="1"/>
    <n v="1"/>
    <s v="Master"/>
    <s v="Very High"/>
    <s v="High"/>
    <x v="2"/>
    <s v="High"/>
    <s v="Excellent"/>
    <s v="High"/>
    <x v="2"/>
    <s v="Low"/>
    <x v="1"/>
  </r>
  <r>
    <x v="25"/>
    <x v="1"/>
    <x v="0"/>
    <n v="157"/>
    <x v="1"/>
    <n v="1"/>
    <n v="3"/>
    <x v="2"/>
    <n v="1952"/>
    <n v="3"/>
    <x v="1"/>
    <n v="3"/>
    <n v="1"/>
    <x v="2"/>
    <n v="1"/>
    <s v="Single"/>
    <n v="2867"/>
    <n v="0"/>
    <x v="1"/>
    <n v="13"/>
    <n v="3"/>
    <n v="4"/>
    <n v="0"/>
    <n v="8"/>
    <n v="6"/>
    <n v="2"/>
    <n v="7"/>
    <n v="7"/>
    <n v="7"/>
    <n v="6"/>
    <s v="Bachelor"/>
    <s v="High"/>
    <s v="High"/>
    <x v="1"/>
    <s v="Low"/>
    <s v="Excellent"/>
    <s v="Very High"/>
    <x v="2"/>
    <s v="No_stock"/>
    <x v="0"/>
  </r>
  <r>
    <x v="11"/>
    <x v="1"/>
    <x v="0"/>
    <n v="136"/>
    <x v="1"/>
    <n v="1"/>
    <n v="3"/>
    <x v="0"/>
    <n v="1954"/>
    <n v="1"/>
    <x v="1"/>
    <n v="3"/>
    <n v="2"/>
    <x v="4"/>
    <n v="1"/>
    <s v="Married"/>
    <n v="5373"/>
    <n v="0"/>
    <x v="1"/>
    <n v="12"/>
    <n v="3"/>
    <n v="1"/>
    <n v="1"/>
    <n v="6"/>
    <n v="5"/>
    <n v="2"/>
    <n v="5"/>
    <n v="3"/>
    <n v="0"/>
    <n v="2"/>
    <s v="Bachelor"/>
    <s v="Low"/>
    <s v="High"/>
    <x v="0"/>
    <s v="Low"/>
    <s v="Excellent"/>
    <s v="Low"/>
    <x v="2"/>
    <s v="Low"/>
    <x v="0"/>
  </r>
  <r>
    <x v="5"/>
    <x v="1"/>
    <x v="2"/>
    <n v="1146"/>
    <x v="1"/>
    <n v="15"/>
    <n v="4"/>
    <x v="2"/>
    <n v="1955"/>
    <n v="3"/>
    <x v="0"/>
    <n v="3"/>
    <n v="2"/>
    <x v="4"/>
    <n v="4"/>
    <s v="Divorced"/>
    <n v="6667"/>
    <n v="5"/>
    <x v="1"/>
    <n v="18"/>
    <n v="3"/>
    <n v="2"/>
    <n v="1"/>
    <n v="9"/>
    <n v="6"/>
    <n v="3"/>
    <n v="5"/>
    <n v="1"/>
    <n v="1"/>
    <n v="2"/>
    <s v="Master"/>
    <s v="High"/>
    <s v="High"/>
    <x v="0"/>
    <s v="Very High"/>
    <s v="Excellent"/>
    <s v="Medium"/>
    <x v="1"/>
    <s v="Low"/>
    <x v="1"/>
  </r>
  <r>
    <x v="12"/>
    <x v="1"/>
    <x v="1"/>
    <n v="1125"/>
    <x v="1"/>
    <n v="1"/>
    <n v="3"/>
    <x v="0"/>
    <n v="1956"/>
    <n v="4"/>
    <x v="1"/>
    <n v="1"/>
    <n v="2"/>
    <x v="1"/>
    <n v="1"/>
    <s v="Married"/>
    <n v="5003"/>
    <n v="1"/>
    <x v="1"/>
    <n v="21"/>
    <n v="4"/>
    <n v="2"/>
    <n v="0"/>
    <n v="10"/>
    <n v="6"/>
    <n v="3"/>
    <n v="10"/>
    <n v="8"/>
    <n v="8"/>
    <n v="7"/>
    <s v="Bachelor"/>
    <s v="Very High"/>
    <s v="Low"/>
    <x v="0"/>
    <s v="Low"/>
    <s v="Outstanding"/>
    <s v="Medium"/>
    <x v="1"/>
    <s v="No_stock"/>
    <x v="0"/>
  </r>
  <r>
    <x v="14"/>
    <x v="0"/>
    <x v="0"/>
    <n v="1404"/>
    <x v="1"/>
    <n v="17"/>
    <n v="3"/>
    <x v="4"/>
    <n v="1960"/>
    <n v="3"/>
    <x v="1"/>
    <n v="2"/>
    <n v="1"/>
    <x v="2"/>
    <n v="4"/>
    <s v="Divorced"/>
    <n v="2367"/>
    <n v="5"/>
    <x v="1"/>
    <n v="12"/>
    <n v="3"/>
    <n v="1"/>
    <n v="1"/>
    <n v="6"/>
    <n v="2"/>
    <n v="2"/>
    <n v="4"/>
    <n v="1"/>
    <n v="0"/>
    <n v="3"/>
    <s v="Bachelor"/>
    <s v="High"/>
    <s v="Medium"/>
    <x v="1"/>
    <s v="Very High"/>
    <s v="Excellent"/>
    <s v="Low"/>
    <x v="2"/>
    <s v="Low"/>
    <x v="2"/>
  </r>
  <r>
    <x v="8"/>
    <x v="1"/>
    <x v="0"/>
    <n v="1404"/>
    <x v="0"/>
    <n v="1"/>
    <n v="3"/>
    <x v="0"/>
    <n v="1961"/>
    <n v="1"/>
    <x v="1"/>
    <n v="2"/>
    <n v="1"/>
    <x v="6"/>
    <n v="1"/>
    <s v="Single"/>
    <n v="2858"/>
    <n v="4"/>
    <x v="1"/>
    <n v="14"/>
    <n v="3"/>
    <n v="1"/>
    <n v="0"/>
    <n v="20"/>
    <n v="3"/>
    <n v="2"/>
    <n v="1"/>
    <n v="0"/>
    <n v="0"/>
    <n v="0"/>
    <s v="Bachelor"/>
    <s v="Low"/>
    <s v="Medium"/>
    <x v="1"/>
    <s v="Low"/>
    <s v="Excellent"/>
    <s v="Low"/>
    <x v="2"/>
    <s v="No_stock"/>
    <x v="0"/>
  </r>
  <r>
    <x v="10"/>
    <x v="1"/>
    <x v="0"/>
    <n v="1224"/>
    <x v="0"/>
    <n v="7"/>
    <n v="4"/>
    <x v="0"/>
    <n v="1962"/>
    <n v="3"/>
    <x v="0"/>
    <n v="3"/>
    <n v="2"/>
    <x v="0"/>
    <n v="4"/>
    <s v="Married"/>
    <n v="5204"/>
    <n v="1"/>
    <x v="0"/>
    <n v="11"/>
    <n v="3"/>
    <n v="4"/>
    <n v="0"/>
    <n v="10"/>
    <n v="2"/>
    <n v="3"/>
    <n v="10"/>
    <n v="8"/>
    <n v="0"/>
    <n v="9"/>
    <s v="Master"/>
    <s v="High"/>
    <s v="High"/>
    <x v="0"/>
    <s v="Very High"/>
    <s v="Excellent"/>
    <s v="Very High"/>
    <x v="1"/>
    <s v="No_stock"/>
    <x v="1"/>
  </r>
  <r>
    <x v="4"/>
    <x v="1"/>
    <x v="0"/>
    <n v="954"/>
    <x v="0"/>
    <n v="9"/>
    <n v="3"/>
    <x v="3"/>
    <n v="1965"/>
    <n v="4"/>
    <x v="1"/>
    <n v="3"/>
    <n v="2"/>
    <x v="0"/>
    <n v="4"/>
    <s v="Single"/>
    <n v="4105"/>
    <n v="1"/>
    <x v="1"/>
    <n v="14"/>
    <n v="3"/>
    <n v="1"/>
    <n v="0"/>
    <n v="7"/>
    <n v="5"/>
    <n v="3"/>
    <n v="7"/>
    <n v="7"/>
    <n v="0"/>
    <n v="7"/>
    <s v="Bachelor"/>
    <s v="Very High"/>
    <s v="High"/>
    <x v="0"/>
    <s v="Very High"/>
    <s v="Excellent"/>
    <s v="Low"/>
    <x v="1"/>
    <s v="No_stock"/>
    <x v="1"/>
  </r>
  <r>
    <x v="5"/>
    <x v="1"/>
    <x v="0"/>
    <n v="1373"/>
    <x v="1"/>
    <n v="5"/>
    <n v="4"/>
    <x v="0"/>
    <n v="1966"/>
    <n v="4"/>
    <x v="1"/>
    <n v="2"/>
    <n v="2"/>
    <x v="3"/>
    <n v="4"/>
    <s v="Single"/>
    <n v="9679"/>
    <n v="8"/>
    <x v="1"/>
    <n v="24"/>
    <n v="4"/>
    <n v="2"/>
    <n v="0"/>
    <n v="8"/>
    <n v="1"/>
    <n v="3"/>
    <n v="1"/>
    <n v="0"/>
    <n v="0"/>
    <n v="0"/>
    <s v="Master"/>
    <s v="Very High"/>
    <s v="Medium"/>
    <x v="0"/>
    <s v="Very High"/>
    <s v="Outstanding"/>
    <s v="Medium"/>
    <x v="1"/>
    <s v="No_stock"/>
    <x v="0"/>
  </r>
  <r>
    <x v="12"/>
    <x v="0"/>
    <x v="1"/>
    <n v="754"/>
    <x v="0"/>
    <n v="26"/>
    <n v="4"/>
    <x v="3"/>
    <n v="1967"/>
    <n v="1"/>
    <x v="1"/>
    <n v="3"/>
    <n v="2"/>
    <x v="0"/>
    <n v="4"/>
    <s v="Married"/>
    <n v="5617"/>
    <n v="1"/>
    <x v="0"/>
    <n v="11"/>
    <n v="3"/>
    <n v="3"/>
    <n v="0"/>
    <n v="10"/>
    <n v="4"/>
    <n v="3"/>
    <n v="10"/>
    <n v="7"/>
    <n v="0"/>
    <n v="8"/>
    <s v="Master"/>
    <s v="Low"/>
    <s v="High"/>
    <x v="0"/>
    <s v="Very High"/>
    <s v="Excellent"/>
    <s v="High"/>
    <x v="1"/>
    <s v="No_stock"/>
    <x v="2"/>
  </r>
  <r>
    <x v="16"/>
    <x v="0"/>
    <x v="0"/>
    <n v="1168"/>
    <x v="0"/>
    <n v="24"/>
    <n v="4"/>
    <x v="0"/>
    <n v="1968"/>
    <n v="1"/>
    <x v="1"/>
    <n v="3"/>
    <n v="3"/>
    <x v="0"/>
    <n v="1"/>
    <s v="Single"/>
    <n v="10448"/>
    <n v="6"/>
    <x v="0"/>
    <n v="13"/>
    <n v="3"/>
    <n v="2"/>
    <n v="0"/>
    <n v="15"/>
    <n v="2"/>
    <n v="2"/>
    <n v="2"/>
    <n v="2"/>
    <n v="2"/>
    <n v="2"/>
    <s v="Master"/>
    <s v="Low"/>
    <s v="High"/>
    <x v="2"/>
    <s v="Low"/>
    <s v="Excellent"/>
    <s v="Medium"/>
    <x v="2"/>
    <s v="No_stock"/>
    <x v="2"/>
  </r>
  <r>
    <x v="33"/>
    <x v="1"/>
    <x v="0"/>
    <n v="155"/>
    <x v="1"/>
    <n v="9"/>
    <n v="2"/>
    <x v="0"/>
    <n v="1969"/>
    <n v="1"/>
    <x v="0"/>
    <n v="3"/>
    <n v="2"/>
    <x v="1"/>
    <n v="3"/>
    <s v="Married"/>
    <n v="2897"/>
    <n v="3"/>
    <x v="1"/>
    <n v="11"/>
    <n v="3"/>
    <n v="3"/>
    <n v="2"/>
    <n v="9"/>
    <n v="6"/>
    <n v="2"/>
    <n v="4"/>
    <n v="3"/>
    <n v="2"/>
    <n v="3"/>
    <s v="College"/>
    <s v="Low"/>
    <s v="High"/>
    <x v="0"/>
    <s v="High"/>
    <s v="Excellent"/>
    <s v="High"/>
    <x v="2"/>
    <s v="Medium"/>
    <x v="1"/>
  </r>
  <r>
    <x v="3"/>
    <x v="1"/>
    <x v="1"/>
    <n v="1303"/>
    <x v="1"/>
    <n v="7"/>
    <n v="2"/>
    <x v="0"/>
    <n v="1970"/>
    <n v="4"/>
    <x v="1"/>
    <n v="3"/>
    <n v="2"/>
    <x v="4"/>
    <n v="3"/>
    <s v="Divorced"/>
    <n v="5968"/>
    <n v="1"/>
    <x v="1"/>
    <n v="20"/>
    <n v="4"/>
    <n v="3"/>
    <n v="3"/>
    <n v="9"/>
    <n v="2"/>
    <n v="3"/>
    <n v="9"/>
    <n v="7"/>
    <n v="2"/>
    <n v="8"/>
    <s v="College"/>
    <s v="Very High"/>
    <s v="High"/>
    <x v="0"/>
    <s v="High"/>
    <s v="Outstanding"/>
    <s v="High"/>
    <x v="1"/>
    <s v="High"/>
    <x v="1"/>
  </r>
  <r>
    <x v="23"/>
    <x v="1"/>
    <x v="0"/>
    <n v="574"/>
    <x v="1"/>
    <n v="11"/>
    <n v="3"/>
    <x v="0"/>
    <n v="1971"/>
    <n v="1"/>
    <x v="1"/>
    <n v="3"/>
    <n v="3"/>
    <x v="4"/>
    <n v="3"/>
    <s v="Married"/>
    <n v="7510"/>
    <n v="1"/>
    <x v="1"/>
    <n v="17"/>
    <n v="3"/>
    <n v="2"/>
    <n v="1"/>
    <n v="10"/>
    <n v="1"/>
    <n v="3"/>
    <n v="10"/>
    <n v="9"/>
    <n v="0"/>
    <n v="9"/>
    <s v="Bachelor"/>
    <s v="Low"/>
    <s v="High"/>
    <x v="2"/>
    <s v="High"/>
    <s v="Excellent"/>
    <s v="Medium"/>
    <x v="1"/>
    <s v="Low"/>
    <x v="1"/>
  </r>
  <r>
    <x v="8"/>
    <x v="1"/>
    <x v="1"/>
    <n v="1444"/>
    <x v="2"/>
    <n v="1"/>
    <n v="4"/>
    <x v="1"/>
    <n v="1972"/>
    <n v="4"/>
    <x v="1"/>
    <n v="3"/>
    <n v="1"/>
    <x v="8"/>
    <n v="2"/>
    <s v="Married"/>
    <n v="2991"/>
    <n v="0"/>
    <x v="0"/>
    <n v="11"/>
    <n v="3"/>
    <n v="2"/>
    <n v="1"/>
    <n v="7"/>
    <n v="2"/>
    <n v="3"/>
    <n v="6"/>
    <n v="2"/>
    <n v="1"/>
    <n v="2"/>
    <s v="Master"/>
    <s v="Very High"/>
    <s v="High"/>
    <x v="1"/>
    <s v="Medium"/>
    <s v="Excellent"/>
    <s v="Medium"/>
    <x v="1"/>
    <s v="Low"/>
    <x v="0"/>
  </r>
  <r>
    <x v="27"/>
    <x v="1"/>
    <x v="0"/>
    <n v="189"/>
    <x v="2"/>
    <n v="26"/>
    <n v="4"/>
    <x v="5"/>
    <n v="1973"/>
    <n v="3"/>
    <x v="1"/>
    <n v="4"/>
    <n v="5"/>
    <x v="5"/>
    <n v="2"/>
    <s v="Married"/>
    <n v="19636"/>
    <n v="4"/>
    <x v="0"/>
    <n v="18"/>
    <n v="3"/>
    <n v="1"/>
    <n v="1"/>
    <n v="35"/>
    <n v="0"/>
    <n v="3"/>
    <n v="10"/>
    <n v="9"/>
    <n v="1"/>
    <n v="4"/>
    <s v="Master"/>
    <s v="High"/>
    <s v="Very High"/>
    <x v="4"/>
    <s v="Medium"/>
    <s v="Excellent"/>
    <s v="Low"/>
    <x v="1"/>
    <s v="Low"/>
    <x v="2"/>
  </r>
  <r>
    <x v="12"/>
    <x v="1"/>
    <x v="0"/>
    <n v="1276"/>
    <x v="1"/>
    <n v="2"/>
    <n v="1"/>
    <x v="2"/>
    <n v="1974"/>
    <n v="4"/>
    <x v="0"/>
    <n v="1"/>
    <n v="1"/>
    <x v="2"/>
    <n v="4"/>
    <s v="Divorced"/>
    <n v="1129"/>
    <n v="1"/>
    <x v="0"/>
    <n v="11"/>
    <n v="3"/>
    <n v="3"/>
    <n v="3"/>
    <n v="1"/>
    <n v="4"/>
    <n v="3"/>
    <n v="1"/>
    <n v="0"/>
    <n v="0"/>
    <n v="0"/>
    <s v="Before College"/>
    <s v="Very High"/>
    <s v="Low"/>
    <x v="1"/>
    <s v="Very High"/>
    <s v="Excellent"/>
    <s v="High"/>
    <x v="1"/>
    <s v="High"/>
    <x v="0"/>
  </r>
  <r>
    <x v="22"/>
    <x v="1"/>
    <x v="0"/>
    <n v="119"/>
    <x v="0"/>
    <n v="15"/>
    <n v="4"/>
    <x v="3"/>
    <n v="1975"/>
    <n v="2"/>
    <x v="1"/>
    <n v="3"/>
    <n v="4"/>
    <x v="0"/>
    <n v="1"/>
    <s v="Single"/>
    <n v="13341"/>
    <n v="0"/>
    <x v="1"/>
    <n v="12"/>
    <n v="3"/>
    <n v="1"/>
    <n v="0"/>
    <n v="21"/>
    <n v="3"/>
    <n v="3"/>
    <n v="20"/>
    <n v="8"/>
    <n v="11"/>
    <n v="10"/>
    <s v="Master"/>
    <s v="Medium"/>
    <s v="High"/>
    <x v="3"/>
    <s v="Low"/>
    <s v="Excellent"/>
    <s v="Low"/>
    <x v="1"/>
    <s v="No_stock"/>
    <x v="1"/>
  </r>
  <r>
    <x v="19"/>
    <x v="1"/>
    <x v="2"/>
    <n v="335"/>
    <x v="1"/>
    <n v="23"/>
    <n v="2"/>
    <x v="0"/>
    <n v="1976"/>
    <n v="4"/>
    <x v="1"/>
    <n v="2"/>
    <n v="2"/>
    <x v="1"/>
    <n v="3"/>
    <s v="Single"/>
    <n v="4332"/>
    <n v="1"/>
    <x v="1"/>
    <n v="12"/>
    <n v="3"/>
    <n v="4"/>
    <n v="0"/>
    <n v="20"/>
    <n v="2"/>
    <n v="3"/>
    <n v="20"/>
    <n v="9"/>
    <n v="3"/>
    <n v="7"/>
    <s v="College"/>
    <s v="Very High"/>
    <s v="Medium"/>
    <x v="0"/>
    <s v="High"/>
    <s v="Excellent"/>
    <s v="Very High"/>
    <x v="1"/>
    <s v="No_stock"/>
    <x v="2"/>
  </r>
  <r>
    <x v="12"/>
    <x v="1"/>
    <x v="2"/>
    <n v="697"/>
    <x v="1"/>
    <n v="10"/>
    <n v="3"/>
    <x v="2"/>
    <n v="1979"/>
    <n v="3"/>
    <x v="0"/>
    <n v="3"/>
    <n v="3"/>
    <x v="7"/>
    <n v="3"/>
    <s v="Married"/>
    <n v="11031"/>
    <n v="4"/>
    <x v="1"/>
    <n v="20"/>
    <n v="4"/>
    <n v="3"/>
    <n v="1"/>
    <n v="13"/>
    <n v="2"/>
    <n v="4"/>
    <n v="11"/>
    <n v="7"/>
    <n v="4"/>
    <n v="8"/>
    <s v="Bachelor"/>
    <s v="High"/>
    <s v="High"/>
    <x v="2"/>
    <s v="High"/>
    <s v="Outstanding"/>
    <s v="High"/>
    <x v="3"/>
    <s v="Low"/>
    <x v="1"/>
  </r>
  <r>
    <x v="33"/>
    <x v="1"/>
    <x v="0"/>
    <n v="157"/>
    <x v="1"/>
    <n v="10"/>
    <n v="3"/>
    <x v="2"/>
    <n v="1980"/>
    <n v="3"/>
    <x v="0"/>
    <n v="3"/>
    <n v="2"/>
    <x v="3"/>
    <n v="1"/>
    <s v="Single"/>
    <n v="4440"/>
    <n v="6"/>
    <x v="0"/>
    <n v="19"/>
    <n v="3"/>
    <n v="4"/>
    <n v="0"/>
    <n v="9"/>
    <n v="3"/>
    <n v="3"/>
    <n v="5"/>
    <n v="2"/>
    <n v="1"/>
    <n v="4"/>
    <s v="Bachelor"/>
    <s v="High"/>
    <s v="High"/>
    <x v="0"/>
    <s v="Low"/>
    <s v="Excellent"/>
    <s v="Very High"/>
    <x v="1"/>
    <s v="No_stock"/>
    <x v="1"/>
  </r>
  <r>
    <x v="17"/>
    <x v="1"/>
    <x v="0"/>
    <n v="771"/>
    <x v="1"/>
    <n v="1"/>
    <n v="2"/>
    <x v="0"/>
    <n v="1981"/>
    <n v="2"/>
    <x v="1"/>
    <n v="2"/>
    <n v="2"/>
    <x v="4"/>
    <n v="3"/>
    <s v="Single"/>
    <n v="4617"/>
    <n v="1"/>
    <x v="1"/>
    <n v="12"/>
    <n v="3"/>
    <n v="2"/>
    <n v="0"/>
    <n v="4"/>
    <n v="2"/>
    <n v="2"/>
    <n v="4"/>
    <n v="3"/>
    <n v="1"/>
    <n v="2"/>
    <s v="College"/>
    <s v="Medium"/>
    <s v="Medium"/>
    <x v="0"/>
    <s v="High"/>
    <s v="Excellent"/>
    <s v="Medium"/>
    <x v="2"/>
    <s v="No_stock"/>
    <x v="0"/>
  </r>
  <r>
    <x v="30"/>
    <x v="1"/>
    <x v="0"/>
    <n v="571"/>
    <x v="1"/>
    <n v="12"/>
    <n v="2"/>
    <x v="1"/>
    <n v="1982"/>
    <n v="4"/>
    <x v="1"/>
    <n v="3"/>
    <n v="1"/>
    <x v="2"/>
    <n v="4"/>
    <s v="Single"/>
    <n v="2647"/>
    <n v="1"/>
    <x v="1"/>
    <n v="13"/>
    <n v="3"/>
    <n v="3"/>
    <n v="0"/>
    <n v="5"/>
    <n v="6"/>
    <n v="4"/>
    <n v="5"/>
    <n v="2"/>
    <n v="1"/>
    <n v="4"/>
    <s v="College"/>
    <s v="Very High"/>
    <s v="High"/>
    <x v="1"/>
    <s v="Very High"/>
    <s v="Excellent"/>
    <s v="High"/>
    <x v="3"/>
    <s v="No_stock"/>
    <x v="1"/>
  </r>
  <r>
    <x v="32"/>
    <x v="1"/>
    <x v="1"/>
    <n v="692"/>
    <x v="1"/>
    <n v="11"/>
    <n v="3"/>
    <x v="4"/>
    <n v="1985"/>
    <n v="4"/>
    <x v="0"/>
    <n v="3"/>
    <n v="2"/>
    <x v="2"/>
    <n v="3"/>
    <s v="Married"/>
    <n v="6323"/>
    <n v="1"/>
    <x v="1"/>
    <n v="11"/>
    <n v="3"/>
    <n v="1"/>
    <n v="1"/>
    <n v="10"/>
    <n v="2"/>
    <n v="4"/>
    <n v="10"/>
    <n v="9"/>
    <n v="9"/>
    <n v="4"/>
    <s v="Bachelor"/>
    <s v="Very High"/>
    <s v="High"/>
    <x v="0"/>
    <s v="High"/>
    <s v="Excellent"/>
    <s v="Low"/>
    <x v="3"/>
    <s v="Low"/>
    <x v="1"/>
  </r>
  <r>
    <x v="32"/>
    <x v="1"/>
    <x v="0"/>
    <n v="444"/>
    <x v="0"/>
    <n v="2"/>
    <n v="2"/>
    <x v="3"/>
    <n v="1986"/>
    <n v="2"/>
    <x v="0"/>
    <n v="3"/>
    <n v="2"/>
    <x v="0"/>
    <n v="2"/>
    <s v="Married"/>
    <n v="5677"/>
    <n v="3"/>
    <x v="1"/>
    <n v="14"/>
    <n v="3"/>
    <n v="3"/>
    <n v="1"/>
    <n v="15"/>
    <n v="4"/>
    <n v="3"/>
    <n v="11"/>
    <n v="8"/>
    <n v="5"/>
    <n v="10"/>
    <s v="College"/>
    <s v="Medium"/>
    <s v="High"/>
    <x v="0"/>
    <s v="Medium"/>
    <s v="Excellent"/>
    <s v="High"/>
    <x v="1"/>
    <s v="Low"/>
    <x v="0"/>
  </r>
  <r>
    <x v="36"/>
    <x v="1"/>
    <x v="0"/>
    <n v="309"/>
    <x v="2"/>
    <n v="2"/>
    <n v="3"/>
    <x v="5"/>
    <n v="1987"/>
    <n v="3"/>
    <x v="0"/>
    <n v="3"/>
    <n v="1"/>
    <x v="8"/>
    <n v="2"/>
    <s v="Married"/>
    <n v="2187"/>
    <n v="4"/>
    <x v="1"/>
    <n v="14"/>
    <n v="3"/>
    <n v="3"/>
    <n v="0"/>
    <n v="6"/>
    <n v="3"/>
    <n v="3"/>
    <n v="2"/>
    <n v="0"/>
    <n v="1"/>
    <n v="2"/>
    <s v="Bachelor"/>
    <s v="High"/>
    <s v="High"/>
    <x v="1"/>
    <s v="Medium"/>
    <s v="Excellent"/>
    <s v="High"/>
    <x v="1"/>
    <s v="No_stock"/>
    <x v="0"/>
  </r>
  <r>
    <x v="7"/>
    <x v="1"/>
    <x v="0"/>
    <n v="911"/>
    <x v="1"/>
    <n v="1"/>
    <n v="2"/>
    <x v="2"/>
    <n v="1989"/>
    <n v="4"/>
    <x v="1"/>
    <n v="3"/>
    <n v="1"/>
    <x v="2"/>
    <n v="2"/>
    <s v="Married"/>
    <n v="3748"/>
    <n v="1"/>
    <x v="1"/>
    <n v="13"/>
    <n v="3"/>
    <n v="3"/>
    <n v="0"/>
    <n v="12"/>
    <n v="6"/>
    <n v="2"/>
    <n v="12"/>
    <n v="8"/>
    <n v="1"/>
    <n v="7"/>
    <s v="College"/>
    <s v="Very High"/>
    <s v="High"/>
    <x v="1"/>
    <s v="Medium"/>
    <s v="Excellent"/>
    <s v="High"/>
    <x v="2"/>
    <s v="No_stock"/>
    <x v="0"/>
  </r>
  <r>
    <x v="36"/>
    <x v="1"/>
    <x v="0"/>
    <n v="977"/>
    <x v="1"/>
    <n v="2"/>
    <n v="1"/>
    <x v="1"/>
    <n v="1992"/>
    <n v="4"/>
    <x v="1"/>
    <n v="3"/>
    <n v="1"/>
    <x v="2"/>
    <n v="3"/>
    <s v="Divorced"/>
    <n v="3977"/>
    <n v="6"/>
    <x v="0"/>
    <n v="19"/>
    <n v="3"/>
    <n v="3"/>
    <n v="1"/>
    <n v="7"/>
    <n v="2"/>
    <n v="2"/>
    <n v="2"/>
    <n v="2"/>
    <n v="0"/>
    <n v="2"/>
    <s v="Before College"/>
    <s v="Very High"/>
    <s v="High"/>
    <x v="1"/>
    <s v="High"/>
    <s v="Excellent"/>
    <s v="High"/>
    <x v="2"/>
    <s v="Low"/>
    <x v="0"/>
  </r>
  <r>
    <x v="40"/>
    <x v="1"/>
    <x v="0"/>
    <n v="1180"/>
    <x v="1"/>
    <n v="25"/>
    <n v="3"/>
    <x v="2"/>
    <n v="1993"/>
    <n v="1"/>
    <x v="1"/>
    <n v="3"/>
    <n v="3"/>
    <x v="4"/>
    <n v="3"/>
    <s v="Single"/>
    <n v="8633"/>
    <n v="2"/>
    <x v="1"/>
    <n v="23"/>
    <n v="4"/>
    <n v="2"/>
    <n v="0"/>
    <n v="25"/>
    <n v="3"/>
    <n v="3"/>
    <n v="17"/>
    <n v="14"/>
    <n v="12"/>
    <n v="11"/>
    <s v="Bachelor"/>
    <s v="Low"/>
    <s v="High"/>
    <x v="2"/>
    <s v="High"/>
    <s v="Outstanding"/>
    <s v="Medium"/>
    <x v="1"/>
    <s v="No_stock"/>
    <x v="2"/>
  </r>
  <r>
    <x v="3"/>
    <x v="1"/>
    <x v="2"/>
    <n v="1313"/>
    <x v="1"/>
    <n v="1"/>
    <n v="2"/>
    <x v="2"/>
    <n v="1994"/>
    <n v="2"/>
    <x v="1"/>
    <n v="2"/>
    <n v="1"/>
    <x v="2"/>
    <n v="3"/>
    <s v="Divorced"/>
    <n v="2008"/>
    <n v="1"/>
    <x v="1"/>
    <n v="12"/>
    <n v="3"/>
    <n v="3"/>
    <n v="3"/>
    <n v="1"/>
    <n v="2"/>
    <n v="2"/>
    <n v="1"/>
    <n v="1"/>
    <n v="0"/>
    <n v="0"/>
    <s v="College"/>
    <s v="Medium"/>
    <s v="Medium"/>
    <x v="1"/>
    <s v="High"/>
    <s v="Excellent"/>
    <s v="High"/>
    <x v="2"/>
    <s v="High"/>
    <x v="0"/>
  </r>
  <r>
    <x v="8"/>
    <x v="1"/>
    <x v="0"/>
    <n v="1321"/>
    <x v="0"/>
    <n v="1"/>
    <n v="4"/>
    <x v="0"/>
    <n v="1995"/>
    <n v="4"/>
    <x v="1"/>
    <n v="3"/>
    <n v="2"/>
    <x v="0"/>
    <n v="2"/>
    <s v="Married"/>
    <n v="4440"/>
    <n v="0"/>
    <x v="1"/>
    <n v="15"/>
    <n v="3"/>
    <n v="1"/>
    <n v="2"/>
    <n v="16"/>
    <n v="3"/>
    <n v="3"/>
    <n v="15"/>
    <n v="13"/>
    <n v="5"/>
    <n v="8"/>
    <s v="Master"/>
    <s v="Very High"/>
    <s v="High"/>
    <x v="0"/>
    <s v="Medium"/>
    <s v="Excellent"/>
    <s v="Low"/>
    <x v="1"/>
    <s v="Medium"/>
    <x v="0"/>
  </r>
  <r>
    <x v="12"/>
    <x v="1"/>
    <x v="0"/>
    <n v="1154"/>
    <x v="0"/>
    <n v="2"/>
    <n v="2"/>
    <x v="0"/>
    <n v="1996"/>
    <n v="1"/>
    <x v="1"/>
    <n v="3"/>
    <n v="1"/>
    <x v="6"/>
    <n v="3"/>
    <s v="Married"/>
    <n v="3067"/>
    <n v="0"/>
    <x v="1"/>
    <n v="19"/>
    <n v="3"/>
    <n v="3"/>
    <n v="1"/>
    <n v="3"/>
    <n v="1"/>
    <n v="3"/>
    <n v="2"/>
    <n v="2"/>
    <n v="1"/>
    <n v="2"/>
    <s v="College"/>
    <s v="Low"/>
    <s v="High"/>
    <x v="1"/>
    <s v="High"/>
    <s v="Excellent"/>
    <s v="High"/>
    <x v="1"/>
    <s v="Low"/>
    <x v="0"/>
  </r>
  <r>
    <x v="8"/>
    <x v="1"/>
    <x v="1"/>
    <n v="508"/>
    <x v="1"/>
    <n v="6"/>
    <n v="4"/>
    <x v="0"/>
    <n v="1997"/>
    <n v="1"/>
    <x v="1"/>
    <n v="2"/>
    <n v="2"/>
    <x v="3"/>
    <n v="3"/>
    <s v="Married"/>
    <n v="5321"/>
    <n v="2"/>
    <x v="1"/>
    <n v="11"/>
    <n v="3"/>
    <n v="4"/>
    <n v="1"/>
    <n v="10"/>
    <n v="1"/>
    <n v="3"/>
    <n v="8"/>
    <n v="3"/>
    <n v="7"/>
    <n v="7"/>
    <s v="Master"/>
    <s v="Low"/>
    <s v="Medium"/>
    <x v="0"/>
    <s v="High"/>
    <s v="Excellent"/>
    <s v="Very High"/>
    <x v="1"/>
    <s v="Low"/>
    <x v="1"/>
  </r>
  <r>
    <x v="19"/>
    <x v="1"/>
    <x v="0"/>
    <n v="557"/>
    <x v="1"/>
    <n v="18"/>
    <n v="4"/>
    <x v="0"/>
    <n v="1998"/>
    <n v="4"/>
    <x v="1"/>
    <n v="3"/>
    <n v="2"/>
    <x v="1"/>
    <n v="1"/>
    <s v="Divorced"/>
    <n v="5410"/>
    <n v="6"/>
    <x v="0"/>
    <n v="17"/>
    <n v="3"/>
    <n v="3"/>
    <n v="1"/>
    <n v="9"/>
    <n v="3"/>
    <n v="2"/>
    <n v="4"/>
    <n v="3"/>
    <n v="1"/>
    <n v="2"/>
    <s v="Master"/>
    <s v="Very High"/>
    <s v="High"/>
    <x v="0"/>
    <s v="Low"/>
    <s v="Excellent"/>
    <s v="High"/>
    <x v="2"/>
    <s v="Low"/>
    <x v="2"/>
  </r>
  <r>
    <x v="0"/>
    <x v="1"/>
    <x v="0"/>
    <n v="642"/>
    <x v="1"/>
    <n v="1"/>
    <n v="3"/>
    <x v="0"/>
    <n v="1999"/>
    <n v="4"/>
    <x v="1"/>
    <n v="3"/>
    <n v="1"/>
    <x v="1"/>
    <n v="4"/>
    <s v="Married"/>
    <n v="2782"/>
    <n v="3"/>
    <x v="1"/>
    <n v="22"/>
    <n v="4"/>
    <n v="1"/>
    <n v="1"/>
    <n v="12"/>
    <n v="3"/>
    <n v="3"/>
    <n v="5"/>
    <n v="3"/>
    <n v="1"/>
    <n v="0"/>
    <s v="Bachelor"/>
    <s v="Very High"/>
    <s v="High"/>
    <x v="1"/>
    <s v="Very High"/>
    <s v="Outstanding"/>
    <s v="Low"/>
    <x v="1"/>
    <s v="Low"/>
    <x v="0"/>
  </r>
  <r>
    <x v="40"/>
    <x v="1"/>
    <x v="2"/>
    <n v="1162"/>
    <x v="1"/>
    <n v="1"/>
    <n v="1"/>
    <x v="2"/>
    <n v="2000"/>
    <n v="3"/>
    <x v="0"/>
    <n v="3"/>
    <n v="3"/>
    <x v="7"/>
    <n v="2"/>
    <s v="Married"/>
    <n v="11957"/>
    <n v="0"/>
    <x v="1"/>
    <n v="18"/>
    <n v="3"/>
    <n v="1"/>
    <n v="2"/>
    <n v="14"/>
    <n v="3"/>
    <n v="1"/>
    <n v="13"/>
    <n v="8"/>
    <n v="5"/>
    <n v="12"/>
    <s v="Before College"/>
    <s v="High"/>
    <s v="High"/>
    <x v="2"/>
    <s v="Medium"/>
    <s v="Excellent"/>
    <s v="Low"/>
    <x v="0"/>
    <s v="Medium"/>
    <x v="0"/>
  </r>
  <r>
    <x v="10"/>
    <x v="1"/>
    <x v="0"/>
    <n v="1490"/>
    <x v="1"/>
    <n v="11"/>
    <n v="4"/>
    <x v="2"/>
    <n v="2003"/>
    <n v="4"/>
    <x v="1"/>
    <n v="3"/>
    <n v="1"/>
    <x v="2"/>
    <n v="3"/>
    <s v="Married"/>
    <n v="2660"/>
    <n v="7"/>
    <x v="0"/>
    <n v="11"/>
    <n v="3"/>
    <n v="3"/>
    <n v="1"/>
    <n v="5"/>
    <n v="3"/>
    <n v="3"/>
    <n v="2"/>
    <n v="2"/>
    <n v="2"/>
    <n v="2"/>
    <s v="Master"/>
    <s v="Very High"/>
    <s v="High"/>
    <x v="1"/>
    <s v="High"/>
    <s v="Excellent"/>
    <s v="High"/>
    <x v="1"/>
    <s v="Low"/>
    <x v="1"/>
  </r>
  <r>
    <x v="15"/>
    <x v="1"/>
    <x v="0"/>
    <n v="581"/>
    <x v="1"/>
    <n v="1"/>
    <n v="2"/>
    <x v="0"/>
    <n v="2007"/>
    <n v="4"/>
    <x v="1"/>
    <n v="3"/>
    <n v="1"/>
    <x v="1"/>
    <n v="3"/>
    <s v="Single"/>
    <n v="3375"/>
    <n v="0"/>
    <x v="1"/>
    <n v="12"/>
    <n v="3"/>
    <n v="4"/>
    <n v="0"/>
    <n v="4"/>
    <n v="2"/>
    <n v="4"/>
    <n v="3"/>
    <n v="2"/>
    <n v="1"/>
    <n v="2"/>
    <s v="College"/>
    <s v="Very High"/>
    <s v="High"/>
    <x v="1"/>
    <s v="High"/>
    <s v="Excellent"/>
    <s v="Very High"/>
    <x v="3"/>
    <s v="No_stock"/>
    <x v="0"/>
  </r>
  <r>
    <x v="10"/>
    <x v="1"/>
    <x v="0"/>
    <n v="1395"/>
    <x v="1"/>
    <n v="9"/>
    <n v="4"/>
    <x v="2"/>
    <n v="2008"/>
    <n v="2"/>
    <x v="1"/>
    <n v="3"/>
    <n v="2"/>
    <x v="1"/>
    <n v="3"/>
    <s v="Single"/>
    <n v="5098"/>
    <n v="1"/>
    <x v="1"/>
    <n v="19"/>
    <n v="3"/>
    <n v="2"/>
    <n v="0"/>
    <n v="10"/>
    <n v="5"/>
    <n v="3"/>
    <n v="10"/>
    <n v="7"/>
    <n v="0"/>
    <n v="8"/>
    <s v="Master"/>
    <s v="Medium"/>
    <s v="High"/>
    <x v="0"/>
    <s v="High"/>
    <s v="Excellent"/>
    <s v="Medium"/>
    <x v="1"/>
    <s v="No_stock"/>
    <x v="1"/>
  </r>
  <r>
    <x v="3"/>
    <x v="1"/>
    <x v="0"/>
    <n v="501"/>
    <x v="1"/>
    <n v="15"/>
    <n v="2"/>
    <x v="2"/>
    <n v="2009"/>
    <n v="2"/>
    <x v="0"/>
    <n v="3"/>
    <n v="2"/>
    <x v="4"/>
    <n v="4"/>
    <s v="Married"/>
    <n v="4878"/>
    <n v="0"/>
    <x v="0"/>
    <n v="13"/>
    <n v="3"/>
    <n v="1"/>
    <n v="1"/>
    <n v="10"/>
    <n v="6"/>
    <n v="3"/>
    <n v="9"/>
    <n v="7"/>
    <n v="8"/>
    <n v="1"/>
    <s v="College"/>
    <s v="Medium"/>
    <s v="High"/>
    <x v="0"/>
    <s v="Very High"/>
    <s v="Excellent"/>
    <s v="Low"/>
    <x v="1"/>
    <s v="Low"/>
    <x v="1"/>
  </r>
  <r>
    <x v="5"/>
    <x v="1"/>
    <x v="0"/>
    <n v="267"/>
    <x v="1"/>
    <n v="29"/>
    <n v="4"/>
    <x v="0"/>
    <n v="2010"/>
    <n v="3"/>
    <x v="0"/>
    <n v="2"/>
    <n v="1"/>
    <x v="2"/>
    <n v="2"/>
    <s v="Single"/>
    <n v="2837"/>
    <n v="1"/>
    <x v="1"/>
    <n v="13"/>
    <n v="3"/>
    <n v="3"/>
    <n v="0"/>
    <n v="6"/>
    <n v="3"/>
    <n v="3"/>
    <n v="6"/>
    <n v="2"/>
    <n v="4"/>
    <n v="1"/>
    <s v="Master"/>
    <s v="High"/>
    <s v="Medium"/>
    <x v="1"/>
    <s v="Medium"/>
    <s v="Excellent"/>
    <s v="High"/>
    <x v="1"/>
    <s v="No_stock"/>
    <x v="2"/>
  </r>
  <r>
    <x v="32"/>
    <x v="1"/>
    <x v="0"/>
    <n v="543"/>
    <x v="1"/>
    <n v="1"/>
    <n v="4"/>
    <x v="0"/>
    <n v="2012"/>
    <n v="1"/>
    <x v="1"/>
    <n v="3"/>
    <n v="1"/>
    <x v="2"/>
    <n v="4"/>
    <s v="Married"/>
    <n v="2406"/>
    <n v="8"/>
    <x v="1"/>
    <n v="19"/>
    <n v="3"/>
    <n v="3"/>
    <n v="2"/>
    <n v="8"/>
    <n v="3"/>
    <n v="2"/>
    <n v="1"/>
    <n v="0"/>
    <n v="0"/>
    <n v="0"/>
    <s v="Master"/>
    <s v="Low"/>
    <s v="High"/>
    <x v="1"/>
    <s v="Very High"/>
    <s v="Excellent"/>
    <s v="High"/>
    <x v="2"/>
    <s v="Medium"/>
    <x v="0"/>
  </r>
  <r>
    <x v="5"/>
    <x v="1"/>
    <x v="0"/>
    <n v="234"/>
    <x v="0"/>
    <n v="1"/>
    <n v="4"/>
    <x v="2"/>
    <n v="2013"/>
    <n v="2"/>
    <x v="1"/>
    <n v="2"/>
    <n v="1"/>
    <x v="6"/>
    <n v="2"/>
    <s v="Married"/>
    <n v="2269"/>
    <n v="0"/>
    <x v="1"/>
    <n v="14"/>
    <n v="3"/>
    <n v="2"/>
    <n v="1"/>
    <n v="3"/>
    <n v="2"/>
    <n v="3"/>
    <n v="2"/>
    <n v="2"/>
    <n v="2"/>
    <n v="2"/>
    <s v="Master"/>
    <s v="Medium"/>
    <s v="Medium"/>
    <x v="1"/>
    <s v="Medium"/>
    <s v="Excellent"/>
    <s v="Medium"/>
    <x v="1"/>
    <s v="Low"/>
    <x v="0"/>
  </r>
  <r>
    <x v="22"/>
    <x v="1"/>
    <x v="0"/>
    <n v="116"/>
    <x v="1"/>
    <n v="24"/>
    <n v="1"/>
    <x v="0"/>
    <n v="2014"/>
    <n v="1"/>
    <x v="1"/>
    <n v="3"/>
    <n v="2"/>
    <x v="1"/>
    <n v="4"/>
    <s v="Single"/>
    <n v="4108"/>
    <n v="7"/>
    <x v="1"/>
    <n v="13"/>
    <n v="3"/>
    <n v="1"/>
    <n v="0"/>
    <n v="18"/>
    <n v="2"/>
    <n v="3"/>
    <n v="7"/>
    <n v="7"/>
    <n v="1"/>
    <n v="7"/>
    <s v="Before College"/>
    <s v="Low"/>
    <s v="High"/>
    <x v="0"/>
    <s v="Very High"/>
    <s v="Excellent"/>
    <s v="Low"/>
    <x v="1"/>
    <s v="No_stock"/>
    <x v="2"/>
  </r>
  <r>
    <x v="8"/>
    <x v="1"/>
    <x v="0"/>
    <n v="201"/>
    <x v="1"/>
    <n v="10"/>
    <n v="3"/>
    <x v="2"/>
    <n v="2015"/>
    <n v="2"/>
    <x v="0"/>
    <n v="1"/>
    <n v="3"/>
    <x v="7"/>
    <n v="3"/>
    <s v="Married"/>
    <n v="13206"/>
    <n v="3"/>
    <x v="1"/>
    <n v="12"/>
    <n v="3"/>
    <n v="1"/>
    <n v="1"/>
    <n v="20"/>
    <n v="3"/>
    <n v="3"/>
    <n v="18"/>
    <n v="16"/>
    <n v="1"/>
    <n v="11"/>
    <s v="Bachelor"/>
    <s v="Medium"/>
    <s v="Low"/>
    <x v="2"/>
    <s v="High"/>
    <s v="Excellent"/>
    <s v="Low"/>
    <x v="1"/>
    <s v="Low"/>
    <x v="1"/>
  </r>
  <r>
    <x v="5"/>
    <x v="1"/>
    <x v="0"/>
    <n v="801"/>
    <x v="0"/>
    <n v="1"/>
    <n v="4"/>
    <x v="3"/>
    <n v="2016"/>
    <n v="3"/>
    <x v="0"/>
    <n v="3"/>
    <n v="3"/>
    <x v="0"/>
    <n v="4"/>
    <s v="Married"/>
    <n v="10422"/>
    <n v="1"/>
    <x v="1"/>
    <n v="19"/>
    <n v="3"/>
    <n v="3"/>
    <n v="2"/>
    <n v="14"/>
    <n v="3"/>
    <n v="3"/>
    <n v="14"/>
    <n v="10"/>
    <n v="5"/>
    <n v="7"/>
    <s v="Master"/>
    <s v="High"/>
    <s v="High"/>
    <x v="2"/>
    <s v="Very High"/>
    <s v="Excellent"/>
    <s v="High"/>
    <x v="1"/>
    <s v="Medium"/>
    <x v="0"/>
  </r>
  <r>
    <x v="2"/>
    <x v="1"/>
    <x v="0"/>
    <n v="161"/>
    <x v="1"/>
    <n v="10"/>
    <n v="3"/>
    <x v="0"/>
    <n v="2017"/>
    <n v="3"/>
    <x v="0"/>
    <n v="4"/>
    <n v="3"/>
    <x v="7"/>
    <n v="4"/>
    <s v="Married"/>
    <n v="13744"/>
    <n v="1"/>
    <x v="0"/>
    <n v="25"/>
    <n v="4"/>
    <n v="1"/>
    <n v="1"/>
    <n v="16"/>
    <n v="2"/>
    <n v="3"/>
    <n v="16"/>
    <n v="11"/>
    <n v="6"/>
    <n v="8"/>
    <s v="Bachelor"/>
    <s v="High"/>
    <s v="Very High"/>
    <x v="2"/>
    <s v="Very High"/>
    <s v="Outstanding"/>
    <s v="Low"/>
    <x v="1"/>
    <s v="Low"/>
    <x v="1"/>
  </r>
  <r>
    <x v="36"/>
    <x v="1"/>
    <x v="0"/>
    <n v="1382"/>
    <x v="0"/>
    <n v="8"/>
    <n v="2"/>
    <x v="1"/>
    <n v="2018"/>
    <n v="1"/>
    <x v="0"/>
    <n v="3"/>
    <n v="2"/>
    <x v="0"/>
    <n v="3"/>
    <s v="Divorced"/>
    <n v="4907"/>
    <n v="0"/>
    <x v="0"/>
    <n v="22"/>
    <n v="4"/>
    <n v="2"/>
    <n v="1"/>
    <n v="6"/>
    <n v="3"/>
    <n v="2"/>
    <n v="5"/>
    <n v="3"/>
    <n v="0"/>
    <n v="4"/>
    <s v="College"/>
    <s v="Low"/>
    <s v="High"/>
    <x v="0"/>
    <s v="High"/>
    <s v="Outstanding"/>
    <s v="Medium"/>
    <x v="2"/>
    <s v="Low"/>
    <x v="1"/>
  </r>
  <r>
    <x v="39"/>
    <x v="1"/>
    <x v="2"/>
    <n v="585"/>
    <x v="0"/>
    <n v="29"/>
    <n v="4"/>
    <x v="0"/>
    <n v="2019"/>
    <n v="1"/>
    <x v="1"/>
    <n v="3"/>
    <n v="1"/>
    <x v="6"/>
    <n v="4"/>
    <s v="Divorced"/>
    <n v="3482"/>
    <n v="2"/>
    <x v="1"/>
    <n v="15"/>
    <n v="3"/>
    <n v="2"/>
    <n v="2"/>
    <n v="16"/>
    <n v="3"/>
    <n v="2"/>
    <n v="9"/>
    <n v="8"/>
    <n v="0"/>
    <n v="0"/>
    <s v="Master"/>
    <s v="Low"/>
    <s v="High"/>
    <x v="1"/>
    <s v="Very High"/>
    <s v="Excellent"/>
    <s v="Medium"/>
    <x v="2"/>
    <s v="Medium"/>
    <x v="2"/>
  </r>
  <r>
    <x v="20"/>
    <x v="1"/>
    <x v="0"/>
    <n v="1037"/>
    <x v="1"/>
    <n v="1"/>
    <n v="3"/>
    <x v="2"/>
    <n v="2020"/>
    <n v="2"/>
    <x v="1"/>
    <n v="3"/>
    <n v="1"/>
    <x v="1"/>
    <n v="4"/>
    <s v="Single"/>
    <n v="2436"/>
    <n v="6"/>
    <x v="0"/>
    <n v="12"/>
    <n v="3"/>
    <n v="3"/>
    <n v="0"/>
    <n v="6"/>
    <n v="2"/>
    <n v="3"/>
    <n v="4"/>
    <n v="3"/>
    <n v="1"/>
    <n v="2"/>
    <s v="Bachelor"/>
    <s v="Medium"/>
    <s v="High"/>
    <x v="1"/>
    <s v="Very High"/>
    <s v="Excellent"/>
    <s v="High"/>
    <x v="1"/>
    <s v="No_stock"/>
    <x v="0"/>
  </r>
  <r>
    <x v="18"/>
    <x v="1"/>
    <x v="0"/>
    <n v="501"/>
    <x v="0"/>
    <n v="5"/>
    <n v="1"/>
    <x v="2"/>
    <n v="2021"/>
    <n v="3"/>
    <x v="1"/>
    <n v="3"/>
    <n v="1"/>
    <x v="6"/>
    <n v="1"/>
    <s v="Single"/>
    <n v="2380"/>
    <n v="1"/>
    <x v="0"/>
    <n v="11"/>
    <n v="3"/>
    <n v="4"/>
    <n v="0"/>
    <n v="2"/>
    <n v="6"/>
    <n v="3"/>
    <n v="2"/>
    <n v="2"/>
    <n v="1"/>
    <n v="2"/>
    <s v="Before College"/>
    <s v="High"/>
    <s v="High"/>
    <x v="1"/>
    <s v="Low"/>
    <s v="Excellent"/>
    <s v="Very High"/>
    <x v="1"/>
    <s v="No_stock"/>
    <x v="0"/>
  </r>
  <r>
    <x v="22"/>
    <x v="1"/>
    <x v="2"/>
    <n v="105"/>
    <x v="1"/>
    <n v="9"/>
    <n v="3"/>
    <x v="0"/>
    <n v="2022"/>
    <n v="4"/>
    <x v="1"/>
    <n v="3"/>
    <n v="5"/>
    <x v="5"/>
    <n v="4"/>
    <s v="Single"/>
    <n v="19431"/>
    <n v="2"/>
    <x v="1"/>
    <n v="13"/>
    <n v="3"/>
    <n v="3"/>
    <n v="0"/>
    <n v="21"/>
    <n v="3"/>
    <n v="2"/>
    <n v="6"/>
    <n v="0"/>
    <n v="1"/>
    <n v="3"/>
    <s v="Bachelor"/>
    <s v="Very High"/>
    <s v="High"/>
    <x v="4"/>
    <s v="Very High"/>
    <s v="Excellent"/>
    <s v="High"/>
    <x v="2"/>
    <s v="No_stock"/>
    <x v="1"/>
  </r>
  <r>
    <x v="30"/>
    <x v="0"/>
    <x v="1"/>
    <n v="638"/>
    <x v="0"/>
    <n v="9"/>
    <n v="3"/>
    <x v="3"/>
    <n v="2023"/>
    <n v="4"/>
    <x v="1"/>
    <n v="3"/>
    <n v="1"/>
    <x v="6"/>
    <n v="1"/>
    <s v="Married"/>
    <n v="1790"/>
    <n v="1"/>
    <x v="1"/>
    <n v="19"/>
    <n v="3"/>
    <n v="1"/>
    <n v="1"/>
    <n v="1"/>
    <n v="3"/>
    <n v="2"/>
    <n v="1"/>
    <n v="0"/>
    <n v="1"/>
    <n v="0"/>
    <s v="Bachelor"/>
    <s v="Very High"/>
    <s v="High"/>
    <x v="1"/>
    <s v="Low"/>
    <s v="Excellent"/>
    <s v="Low"/>
    <x v="2"/>
    <s v="Low"/>
    <x v="1"/>
  </r>
  <r>
    <x v="9"/>
    <x v="1"/>
    <x v="0"/>
    <n v="557"/>
    <x v="0"/>
    <n v="3"/>
    <n v="3"/>
    <x v="2"/>
    <n v="2024"/>
    <n v="1"/>
    <x v="0"/>
    <n v="2"/>
    <n v="3"/>
    <x v="0"/>
    <n v="4"/>
    <s v="Married"/>
    <n v="7644"/>
    <n v="0"/>
    <x v="1"/>
    <n v="19"/>
    <n v="3"/>
    <n v="3"/>
    <n v="2"/>
    <n v="10"/>
    <n v="2"/>
    <n v="3"/>
    <n v="9"/>
    <n v="7"/>
    <n v="3"/>
    <n v="4"/>
    <s v="Bachelor"/>
    <s v="Low"/>
    <s v="Medium"/>
    <x v="2"/>
    <s v="Very High"/>
    <s v="Excellent"/>
    <s v="High"/>
    <x v="1"/>
    <s v="Medium"/>
    <x v="0"/>
  </r>
  <r>
    <x v="9"/>
    <x v="1"/>
    <x v="1"/>
    <n v="688"/>
    <x v="1"/>
    <n v="4"/>
    <n v="2"/>
    <x v="0"/>
    <n v="2025"/>
    <n v="4"/>
    <x v="0"/>
    <n v="3"/>
    <n v="2"/>
    <x v="3"/>
    <n v="2"/>
    <s v="Divorced"/>
    <n v="5131"/>
    <n v="7"/>
    <x v="1"/>
    <n v="13"/>
    <n v="3"/>
    <n v="2"/>
    <n v="3"/>
    <n v="18"/>
    <n v="3"/>
    <n v="3"/>
    <n v="4"/>
    <n v="2"/>
    <n v="0"/>
    <n v="2"/>
    <s v="College"/>
    <s v="Very High"/>
    <s v="High"/>
    <x v="0"/>
    <s v="Medium"/>
    <s v="Excellent"/>
    <s v="Medium"/>
    <x v="1"/>
    <s v="High"/>
    <x v="0"/>
  </r>
  <r>
    <x v="29"/>
    <x v="1"/>
    <x v="2"/>
    <n v="667"/>
    <x v="1"/>
    <n v="1"/>
    <n v="4"/>
    <x v="0"/>
    <n v="2026"/>
    <n v="3"/>
    <x v="1"/>
    <n v="3"/>
    <n v="2"/>
    <x v="4"/>
    <n v="3"/>
    <s v="Divorced"/>
    <n v="6306"/>
    <n v="1"/>
    <x v="1"/>
    <n v="21"/>
    <n v="4"/>
    <n v="1"/>
    <n v="1"/>
    <n v="13"/>
    <n v="2"/>
    <n v="2"/>
    <n v="13"/>
    <n v="12"/>
    <n v="1"/>
    <n v="9"/>
    <s v="Master"/>
    <s v="High"/>
    <s v="High"/>
    <x v="0"/>
    <s v="High"/>
    <s v="Outstanding"/>
    <s v="Low"/>
    <x v="2"/>
    <s v="Low"/>
    <x v="0"/>
  </r>
  <r>
    <x v="11"/>
    <x v="0"/>
    <x v="0"/>
    <n v="1092"/>
    <x v="1"/>
    <n v="1"/>
    <n v="4"/>
    <x v="2"/>
    <n v="2027"/>
    <n v="1"/>
    <x v="1"/>
    <n v="3"/>
    <n v="1"/>
    <x v="1"/>
    <n v="4"/>
    <s v="Married"/>
    <n v="4787"/>
    <n v="9"/>
    <x v="0"/>
    <n v="14"/>
    <n v="3"/>
    <n v="2"/>
    <n v="3"/>
    <n v="4"/>
    <n v="3"/>
    <n v="4"/>
    <n v="2"/>
    <n v="2"/>
    <n v="2"/>
    <n v="2"/>
    <s v="Master"/>
    <s v="Low"/>
    <s v="High"/>
    <x v="1"/>
    <s v="Very High"/>
    <s v="Excellent"/>
    <s v="Medium"/>
    <x v="3"/>
    <s v="High"/>
    <x v="0"/>
  </r>
  <r>
    <x v="19"/>
    <x v="1"/>
    <x v="0"/>
    <n v="300"/>
    <x v="1"/>
    <n v="2"/>
    <n v="3"/>
    <x v="0"/>
    <n v="2031"/>
    <n v="1"/>
    <x v="1"/>
    <n v="3"/>
    <n v="5"/>
    <x v="5"/>
    <n v="3"/>
    <s v="Married"/>
    <n v="18880"/>
    <n v="5"/>
    <x v="1"/>
    <n v="11"/>
    <n v="3"/>
    <n v="1"/>
    <n v="0"/>
    <n v="24"/>
    <n v="2"/>
    <n v="2"/>
    <n v="22"/>
    <n v="6"/>
    <n v="4"/>
    <n v="14"/>
    <s v="Bachelor"/>
    <s v="Low"/>
    <s v="High"/>
    <x v="4"/>
    <s v="High"/>
    <s v="Excellent"/>
    <s v="Low"/>
    <x v="2"/>
    <s v="No_stock"/>
    <x v="0"/>
  </r>
  <r>
    <x v="29"/>
    <x v="0"/>
    <x v="0"/>
    <n v="310"/>
    <x v="1"/>
    <n v="7"/>
    <n v="2"/>
    <x v="4"/>
    <n v="2032"/>
    <n v="4"/>
    <x v="1"/>
    <n v="3"/>
    <n v="1"/>
    <x v="2"/>
    <n v="3"/>
    <s v="Married"/>
    <n v="2339"/>
    <n v="8"/>
    <x v="1"/>
    <n v="11"/>
    <n v="3"/>
    <n v="4"/>
    <n v="1"/>
    <n v="14"/>
    <n v="4"/>
    <n v="1"/>
    <n v="10"/>
    <n v="9"/>
    <n v="9"/>
    <n v="8"/>
    <s v="College"/>
    <s v="Very High"/>
    <s v="High"/>
    <x v="1"/>
    <s v="High"/>
    <s v="Excellent"/>
    <s v="Very High"/>
    <x v="0"/>
    <s v="Low"/>
    <x v="1"/>
  </r>
  <r>
    <x v="0"/>
    <x v="1"/>
    <x v="0"/>
    <n v="582"/>
    <x v="1"/>
    <n v="28"/>
    <n v="4"/>
    <x v="0"/>
    <n v="2034"/>
    <n v="1"/>
    <x v="0"/>
    <n v="2"/>
    <n v="4"/>
    <x v="3"/>
    <n v="2"/>
    <s v="Married"/>
    <n v="13570"/>
    <n v="0"/>
    <x v="1"/>
    <n v="23"/>
    <n v="4"/>
    <n v="3"/>
    <n v="1"/>
    <n v="21"/>
    <n v="3"/>
    <n v="3"/>
    <n v="20"/>
    <n v="7"/>
    <n v="0"/>
    <n v="10"/>
    <s v="Master"/>
    <s v="Low"/>
    <s v="Medium"/>
    <x v="3"/>
    <s v="Medium"/>
    <s v="Outstanding"/>
    <s v="High"/>
    <x v="1"/>
    <s v="Low"/>
    <x v="2"/>
  </r>
  <r>
    <x v="13"/>
    <x v="1"/>
    <x v="0"/>
    <n v="704"/>
    <x v="0"/>
    <n v="28"/>
    <n v="3"/>
    <x v="3"/>
    <n v="2035"/>
    <n v="4"/>
    <x v="0"/>
    <n v="2"/>
    <n v="2"/>
    <x v="0"/>
    <n v="3"/>
    <s v="Married"/>
    <n v="6712"/>
    <n v="1"/>
    <x v="1"/>
    <n v="21"/>
    <n v="4"/>
    <n v="4"/>
    <n v="2"/>
    <n v="8"/>
    <n v="2"/>
    <n v="3"/>
    <n v="8"/>
    <n v="7"/>
    <n v="1"/>
    <n v="7"/>
    <s v="Bachelor"/>
    <s v="Very High"/>
    <s v="Medium"/>
    <x v="0"/>
    <s v="High"/>
    <s v="Outstanding"/>
    <s v="Very High"/>
    <x v="1"/>
    <s v="Medium"/>
    <x v="2"/>
  </r>
  <r>
    <x v="9"/>
    <x v="1"/>
    <x v="2"/>
    <n v="301"/>
    <x v="0"/>
    <n v="15"/>
    <n v="4"/>
    <x v="3"/>
    <n v="2036"/>
    <n v="4"/>
    <x v="1"/>
    <n v="1"/>
    <n v="2"/>
    <x v="0"/>
    <n v="4"/>
    <s v="Divorced"/>
    <n v="5406"/>
    <n v="1"/>
    <x v="1"/>
    <n v="24"/>
    <n v="4"/>
    <n v="1"/>
    <n v="1"/>
    <n v="15"/>
    <n v="4"/>
    <n v="2"/>
    <n v="15"/>
    <n v="12"/>
    <n v="11"/>
    <n v="11"/>
    <s v="Master"/>
    <s v="Very High"/>
    <s v="Low"/>
    <x v="0"/>
    <s v="Very High"/>
    <s v="Outstanding"/>
    <s v="Low"/>
    <x v="2"/>
    <s v="Low"/>
    <x v="1"/>
  </r>
  <r>
    <x v="0"/>
    <x v="1"/>
    <x v="0"/>
    <n v="930"/>
    <x v="0"/>
    <n v="3"/>
    <n v="3"/>
    <x v="0"/>
    <n v="2037"/>
    <n v="3"/>
    <x v="1"/>
    <n v="2"/>
    <n v="2"/>
    <x v="0"/>
    <n v="2"/>
    <s v="Divorced"/>
    <n v="8938"/>
    <n v="2"/>
    <x v="1"/>
    <n v="11"/>
    <n v="3"/>
    <n v="3"/>
    <n v="1"/>
    <n v="14"/>
    <n v="5"/>
    <n v="3"/>
    <n v="5"/>
    <n v="4"/>
    <n v="0"/>
    <n v="4"/>
    <s v="Bachelor"/>
    <s v="High"/>
    <s v="Medium"/>
    <x v="0"/>
    <s v="Medium"/>
    <s v="Excellent"/>
    <s v="High"/>
    <x v="1"/>
    <s v="Low"/>
    <x v="0"/>
  </r>
  <r>
    <x v="5"/>
    <x v="1"/>
    <x v="0"/>
    <n v="529"/>
    <x v="1"/>
    <n v="2"/>
    <n v="3"/>
    <x v="4"/>
    <n v="2038"/>
    <n v="4"/>
    <x v="1"/>
    <n v="3"/>
    <n v="1"/>
    <x v="1"/>
    <n v="1"/>
    <s v="Single"/>
    <n v="2439"/>
    <n v="1"/>
    <x v="1"/>
    <n v="14"/>
    <n v="3"/>
    <n v="4"/>
    <n v="0"/>
    <n v="4"/>
    <n v="4"/>
    <n v="3"/>
    <n v="4"/>
    <n v="2"/>
    <n v="1"/>
    <n v="2"/>
    <s v="Bachelor"/>
    <s v="Very High"/>
    <s v="High"/>
    <x v="1"/>
    <s v="Low"/>
    <s v="Excellent"/>
    <s v="Very High"/>
    <x v="1"/>
    <s v="No_stock"/>
    <x v="0"/>
  </r>
  <r>
    <x v="10"/>
    <x v="1"/>
    <x v="0"/>
    <n v="1146"/>
    <x v="2"/>
    <n v="26"/>
    <n v="4"/>
    <x v="0"/>
    <n v="2040"/>
    <n v="3"/>
    <x v="0"/>
    <n v="3"/>
    <n v="3"/>
    <x v="8"/>
    <n v="4"/>
    <s v="Single"/>
    <n v="8837"/>
    <n v="1"/>
    <x v="0"/>
    <n v="16"/>
    <n v="3"/>
    <n v="3"/>
    <n v="0"/>
    <n v="9"/>
    <n v="2"/>
    <n v="3"/>
    <n v="9"/>
    <n v="0"/>
    <n v="1"/>
    <n v="7"/>
    <s v="Master"/>
    <s v="High"/>
    <s v="High"/>
    <x v="2"/>
    <s v="Very High"/>
    <s v="Excellent"/>
    <s v="High"/>
    <x v="1"/>
    <s v="No_stock"/>
    <x v="2"/>
  </r>
  <r>
    <x v="8"/>
    <x v="1"/>
    <x v="0"/>
    <n v="345"/>
    <x v="0"/>
    <n v="10"/>
    <n v="2"/>
    <x v="0"/>
    <n v="2041"/>
    <n v="1"/>
    <x v="0"/>
    <n v="3"/>
    <n v="2"/>
    <x v="0"/>
    <n v="4"/>
    <s v="Married"/>
    <n v="5343"/>
    <n v="1"/>
    <x v="1"/>
    <n v="11"/>
    <n v="3"/>
    <n v="3"/>
    <n v="1"/>
    <n v="10"/>
    <n v="1"/>
    <n v="3"/>
    <n v="10"/>
    <n v="7"/>
    <n v="1"/>
    <n v="9"/>
    <s v="College"/>
    <s v="Low"/>
    <s v="High"/>
    <x v="0"/>
    <s v="Very High"/>
    <s v="Excellent"/>
    <s v="High"/>
    <x v="1"/>
    <s v="Low"/>
    <x v="1"/>
  </r>
  <r>
    <x v="24"/>
    <x v="0"/>
    <x v="1"/>
    <n v="878"/>
    <x v="0"/>
    <n v="1"/>
    <n v="4"/>
    <x v="0"/>
    <n v="2044"/>
    <n v="2"/>
    <x v="1"/>
    <n v="3"/>
    <n v="2"/>
    <x v="0"/>
    <n v="3"/>
    <s v="Divorced"/>
    <n v="6728"/>
    <n v="7"/>
    <x v="1"/>
    <n v="12"/>
    <n v="3"/>
    <n v="4"/>
    <n v="2"/>
    <n v="12"/>
    <n v="3"/>
    <n v="3"/>
    <n v="6"/>
    <n v="3"/>
    <n v="0"/>
    <n v="1"/>
    <s v="Master"/>
    <s v="Medium"/>
    <s v="High"/>
    <x v="0"/>
    <s v="High"/>
    <s v="Excellent"/>
    <s v="Very High"/>
    <x v="1"/>
    <s v="Medium"/>
    <x v="0"/>
  </r>
  <r>
    <x v="9"/>
    <x v="1"/>
    <x v="0"/>
    <n v="1120"/>
    <x v="0"/>
    <n v="11"/>
    <n v="4"/>
    <x v="3"/>
    <n v="2045"/>
    <n v="2"/>
    <x v="0"/>
    <n v="2"/>
    <n v="2"/>
    <x v="0"/>
    <n v="4"/>
    <s v="Married"/>
    <n v="6652"/>
    <n v="4"/>
    <x v="1"/>
    <n v="13"/>
    <n v="3"/>
    <n v="1"/>
    <n v="1"/>
    <n v="8"/>
    <n v="2"/>
    <n v="2"/>
    <n v="6"/>
    <n v="3"/>
    <n v="0"/>
    <n v="0"/>
    <s v="Master"/>
    <s v="Medium"/>
    <s v="Medium"/>
    <x v="0"/>
    <s v="Very High"/>
    <s v="Excellent"/>
    <s v="Low"/>
    <x v="2"/>
    <s v="Low"/>
    <x v="1"/>
  </r>
  <r>
    <x v="28"/>
    <x v="1"/>
    <x v="0"/>
    <n v="374"/>
    <x v="0"/>
    <n v="20"/>
    <n v="3"/>
    <x v="0"/>
    <n v="2046"/>
    <n v="4"/>
    <x v="0"/>
    <n v="3"/>
    <n v="2"/>
    <x v="0"/>
    <n v="3"/>
    <s v="Single"/>
    <n v="4850"/>
    <n v="8"/>
    <x v="1"/>
    <n v="15"/>
    <n v="3"/>
    <n v="3"/>
    <n v="0"/>
    <n v="8"/>
    <n v="3"/>
    <n v="3"/>
    <n v="5"/>
    <n v="3"/>
    <n v="0"/>
    <n v="1"/>
    <s v="Bachelor"/>
    <s v="Very High"/>
    <s v="High"/>
    <x v="0"/>
    <s v="High"/>
    <s v="Excellent"/>
    <s v="High"/>
    <x v="1"/>
    <s v="No_stock"/>
    <x v="2"/>
  </r>
  <r>
    <x v="32"/>
    <x v="1"/>
    <x v="0"/>
    <n v="1322"/>
    <x v="1"/>
    <n v="2"/>
    <n v="4"/>
    <x v="0"/>
    <n v="2048"/>
    <n v="3"/>
    <x v="1"/>
    <n v="2"/>
    <n v="1"/>
    <x v="1"/>
    <n v="3"/>
    <s v="Single"/>
    <n v="2809"/>
    <n v="2"/>
    <x v="1"/>
    <n v="14"/>
    <n v="3"/>
    <n v="4"/>
    <n v="0"/>
    <n v="8"/>
    <n v="2"/>
    <n v="3"/>
    <n v="2"/>
    <n v="2"/>
    <n v="2"/>
    <n v="2"/>
    <s v="Master"/>
    <s v="High"/>
    <s v="Medium"/>
    <x v="1"/>
    <s v="High"/>
    <s v="Excellent"/>
    <s v="Very High"/>
    <x v="1"/>
    <s v="No_stock"/>
    <x v="0"/>
  </r>
  <r>
    <x v="10"/>
    <x v="1"/>
    <x v="1"/>
    <n v="1199"/>
    <x v="1"/>
    <n v="18"/>
    <n v="4"/>
    <x v="0"/>
    <n v="2049"/>
    <n v="3"/>
    <x v="1"/>
    <n v="3"/>
    <n v="2"/>
    <x v="4"/>
    <n v="3"/>
    <s v="Married"/>
    <n v="5689"/>
    <n v="1"/>
    <x v="0"/>
    <n v="14"/>
    <n v="3"/>
    <n v="4"/>
    <n v="2"/>
    <n v="10"/>
    <n v="2"/>
    <n v="4"/>
    <n v="10"/>
    <n v="2"/>
    <n v="0"/>
    <n v="2"/>
    <s v="Master"/>
    <s v="High"/>
    <s v="High"/>
    <x v="0"/>
    <s v="High"/>
    <s v="Excellent"/>
    <s v="Very High"/>
    <x v="3"/>
    <s v="Medium"/>
    <x v="2"/>
  </r>
  <r>
    <x v="32"/>
    <x v="1"/>
    <x v="0"/>
    <n v="1194"/>
    <x v="1"/>
    <n v="2"/>
    <n v="4"/>
    <x v="2"/>
    <n v="2051"/>
    <n v="3"/>
    <x v="0"/>
    <n v="3"/>
    <n v="1"/>
    <x v="1"/>
    <n v="3"/>
    <s v="Married"/>
    <n v="2001"/>
    <n v="2"/>
    <x v="1"/>
    <n v="14"/>
    <n v="3"/>
    <n v="2"/>
    <n v="3"/>
    <n v="20"/>
    <n v="2"/>
    <n v="3"/>
    <n v="5"/>
    <n v="3"/>
    <n v="0"/>
    <n v="2"/>
    <s v="Master"/>
    <s v="High"/>
    <s v="High"/>
    <x v="1"/>
    <s v="High"/>
    <s v="Excellent"/>
    <s v="Medium"/>
    <x v="1"/>
    <s v="High"/>
    <x v="0"/>
  </r>
  <r>
    <x v="10"/>
    <x v="1"/>
    <x v="0"/>
    <n v="287"/>
    <x v="1"/>
    <n v="1"/>
    <n v="4"/>
    <x v="0"/>
    <n v="2052"/>
    <n v="3"/>
    <x v="0"/>
    <n v="1"/>
    <n v="1"/>
    <x v="1"/>
    <n v="4"/>
    <s v="Married"/>
    <n v="2977"/>
    <n v="1"/>
    <x v="1"/>
    <n v="12"/>
    <n v="3"/>
    <n v="4"/>
    <n v="1"/>
    <n v="4"/>
    <n v="5"/>
    <n v="3"/>
    <n v="4"/>
    <n v="3"/>
    <n v="1"/>
    <n v="1"/>
    <s v="Master"/>
    <s v="High"/>
    <s v="Low"/>
    <x v="1"/>
    <s v="Very High"/>
    <s v="Excellent"/>
    <s v="Very High"/>
    <x v="1"/>
    <s v="Low"/>
    <x v="0"/>
  </r>
  <r>
    <x v="11"/>
    <x v="1"/>
    <x v="0"/>
    <n v="1378"/>
    <x v="1"/>
    <n v="13"/>
    <n v="2"/>
    <x v="1"/>
    <n v="2053"/>
    <n v="4"/>
    <x v="1"/>
    <n v="2"/>
    <n v="2"/>
    <x v="2"/>
    <n v="2"/>
    <s v="Married"/>
    <n v="4025"/>
    <n v="4"/>
    <x v="0"/>
    <n v="13"/>
    <n v="3"/>
    <n v="1"/>
    <n v="1"/>
    <n v="10"/>
    <n v="2"/>
    <n v="3"/>
    <n v="4"/>
    <n v="3"/>
    <n v="0"/>
    <n v="3"/>
    <s v="College"/>
    <s v="Very High"/>
    <s v="Medium"/>
    <x v="0"/>
    <s v="Medium"/>
    <s v="Excellent"/>
    <s v="Low"/>
    <x v="1"/>
    <s v="Low"/>
    <x v="1"/>
  </r>
  <r>
    <x v="11"/>
    <x v="1"/>
    <x v="0"/>
    <n v="468"/>
    <x v="1"/>
    <n v="28"/>
    <n v="4"/>
    <x v="2"/>
    <n v="2054"/>
    <n v="4"/>
    <x v="0"/>
    <n v="2"/>
    <n v="1"/>
    <x v="1"/>
    <n v="1"/>
    <s v="Single"/>
    <n v="3785"/>
    <n v="1"/>
    <x v="1"/>
    <n v="14"/>
    <n v="3"/>
    <n v="2"/>
    <n v="0"/>
    <n v="5"/>
    <n v="3"/>
    <n v="1"/>
    <n v="5"/>
    <n v="4"/>
    <n v="0"/>
    <n v="4"/>
    <s v="Master"/>
    <s v="Very High"/>
    <s v="Medium"/>
    <x v="1"/>
    <s v="Low"/>
    <s v="Excellent"/>
    <s v="Medium"/>
    <x v="0"/>
    <s v="No_stock"/>
    <x v="2"/>
  </r>
  <r>
    <x v="24"/>
    <x v="0"/>
    <x v="0"/>
    <n v="410"/>
    <x v="0"/>
    <n v="28"/>
    <n v="3"/>
    <x v="3"/>
    <n v="2055"/>
    <n v="4"/>
    <x v="1"/>
    <n v="2"/>
    <n v="3"/>
    <x v="0"/>
    <n v="1"/>
    <s v="Divorced"/>
    <n v="10854"/>
    <n v="4"/>
    <x v="0"/>
    <n v="13"/>
    <n v="3"/>
    <n v="2"/>
    <n v="1"/>
    <n v="20"/>
    <n v="3"/>
    <n v="3"/>
    <n v="3"/>
    <n v="2"/>
    <n v="2"/>
    <n v="0"/>
    <s v="Bachelor"/>
    <s v="Very High"/>
    <s v="Medium"/>
    <x v="2"/>
    <s v="Low"/>
    <s v="Excellent"/>
    <s v="Medium"/>
    <x v="1"/>
    <s v="Low"/>
    <x v="2"/>
  </r>
  <r>
    <x v="22"/>
    <x v="1"/>
    <x v="0"/>
    <n v="722"/>
    <x v="0"/>
    <n v="24"/>
    <n v="1"/>
    <x v="3"/>
    <n v="2056"/>
    <n v="2"/>
    <x v="0"/>
    <n v="2"/>
    <n v="4"/>
    <x v="0"/>
    <n v="4"/>
    <s v="Married"/>
    <n v="12031"/>
    <n v="0"/>
    <x v="1"/>
    <n v="11"/>
    <n v="3"/>
    <n v="1"/>
    <n v="1"/>
    <n v="21"/>
    <n v="2"/>
    <n v="2"/>
    <n v="20"/>
    <n v="9"/>
    <n v="9"/>
    <n v="6"/>
    <s v="Before College"/>
    <s v="Medium"/>
    <s v="Medium"/>
    <x v="3"/>
    <s v="Very High"/>
    <s v="Excellent"/>
    <s v="Low"/>
    <x v="2"/>
    <s v="Low"/>
    <x v="2"/>
  </r>
  <r>
    <x v="12"/>
    <x v="1"/>
    <x v="2"/>
    <n v="325"/>
    <x v="1"/>
    <n v="5"/>
    <n v="3"/>
    <x v="2"/>
    <n v="2057"/>
    <n v="2"/>
    <x v="1"/>
    <n v="3"/>
    <n v="2"/>
    <x v="3"/>
    <n v="1"/>
    <s v="Single"/>
    <n v="9936"/>
    <n v="0"/>
    <x v="1"/>
    <n v="19"/>
    <n v="3"/>
    <n v="2"/>
    <n v="0"/>
    <n v="10"/>
    <n v="2"/>
    <n v="3"/>
    <n v="9"/>
    <n v="4"/>
    <n v="1"/>
    <n v="7"/>
    <s v="Bachelor"/>
    <s v="Medium"/>
    <s v="High"/>
    <x v="0"/>
    <s v="Low"/>
    <s v="Excellent"/>
    <s v="Medium"/>
    <x v="1"/>
    <s v="No_stock"/>
    <x v="0"/>
  </r>
  <r>
    <x v="25"/>
    <x v="1"/>
    <x v="0"/>
    <n v="1167"/>
    <x v="0"/>
    <n v="5"/>
    <n v="3"/>
    <x v="1"/>
    <n v="2060"/>
    <n v="4"/>
    <x v="0"/>
    <n v="2"/>
    <n v="1"/>
    <x v="6"/>
    <n v="3"/>
    <s v="Single"/>
    <n v="2966"/>
    <n v="0"/>
    <x v="1"/>
    <n v="18"/>
    <n v="3"/>
    <n v="4"/>
    <n v="0"/>
    <n v="5"/>
    <n v="2"/>
    <n v="3"/>
    <n v="4"/>
    <n v="2"/>
    <n v="0"/>
    <n v="0"/>
    <s v="Bachelor"/>
    <s v="Very High"/>
    <s v="Medium"/>
    <x v="1"/>
    <s v="High"/>
    <s v="Excellent"/>
    <s v="Very High"/>
    <x v="1"/>
    <s v="No_stock"/>
    <x v="0"/>
  </r>
  <r>
    <x v="9"/>
    <x v="1"/>
    <x v="1"/>
    <n v="884"/>
    <x v="1"/>
    <n v="23"/>
    <n v="2"/>
    <x v="2"/>
    <n v="2061"/>
    <n v="3"/>
    <x v="1"/>
    <n v="4"/>
    <n v="2"/>
    <x v="2"/>
    <n v="4"/>
    <s v="Married"/>
    <n v="2571"/>
    <n v="4"/>
    <x v="1"/>
    <n v="17"/>
    <n v="3"/>
    <n v="3"/>
    <n v="1"/>
    <n v="17"/>
    <n v="3"/>
    <n v="3"/>
    <n v="5"/>
    <n v="2"/>
    <n v="0"/>
    <n v="3"/>
    <s v="College"/>
    <s v="High"/>
    <s v="Very High"/>
    <x v="0"/>
    <s v="Very High"/>
    <s v="Excellent"/>
    <s v="High"/>
    <x v="1"/>
    <s v="Low"/>
    <x v="2"/>
  </r>
  <r>
    <x v="22"/>
    <x v="1"/>
    <x v="0"/>
    <n v="613"/>
    <x v="1"/>
    <n v="6"/>
    <n v="1"/>
    <x v="2"/>
    <n v="2062"/>
    <n v="4"/>
    <x v="1"/>
    <n v="2"/>
    <n v="3"/>
    <x v="4"/>
    <n v="1"/>
    <s v="Married"/>
    <n v="9991"/>
    <n v="4"/>
    <x v="1"/>
    <n v="15"/>
    <n v="3"/>
    <n v="1"/>
    <n v="1"/>
    <n v="9"/>
    <n v="5"/>
    <n v="3"/>
    <n v="7"/>
    <n v="7"/>
    <n v="1"/>
    <n v="7"/>
    <s v="Before College"/>
    <s v="Very High"/>
    <s v="Medium"/>
    <x v="2"/>
    <s v="Low"/>
    <s v="Excellent"/>
    <s v="Low"/>
    <x v="1"/>
    <s v="Low"/>
    <x v="1"/>
  </r>
  <r>
    <x v="4"/>
    <x v="1"/>
    <x v="0"/>
    <n v="155"/>
    <x v="1"/>
    <n v="4"/>
    <n v="3"/>
    <x v="0"/>
    <n v="2064"/>
    <n v="2"/>
    <x v="1"/>
    <n v="4"/>
    <n v="2"/>
    <x v="3"/>
    <n v="2"/>
    <s v="Married"/>
    <n v="6142"/>
    <n v="1"/>
    <x v="0"/>
    <n v="20"/>
    <n v="4"/>
    <n v="2"/>
    <n v="1"/>
    <n v="6"/>
    <n v="0"/>
    <n v="3"/>
    <n v="6"/>
    <n v="2"/>
    <n v="0"/>
    <n v="3"/>
    <s v="Bachelor"/>
    <s v="Medium"/>
    <s v="Very High"/>
    <x v="0"/>
    <s v="Medium"/>
    <s v="Outstanding"/>
    <s v="Medium"/>
    <x v="1"/>
    <s v="Low"/>
    <x v="0"/>
  </r>
  <r>
    <x v="1"/>
    <x v="1"/>
    <x v="1"/>
    <n v="1023"/>
    <x v="0"/>
    <n v="2"/>
    <n v="3"/>
    <x v="2"/>
    <n v="2065"/>
    <n v="4"/>
    <x v="1"/>
    <n v="2"/>
    <n v="2"/>
    <x v="0"/>
    <n v="2"/>
    <s v="Married"/>
    <n v="5390"/>
    <n v="2"/>
    <x v="1"/>
    <n v="14"/>
    <n v="3"/>
    <n v="4"/>
    <n v="0"/>
    <n v="17"/>
    <n v="3"/>
    <n v="2"/>
    <n v="9"/>
    <n v="6"/>
    <n v="0"/>
    <n v="8"/>
    <s v="Bachelor"/>
    <s v="Very High"/>
    <s v="Medium"/>
    <x v="0"/>
    <s v="Medium"/>
    <s v="Excellent"/>
    <s v="Very High"/>
    <x v="2"/>
    <s v="No_stock"/>
    <x v="0"/>
  </r>
  <r>
    <x v="13"/>
    <x v="1"/>
    <x v="0"/>
    <n v="628"/>
    <x v="1"/>
    <n v="8"/>
    <n v="3"/>
    <x v="2"/>
    <n v="2068"/>
    <n v="2"/>
    <x v="1"/>
    <n v="4"/>
    <n v="2"/>
    <x v="2"/>
    <n v="3"/>
    <s v="Married"/>
    <n v="4404"/>
    <n v="2"/>
    <x v="1"/>
    <n v="12"/>
    <n v="3"/>
    <n v="1"/>
    <n v="0"/>
    <n v="6"/>
    <n v="3"/>
    <n v="4"/>
    <n v="4"/>
    <n v="3"/>
    <n v="1"/>
    <n v="2"/>
    <s v="Bachelor"/>
    <s v="Medium"/>
    <s v="Very High"/>
    <x v="0"/>
    <s v="High"/>
    <s v="Excellent"/>
    <s v="Low"/>
    <x v="3"/>
    <s v="No_stock"/>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B58BBB-4BE1-4F6E-A6A3-EA943807CDE4}"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Overtime">
  <location ref="C84:D87" firstHeaderRow="1" firstDataRow="2" firstDataCol="1"/>
  <pivotFields count="40">
    <pivotField showAll="0"/>
    <pivotField axis="axisCol" dataField="1" showAll="0">
      <items count="3">
        <item h="1"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2">
    <i>
      <x/>
    </i>
    <i>
      <x v="1"/>
    </i>
  </rowItems>
  <colFields count="1">
    <field x="1"/>
  </colFields>
  <colItems count="1">
    <i>
      <x v="1"/>
    </i>
  </colItems>
  <dataFields count="1">
    <dataField name="Count of Attrition" fld="1" subtotal="count" showDataAs="percentOfRow" baseField="0" baseItem="0" numFmtId="10"/>
  </dataFields>
  <chartFormats count="5">
    <chartFormat chart="9" format="10" series="1">
      <pivotArea type="data" outline="0" fieldPosition="0">
        <references count="1">
          <reference field="1" count="1" selected="0">
            <x v="0"/>
          </reference>
        </references>
      </pivotArea>
    </chartFormat>
    <chartFormat chart="9" format="11" series="1">
      <pivotArea type="data" outline="0" fieldPosition="0">
        <references count="1">
          <reference field="1" count="1" selected="0">
            <x v="1"/>
          </reference>
        </references>
      </pivotArea>
    </chartFormat>
    <chartFormat chart="9" format="12" series="1">
      <pivotArea type="data" outline="0" fieldPosition="0">
        <references count="2">
          <reference field="4294967294" count="1" selected="0">
            <x v="0"/>
          </reference>
          <reference field="1" count="1" selected="0">
            <x v="1"/>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35352-DE1A-4D9E-8E3A-D611A947BE6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70:E75" firstHeaderRow="1" firstDataRow="1" firstDataCol="1" rowPageCount="1" colPageCount="1"/>
  <pivotFields count="40">
    <pivotField showAll="0"/>
    <pivotField axis="axisPage" showAll="0">
      <items count="3">
        <item x="1"/>
        <item x="0"/>
        <item t="default"/>
      </items>
    </pivotField>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s>
  <rowFields count="1">
    <field x="37"/>
  </rowFields>
  <rowItems count="5">
    <i>
      <x/>
    </i>
    <i>
      <x v="1"/>
    </i>
    <i>
      <x v="2"/>
    </i>
    <i>
      <x v="3"/>
    </i>
    <i t="grand">
      <x/>
    </i>
  </rowItems>
  <colItems count="1">
    <i/>
  </colItems>
  <pageFields count="1">
    <pageField fld="1" item="1" hier="-1"/>
  </pageFields>
  <dataFields count="1">
    <dataField name="Count of EmployeeNumber" fld="8" subtotal="count" baseField="0"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7FDF2-C87D-4182-A747-49F7F48AB9D1}"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65:B67" firstHeaderRow="1" firstDataRow="2" firstDataCol="1"/>
  <pivotFields count="40">
    <pivotField showAll="0"/>
    <pivotField axis="axisCol" showAll="0">
      <items count="3">
        <item h="1" x="1"/>
        <item x="0"/>
        <item t="default"/>
      </items>
    </pivotField>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1"/>
    </i>
  </colItem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304541-DA97-4B68-9B6A-4950162A7C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H4" firstHeaderRow="1" firstDataRow="1" firstDataCol="0"/>
  <pivotFields count="4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6" subtotal="average" baseField="0" baseItem="0" numFmtId="165"/>
  </dataFields>
  <formats count="2">
    <format dxfId="2">
      <pivotArea outline="0" collapsedLevelsAreSubtotals="1"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890A66-AF8F-4DF3-A6BF-BC98B423F71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6:C60" firstHeaderRow="1" firstDataRow="1" firstDataCol="1" rowPageCount="1" colPageCount="1"/>
  <pivotFields count="40">
    <pivotField showAll="0"/>
    <pivotField axis="axisPage"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39"/>
  </rowFields>
  <rowItems count="4">
    <i>
      <x/>
    </i>
    <i>
      <x v="1"/>
    </i>
    <i>
      <x v="2"/>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C52E12-3FC7-4691-8C49-E694F3FA624C}"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13:G14" firstHeaderRow="1" firstDataRow="1" firstDataCol="0"/>
  <pivotFields count="4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97DE6A-F4EC-4EB6-A0AF-72A2DDA839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G4" firstHeaderRow="1" firstDataRow="1" firstDataCol="0"/>
  <pivotFields count="4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545FFF-BD7A-4230-98A2-479A6B6F61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1:F56" firstHeaderRow="1" firstDataRow="1" firstDataCol="1" rowPageCount="1" colPageCount="1"/>
  <pivotFields count="40">
    <pivotField showAll="0"/>
    <pivotField axis="axisPage"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s>
  <rowFields count="1">
    <field x="37"/>
  </rowFields>
  <rowItems count="5">
    <i>
      <x/>
    </i>
    <i>
      <x v="1"/>
    </i>
    <i>
      <x v="2"/>
    </i>
    <i>
      <x v="3"/>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2503B9-E162-4F77-9F08-5566DBC60B10}"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Overtime">
  <location ref="E42:G45" firstHeaderRow="1" firstDataRow="2" firstDataCol="1"/>
  <pivotFields count="40">
    <pivotField showAll="0"/>
    <pivotField axis="axisCol"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2">
    <i>
      <x/>
    </i>
    <i>
      <x v="1"/>
    </i>
  </rowItems>
  <colFields count="1">
    <field x="1"/>
  </colFields>
  <colItems count="2">
    <i>
      <x/>
    </i>
    <i>
      <x v="1"/>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19AFA7-AD00-4969-A281-40FE105A46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3" firstHeaderRow="1" firstDataRow="1" firstDataCol="1" rowPageCount="1" colPageCount="1"/>
  <pivotFields count="40">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7"/>
    </i>
    <i>
      <x v="38"/>
    </i>
    <i>
      <x v="40"/>
    </i>
    <i t="grand">
      <x/>
    </i>
  </rowItems>
  <colItems count="1">
    <i/>
  </colItems>
  <pageFields count="1">
    <pageField fld="1" item="1" hier="-1"/>
  </pageFields>
  <dataFields count="1">
    <dataField name="Count of Attrition"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6BB8F9-6A27-4B4B-B6B4-33888DAD114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G59:H65" firstHeaderRow="1" firstDataRow="1" firstDataCol="1"/>
  <pivotFields count="40">
    <pivotField showAll="0"/>
    <pivotField showAll="0"/>
    <pivotField showAll="0">
      <items count="4">
        <item x="2"/>
        <item x="1"/>
        <item x="0"/>
        <item t="default"/>
      </items>
    </pivotField>
    <pivotField showAll="0"/>
    <pivotField showAll="0"/>
    <pivotField showAll="0"/>
    <pivotField showAll="0"/>
    <pivotField axis="axisRow"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v="1"/>
    </i>
    <i>
      <x v="3"/>
    </i>
    <i>
      <x v="2"/>
    </i>
    <i>
      <x v="5"/>
    </i>
    <i>
      <x v="4"/>
    </i>
    <i>
      <x/>
    </i>
  </rowItems>
  <colItems count="1">
    <i/>
  </colItems>
  <dataFields count="1">
    <dataField name="Count of EmployeeNumber" fld="8" subtotal="count" showDataAs="percentOfTotal" baseField="0" baseItem="0" numFmtId="1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 chart="8" format="12">
      <pivotArea type="data" outline="0" fieldPosition="0">
        <references count="2">
          <reference field="4294967294" count="1" selected="0">
            <x v="0"/>
          </reference>
          <reference field="7" count="1" selected="0">
            <x v="5"/>
          </reference>
        </references>
      </pivotArea>
    </chartFormat>
    <chartFormat chart="8" format="13">
      <pivotArea type="data" outline="0" fieldPosition="0">
        <references count="2">
          <reference field="4294967294" count="1" selected="0">
            <x v="0"/>
          </reference>
          <reference field="7" count="1" selected="0">
            <x v="4"/>
          </reference>
        </references>
      </pivotArea>
    </chartFormat>
    <chartFormat chart="8" format="1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56C5EF-9B3B-405A-829B-B8719C1395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7:F11" firstHeaderRow="1" firstDataRow="1" firstDataCol="1" rowPageCount="1" colPageCount="1"/>
  <pivotFields count="40">
    <pivotField showAll="0"/>
    <pivotField axis="axisPage" dataField="1"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Employees Left" fld="1" subtotal="count" baseField="4"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79A589-3963-4DD4-ACD5-827E1FDE6B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11:I21" firstHeaderRow="1" firstDataRow="1" firstDataCol="1" rowPageCount="1" colPageCount="1"/>
  <pivotFields count="40">
    <pivotField showAll="0"/>
    <pivotField axis="axisPage"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i>
    <i>
      <x v="1"/>
    </i>
    <i>
      <x v="2"/>
    </i>
    <i>
      <x v="3"/>
    </i>
    <i>
      <x v="4"/>
    </i>
    <i>
      <x v="5"/>
    </i>
    <i>
      <x v="6"/>
    </i>
    <i>
      <x v="7"/>
    </i>
    <i>
      <x v="8"/>
    </i>
    <i t="grand">
      <x/>
    </i>
  </rowItems>
  <colItems count="1">
    <i/>
  </colItems>
  <pageFields count="1">
    <pageField fld="1" item="1" hier="-1"/>
  </pageFields>
  <dataFields count="1">
    <dataField name="Count of Attrition" fld="1" subtotal="count" baseField="0" baseItem="0"/>
  </dataFields>
  <chartFormats count="3">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CA5943-9B1D-4368-B303-02B51CA8BFF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D15:E20" firstHeaderRow="1" firstDataRow="1" firstDataCol="1"/>
  <pivotFields count="4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3"/>
        <item x="0"/>
        <item x="2"/>
        <item t="default"/>
      </items>
    </pivotField>
    <pivotField showAll="0"/>
    <pivotField showAll="0"/>
    <pivotField showAll="0"/>
    <pivotField showAll="0"/>
    <pivotField showAll="0"/>
    <pivotField showAll="0"/>
  </pivotFields>
  <rowFields count="1">
    <field x="33"/>
  </rowFields>
  <rowItems count="5">
    <i>
      <x/>
    </i>
    <i>
      <x v="1"/>
    </i>
    <i>
      <x v="2"/>
    </i>
    <i>
      <x v="3"/>
    </i>
    <i>
      <x v="4"/>
    </i>
  </rowItems>
  <colItems count="1">
    <i/>
  </colItems>
  <dataFields count="1">
    <dataField name="Average of MonthlyIncome" fld="16" subtotal="average" baseField="0" baseItem="0" numFmtId="165"/>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03C5AE-B6BE-464F-BFE7-50E40DA5C5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vertime">
  <location ref="I3:J6" firstHeaderRow="1" firstDataRow="1" firstDataCol="1"/>
  <pivotFields count="4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3">
    <i>
      <x/>
    </i>
    <i>
      <x v="1"/>
    </i>
    <i t="grand">
      <x/>
    </i>
  </rowItems>
  <colItems count="1">
    <i/>
  </colItems>
  <dataFields count="1">
    <dataField name="Count of Attrition &quot;Yes&quot;" fld="1"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54D807F5-5201-44B0-8602-B27867D36B13}" sourceName="BusinessTravel">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7"/>
    <pivotTable tabId="3" name="PivotTable8"/>
    <pivotTable tabId="3" name="PivotTable9"/>
    <pivotTable tabId="3" name="PivotTable6"/>
    <pivotTable tabId="3" name="PivotTable13"/>
    <pivotTable tabId="3" name="PivotTable14"/>
    <pivotTable tabId="3" name="PivotTable16"/>
    <pivotTable tabId="3" name="PivotTable17"/>
  </pivotTables>
  <data>
    <tabular pivotCacheId="74762677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259CEC-E19A-4542-9157-CC495E418C5D}" sourceName="Gender">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3" name="PivotTable13"/>
    <pivotTable tabId="3" name="PivotTable14"/>
    <pivotTable tabId="3" name="PivotTable16"/>
    <pivotTable tabId="3" name="PivotTable17"/>
  </pivotTables>
  <data>
    <tabular pivotCacheId="7476267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79974C34-7D0C-4E0E-9B0D-55D343368D0B}" cache="Slicer_BusinessTravel" caption="BusinessTravel" style="SlicerStyleDark1 3 2 2 2" rowHeight="241300"/>
  <slicer name="Gender" xr10:uid="{67C1A689-AC94-438B-B625-6F8224CFD49B}" cache="Slicer_Gender" caption="Gender" style="SlicerStyleDark1 3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D4DBF-5AF5-41AD-BA9D-D4AE2458517A}" name="Table1" displayName="Table1" ref="A1:AN1471" totalsRowShown="0">
  <autoFilter ref="A1:AN1471" xr:uid="{8B4D4DBF-5AF5-41AD-BA9D-D4AE2458517A}"/>
  <tableColumns count="40">
    <tableColumn id="1" xr3:uid="{5B7DCFDD-001F-44FD-A591-8CF89C74A839}" name="Age"/>
    <tableColumn id="2" xr3:uid="{28130A7A-789A-408B-BA3F-6E40F2856165}" name="Attrition"/>
    <tableColumn id="3" xr3:uid="{386BF915-D864-4499-8457-3440CFC3DD5C}" name="BusinessTravel"/>
    <tableColumn id="4" xr3:uid="{898451E5-756D-4747-ABD4-49B22870F5E7}" name="DailyRate"/>
    <tableColumn id="5" xr3:uid="{41A1D9E5-76C0-49B0-9AF9-05B3638F122C}" name="Department"/>
    <tableColumn id="6" xr3:uid="{E2220B37-D574-44BD-8B5B-7F39B0C6AC3B}" name="DistanceFromHome"/>
    <tableColumn id="7" xr3:uid="{CBA7A939-975B-4177-99C2-A09B75568264}" name="Education"/>
    <tableColumn id="8" xr3:uid="{25021E88-6194-4D87-85F7-55CFD111884C}" name="EducationField"/>
    <tableColumn id="9" xr3:uid="{304A4E6D-8DCA-4105-A2D1-12868EE7F55D}" name="EmployeeNumber"/>
    <tableColumn id="10" xr3:uid="{9B1296EF-9E62-4C20-B9B6-1EBA714DC6A9}" name="EnvironmentSatisfaction"/>
    <tableColumn id="11" xr3:uid="{935F20FC-8E58-45C0-9BE8-9A0FE374AF6F}" name="Gender"/>
    <tableColumn id="12" xr3:uid="{BFBE2B40-8A97-4B52-A1C7-A6E403CF2688}" name="JobInvolvement"/>
    <tableColumn id="13" xr3:uid="{92751BFD-E743-4BA2-996C-6C1C7FC84666}" name="JobLevel"/>
    <tableColumn id="14" xr3:uid="{27AE6363-D9BD-4C35-B4FE-2481C926DE1A}" name="JobRole"/>
    <tableColumn id="15" xr3:uid="{C346C28B-1648-4A0D-BCE7-BE71DA52CCE5}" name="JobSatisfaction"/>
    <tableColumn id="16" xr3:uid="{E9AD535D-6A56-4FA5-9CE8-018FA8381366}" name="MaritalStatus"/>
    <tableColumn id="17" xr3:uid="{E8C57DF1-06B3-44AA-8260-8069D57EF5C1}" name="MonthlyIncome"/>
    <tableColumn id="18" xr3:uid="{087C1B9D-93C4-4571-B1F7-C369F79C1D2E}" name="NumCompaniesWorked"/>
    <tableColumn id="20" xr3:uid="{8997C832-BC54-4D61-80C5-183DEC251C04}" name="OverTime"/>
    <tableColumn id="21" xr3:uid="{ABDA92E5-100B-491F-ABBA-5DD3EB06B1A0}" name="PercentSalaryHike"/>
    <tableColumn id="22" xr3:uid="{D12610A2-95F4-4A7A-A2FA-68D26D350D58}" name="PerformanceRating"/>
    <tableColumn id="23" xr3:uid="{18CC5809-427A-485A-AA41-E6EC24B7D48B}" name="RelationshipSatisfaction"/>
    <tableColumn id="24" xr3:uid="{12338770-A945-435F-BC7A-C28AB79BC4DE}" name="StockOptionLevel"/>
    <tableColumn id="25" xr3:uid="{5311B7B0-EEAC-4A6E-B784-9AAA4621240B}" name="TotalWorkingYears"/>
    <tableColumn id="26" xr3:uid="{18007743-72A1-45CF-A6BD-91A8E35BC1E7}" name="TrainingTimesLastYear"/>
    <tableColumn id="27" xr3:uid="{808E2386-4D17-4941-B1C3-97F9477A05D0}" name="WorkLifeBalance"/>
    <tableColumn id="28" xr3:uid="{7FD1FC1E-C0F0-434B-B384-7A6778E3BFBD}" name="YearsAtCompany"/>
    <tableColumn id="29" xr3:uid="{9F489090-E088-4120-AD2A-05F7C13D7677}" name="YearsInCurrentRole"/>
    <tableColumn id="30" xr3:uid="{A735E86D-A9DE-4877-BB10-E0AC04663797}" name="YearsSinceLastPromotion"/>
    <tableColumn id="31" xr3:uid="{106DAC38-8D35-4ACB-8EDF-AAEA558E2169}" name="YearsWithCurrManager"/>
    <tableColumn id="32" xr3:uid="{A8F45746-531E-4C1B-970A-659F729CAAFE}" name="Education2">
      <calculatedColumnFormula array="1">_xlfn.IFS(G2=1,"Before College",G2=2,"College",G2=3,"Bachelor",G2=4,"Master",G2=5,"Doctor")</calculatedColumnFormula>
    </tableColumn>
    <tableColumn id="33" xr3:uid="{3064F778-7F14-4E29-8544-18F5A1C3049C}" name="Environment_Satisfaction">
      <calculatedColumnFormula array="1">_xlfn.IFS(J2=1,"Low",J2=2,"Medium",J2=3,"High",J2=4,"Very High")</calculatedColumnFormula>
    </tableColumn>
    <tableColumn id="34" xr3:uid="{5F9A8CC8-9451-43BB-B544-A6700540F630}" name="Job_Involvement">
      <calculatedColumnFormula array="1">_xlfn.IFS(L2=1,"Low",L2=2,"Medium",L2=3,"High",L2=4,"Very High")</calculatedColumnFormula>
    </tableColumn>
    <tableColumn id="35" xr3:uid="{C01A2CD8-BD00-4699-96EE-1B9775B0A9D5}" name="Job_Level">
      <calculatedColumnFormula array="1">_xlfn.IFS(M2=1,"Junior employee",M2=2,"Mid-level",M2=3,"Senior",M2=4,"Manager",M2=5,"Executive")</calculatedColumnFormula>
    </tableColumn>
    <tableColumn id="36" xr3:uid="{E926D95A-E59B-4BF0-9520-7E8BAA6467B2}" name="Job_Satisfaction">
      <calculatedColumnFormula array="1">_xlfn.IFS(O2=1,"Low",O2=2,"Medium",O2=3,"High",O2=4,"Very High")</calculatedColumnFormula>
    </tableColumn>
    <tableColumn id="37" xr3:uid="{8D7EF9DE-9D3B-4E35-8563-5E52735B97ED}" name="Performance_rating">
      <calculatedColumnFormula array="1">_xlfn.IFS(U2=1,"Low",U2=2,"Good",U2=3,"Excellent",U2=4,"Outstanding")</calculatedColumnFormula>
    </tableColumn>
    <tableColumn id="38" xr3:uid="{60162831-29D9-44E4-ACB8-CACE4FA6EC7C}" name="Relationship_Satisfaction">
      <calculatedColumnFormula array="1">_xlfn.IFS(V2=1,"Low",V2=2,"Medium",V2=3,"High",V2=4,"Very High")</calculatedColumnFormula>
    </tableColumn>
    <tableColumn id="39" xr3:uid="{B5A45227-9D3C-4E4C-B616-8B797B3761AC}" name="Worklife_Balance">
      <calculatedColumnFormula array="1">_xlfn.IFS(Z2=1,"Bad",Z2=2,"Good",Z2=3,"Better",Z2=4,"Best")</calculatedColumnFormula>
    </tableColumn>
    <tableColumn id="40" xr3:uid="{C36EFA7B-F82B-46D8-8AE4-A70438879934}" name="Stock_Option">
      <calculatedColumnFormula array="1">_xlfn.IFS(W2=0,"No_stock",W2=1,"Low",W2=2,"Medium",W2=3,"High")</calculatedColumnFormula>
    </tableColumn>
    <tableColumn id="19" xr3:uid="{327729DF-D8CE-4662-8A59-10937B3C8383}" name="Distance_from_home" dataDxfId="0">
      <calculatedColumnFormula>IF(F2&lt;=5,"Near",IF(F2&lt;=15,"Medium","Far"))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3AAC-4B09-47BE-8E04-8AC7464A6E96}">
  <dimension ref="A1:K87"/>
  <sheetViews>
    <sheetView topLeftCell="A71" workbookViewId="0">
      <selection activeCell="H60" sqref="H60"/>
    </sheetView>
  </sheetViews>
  <sheetFormatPr defaultRowHeight="14.25" x14ac:dyDescent="0.45"/>
  <cols>
    <col min="1" max="1" width="22.19921875" bestFit="1" customWidth="1"/>
    <col min="2" max="2" width="14.73046875" bestFit="1" customWidth="1"/>
    <col min="3" max="3" width="15.19921875" bestFit="1" customWidth="1"/>
    <col min="4" max="4" width="12.06640625" bestFit="1" customWidth="1"/>
    <col min="5" max="5" width="23.1328125" bestFit="1" customWidth="1"/>
    <col min="6" max="6" width="13.19921875" bestFit="1" customWidth="1"/>
    <col min="7" max="7" width="14.796875" bestFit="1" customWidth="1"/>
    <col min="8" max="8" width="23.1328125" bestFit="1" customWidth="1"/>
    <col min="9" max="9" width="15.19921875" bestFit="1" customWidth="1"/>
    <col min="10" max="10" width="20.265625" bestFit="1" customWidth="1"/>
    <col min="11" max="11" width="19.796875" bestFit="1" customWidth="1"/>
  </cols>
  <sheetData>
    <row r="1" spans="1:10" x14ac:dyDescent="0.45">
      <c r="A1" s="7" t="s">
        <v>1</v>
      </c>
      <c r="B1" t="s">
        <v>30</v>
      </c>
    </row>
    <row r="3" spans="1:10" x14ac:dyDescent="0.45">
      <c r="A3" s="7" t="s">
        <v>95</v>
      </c>
      <c r="B3" t="s">
        <v>97</v>
      </c>
      <c r="G3" t="s">
        <v>98</v>
      </c>
      <c r="H3" t="s">
        <v>99</v>
      </c>
      <c r="I3" s="7" t="s">
        <v>102</v>
      </c>
      <c r="J3" t="s">
        <v>101</v>
      </c>
    </row>
    <row r="4" spans="1:10" x14ac:dyDescent="0.45">
      <c r="A4" s="8">
        <v>18</v>
      </c>
      <c r="B4">
        <v>4</v>
      </c>
      <c r="G4">
        <v>1470</v>
      </c>
      <c r="H4" s="11">
        <v>6502.931292517007</v>
      </c>
      <c r="I4" s="8" t="s">
        <v>37</v>
      </c>
      <c r="J4">
        <v>1054</v>
      </c>
    </row>
    <row r="5" spans="1:10" x14ac:dyDescent="0.45">
      <c r="A5" s="8">
        <v>19</v>
      </c>
      <c r="B5">
        <v>6</v>
      </c>
      <c r="E5" s="7" t="s">
        <v>1</v>
      </c>
      <c r="F5" t="s">
        <v>30</v>
      </c>
      <c r="I5" s="8" t="s">
        <v>30</v>
      </c>
      <c r="J5">
        <v>416</v>
      </c>
    </row>
    <row r="6" spans="1:10" x14ac:dyDescent="0.45">
      <c r="A6" s="8">
        <v>20</v>
      </c>
      <c r="B6">
        <v>6</v>
      </c>
      <c r="I6" s="8" t="s">
        <v>96</v>
      </c>
      <c r="J6">
        <v>1470</v>
      </c>
    </row>
    <row r="7" spans="1:10" x14ac:dyDescent="0.45">
      <c r="A7" s="8">
        <v>21</v>
      </c>
      <c r="B7">
        <v>6</v>
      </c>
      <c r="E7" s="7" t="s">
        <v>95</v>
      </c>
      <c r="F7" t="s">
        <v>103</v>
      </c>
      <c r="H7" t="s">
        <v>100</v>
      </c>
    </row>
    <row r="8" spans="1:10" x14ac:dyDescent="0.45">
      <c r="A8" s="8">
        <v>22</v>
      </c>
      <c r="B8">
        <v>5</v>
      </c>
      <c r="E8" s="8" t="s">
        <v>55</v>
      </c>
      <c r="F8">
        <v>12</v>
      </c>
      <c r="H8" s="6">
        <f>COUNTIF(Table1[Attrition]:Table1[Attrition],"Yes")/COUNTA(Table1[Attrition]:Table1[Attrition])</f>
        <v>0.16122448979591836</v>
      </c>
      <c r="I8" s="6"/>
    </row>
    <row r="9" spans="1:10" x14ac:dyDescent="0.45">
      <c r="A9" s="8">
        <v>23</v>
      </c>
      <c r="B9">
        <v>4</v>
      </c>
      <c r="E9" s="8" t="s">
        <v>39</v>
      </c>
      <c r="F9">
        <v>133</v>
      </c>
      <c r="H9" s="7" t="s">
        <v>1</v>
      </c>
      <c r="I9" t="s">
        <v>30</v>
      </c>
    </row>
    <row r="10" spans="1:10" x14ac:dyDescent="0.45">
      <c r="A10" s="8">
        <v>24</v>
      </c>
      <c r="B10">
        <v>7</v>
      </c>
      <c r="E10" s="8" t="s">
        <v>32</v>
      </c>
      <c r="F10">
        <v>92</v>
      </c>
    </row>
    <row r="11" spans="1:10" x14ac:dyDescent="0.45">
      <c r="A11" s="8">
        <v>25</v>
      </c>
      <c r="B11">
        <v>6</v>
      </c>
      <c r="E11" s="8" t="s">
        <v>96</v>
      </c>
      <c r="F11">
        <v>237</v>
      </c>
      <c r="H11" s="7" t="s">
        <v>95</v>
      </c>
      <c r="I11" t="s">
        <v>97</v>
      </c>
    </row>
    <row r="12" spans="1:10" x14ac:dyDescent="0.45">
      <c r="A12" s="8">
        <v>26</v>
      </c>
      <c r="B12">
        <v>12</v>
      </c>
      <c r="H12" s="8" t="s">
        <v>48</v>
      </c>
      <c r="I12">
        <v>9</v>
      </c>
    </row>
    <row r="13" spans="1:10" x14ac:dyDescent="0.45">
      <c r="A13" s="8">
        <v>27</v>
      </c>
      <c r="B13">
        <v>3</v>
      </c>
      <c r="G13" t="s">
        <v>118</v>
      </c>
      <c r="H13" s="8" t="s">
        <v>55</v>
      </c>
      <c r="I13">
        <v>12</v>
      </c>
    </row>
    <row r="14" spans="1:10" x14ac:dyDescent="0.45">
      <c r="A14" s="8">
        <v>28</v>
      </c>
      <c r="B14">
        <v>14</v>
      </c>
      <c r="G14" s="12">
        <v>36.923809523809524</v>
      </c>
      <c r="H14" s="8" t="s">
        <v>44</v>
      </c>
      <c r="I14">
        <v>62</v>
      </c>
    </row>
    <row r="15" spans="1:10" x14ac:dyDescent="0.45">
      <c r="A15" s="8">
        <v>29</v>
      </c>
      <c r="B15">
        <v>18</v>
      </c>
      <c r="D15" s="7" t="s">
        <v>95</v>
      </c>
      <c r="E15" t="s">
        <v>99</v>
      </c>
      <c r="H15" s="8" t="s">
        <v>50</v>
      </c>
      <c r="I15">
        <v>5</v>
      </c>
    </row>
    <row r="16" spans="1:10" x14ac:dyDescent="0.45">
      <c r="A16" s="8">
        <v>30</v>
      </c>
      <c r="B16">
        <v>9</v>
      </c>
      <c r="D16" s="8" t="s">
        <v>114</v>
      </c>
      <c r="E16" s="11">
        <v>19191.82608695652</v>
      </c>
      <c r="H16" s="8" t="s">
        <v>47</v>
      </c>
      <c r="I16">
        <v>10</v>
      </c>
    </row>
    <row r="17" spans="1:9" x14ac:dyDescent="0.45">
      <c r="A17" s="8">
        <v>31</v>
      </c>
      <c r="B17">
        <v>18</v>
      </c>
      <c r="D17" s="8" t="s">
        <v>115</v>
      </c>
      <c r="E17" s="11">
        <v>2786.9152854511972</v>
      </c>
      <c r="H17" s="8" t="s">
        <v>52</v>
      </c>
      <c r="I17">
        <v>2</v>
      </c>
    </row>
    <row r="18" spans="1:9" x14ac:dyDescent="0.45">
      <c r="A18" s="8">
        <v>32</v>
      </c>
      <c r="B18">
        <v>11</v>
      </c>
      <c r="D18" s="8" t="s">
        <v>50</v>
      </c>
      <c r="E18" s="11">
        <v>15503.783018867925</v>
      </c>
      <c r="H18" s="8" t="s">
        <v>41</v>
      </c>
      <c r="I18">
        <v>47</v>
      </c>
    </row>
    <row r="19" spans="1:9" x14ac:dyDescent="0.45">
      <c r="A19" s="8">
        <v>33</v>
      </c>
      <c r="B19">
        <v>12</v>
      </c>
      <c r="D19" s="8" t="s">
        <v>116</v>
      </c>
      <c r="E19" s="11">
        <v>5502.2771535580523</v>
      </c>
      <c r="H19" s="8" t="s">
        <v>35</v>
      </c>
      <c r="I19">
        <v>57</v>
      </c>
    </row>
    <row r="20" spans="1:9" x14ac:dyDescent="0.45">
      <c r="A20" s="8">
        <v>34</v>
      </c>
      <c r="B20">
        <v>9</v>
      </c>
      <c r="D20" s="8" t="s">
        <v>117</v>
      </c>
      <c r="E20" s="11">
        <v>9817.2522935779816</v>
      </c>
      <c r="H20" s="8" t="s">
        <v>51</v>
      </c>
      <c r="I20">
        <v>33</v>
      </c>
    </row>
    <row r="21" spans="1:9" x14ac:dyDescent="0.45">
      <c r="A21" s="8">
        <v>35</v>
      </c>
      <c r="B21">
        <v>10</v>
      </c>
      <c r="H21" s="8" t="s">
        <v>96</v>
      </c>
      <c r="I21">
        <v>237</v>
      </c>
    </row>
    <row r="22" spans="1:9" x14ac:dyDescent="0.45">
      <c r="A22" s="8">
        <v>36</v>
      </c>
      <c r="B22">
        <v>6</v>
      </c>
    </row>
    <row r="23" spans="1:9" x14ac:dyDescent="0.45">
      <c r="A23" s="8">
        <v>37</v>
      </c>
      <c r="B23">
        <v>6</v>
      </c>
    </row>
    <row r="24" spans="1:9" x14ac:dyDescent="0.45">
      <c r="A24" s="8">
        <v>38</v>
      </c>
      <c r="B24">
        <v>2</v>
      </c>
    </row>
    <row r="25" spans="1:9" x14ac:dyDescent="0.45">
      <c r="A25" s="8">
        <v>39</v>
      </c>
      <c r="B25">
        <v>6</v>
      </c>
    </row>
    <row r="26" spans="1:9" x14ac:dyDescent="0.45">
      <c r="A26" s="8">
        <v>40</v>
      </c>
      <c r="B26">
        <v>5</v>
      </c>
    </row>
    <row r="27" spans="1:9" x14ac:dyDescent="0.45">
      <c r="A27" s="8">
        <v>41</v>
      </c>
      <c r="B27">
        <v>6</v>
      </c>
    </row>
    <row r="28" spans="1:9" x14ac:dyDescent="0.45">
      <c r="A28" s="8">
        <v>42</v>
      </c>
      <c r="B28">
        <v>2</v>
      </c>
    </row>
    <row r="29" spans="1:9" x14ac:dyDescent="0.45">
      <c r="A29" s="8">
        <v>43</v>
      </c>
      <c r="B29">
        <v>2</v>
      </c>
    </row>
    <row r="30" spans="1:9" x14ac:dyDescent="0.45">
      <c r="A30" s="8">
        <v>44</v>
      </c>
      <c r="B30">
        <v>6</v>
      </c>
    </row>
    <row r="31" spans="1:9" x14ac:dyDescent="0.45">
      <c r="A31" s="8">
        <v>45</v>
      </c>
      <c r="B31">
        <v>2</v>
      </c>
    </row>
    <row r="32" spans="1:9" x14ac:dyDescent="0.45">
      <c r="A32" s="8">
        <v>46</v>
      </c>
      <c r="B32">
        <v>4</v>
      </c>
    </row>
    <row r="33" spans="1:11" x14ac:dyDescent="0.45">
      <c r="A33" s="8">
        <v>47</v>
      </c>
      <c r="B33">
        <v>3</v>
      </c>
    </row>
    <row r="34" spans="1:11" x14ac:dyDescent="0.45">
      <c r="A34" s="8">
        <v>48</v>
      </c>
      <c r="B34">
        <v>2</v>
      </c>
    </row>
    <row r="35" spans="1:11" x14ac:dyDescent="0.45">
      <c r="A35" s="8">
        <v>49</v>
      </c>
      <c r="B35">
        <v>2</v>
      </c>
    </row>
    <row r="36" spans="1:11" x14ac:dyDescent="0.45">
      <c r="A36" s="8">
        <v>50</v>
      </c>
      <c r="B36">
        <v>5</v>
      </c>
    </row>
    <row r="37" spans="1:11" x14ac:dyDescent="0.45">
      <c r="A37" s="8">
        <v>51</v>
      </c>
      <c r="B37">
        <v>2</v>
      </c>
    </row>
    <row r="38" spans="1:11" x14ac:dyDescent="0.45">
      <c r="A38" s="8">
        <v>52</v>
      </c>
      <c r="B38">
        <v>3</v>
      </c>
    </row>
    <row r="39" spans="1:11" x14ac:dyDescent="0.45">
      <c r="A39" s="8">
        <v>53</v>
      </c>
      <c r="B39">
        <v>2</v>
      </c>
    </row>
    <row r="40" spans="1:11" x14ac:dyDescent="0.45">
      <c r="A40" s="8">
        <v>55</v>
      </c>
      <c r="B40">
        <v>3</v>
      </c>
    </row>
    <row r="41" spans="1:11" x14ac:dyDescent="0.45">
      <c r="A41" s="8">
        <v>56</v>
      </c>
      <c r="B41">
        <v>3</v>
      </c>
    </row>
    <row r="42" spans="1:11" x14ac:dyDescent="0.45">
      <c r="A42" s="8">
        <v>58</v>
      </c>
      <c r="B42">
        <v>5</v>
      </c>
      <c r="E42" s="7" t="s">
        <v>97</v>
      </c>
      <c r="F42" s="7" t="s">
        <v>104</v>
      </c>
    </row>
    <row r="43" spans="1:11" x14ac:dyDescent="0.45">
      <c r="A43" s="8" t="s">
        <v>96</v>
      </c>
      <c r="B43">
        <v>237</v>
      </c>
      <c r="E43" s="7" t="s">
        <v>105</v>
      </c>
      <c r="F43" t="s">
        <v>37</v>
      </c>
      <c r="G43" t="s">
        <v>30</v>
      </c>
    </row>
    <row r="44" spans="1:11" x14ac:dyDescent="0.45">
      <c r="E44" s="8" t="s">
        <v>37</v>
      </c>
      <c r="F44" s="10">
        <v>0.89563567362428842</v>
      </c>
      <c r="G44" s="10">
        <v>0.10436432637571158</v>
      </c>
    </row>
    <row r="45" spans="1:11" x14ac:dyDescent="0.45">
      <c r="E45" s="8" t="s">
        <v>30</v>
      </c>
      <c r="F45" s="10">
        <v>0.69471153846153844</v>
      </c>
      <c r="G45" s="10">
        <v>0.30528846153846156</v>
      </c>
    </row>
    <row r="47" spans="1:11" x14ac:dyDescent="0.45">
      <c r="K47" s="9"/>
    </row>
    <row r="48" spans="1:11" x14ac:dyDescent="0.45">
      <c r="K48" s="9"/>
    </row>
    <row r="49" spans="2:8" x14ac:dyDescent="0.45">
      <c r="E49" s="7" t="s">
        <v>1</v>
      </c>
      <c r="F49" t="s">
        <v>30</v>
      </c>
    </row>
    <row r="51" spans="2:8" x14ac:dyDescent="0.45">
      <c r="E51" s="7" t="s">
        <v>95</v>
      </c>
      <c r="F51" t="s">
        <v>97</v>
      </c>
    </row>
    <row r="52" spans="2:8" x14ac:dyDescent="0.45">
      <c r="E52" s="8" t="s">
        <v>106</v>
      </c>
      <c r="F52">
        <v>25</v>
      </c>
    </row>
    <row r="53" spans="2:8" x14ac:dyDescent="0.45">
      <c r="E53" s="8" t="s">
        <v>107</v>
      </c>
      <c r="F53">
        <v>27</v>
      </c>
    </row>
    <row r="54" spans="2:8" x14ac:dyDescent="0.45">
      <c r="B54" s="7" t="s">
        <v>1</v>
      </c>
      <c r="C54" t="s">
        <v>30</v>
      </c>
      <c r="E54" s="8" t="s">
        <v>108</v>
      </c>
      <c r="F54">
        <v>127</v>
      </c>
    </row>
    <row r="55" spans="2:8" x14ac:dyDescent="0.45">
      <c r="E55" s="8" t="s">
        <v>109</v>
      </c>
      <c r="F55">
        <v>58</v>
      </c>
    </row>
    <row r="56" spans="2:8" x14ac:dyDescent="0.45">
      <c r="B56" s="7" t="s">
        <v>95</v>
      </c>
      <c r="C56" t="s">
        <v>97</v>
      </c>
      <c r="E56" s="8" t="s">
        <v>96</v>
      </c>
      <c r="F56">
        <v>237</v>
      </c>
    </row>
    <row r="57" spans="2:8" x14ac:dyDescent="0.45">
      <c r="B57" s="8" t="s">
        <v>113</v>
      </c>
      <c r="C57">
        <v>68</v>
      </c>
    </row>
    <row r="58" spans="2:8" x14ac:dyDescent="0.45">
      <c r="B58" s="8" t="s">
        <v>112</v>
      </c>
      <c r="C58">
        <v>82</v>
      </c>
    </row>
    <row r="59" spans="2:8" x14ac:dyDescent="0.45">
      <c r="B59" s="8" t="s">
        <v>111</v>
      </c>
      <c r="C59">
        <v>87</v>
      </c>
      <c r="G59" s="7" t="s">
        <v>95</v>
      </c>
      <c r="H59" t="s">
        <v>98</v>
      </c>
    </row>
    <row r="60" spans="2:8" x14ac:dyDescent="0.45">
      <c r="B60" s="8" t="s">
        <v>96</v>
      </c>
      <c r="C60">
        <v>237</v>
      </c>
      <c r="G60" s="8" t="s">
        <v>33</v>
      </c>
      <c r="H60" s="10">
        <v>0.41224489795918368</v>
      </c>
    </row>
    <row r="61" spans="2:8" x14ac:dyDescent="0.45">
      <c r="G61" s="8" t="s">
        <v>45</v>
      </c>
      <c r="H61" s="10">
        <v>0.31564625850340133</v>
      </c>
    </row>
    <row r="62" spans="2:8" x14ac:dyDescent="0.45">
      <c r="G62" s="8" t="s">
        <v>53</v>
      </c>
      <c r="H62" s="10">
        <v>0.10816326530612246</v>
      </c>
    </row>
    <row r="63" spans="2:8" x14ac:dyDescent="0.45">
      <c r="G63" s="8" t="s">
        <v>54</v>
      </c>
      <c r="H63" s="10">
        <v>8.9795918367346933E-2</v>
      </c>
    </row>
    <row r="64" spans="2:8" x14ac:dyDescent="0.45">
      <c r="G64" s="8" t="s">
        <v>43</v>
      </c>
      <c r="H64" s="10">
        <v>5.5782312925170066E-2</v>
      </c>
    </row>
    <row r="65" spans="1:8" x14ac:dyDescent="0.45">
      <c r="B65" s="7" t="s">
        <v>104</v>
      </c>
      <c r="G65" s="8" t="s">
        <v>55</v>
      </c>
      <c r="H65" s="10">
        <v>1.8367346938775512E-2</v>
      </c>
    </row>
    <row r="66" spans="1:8" x14ac:dyDescent="0.45">
      <c r="B66" t="s">
        <v>30</v>
      </c>
    </row>
    <row r="67" spans="1:8" x14ac:dyDescent="0.45">
      <c r="A67" t="s">
        <v>98</v>
      </c>
      <c r="B67">
        <v>237</v>
      </c>
    </row>
    <row r="68" spans="1:8" x14ac:dyDescent="0.45">
      <c r="B68" s="6">
        <f>B67/G4</f>
        <v>0.16122448979591836</v>
      </c>
      <c r="D68" s="7" t="s">
        <v>1</v>
      </c>
      <c r="E68" t="s">
        <v>30</v>
      </c>
    </row>
    <row r="70" spans="1:8" x14ac:dyDescent="0.45">
      <c r="D70" s="7" t="s">
        <v>95</v>
      </c>
      <c r="E70" t="s">
        <v>98</v>
      </c>
    </row>
    <row r="71" spans="1:8" x14ac:dyDescent="0.45">
      <c r="D71" s="8" t="s">
        <v>106</v>
      </c>
      <c r="E71">
        <v>25</v>
      </c>
    </row>
    <row r="72" spans="1:8" x14ac:dyDescent="0.45">
      <c r="D72" s="8" t="s">
        <v>109</v>
      </c>
      <c r="E72">
        <v>58</v>
      </c>
    </row>
    <row r="73" spans="1:8" x14ac:dyDescent="0.45">
      <c r="D73" s="8" t="s">
        <v>108</v>
      </c>
      <c r="E73">
        <v>127</v>
      </c>
    </row>
    <row r="74" spans="1:8" x14ac:dyDescent="0.45">
      <c r="D74" s="8" t="s">
        <v>107</v>
      </c>
      <c r="E74">
        <v>27</v>
      </c>
    </row>
    <row r="75" spans="1:8" x14ac:dyDescent="0.45">
      <c r="D75" s="8" t="s">
        <v>96</v>
      </c>
      <c r="E75">
        <v>237</v>
      </c>
    </row>
    <row r="84" spans="3:4" x14ac:dyDescent="0.45">
      <c r="C84" s="7" t="s">
        <v>97</v>
      </c>
      <c r="D84" s="7" t="s">
        <v>104</v>
      </c>
    </row>
    <row r="85" spans="3:4" x14ac:dyDescent="0.45">
      <c r="C85" s="7" t="s">
        <v>105</v>
      </c>
      <c r="D85" t="s">
        <v>30</v>
      </c>
    </row>
    <row r="86" spans="3:4" x14ac:dyDescent="0.45">
      <c r="C86" s="8" t="s">
        <v>37</v>
      </c>
      <c r="D86" s="10">
        <v>1</v>
      </c>
    </row>
    <row r="87" spans="3:4" x14ac:dyDescent="0.45">
      <c r="C87" s="8" t="s">
        <v>30</v>
      </c>
      <c r="D87" s="10">
        <v>1</v>
      </c>
    </row>
  </sheetData>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2D58A-3A49-4A47-907B-D66244B7EDAC}">
  <dimension ref="A1:AN1471"/>
  <sheetViews>
    <sheetView topLeftCell="AF1" workbookViewId="0">
      <selection activeCell="AN2" sqref="AN2"/>
    </sheetView>
  </sheetViews>
  <sheetFormatPr defaultRowHeight="14.25" x14ac:dyDescent="0.45"/>
  <cols>
    <col min="1" max="1" width="5.73046875" customWidth="1"/>
    <col min="2" max="2" width="9.53125" customWidth="1"/>
    <col min="3" max="3" width="14.9296875" bestFit="1" customWidth="1"/>
    <col min="4" max="4" width="10.265625" customWidth="1"/>
    <col min="5" max="5" width="20.73046875" bestFit="1" customWidth="1"/>
    <col min="6" max="6" width="18.59765625" customWidth="1"/>
    <col min="7" max="7" width="11" bestFit="1" customWidth="1"/>
    <col min="8" max="8" width="14.796875" bestFit="1" customWidth="1"/>
    <col min="9" max="9" width="17.33203125" customWidth="1"/>
    <col min="10" max="10" width="22.53125" customWidth="1"/>
    <col min="11" max="11" width="20.06640625" bestFit="1" customWidth="1"/>
    <col min="12" max="12" width="15.73046875" customWidth="1"/>
    <col min="13" max="13" width="9.59765625" customWidth="1"/>
    <col min="14" max="14" width="13.1328125" bestFit="1" customWidth="1"/>
    <col min="15" max="15" width="14.796875" customWidth="1"/>
    <col min="16" max="16" width="21.73046875" bestFit="1" customWidth="1"/>
    <col min="17" max="17" width="15.59765625" customWidth="1"/>
    <col min="18" max="18" width="22" customWidth="1"/>
    <col min="19" max="19" width="13.19921875" bestFit="1" customWidth="1"/>
    <col min="20" max="20" width="11" bestFit="1" customWidth="1"/>
    <col min="21" max="21" width="19.46484375" bestFit="1" customWidth="1"/>
    <col min="22" max="22" width="18.1328125" customWidth="1"/>
    <col min="23" max="23" width="22.1328125" customWidth="1"/>
    <col min="24" max="24" width="16.86328125" customWidth="1"/>
    <col min="25" max="25" width="17.9296875" customWidth="1"/>
    <col min="26" max="26" width="20.73046875" customWidth="1"/>
    <col min="27" max="27" width="16.1328125" customWidth="1"/>
    <col min="28" max="28" width="16.53125" customWidth="1"/>
    <col min="29" max="29" width="18.33203125" customWidth="1"/>
    <col min="30" max="30" width="23.1328125" customWidth="1"/>
    <col min="31" max="31" width="21.53125" customWidth="1"/>
    <col min="32" max="32" width="14.1328125" bestFit="1" customWidth="1"/>
    <col min="33" max="33" width="23.46484375" customWidth="1"/>
    <col min="34" max="34" width="20.59765625" bestFit="1" customWidth="1"/>
    <col min="35" max="35" width="19.33203125" bestFit="1" customWidth="1"/>
    <col min="36" max="36" width="15.73046875" customWidth="1"/>
    <col min="37" max="37" width="18.6640625" customWidth="1"/>
    <col min="38" max="38" width="23.06640625" customWidth="1"/>
    <col min="39" max="39" width="16.73046875" customWidth="1"/>
    <col min="40" max="40" width="16.265625" bestFit="1" customWidth="1"/>
  </cols>
  <sheetData>
    <row r="1" spans="1:40" x14ac:dyDescent="0.45">
      <c r="A1" t="s">
        <v>0</v>
      </c>
      <c r="B1" t="s">
        <v>1</v>
      </c>
      <c r="C1" t="s">
        <v>2</v>
      </c>
      <c r="D1" t="s">
        <v>3</v>
      </c>
      <c r="E1" t="s">
        <v>4</v>
      </c>
      <c r="F1" t="s">
        <v>5</v>
      </c>
      <c r="G1" s="4" t="s">
        <v>6</v>
      </c>
      <c r="H1" t="s">
        <v>7</v>
      </c>
      <c r="I1" t="s">
        <v>8</v>
      </c>
      <c r="J1" s="5" t="s">
        <v>9</v>
      </c>
      <c r="K1" t="s">
        <v>10</v>
      </c>
      <c r="L1" s="5" t="s">
        <v>11</v>
      </c>
      <c r="M1" t="s">
        <v>12</v>
      </c>
      <c r="N1" t="s">
        <v>13</v>
      </c>
      <c r="O1" s="5" t="s">
        <v>14</v>
      </c>
      <c r="P1" t="s">
        <v>15</v>
      </c>
      <c r="Q1" t="s">
        <v>16</v>
      </c>
      <c r="R1" t="s">
        <v>17</v>
      </c>
      <c r="S1" t="s">
        <v>18</v>
      </c>
      <c r="T1" s="6" t="s">
        <v>19</v>
      </c>
      <c r="U1" s="5" t="s">
        <v>20</v>
      </c>
      <c r="V1" s="5" t="s">
        <v>21</v>
      </c>
      <c r="W1" t="s">
        <v>22</v>
      </c>
      <c r="X1" t="s">
        <v>23</v>
      </c>
      <c r="Y1" t="s">
        <v>24</v>
      </c>
      <c r="Z1" s="5" t="s">
        <v>25</v>
      </c>
      <c r="AA1" t="s">
        <v>26</v>
      </c>
      <c r="AB1" t="s">
        <v>27</v>
      </c>
      <c r="AC1" t="s">
        <v>28</v>
      </c>
      <c r="AD1" t="s">
        <v>29</v>
      </c>
      <c r="AE1" t="s">
        <v>94</v>
      </c>
      <c r="AF1" t="s">
        <v>86</v>
      </c>
      <c r="AG1" t="s">
        <v>87</v>
      </c>
      <c r="AH1" t="s">
        <v>88</v>
      </c>
      <c r="AI1" t="s">
        <v>89</v>
      </c>
      <c r="AJ1" t="s">
        <v>90</v>
      </c>
      <c r="AK1" t="s">
        <v>91</v>
      </c>
      <c r="AL1" t="s">
        <v>92</v>
      </c>
      <c r="AM1" t="s">
        <v>93</v>
      </c>
      <c r="AN1" t="s">
        <v>110</v>
      </c>
    </row>
    <row r="2" spans="1:40" x14ac:dyDescent="0.45">
      <c r="A2">
        <v>41</v>
      </c>
      <c r="B2" t="s">
        <v>30</v>
      </c>
      <c r="C2" t="s">
        <v>31</v>
      </c>
      <c r="D2">
        <v>1102</v>
      </c>
      <c r="E2" t="s">
        <v>32</v>
      </c>
      <c r="F2">
        <v>1</v>
      </c>
      <c r="G2">
        <v>2</v>
      </c>
      <c r="H2" t="s">
        <v>33</v>
      </c>
      <c r="I2">
        <v>1</v>
      </c>
      <c r="J2">
        <v>2</v>
      </c>
      <c r="K2" t="s">
        <v>34</v>
      </c>
      <c r="L2">
        <v>3</v>
      </c>
      <c r="M2">
        <v>2</v>
      </c>
      <c r="N2" t="s">
        <v>35</v>
      </c>
      <c r="O2">
        <v>4</v>
      </c>
      <c r="P2" t="s">
        <v>36</v>
      </c>
      <c r="Q2">
        <v>5993</v>
      </c>
      <c r="R2">
        <v>8</v>
      </c>
      <c r="S2" t="s">
        <v>30</v>
      </c>
      <c r="T2">
        <v>11</v>
      </c>
      <c r="U2">
        <v>3</v>
      </c>
      <c r="V2">
        <v>1</v>
      </c>
      <c r="W2">
        <v>0</v>
      </c>
      <c r="X2">
        <v>8</v>
      </c>
      <c r="Y2">
        <v>0</v>
      </c>
      <c r="Z2">
        <v>1</v>
      </c>
      <c r="AA2">
        <v>6</v>
      </c>
      <c r="AB2">
        <v>4</v>
      </c>
      <c r="AC2">
        <v>0</v>
      </c>
      <c r="AD2">
        <v>5</v>
      </c>
      <c r="AE2" t="str" cm="1">
        <f t="array" ref="AE2">_xlfn.IFS(G2=1,"Before College",G2=2,"College",G2=3,"Bachelor",G2=4,"Master",G2=5,"Doctor")</f>
        <v>College</v>
      </c>
      <c r="AF2" t="str" cm="1">
        <f t="array" ref="AF2">_xlfn.IFS(J2=1,"Low",J2=2,"Medium",J2=3,"High",J2=4,"Very High")</f>
        <v>Medium</v>
      </c>
      <c r="AG2" t="str" cm="1">
        <f t="array" ref="AG2">_xlfn.IFS(L2=1,"Low",L2=2,"Medium",L2=3,"High",L2=4,"Very High")</f>
        <v>High</v>
      </c>
      <c r="AH2" t="str" cm="1">
        <f t="array" ref="AH2">_xlfn.IFS(M2=1,"Junior employee",M2=2,"Mid-level",M2=3,"Senior",M2=4,"Manager",M2=5,"Executive")</f>
        <v>Mid-level</v>
      </c>
      <c r="AI2" t="str" cm="1">
        <f t="array" ref="AI2">_xlfn.IFS(O2=1,"Low",O2=2,"Medium",O2=3,"High",O2=4,"Very High")</f>
        <v>Very High</v>
      </c>
      <c r="AJ2" t="str" cm="1">
        <f t="array" ref="AJ2">_xlfn.IFS(U2=1,"Low",U2=2,"Good",U2=3,"Excellent",U2=4,"Outstanding")</f>
        <v>Excellent</v>
      </c>
      <c r="AK2" t="str" cm="1">
        <f t="array" ref="AK2">_xlfn.IFS(V2=1,"Low",V2=2,"Medium",V2=3,"High",V2=4,"Very High")</f>
        <v>Low</v>
      </c>
      <c r="AL2" t="str" cm="1">
        <f t="array" ref="AL2">_xlfn.IFS(Z2=1,"Bad",Z2=2,"Good",Z2=3,"Better",Z2=4,"Best")</f>
        <v>Bad</v>
      </c>
      <c r="AM2" t="str" cm="1">
        <f t="array" ref="AM2">_xlfn.IFS(W2=0,"No_stock",W2=1,"Low",W2=2,"Medium",W2=3,"High")</f>
        <v>No_stock</v>
      </c>
      <c r="AN2" t="str">
        <f t="shared" ref="AN2:AN65" si="0">IF(F2&lt;=5,"Near",IF(F2&lt;=15,"Medium","Far"))</f>
        <v>Near</v>
      </c>
    </row>
    <row r="3" spans="1:40" x14ac:dyDescent="0.45">
      <c r="A3">
        <v>49</v>
      </c>
      <c r="B3" t="s">
        <v>37</v>
      </c>
      <c r="C3" t="s">
        <v>38</v>
      </c>
      <c r="D3">
        <v>279</v>
      </c>
      <c r="E3" t="s">
        <v>39</v>
      </c>
      <c r="F3">
        <v>8</v>
      </c>
      <c r="G3">
        <v>1</v>
      </c>
      <c r="H3" t="s">
        <v>33</v>
      </c>
      <c r="I3">
        <v>2</v>
      </c>
      <c r="J3">
        <v>3</v>
      </c>
      <c r="K3" t="s">
        <v>40</v>
      </c>
      <c r="L3">
        <v>2</v>
      </c>
      <c r="M3">
        <v>2</v>
      </c>
      <c r="N3" t="s">
        <v>41</v>
      </c>
      <c r="O3">
        <v>2</v>
      </c>
      <c r="P3" t="s">
        <v>42</v>
      </c>
      <c r="Q3">
        <v>5130</v>
      </c>
      <c r="R3">
        <v>1</v>
      </c>
      <c r="S3" t="s">
        <v>37</v>
      </c>
      <c r="T3">
        <v>23</v>
      </c>
      <c r="U3">
        <v>4</v>
      </c>
      <c r="V3">
        <v>4</v>
      </c>
      <c r="W3">
        <v>1</v>
      </c>
      <c r="X3">
        <v>10</v>
      </c>
      <c r="Y3">
        <v>3</v>
      </c>
      <c r="Z3">
        <v>3</v>
      </c>
      <c r="AA3">
        <v>10</v>
      </c>
      <c r="AB3">
        <v>7</v>
      </c>
      <c r="AC3">
        <v>1</v>
      </c>
      <c r="AD3">
        <v>7</v>
      </c>
      <c r="AE3" t="str" cm="1">
        <f t="array" ref="AE3">_xlfn.IFS(G3=1,"Before College",G3=2,"College",G3=3,"Bachelor",G3=4,"Master",G3=5,"Doctor")</f>
        <v>Before College</v>
      </c>
      <c r="AF3" t="str" cm="1">
        <f t="array" ref="AF3">_xlfn.IFS(J3=1,"Low",J3=2,"Medium",J3=3,"High",J3=4,"Very High")</f>
        <v>High</v>
      </c>
      <c r="AG3" t="str" cm="1">
        <f t="array" ref="AG3">_xlfn.IFS(L3=1,"Low",L3=2,"Medium",L3=3,"High",L3=4,"Very High")</f>
        <v>Medium</v>
      </c>
      <c r="AH3" t="str" cm="1">
        <f t="array" ref="AH3">_xlfn.IFS(M3=1,"Junior employee",M3=2,"Mid-level",M3=3,"Senior",M3=4,"Manager",M3=5,"Executive")</f>
        <v>Mid-level</v>
      </c>
      <c r="AI3" t="str" cm="1">
        <f t="array" ref="AI3">_xlfn.IFS(O3=1,"Low",O3=2,"Medium",O3=3,"High",O3=4,"Very High")</f>
        <v>Medium</v>
      </c>
      <c r="AJ3" t="str" cm="1">
        <f t="array" ref="AJ3">_xlfn.IFS(U3=1,"Low",U3=2,"Good",U3=3,"Excellent",U3=4,"Outstanding")</f>
        <v>Outstanding</v>
      </c>
      <c r="AK3" t="str" cm="1">
        <f t="array" ref="AK3">_xlfn.IFS(V3=1,"Low",V3=2,"Medium",V3=3,"High",V3=4,"Very High")</f>
        <v>Very High</v>
      </c>
      <c r="AL3" t="str" cm="1">
        <f t="array" ref="AL3">_xlfn.IFS(Z3=1,"Bad",Z3=2,"Good",Z3=3,"Better",Z3=4,"Best")</f>
        <v>Better</v>
      </c>
      <c r="AM3" t="str" cm="1">
        <f t="array" ref="AM3">_xlfn.IFS(W3=0,"No_stock",W3=1,"Low",W3=2,"Medium",W3=3,"High")</f>
        <v>Low</v>
      </c>
      <c r="AN3" t="str">
        <f t="shared" si="0"/>
        <v>Medium</v>
      </c>
    </row>
    <row r="4" spans="1:40" x14ac:dyDescent="0.45">
      <c r="A4">
        <v>37</v>
      </c>
      <c r="B4" t="s">
        <v>30</v>
      </c>
      <c r="C4" t="s">
        <v>31</v>
      </c>
      <c r="D4">
        <v>1373</v>
      </c>
      <c r="E4" t="s">
        <v>39</v>
      </c>
      <c r="F4">
        <v>2</v>
      </c>
      <c r="G4">
        <v>2</v>
      </c>
      <c r="H4" t="s">
        <v>43</v>
      </c>
      <c r="I4">
        <v>4</v>
      </c>
      <c r="J4">
        <v>4</v>
      </c>
      <c r="K4" t="s">
        <v>40</v>
      </c>
      <c r="L4">
        <v>2</v>
      </c>
      <c r="M4">
        <v>1</v>
      </c>
      <c r="N4" t="s">
        <v>44</v>
      </c>
      <c r="O4">
        <v>3</v>
      </c>
      <c r="P4" t="s">
        <v>36</v>
      </c>
      <c r="Q4">
        <v>2090</v>
      </c>
      <c r="R4">
        <v>6</v>
      </c>
      <c r="S4" t="s">
        <v>30</v>
      </c>
      <c r="T4">
        <v>15</v>
      </c>
      <c r="U4">
        <v>3</v>
      </c>
      <c r="V4">
        <v>2</v>
      </c>
      <c r="W4">
        <v>0</v>
      </c>
      <c r="X4">
        <v>7</v>
      </c>
      <c r="Y4">
        <v>3</v>
      </c>
      <c r="Z4">
        <v>3</v>
      </c>
      <c r="AA4">
        <v>0</v>
      </c>
      <c r="AB4">
        <v>0</v>
      </c>
      <c r="AC4">
        <v>0</v>
      </c>
      <c r="AD4">
        <v>0</v>
      </c>
      <c r="AE4" t="str" cm="1">
        <f t="array" ref="AE4">_xlfn.IFS(G4=1,"Before College",G4=2,"College",G4=3,"Bachelor",G4=4,"Master",G4=5,"Doctor")</f>
        <v>College</v>
      </c>
      <c r="AF4" t="str" cm="1">
        <f t="array" ref="AF4">_xlfn.IFS(J4=1,"Low",J4=2,"Medium",J4=3,"High",J4=4,"Very High")</f>
        <v>Very High</v>
      </c>
      <c r="AG4" t="str" cm="1">
        <f t="array" ref="AG4">_xlfn.IFS(L4=1,"Low",L4=2,"Medium",L4=3,"High",L4=4,"Very High")</f>
        <v>Medium</v>
      </c>
      <c r="AH4" t="str" cm="1">
        <f t="array" ref="AH4">_xlfn.IFS(M4=1,"Junior employee",M4=2,"Mid-level",M4=3,"Senior",M4=4,"Manager",M4=5,"Executive")</f>
        <v>Junior employee</v>
      </c>
      <c r="AI4" t="str" cm="1">
        <f t="array" ref="AI4">_xlfn.IFS(O4=1,"Low",O4=2,"Medium",O4=3,"High",O4=4,"Very High")</f>
        <v>High</v>
      </c>
      <c r="AJ4" t="str" cm="1">
        <f t="array" ref="AJ4">_xlfn.IFS(U4=1,"Low",U4=2,"Good",U4=3,"Excellent",U4=4,"Outstanding")</f>
        <v>Excellent</v>
      </c>
      <c r="AK4" t="str" cm="1">
        <f t="array" ref="AK4">_xlfn.IFS(V4=1,"Low",V4=2,"Medium",V4=3,"High",V4=4,"Very High")</f>
        <v>Medium</v>
      </c>
      <c r="AL4" t="str" cm="1">
        <f t="array" ref="AL4">_xlfn.IFS(Z4=1,"Bad",Z4=2,"Good",Z4=3,"Better",Z4=4,"Best")</f>
        <v>Better</v>
      </c>
      <c r="AM4" t="str" cm="1">
        <f t="array" ref="AM4">_xlfn.IFS(W4=0,"No_stock",W4=1,"Low",W4=2,"Medium",W4=3,"High")</f>
        <v>No_stock</v>
      </c>
      <c r="AN4" t="str">
        <f t="shared" si="0"/>
        <v>Near</v>
      </c>
    </row>
    <row r="5" spans="1:40" x14ac:dyDescent="0.45">
      <c r="A5">
        <v>33</v>
      </c>
      <c r="B5" t="s">
        <v>37</v>
      </c>
      <c r="C5" t="s">
        <v>38</v>
      </c>
      <c r="D5">
        <v>1392</v>
      </c>
      <c r="E5" t="s">
        <v>39</v>
      </c>
      <c r="F5">
        <v>3</v>
      </c>
      <c r="G5">
        <v>4</v>
      </c>
      <c r="H5" t="s">
        <v>33</v>
      </c>
      <c r="I5">
        <v>5</v>
      </c>
      <c r="J5">
        <v>4</v>
      </c>
      <c r="K5" t="s">
        <v>34</v>
      </c>
      <c r="L5">
        <v>3</v>
      </c>
      <c r="M5">
        <v>1</v>
      </c>
      <c r="N5" t="s">
        <v>41</v>
      </c>
      <c r="O5">
        <v>3</v>
      </c>
      <c r="P5" t="s">
        <v>42</v>
      </c>
      <c r="Q5">
        <v>2909</v>
      </c>
      <c r="R5">
        <v>1</v>
      </c>
      <c r="S5" t="s">
        <v>30</v>
      </c>
      <c r="T5">
        <v>11</v>
      </c>
      <c r="U5">
        <v>3</v>
      </c>
      <c r="V5">
        <v>3</v>
      </c>
      <c r="W5">
        <v>0</v>
      </c>
      <c r="X5">
        <v>8</v>
      </c>
      <c r="Y5">
        <v>3</v>
      </c>
      <c r="Z5">
        <v>3</v>
      </c>
      <c r="AA5">
        <v>8</v>
      </c>
      <c r="AB5">
        <v>7</v>
      </c>
      <c r="AC5">
        <v>3</v>
      </c>
      <c r="AD5">
        <v>0</v>
      </c>
      <c r="AE5" t="str" cm="1">
        <f t="array" ref="AE5">_xlfn.IFS(G5=1,"Before College",G5=2,"College",G5=3,"Bachelor",G5=4,"Master",G5=5,"Doctor")</f>
        <v>Master</v>
      </c>
      <c r="AF5" t="str" cm="1">
        <f t="array" ref="AF5">_xlfn.IFS(J5=1,"Low",J5=2,"Medium",J5=3,"High",J5=4,"Very High")</f>
        <v>Very High</v>
      </c>
      <c r="AG5" t="str" cm="1">
        <f t="array" ref="AG5">_xlfn.IFS(L5=1,"Low",L5=2,"Medium",L5=3,"High",L5=4,"Very High")</f>
        <v>High</v>
      </c>
      <c r="AH5" t="str" cm="1">
        <f t="array" ref="AH5">_xlfn.IFS(M5=1,"Junior employee",M5=2,"Mid-level",M5=3,"Senior",M5=4,"Manager",M5=5,"Executive")</f>
        <v>Junior employee</v>
      </c>
      <c r="AI5" t="str" cm="1">
        <f t="array" ref="AI5">_xlfn.IFS(O5=1,"Low",O5=2,"Medium",O5=3,"High",O5=4,"Very High")</f>
        <v>High</v>
      </c>
      <c r="AJ5" t="str" cm="1">
        <f t="array" ref="AJ5">_xlfn.IFS(U5=1,"Low",U5=2,"Good",U5=3,"Excellent",U5=4,"Outstanding")</f>
        <v>Excellent</v>
      </c>
      <c r="AK5" t="str" cm="1">
        <f t="array" ref="AK5">_xlfn.IFS(V5=1,"Low",V5=2,"Medium",V5=3,"High",V5=4,"Very High")</f>
        <v>High</v>
      </c>
      <c r="AL5" t="str" cm="1">
        <f t="array" ref="AL5">_xlfn.IFS(Z5=1,"Bad",Z5=2,"Good",Z5=3,"Better",Z5=4,"Best")</f>
        <v>Better</v>
      </c>
      <c r="AM5" t="str" cm="1">
        <f t="array" ref="AM5">_xlfn.IFS(W5=0,"No_stock",W5=1,"Low",W5=2,"Medium",W5=3,"High")</f>
        <v>No_stock</v>
      </c>
      <c r="AN5" t="str">
        <f t="shared" si="0"/>
        <v>Near</v>
      </c>
    </row>
    <row r="6" spans="1:40" x14ac:dyDescent="0.45">
      <c r="A6">
        <v>27</v>
      </c>
      <c r="B6" t="s">
        <v>37</v>
      </c>
      <c r="C6" t="s">
        <v>31</v>
      </c>
      <c r="D6">
        <v>591</v>
      </c>
      <c r="E6" t="s">
        <v>39</v>
      </c>
      <c r="F6">
        <v>2</v>
      </c>
      <c r="G6">
        <v>1</v>
      </c>
      <c r="H6" t="s">
        <v>45</v>
      </c>
      <c r="I6">
        <v>7</v>
      </c>
      <c r="J6">
        <v>1</v>
      </c>
      <c r="K6" t="s">
        <v>40</v>
      </c>
      <c r="L6">
        <v>3</v>
      </c>
      <c r="M6">
        <v>1</v>
      </c>
      <c r="N6" t="s">
        <v>44</v>
      </c>
      <c r="O6">
        <v>2</v>
      </c>
      <c r="P6" t="s">
        <v>42</v>
      </c>
      <c r="Q6">
        <v>3468</v>
      </c>
      <c r="R6">
        <v>9</v>
      </c>
      <c r="S6" t="s">
        <v>37</v>
      </c>
      <c r="T6">
        <v>12</v>
      </c>
      <c r="U6">
        <v>3</v>
      </c>
      <c r="V6">
        <v>4</v>
      </c>
      <c r="W6">
        <v>1</v>
      </c>
      <c r="X6">
        <v>6</v>
      </c>
      <c r="Y6">
        <v>3</v>
      </c>
      <c r="Z6">
        <v>3</v>
      </c>
      <c r="AA6">
        <v>2</v>
      </c>
      <c r="AB6">
        <v>2</v>
      </c>
      <c r="AC6">
        <v>2</v>
      </c>
      <c r="AD6">
        <v>2</v>
      </c>
      <c r="AE6" t="str" cm="1">
        <f t="array" ref="AE6">_xlfn.IFS(G6=1,"Before College",G6=2,"College",G6=3,"Bachelor",G6=4,"Master",G6=5,"Doctor")</f>
        <v>Before College</v>
      </c>
      <c r="AF6" t="str" cm="1">
        <f t="array" ref="AF6">_xlfn.IFS(J6=1,"Low",J6=2,"Medium",J6=3,"High",J6=4,"Very High")</f>
        <v>Low</v>
      </c>
      <c r="AG6" t="str" cm="1">
        <f t="array" ref="AG6">_xlfn.IFS(L6=1,"Low",L6=2,"Medium",L6=3,"High",L6=4,"Very High")</f>
        <v>High</v>
      </c>
      <c r="AH6" t="str" cm="1">
        <f t="array" ref="AH6">_xlfn.IFS(M6=1,"Junior employee",M6=2,"Mid-level",M6=3,"Senior",M6=4,"Manager",M6=5,"Executive")</f>
        <v>Junior employee</v>
      </c>
      <c r="AI6" t="str" cm="1">
        <f t="array" ref="AI6">_xlfn.IFS(O6=1,"Low",O6=2,"Medium",O6=3,"High",O6=4,"Very High")</f>
        <v>Medium</v>
      </c>
      <c r="AJ6" t="str" cm="1">
        <f t="array" ref="AJ6">_xlfn.IFS(U6=1,"Low",U6=2,"Good",U6=3,"Excellent",U6=4,"Outstanding")</f>
        <v>Excellent</v>
      </c>
      <c r="AK6" t="str" cm="1">
        <f t="array" ref="AK6">_xlfn.IFS(V6=1,"Low",V6=2,"Medium",V6=3,"High",V6=4,"Very High")</f>
        <v>Very High</v>
      </c>
      <c r="AL6" t="str" cm="1">
        <f t="array" ref="AL6">_xlfn.IFS(Z6=1,"Bad",Z6=2,"Good",Z6=3,"Better",Z6=4,"Best")</f>
        <v>Better</v>
      </c>
      <c r="AM6" t="str" cm="1">
        <f t="array" ref="AM6">_xlfn.IFS(W6=0,"No_stock",W6=1,"Low",W6=2,"Medium",W6=3,"High")</f>
        <v>Low</v>
      </c>
      <c r="AN6" t="str">
        <f t="shared" si="0"/>
        <v>Near</v>
      </c>
    </row>
    <row r="7" spans="1:40" x14ac:dyDescent="0.45">
      <c r="A7">
        <v>32</v>
      </c>
      <c r="B7" t="s">
        <v>37</v>
      </c>
      <c r="C7" t="s">
        <v>38</v>
      </c>
      <c r="D7">
        <v>1005</v>
      </c>
      <c r="E7" t="s">
        <v>39</v>
      </c>
      <c r="F7">
        <v>2</v>
      </c>
      <c r="G7">
        <v>2</v>
      </c>
      <c r="H7" t="s">
        <v>33</v>
      </c>
      <c r="I7">
        <v>8</v>
      </c>
      <c r="J7">
        <v>4</v>
      </c>
      <c r="K7" t="s">
        <v>40</v>
      </c>
      <c r="L7">
        <v>3</v>
      </c>
      <c r="M7">
        <v>1</v>
      </c>
      <c r="N7" t="s">
        <v>44</v>
      </c>
      <c r="O7">
        <v>4</v>
      </c>
      <c r="P7" t="s">
        <v>36</v>
      </c>
      <c r="Q7">
        <v>3068</v>
      </c>
      <c r="R7">
        <v>0</v>
      </c>
      <c r="S7" t="s">
        <v>37</v>
      </c>
      <c r="T7">
        <v>13</v>
      </c>
      <c r="U7">
        <v>3</v>
      </c>
      <c r="V7">
        <v>3</v>
      </c>
      <c r="W7">
        <v>0</v>
      </c>
      <c r="X7">
        <v>8</v>
      </c>
      <c r="Y7">
        <v>2</v>
      </c>
      <c r="Z7">
        <v>2</v>
      </c>
      <c r="AA7">
        <v>7</v>
      </c>
      <c r="AB7">
        <v>7</v>
      </c>
      <c r="AC7">
        <v>3</v>
      </c>
      <c r="AD7">
        <v>6</v>
      </c>
      <c r="AE7" t="str" cm="1">
        <f t="array" ref="AE7">_xlfn.IFS(G7=1,"Before College",G7=2,"College",G7=3,"Bachelor",G7=4,"Master",G7=5,"Doctor")</f>
        <v>College</v>
      </c>
      <c r="AF7" t="str" cm="1">
        <f t="array" ref="AF7">_xlfn.IFS(J7=1,"Low",J7=2,"Medium",J7=3,"High",J7=4,"Very High")</f>
        <v>Very High</v>
      </c>
      <c r="AG7" t="str" cm="1">
        <f t="array" ref="AG7">_xlfn.IFS(L7=1,"Low",L7=2,"Medium",L7=3,"High",L7=4,"Very High")</f>
        <v>High</v>
      </c>
      <c r="AH7" t="str" cm="1">
        <f t="array" ref="AH7">_xlfn.IFS(M7=1,"Junior employee",M7=2,"Mid-level",M7=3,"Senior",M7=4,"Manager",M7=5,"Executive")</f>
        <v>Junior employee</v>
      </c>
      <c r="AI7" t="str" cm="1">
        <f t="array" ref="AI7">_xlfn.IFS(O7=1,"Low",O7=2,"Medium",O7=3,"High",O7=4,"Very High")</f>
        <v>Very High</v>
      </c>
      <c r="AJ7" t="str" cm="1">
        <f t="array" ref="AJ7">_xlfn.IFS(U7=1,"Low",U7=2,"Good",U7=3,"Excellent",U7=4,"Outstanding")</f>
        <v>Excellent</v>
      </c>
      <c r="AK7" t="str" cm="1">
        <f t="array" ref="AK7">_xlfn.IFS(V7=1,"Low",V7=2,"Medium",V7=3,"High",V7=4,"Very High")</f>
        <v>High</v>
      </c>
      <c r="AL7" t="str" cm="1">
        <f t="array" ref="AL7">_xlfn.IFS(Z7=1,"Bad",Z7=2,"Good",Z7=3,"Better",Z7=4,"Best")</f>
        <v>Good</v>
      </c>
      <c r="AM7" t="str" cm="1">
        <f t="array" ref="AM7">_xlfn.IFS(W7=0,"No_stock",W7=1,"Low",W7=2,"Medium",W7=3,"High")</f>
        <v>No_stock</v>
      </c>
      <c r="AN7" t="str">
        <f t="shared" si="0"/>
        <v>Near</v>
      </c>
    </row>
    <row r="8" spans="1:40" x14ac:dyDescent="0.45">
      <c r="A8">
        <v>59</v>
      </c>
      <c r="B8" t="s">
        <v>37</v>
      </c>
      <c r="C8" t="s">
        <v>31</v>
      </c>
      <c r="D8">
        <v>1324</v>
      </c>
      <c r="E8" t="s">
        <v>39</v>
      </c>
      <c r="F8">
        <v>3</v>
      </c>
      <c r="G8">
        <v>3</v>
      </c>
      <c r="H8" t="s">
        <v>45</v>
      </c>
      <c r="I8">
        <v>10</v>
      </c>
      <c r="J8">
        <v>3</v>
      </c>
      <c r="K8" t="s">
        <v>34</v>
      </c>
      <c r="L8">
        <v>4</v>
      </c>
      <c r="M8">
        <v>1</v>
      </c>
      <c r="N8" t="s">
        <v>44</v>
      </c>
      <c r="O8">
        <v>1</v>
      </c>
      <c r="P8" t="s">
        <v>42</v>
      </c>
      <c r="Q8">
        <v>2670</v>
      </c>
      <c r="R8">
        <v>4</v>
      </c>
      <c r="S8" t="s">
        <v>30</v>
      </c>
      <c r="T8">
        <v>20</v>
      </c>
      <c r="U8">
        <v>4</v>
      </c>
      <c r="V8">
        <v>1</v>
      </c>
      <c r="W8">
        <v>3</v>
      </c>
      <c r="X8">
        <v>12</v>
      </c>
      <c r="Y8">
        <v>3</v>
      </c>
      <c r="Z8">
        <v>2</v>
      </c>
      <c r="AA8">
        <v>1</v>
      </c>
      <c r="AB8">
        <v>0</v>
      </c>
      <c r="AC8">
        <v>0</v>
      </c>
      <c r="AD8">
        <v>0</v>
      </c>
      <c r="AE8" t="str" cm="1">
        <f t="array" ref="AE8">_xlfn.IFS(G8=1,"Before College",G8=2,"College",G8=3,"Bachelor",G8=4,"Master",G8=5,"Doctor")</f>
        <v>Bachelor</v>
      </c>
      <c r="AF8" t="str" cm="1">
        <f t="array" ref="AF8">_xlfn.IFS(J8=1,"Low",J8=2,"Medium",J8=3,"High",J8=4,"Very High")</f>
        <v>High</v>
      </c>
      <c r="AG8" t="str" cm="1">
        <f t="array" ref="AG8">_xlfn.IFS(L8=1,"Low",L8=2,"Medium",L8=3,"High",L8=4,"Very High")</f>
        <v>Very High</v>
      </c>
      <c r="AH8" t="str" cm="1">
        <f t="array" ref="AH8">_xlfn.IFS(M8=1,"Junior employee",M8=2,"Mid-level",M8=3,"Senior",M8=4,"Manager",M8=5,"Executive")</f>
        <v>Junior employee</v>
      </c>
      <c r="AI8" t="str" cm="1">
        <f t="array" ref="AI8">_xlfn.IFS(O8=1,"Low",O8=2,"Medium",O8=3,"High",O8=4,"Very High")</f>
        <v>Low</v>
      </c>
      <c r="AJ8" t="str" cm="1">
        <f t="array" ref="AJ8">_xlfn.IFS(U8=1,"Low",U8=2,"Good",U8=3,"Excellent",U8=4,"Outstanding")</f>
        <v>Outstanding</v>
      </c>
      <c r="AK8" t="str" cm="1">
        <f t="array" ref="AK8">_xlfn.IFS(V8=1,"Low",V8=2,"Medium",V8=3,"High",V8=4,"Very High")</f>
        <v>Low</v>
      </c>
      <c r="AL8" t="str" cm="1">
        <f t="array" ref="AL8">_xlfn.IFS(Z8=1,"Bad",Z8=2,"Good",Z8=3,"Better",Z8=4,"Best")</f>
        <v>Good</v>
      </c>
      <c r="AM8" t="str" cm="1">
        <f t="array" ref="AM8">_xlfn.IFS(W8=0,"No_stock",W8=1,"Low",W8=2,"Medium",W8=3,"High")</f>
        <v>High</v>
      </c>
      <c r="AN8" t="str">
        <f t="shared" si="0"/>
        <v>Near</v>
      </c>
    </row>
    <row r="9" spans="1:40" x14ac:dyDescent="0.45">
      <c r="A9">
        <v>30</v>
      </c>
      <c r="B9" t="s">
        <v>37</v>
      </c>
      <c r="C9" t="s">
        <v>31</v>
      </c>
      <c r="D9">
        <v>1358</v>
      </c>
      <c r="E9" t="s">
        <v>39</v>
      </c>
      <c r="F9">
        <v>24</v>
      </c>
      <c r="G9">
        <v>1</v>
      </c>
      <c r="H9" t="s">
        <v>33</v>
      </c>
      <c r="I9">
        <v>11</v>
      </c>
      <c r="J9">
        <v>4</v>
      </c>
      <c r="K9" t="s">
        <v>40</v>
      </c>
      <c r="L9">
        <v>3</v>
      </c>
      <c r="M9">
        <v>1</v>
      </c>
      <c r="N9" t="s">
        <v>44</v>
      </c>
      <c r="O9">
        <v>3</v>
      </c>
      <c r="P9" t="s">
        <v>46</v>
      </c>
      <c r="Q9">
        <v>2693</v>
      </c>
      <c r="R9">
        <v>1</v>
      </c>
      <c r="S9" t="s">
        <v>37</v>
      </c>
      <c r="T9">
        <v>22</v>
      </c>
      <c r="U9">
        <v>4</v>
      </c>
      <c r="V9">
        <v>2</v>
      </c>
      <c r="W9">
        <v>1</v>
      </c>
      <c r="X9">
        <v>1</v>
      </c>
      <c r="Y9">
        <v>2</v>
      </c>
      <c r="Z9">
        <v>3</v>
      </c>
      <c r="AA9">
        <v>1</v>
      </c>
      <c r="AB9">
        <v>0</v>
      </c>
      <c r="AC9">
        <v>0</v>
      </c>
      <c r="AD9">
        <v>0</v>
      </c>
      <c r="AE9" t="str" cm="1">
        <f t="array" ref="AE9">_xlfn.IFS(G9=1,"Before College",G9=2,"College",G9=3,"Bachelor",G9=4,"Master",G9=5,"Doctor")</f>
        <v>Before College</v>
      </c>
      <c r="AF9" t="str" cm="1">
        <f t="array" ref="AF9">_xlfn.IFS(J9=1,"Low",J9=2,"Medium",J9=3,"High",J9=4,"Very High")</f>
        <v>Very High</v>
      </c>
      <c r="AG9" t="str" cm="1">
        <f t="array" ref="AG9">_xlfn.IFS(L9=1,"Low",L9=2,"Medium",L9=3,"High",L9=4,"Very High")</f>
        <v>High</v>
      </c>
      <c r="AH9" t="str" cm="1">
        <f t="array" ref="AH9">_xlfn.IFS(M9=1,"Junior employee",M9=2,"Mid-level",M9=3,"Senior",M9=4,"Manager",M9=5,"Executive")</f>
        <v>Junior employee</v>
      </c>
      <c r="AI9" t="str" cm="1">
        <f t="array" ref="AI9">_xlfn.IFS(O9=1,"Low",O9=2,"Medium",O9=3,"High",O9=4,"Very High")</f>
        <v>High</v>
      </c>
      <c r="AJ9" t="str" cm="1">
        <f t="array" ref="AJ9">_xlfn.IFS(U9=1,"Low",U9=2,"Good",U9=3,"Excellent",U9=4,"Outstanding")</f>
        <v>Outstanding</v>
      </c>
      <c r="AK9" t="str" cm="1">
        <f t="array" ref="AK9">_xlfn.IFS(V9=1,"Low",V9=2,"Medium",V9=3,"High",V9=4,"Very High")</f>
        <v>Medium</v>
      </c>
      <c r="AL9" t="str" cm="1">
        <f t="array" ref="AL9">_xlfn.IFS(Z9=1,"Bad",Z9=2,"Good",Z9=3,"Better",Z9=4,"Best")</f>
        <v>Better</v>
      </c>
      <c r="AM9" t="str" cm="1">
        <f t="array" ref="AM9">_xlfn.IFS(W9=0,"No_stock",W9=1,"Low",W9=2,"Medium",W9=3,"High")</f>
        <v>Low</v>
      </c>
      <c r="AN9" t="str">
        <f t="shared" si="0"/>
        <v>Far</v>
      </c>
    </row>
    <row r="10" spans="1:40" x14ac:dyDescent="0.45">
      <c r="A10">
        <v>38</v>
      </c>
      <c r="B10" t="s">
        <v>37</v>
      </c>
      <c r="C10" t="s">
        <v>38</v>
      </c>
      <c r="D10">
        <v>216</v>
      </c>
      <c r="E10" t="s">
        <v>39</v>
      </c>
      <c r="F10">
        <v>23</v>
      </c>
      <c r="G10">
        <v>3</v>
      </c>
      <c r="H10" t="s">
        <v>33</v>
      </c>
      <c r="I10">
        <v>12</v>
      </c>
      <c r="J10">
        <v>4</v>
      </c>
      <c r="K10" t="s">
        <v>40</v>
      </c>
      <c r="L10">
        <v>2</v>
      </c>
      <c r="M10">
        <v>3</v>
      </c>
      <c r="N10" t="s">
        <v>47</v>
      </c>
      <c r="O10">
        <v>3</v>
      </c>
      <c r="P10" t="s">
        <v>36</v>
      </c>
      <c r="Q10">
        <v>9526</v>
      </c>
      <c r="R10">
        <v>0</v>
      </c>
      <c r="S10" t="s">
        <v>37</v>
      </c>
      <c r="T10">
        <v>21</v>
      </c>
      <c r="U10">
        <v>4</v>
      </c>
      <c r="V10">
        <v>2</v>
      </c>
      <c r="W10">
        <v>0</v>
      </c>
      <c r="X10">
        <v>10</v>
      </c>
      <c r="Y10">
        <v>2</v>
      </c>
      <c r="Z10">
        <v>3</v>
      </c>
      <c r="AA10">
        <v>9</v>
      </c>
      <c r="AB10">
        <v>7</v>
      </c>
      <c r="AC10">
        <v>1</v>
      </c>
      <c r="AD10">
        <v>8</v>
      </c>
      <c r="AE10" t="str" cm="1">
        <f t="array" ref="AE10">_xlfn.IFS(G10=1,"Before College",G10=2,"College",G10=3,"Bachelor",G10=4,"Master",G10=5,"Doctor")</f>
        <v>Bachelor</v>
      </c>
      <c r="AF10" t="str" cm="1">
        <f t="array" ref="AF10">_xlfn.IFS(J10=1,"Low",J10=2,"Medium",J10=3,"High",J10=4,"Very High")</f>
        <v>Very High</v>
      </c>
      <c r="AG10" t="str" cm="1">
        <f t="array" ref="AG10">_xlfn.IFS(L10=1,"Low",L10=2,"Medium",L10=3,"High",L10=4,"Very High")</f>
        <v>Medium</v>
      </c>
      <c r="AH10" t="str" cm="1">
        <f t="array" ref="AH10">_xlfn.IFS(M10=1,"Junior employee",M10=2,"Mid-level",M10=3,"Senior",M10=4,"Manager",M10=5,"Executive")</f>
        <v>Senior</v>
      </c>
      <c r="AI10" t="str" cm="1">
        <f t="array" ref="AI10">_xlfn.IFS(O10=1,"Low",O10=2,"Medium",O10=3,"High",O10=4,"Very High")</f>
        <v>High</v>
      </c>
      <c r="AJ10" t="str" cm="1">
        <f t="array" ref="AJ10">_xlfn.IFS(U10=1,"Low",U10=2,"Good",U10=3,"Excellent",U10=4,"Outstanding")</f>
        <v>Outstanding</v>
      </c>
      <c r="AK10" t="str" cm="1">
        <f t="array" ref="AK10">_xlfn.IFS(V10=1,"Low",V10=2,"Medium",V10=3,"High",V10=4,"Very High")</f>
        <v>Medium</v>
      </c>
      <c r="AL10" t="str" cm="1">
        <f t="array" ref="AL10">_xlfn.IFS(Z10=1,"Bad",Z10=2,"Good",Z10=3,"Better",Z10=4,"Best")</f>
        <v>Better</v>
      </c>
      <c r="AM10" t="str" cm="1">
        <f t="array" ref="AM10">_xlfn.IFS(W10=0,"No_stock",W10=1,"Low",W10=2,"Medium",W10=3,"High")</f>
        <v>No_stock</v>
      </c>
      <c r="AN10" t="str">
        <f t="shared" si="0"/>
        <v>Far</v>
      </c>
    </row>
    <row r="11" spans="1:40" x14ac:dyDescent="0.45">
      <c r="A11">
        <v>36</v>
      </c>
      <c r="B11" t="s">
        <v>37</v>
      </c>
      <c r="C11" t="s">
        <v>31</v>
      </c>
      <c r="D11">
        <v>1299</v>
      </c>
      <c r="E11" t="s">
        <v>39</v>
      </c>
      <c r="F11">
        <v>27</v>
      </c>
      <c r="G11">
        <v>3</v>
      </c>
      <c r="H11" t="s">
        <v>45</v>
      </c>
      <c r="I11">
        <v>13</v>
      </c>
      <c r="J11">
        <v>3</v>
      </c>
      <c r="K11" t="s">
        <v>40</v>
      </c>
      <c r="L11">
        <v>3</v>
      </c>
      <c r="M11">
        <v>2</v>
      </c>
      <c r="N11" t="s">
        <v>48</v>
      </c>
      <c r="O11">
        <v>3</v>
      </c>
      <c r="P11" t="s">
        <v>42</v>
      </c>
      <c r="Q11">
        <v>5237</v>
      </c>
      <c r="R11">
        <v>6</v>
      </c>
      <c r="S11" t="s">
        <v>37</v>
      </c>
      <c r="T11">
        <v>13</v>
      </c>
      <c r="U11">
        <v>3</v>
      </c>
      <c r="V11">
        <v>2</v>
      </c>
      <c r="W11">
        <v>2</v>
      </c>
      <c r="X11">
        <v>17</v>
      </c>
      <c r="Y11">
        <v>3</v>
      </c>
      <c r="Z11">
        <v>2</v>
      </c>
      <c r="AA11">
        <v>7</v>
      </c>
      <c r="AB11">
        <v>7</v>
      </c>
      <c r="AC11">
        <v>7</v>
      </c>
      <c r="AD11">
        <v>7</v>
      </c>
      <c r="AE11" t="str" cm="1">
        <f t="array" ref="AE11">_xlfn.IFS(G11=1,"Before College",G11=2,"College",G11=3,"Bachelor",G11=4,"Master",G11=5,"Doctor")</f>
        <v>Bachelor</v>
      </c>
      <c r="AF11" t="str" cm="1">
        <f t="array" ref="AF11">_xlfn.IFS(J11=1,"Low",J11=2,"Medium",J11=3,"High",J11=4,"Very High")</f>
        <v>High</v>
      </c>
      <c r="AG11" t="str" cm="1">
        <f t="array" ref="AG11">_xlfn.IFS(L11=1,"Low",L11=2,"Medium",L11=3,"High",L11=4,"Very High")</f>
        <v>High</v>
      </c>
      <c r="AH11" t="str" cm="1">
        <f t="array" ref="AH11">_xlfn.IFS(M11=1,"Junior employee",M11=2,"Mid-level",M11=3,"Senior",M11=4,"Manager",M11=5,"Executive")</f>
        <v>Mid-level</v>
      </c>
      <c r="AI11" t="str" cm="1">
        <f t="array" ref="AI11">_xlfn.IFS(O11=1,"Low",O11=2,"Medium",O11=3,"High",O11=4,"Very High")</f>
        <v>High</v>
      </c>
      <c r="AJ11" t="str" cm="1">
        <f t="array" ref="AJ11">_xlfn.IFS(U11=1,"Low",U11=2,"Good",U11=3,"Excellent",U11=4,"Outstanding")</f>
        <v>Excellent</v>
      </c>
      <c r="AK11" t="str" cm="1">
        <f t="array" ref="AK11">_xlfn.IFS(V11=1,"Low",V11=2,"Medium",V11=3,"High",V11=4,"Very High")</f>
        <v>Medium</v>
      </c>
      <c r="AL11" t="str" cm="1">
        <f t="array" ref="AL11">_xlfn.IFS(Z11=1,"Bad",Z11=2,"Good",Z11=3,"Better",Z11=4,"Best")</f>
        <v>Good</v>
      </c>
      <c r="AM11" t="str" cm="1">
        <f t="array" ref="AM11">_xlfn.IFS(W11=0,"No_stock",W11=1,"Low",W11=2,"Medium",W11=3,"High")</f>
        <v>Medium</v>
      </c>
      <c r="AN11" t="str">
        <f t="shared" si="0"/>
        <v>Far</v>
      </c>
    </row>
    <row r="12" spans="1:40" x14ac:dyDescent="0.45">
      <c r="A12">
        <v>35</v>
      </c>
      <c r="B12" t="s">
        <v>37</v>
      </c>
      <c r="C12" t="s">
        <v>31</v>
      </c>
      <c r="D12">
        <v>809</v>
      </c>
      <c r="E12" t="s">
        <v>39</v>
      </c>
      <c r="F12">
        <v>16</v>
      </c>
      <c r="G12">
        <v>3</v>
      </c>
      <c r="H12" t="s">
        <v>45</v>
      </c>
      <c r="I12">
        <v>14</v>
      </c>
      <c r="J12">
        <v>1</v>
      </c>
      <c r="K12" t="s">
        <v>40</v>
      </c>
      <c r="L12">
        <v>4</v>
      </c>
      <c r="M12">
        <v>1</v>
      </c>
      <c r="N12" t="s">
        <v>44</v>
      </c>
      <c r="O12">
        <v>2</v>
      </c>
      <c r="P12" t="s">
        <v>42</v>
      </c>
      <c r="Q12">
        <v>2426</v>
      </c>
      <c r="R12">
        <v>0</v>
      </c>
      <c r="S12" t="s">
        <v>37</v>
      </c>
      <c r="T12">
        <v>13</v>
      </c>
      <c r="U12">
        <v>3</v>
      </c>
      <c r="V12">
        <v>3</v>
      </c>
      <c r="W12">
        <v>1</v>
      </c>
      <c r="X12">
        <v>6</v>
      </c>
      <c r="Y12">
        <v>5</v>
      </c>
      <c r="Z12">
        <v>3</v>
      </c>
      <c r="AA12">
        <v>5</v>
      </c>
      <c r="AB12">
        <v>4</v>
      </c>
      <c r="AC12">
        <v>0</v>
      </c>
      <c r="AD12">
        <v>3</v>
      </c>
      <c r="AE12" t="str" cm="1">
        <f t="array" ref="AE12">_xlfn.IFS(G12=1,"Before College",G12=2,"College",G12=3,"Bachelor",G12=4,"Master",G12=5,"Doctor")</f>
        <v>Bachelor</v>
      </c>
      <c r="AF12" t="str" cm="1">
        <f t="array" ref="AF12">_xlfn.IFS(J12=1,"Low",J12=2,"Medium",J12=3,"High",J12=4,"Very High")</f>
        <v>Low</v>
      </c>
      <c r="AG12" t="str" cm="1">
        <f t="array" ref="AG12">_xlfn.IFS(L12=1,"Low",L12=2,"Medium",L12=3,"High",L12=4,"Very High")</f>
        <v>Very High</v>
      </c>
      <c r="AH12" t="str" cm="1">
        <f t="array" ref="AH12">_xlfn.IFS(M12=1,"Junior employee",M12=2,"Mid-level",M12=3,"Senior",M12=4,"Manager",M12=5,"Executive")</f>
        <v>Junior employee</v>
      </c>
      <c r="AI12" t="str" cm="1">
        <f t="array" ref="AI12">_xlfn.IFS(O12=1,"Low",O12=2,"Medium",O12=3,"High",O12=4,"Very High")</f>
        <v>Medium</v>
      </c>
      <c r="AJ12" t="str" cm="1">
        <f t="array" ref="AJ12">_xlfn.IFS(U12=1,"Low",U12=2,"Good",U12=3,"Excellent",U12=4,"Outstanding")</f>
        <v>Excellent</v>
      </c>
      <c r="AK12" t="str" cm="1">
        <f t="array" ref="AK12">_xlfn.IFS(V12=1,"Low",V12=2,"Medium",V12=3,"High",V12=4,"Very High")</f>
        <v>High</v>
      </c>
      <c r="AL12" t="str" cm="1">
        <f t="array" ref="AL12">_xlfn.IFS(Z12=1,"Bad",Z12=2,"Good",Z12=3,"Better",Z12=4,"Best")</f>
        <v>Better</v>
      </c>
      <c r="AM12" t="str" cm="1">
        <f t="array" ref="AM12">_xlfn.IFS(W12=0,"No_stock",W12=1,"Low",W12=2,"Medium",W12=3,"High")</f>
        <v>Low</v>
      </c>
      <c r="AN12" t="str">
        <f t="shared" si="0"/>
        <v>Far</v>
      </c>
    </row>
    <row r="13" spans="1:40" x14ac:dyDescent="0.45">
      <c r="A13">
        <v>29</v>
      </c>
      <c r="B13" t="s">
        <v>37</v>
      </c>
      <c r="C13" t="s">
        <v>31</v>
      </c>
      <c r="D13">
        <v>153</v>
      </c>
      <c r="E13" t="s">
        <v>39</v>
      </c>
      <c r="F13">
        <v>15</v>
      </c>
      <c r="G13">
        <v>2</v>
      </c>
      <c r="H13" t="s">
        <v>33</v>
      </c>
      <c r="I13">
        <v>15</v>
      </c>
      <c r="J13">
        <v>4</v>
      </c>
      <c r="K13" t="s">
        <v>34</v>
      </c>
      <c r="L13">
        <v>2</v>
      </c>
      <c r="M13">
        <v>2</v>
      </c>
      <c r="N13" t="s">
        <v>44</v>
      </c>
      <c r="O13">
        <v>3</v>
      </c>
      <c r="P13" t="s">
        <v>36</v>
      </c>
      <c r="Q13">
        <v>4193</v>
      </c>
      <c r="R13">
        <v>0</v>
      </c>
      <c r="S13" t="s">
        <v>30</v>
      </c>
      <c r="T13">
        <v>12</v>
      </c>
      <c r="U13">
        <v>3</v>
      </c>
      <c r="V13">
        <v>4</v>
      </c>
      <c r="W13">
        <v>0</v>
      </c>
      <c r="X13">
        <v>10</v>
      </c>
      <c r="Y13">
        <v>3</v>
      </c>
      <c r="Z13">
        <v>3</v>
      </c>
      <c r="AA13">
        <v>9</v>
      </c>
      <c r="AB13">
        <v>5</v>
      </c>
      <c r="AC13">
        <v>0</v>
      </c>
      <c r="AD13">
        <v>8</v>
      </c>
      <c r="AE13" t="str" cm="1">
        <f t="array" ref="AE13">_xlfn.IFS(G13=1,"Before College",G13=2,"College",G13=3,"Bachelor",G13=4,"Master",G13=5,"Doctor")</f>
        <v>College</v>
      </c>
      <c r="AF13" t="str" cm="1">
        <f t="array" ref="AF13">_xlfn.IFS(J13=1,"Low",J13=2,"Medium",J13=3,"High",J13=4,"Very High")</f>
        <v>Very High</v>
      </c>
      <c r="AG13" t="str" cm="1">
        <f t="array" ref="AG13">_xlfn.IFS(L13=1,"Low",L13=2,"Medium",L13=3,"High",L13=4,"Very High")</f>
        <v>Medium</v>
      </c>
      <c r="AH13" t="str" cm="1">
        <f t="array" ref="AH13">_xlfn.IFS(M13=1,"Junior employee",M13=2,"Mid-level",M13=3,"Senior",M13=4,"Manager",M13=5,"Executive")</f>
        <v>Mid-level</v>
      </c>
      <c r="AI13" t="str" cm="1">
        <f t="array" ref="AI13">_xlfn.IFS(O13=1,"Low",O13=2,"Medium",O13=3,"High",O13=4,"Very High")</f>
        <v>High</v>
      </c>
      <c r="AJ13" t="str" cm="1">
        <f t="array" ref="AJ13">_xlfn.IFS(U13=1,"Low",U13=2,"Good",U13=3,"Excellent",U13=4,"Outstanding")</f>
        <v>Excellent</v>
      </c>
      <c r="AK13" t="str" cm="1">
        <f t="array" ref="AK13">_xlfn.IFS(V13=1,"Low",V13=2,"Medium",V13=3,"High",V13=4,"Very High")</f>
        <v>Very High</v>
      </c>
      <c r="AL13" t="str" cm="1">
        <f t="array" ref="AL13">_xlfn.IFS(Z13=1,"Bad",Z13=2,"Good",Z13=3,"Better",Z13=4,"Best")</f>
        <v>Better</v>
      </c>
      <c r="AM13" t="str" cm="1">
        <f t="array" ref="AM13">_xlfn.IFS(W13=0,"No_stock",W13=1,"Low",W13=2,"Medium",W13=3,"High")</f>
        <v>No_stock</v>
      </c>
      <c r="AN13" t="str">
        <f t="shared" si="0"/>
        <v>Medium</v>
      </c>
    </row>
    <row r="14" spans="1:40" x14ac:dyDescent="0.45">
      <c r="A14">
        <v>31</v>
      </c>
      <c r="B14" t="s">
        <v>37</v>
      </c>
      <c r="C14" t="s">
        <v>31</v>
      </c>
      <c r="D14">
        <v>670</v>
      </c>
      <c r="E14" t="s">
        <v>39</v>
      </c>
      <c r="F14">
        <v>26</v>
      </c>
      <c r="G14">
        <v>1</v>
      </c>
      <c r="H14" t="s">
        <v>33</v>
      </c>
      <c r="I14">
        <v>16</v>
      </c>
      <c r="J14">
        <v>1</v>
      </c>
      <c r="K14" t="s">
        <v>40</v>
      </c>
      <c r="L14">
        <v>3</v>
      </c>
      <c r="M14">
        <v>1</v>
      </c>
      <c r="N14" t="s">
        <v>41</v>
      </c>
      <c r="O14">
        <v>3</v>
      </c>
      <c r="P14" t="s">
        <v>46</v>
      </c>
      <c r="Q14">
        <v>2911</v>
      </c>
      <c r="R14">
        <v>1</v>
      </c>
      <c r="S14" t="s">
        <v>37</v>
      </c>
      <c r="T14">
        <v>17</v>
      </c>
      <c r="U14">
        <v>3</v>
      </c>
      <c r="V14">
        <v>4</v>
      </c>
      <c r="W14">
        <v>1</v>
      </c>
      <c r="X14">
        <v>5</v>
      </c>
      <c r="Y14">
        <v>1</v>
      </c>
      <c r="Z14">
        <v>2</v>
      </c>
      <c r="AA14">
        <v>5</v>
      </c>
      <c r="AB14">
        <v>2</v>
      </c>
      <c r="AC14">
        <v>4</v>
      </c>
      <c r="AD14">
        <v>3</v>
      </c>
      <c r="AE14" t="str" cm="1">
        <f t="array" ref="AE14">_xlfn.IFS(G14=1,"Before College",G14=2,"College",G14=3,"Bachelor",G14=4,"Master",G14=5,"Doctor")</f>
        <v>Before College</v>
      </c>
      <c r="AF14" t="str" cm="1">
        <f t="array" ref="AF14">_xlfn.IFS(J14=1,"Low",J14=2,"Medium",J14=3,"High",J14=4,"Very High")</f>
        <v>Low</v>
      </c>
      <c r="AG14" t="str" cm="1">
        <f t="array" ref="AG14">_xlfn.IFS(L14=1,"Low",L14=2,"Medium",L14=3,"High",L14=4,"Very High")</f>
        <v>High</v>
      </c>
      <c r="AH14" t="str" cm="1">
        <f t="array" ref="AH14">_xlfn.IFS(M14=1,"Junior employee",M14=2,"Mid-level",M14=3,"Senior",M14=4,"Manager",M14=5,"Executive")</f>
        <v>Junior employee</v>
      </c>
      <c r="AI14" t="str" cm="1">
        <f t="array" ref="AI14">_xlfn.IFS(O14=1,"Low",O14=2,"Medium",O14=3,"High",O14=4,"Very High")</f>
        <v>High</v>
      </c>
      <c r="AJ14" t="str" cm="1">
        <f t="array" ref="AJ14">_xlfn.IFS(U14=1,"Low",U14=2,"Good",U14=3,"Excellent",U14=4,"Outstanding")</f>
        <v>Excellent</v>
      </c>
      <c r="AK14" t="str" cm="1">
        <f t="array" ref="AK14">_xlfn.IFS(V14=1,"Low",V14=2,"Medium",V14=3,"High",V14=4,"Very High")</f>
        <v>Very High</v>
      </c>
      <c r="AL14" t="str" cm="1">
        <f t="array" ref="AL14">_xlfn.IFS(Z14=1,"Bad",Z14=2,"Good",Z14=3,"Better",Z14=4,"Best")</f>
        <v>Good</v>
      </c>
      <c r="AM14" t="str" cm="1">
        <f t="array" ref="AM14">_xlfn.IFS(W14=0,"No_stock",W14=1,"Low",W14=2,"Medium",W14=3,"High")</f>
        <v>Low</v>
      </c>
      <c r="AN14" t="str">
        <f t="shared" si="0"/>
        <v>Far</v>
      </c>
    </row>
    <row r="15" spans="1:40" x14ac:dyDescent="0.45">
      <c r="A15">
        <v>34</v>
      </c>
      <c r="B15" t="s">
        <v>37</v>
      </c>
      <c r="C15" t="s">
        <v>31</v>
      </c>
      <c r="D15">
        <v>1346</v>
      </c>
      <c r="E15" t="s">
        <v>39</v>
      </c>
      <c r="F15">
        <v>19</v>
      </c>
      <c r="G15">
        <v>2</v>
      </c>
      <c r="H15" t="s">
        <v>45</v>
      </c>
      <c r="I15">
        <v>18</v>
      </c>
      <c r="J15">
        <v>2</v>
      </c>
      <c r="K15" t="s">
        <v>40</v>
      </c>
      <c r="L15">
        <v>3</v>
      </c>
      <c r="M15">
        <v>1</v>
      </c>
      <c r="N15" t="s">
        <v>44</v>
      </c>
      <c r="O15">
        <v>4</v>
      </c>
      <c r="P15" t="s">
        <v>46</v>
      </c>
      <c r="Q15">
        <v>2661</v>
      </c>
      <c r="R15">
        <v>0</v>
      </c>
      <c r="S15" t="s">
        <v>37</v>
      </c>
      <c r="T15">
        <v>11</v>
      </c>
      <c r="U15">
        <v>3</v>
      </c>
      <c r="V15">
        <v>3</v>
      </c>
      <c r="W15">
        <v>1</v>
      </c>
      <c r="X15">
        <v>3</v>
      </c>
      <c r="Y15">
        <v>2</v>
      </c>
      <c r="Z15">
        <v>3</v>
      </c>
      <c r="AA15">
        <v>2</v>
      </c>
      <c r="AB15">
        <v>2</v>
      </c>
      <c r="AC15">
        <v>1</v>
      </c>
      <c r="AD15">
        <v>2</v>
      </c>
      <c r="AE15" t="str" cm="1">
        <f t="array" ref="AE15">_xlfn.IFS(G15=1,"Before College",G15=2,"College",G15=3,"Bachelor",G15=4,"Master",G15=5,"Doctor")</f>
        <v>College</v>
      </c>
      <c r="AF15" t="str" cm="1">
        <f t="array" ref="AF15">_xlfn.IFS(J15=1,"Low",J15=2,"Medium",J15=3,"High",J15=4,"Very High")</f>
        <v>Medium</v>
      </c>
      <c r="AG15" t="str" cm="1">
        <f t="array" ref="AG15">_xlfn.IFS(L15=1,"Low",L15=2,"Medium",L15=3,"High",L15=4,"Very High")</f>
        <v>High</v>
      </c>
      <c r="AH15" t="str" cm="1">
        <f t="array" ref="AH15">_xlfn.IFS(M15=1,"Junior employee",M15=2,"Mid-level",M15=3,"Senior",M15=4,"Manager",M15=5,"Executive")</f>
        <v>Junior employee</v>
      </c>
      <c r="AI15" t="str" cm="1">
        <f t="array" ref="AI15">_xlfn.IFS(O15=1,"Low",O15=2,"Medium",O15=3,"High",O15=4,"Very High")</f>
        <v>Very High</v>
      </c>
      <c r="AJ15" t="str" cm="1">
        <f t="array" ref="AJ15">_xlfn.IFS(U15=1,"Low",U15=2,"Good",U15=3,"Excellent",U15=4,"Outstanding")</f>
        <v>Excellent</v>
      </c>
      <c r="AK15" t="str" cm="1">
        <f t="array" ref="AK15">_xlfn.IFS(V15=1,"Low",V15=2,"Medium",V15=3,"High",V15=4,"Very High")</f>
        <v>High</v>
      </c>
      <c r="AL15" t="str" cm="1">
        <f t="array" ref="AL15">_xlfn.IFS(Z15=1,"Bad",Z15=2,"Good",Z15=3,"Better",Z15=4,"Best")</f>
        <v>Better</v>
      </c>
      <c r="AM15" t="str" cm="1">
        <f t="array" ref="AM15">_xlfn.IFS(W15=0,"No_stock",W15=1,"Low",W15=2,"Medium",W15=3,"High")</f>
        <v>Low</v>
      </c>
      <c r="AN15" t="str">
        <f t="shared" si="0"/>
        <v>Far</v>
      </c>
    </row>
    <row r="16" spans="1:40" x14ac:dyDescent="0.45">
      <c r="A16">
        <v>28</v>
      </c>
      <c r="B16" t="s">
        <v>30</v>
      </c>
      <c r="C16" t="s">
        <v>31</v>
      </c>
      <c r="D16">
        <v>103</v>
      </c>
      <c r="E16" t="s">
        <v>39</v>
      </c>
      <c r="F16">
        <v>24</v>
      </c>
      <c r="G16">
        <v>3</v>
      </c>
      <c r="H16" t="s">
        <v>33</v>
      </c>
      <c r="I16">
        <v>19</v>
      </c>
      <c r="J16">
        <v>3</v>
      </c>
      <c r="K16" t="s">
        <v>40</v>
      </c>
      <c r="L16">
        <v>2</v>
      </c>
      <c r="M16">
        <v>1</v>
      </c>
      <c r="N16" t="s">
        <v>44</v>
      </c>
      <c r="O16">
        <v>3</v>
      </c>
      <c r="P16" t="s">
        <v>36</v>
      </c>
      <c r="Q16">
        <v>2028</v>
      </c>
      <c r="R16">
        <v>5</v>
      </c>
      <c r="S16" t="s">
        <v>30</v>
      </c>
      <c r="T16">
        <v>14</v>
      </c>
      <c r="U16">
        <v>3</v>
      </c>
      <c r="V16">
        <v>2</v>
      </c>
      <c r="W16">
        <v>0</v>
      </c>
      <c r="X16">
        <v>6</v>
      </c>
      <c r="Y16">
        <v>4</v>
      </c>
      <c r="Z16">
        <v>3</v>
      </c>
      <c r="AA16">
        <v>4</v>
      </c>
      <c r="AB16">
        <v>2</v>
      </c>
      <c r="AC16">
        <v>0</v>
      </c>
      <c r="AD16">
        <v>3</v>
      </c>
      <c r="AE16" t="str" cm="1">
        <f t="array" ref="AE16">_xlfn.IFS(G16=1,"Before College",G16=2,"College",G16=3,"Bachelor",G16=4,"Master",G16=5,"Doctor")</f>
        <v>Bachelor</v>
      </c>
      <c r="AF16" t="str" cm="1">
        <f t="array" ref="AF16">_xlfn.IFS(J16=1,"Low",J16=2,"Medium",J16=3,"High",J16=4,"Very High")</f>
        <v>High</v>
      </c>
      <c r="AG16" t="str" cm="1">
        <f t="array" ref="AG16">_xlfn.IFS(L16=1,"Low",L16=2,"Medium",L16=3,"High",L16=4,"Very High")</f>
        <v>Medium</v>
      </c>
      <c r="AH16" t="str" cm="1">
        <f t="array" ref="AH16">_xlfn.IFS(M16=1,"Junior employee",M16=2,"Mid-level",M16=3,"Senior",M16=4,"Manager",M16=5,"Executive")</f>
        <v>Junior employee</v>
      </c>
      <c r="AI16" t="str" cm="1">
        <f t="array" ref="AI16">_xlfn.IFS(O16=1,"Low",O16=2,"Medium",O16=3,"High",O16=4,"Very High")</f>
        <v>High</v>
      </c>
      <c r="AJ16" t="str" cm="1">
        <f t="array" ref="AJ16">_xlfn.IFS(U16=1,"Low",U16=2,"Good",U16=3,"Excellent",U16=4,"Outstanding")</f>
        <v>Excellent</v>
      </c>
      <c r="AK16" t="str" cm="1">
        <f t="array" ref="AK16">_xlfn.IFS(V16=1,"Low",V16=2,"Medium",V16=3,"High",V16=4,"Very High")</f>
        <v>Medium</v>
      </c>
      <c r="AL16" t="str" cm="1">
        <f t="array" ref="AL16">_xlfn.IFS(Z16=1,"Bad",Z16=2,"Good",Z16=3,"Better",Z16=4,"Best")</f>
        <v>Better</v>
      </c>
      <c r="AM16" t="str" cm="1">
        <f t="array" ref="AM16">_xlfn.IFS(W16=0,"No_stock",W16=1,"Low",W16=2,"Medium",W16=3,"High")</f>
        <v>No_stock</v>
      </c>
      <c r="AN16" t="str">
        <f t="shared" si="0"/>
        <v>Far</v>
      </c>
    </row>
    <row r="17" spans="1:40" x14ac:dyDescent="0.45">
      <c r="A17">
        <v>29</v>
      </c>
      <c r="B17" t="s">
        <v>37</v>
      </c>
      <c r="C17" t="s">
        <v>31</v>
      </c>
      <c r="D17">
        <v>1389</v>
      </c>
      <c r="E17" t="s">
        <v>39</v>
      </c>
      <c r="F17">
        <v>21</v>
      </c>
      <c r="G17">
        <v>4</v>
      </c>
      <c r="H17" t="s">
        <v>33</v>
      </c>
      <c r="I17">
        <v>20</v>
      </c>
      <c r="J17">
        <v>2</v>
      </c>
      <c r="K17" t="s">
        <v>34</v>
      </c>
      <c r="L17">
        <v>4</v>
      </c>
      <c r="M17">
        <v>3</v>
      </c>
      <c r="N17" t="s">
        <v>47</v>
      </c>
      <c r="O17">
        <v>1</v>
      </c>
      <c r="P17" t="s">
        <v>46</v>
      </c>
      <c r="Q17">
        <v>9980</v>
      </c>
      <c r="R17">
        <v>1</v>
      </c>
      <c r="S17" t="s">
        <v>37</v>
      </c>
      <c r="T17">
        <v>11</v>
      </c>
      <c r="U17">
        <v>3</v>
      </c>
      <c r="V17">
        <v>3</v>
      </c>
      <c r="W17">
        <v>1</v>
      </c>
      <c r="X17">
        <v>10</v>
      </c>
      <c r="Y17">
        <v>1</v>
      </c>
      <c r="Z17">
        <v>3</v>
      </c>
      <c r="AA17">
        <v>10</v>
      </c>
      <c r="AB17">
        <v>9</v>
      </c>
      <c r="AC17">
        <v>8</v>
      </c>
      <c r="AD17">
        <v>8</v>
      </c>
      <c r="AE17" t="str" cm="1">
        <f t="array" ref="AE17">_xlfn.IFS(G17=1,"Before College",G17=2,"College",G17=3,"Bachelor",G17=4,"Master",G17=5,"Doctor")</f>
        <v>Master</v>
      </c>
      <c r="AF17" t="str" cm="1">
        <f t="array" ref="AF17">_xlfn.IFS(J17=1,"Low",J17=2,"Medium",J17=3,"High",J17=4,"Very High")</f>
        <v>Medium</v>
      </c>
      <c r="AG17" t="str" cm="1">
        <f t="array" ref="AG17">_xlfn.IFS(L17=1,"Low",L17=2,"Medium",L17=3,"High",L17=4,"Very High")</f>
        <v>Very High</v>
      </c>
      <c r="AH17" t="str" cm="1">
        <f t="array" ref="AH17">_xlfn.IFS(M17=1,"Junior employee",M17=2,"Mid-level",M17=3,"Senior",M17=4,"Manager",M17=5,"Executive")</f>
        <v>Senior</v>
      </c>
      <c r="AI17" t="str" cm="1">
        <f t="array" ref="AI17">_xlfn.IFS(O17=1,"Low",O17=2,"Medium",O17=3,"High",O17=4,"Very High")</f>
        <v>Low</v>
      </c>
      <c r="AJ17" t="str" cm="1">
        <f t="array" ref="AJ17">_xlfn.IFS(U17=1,"Low",U17=2,"Good",U17=3,"Excellent",U17=4,"Outstanding")</f>
        <v>Excellent</v>
      </c>
      <c r="AK17" t="str" cm="1">
        <f t="array" ref="AK17">_xlfn.IFS(V17=1,"Low",V17=2,"Medium",V17=3,"High",V17=4,"Very High")</f>
        <v>High</v>
      </c>
      <c r="AL17" t="str" cm="1">
        <f t="array" ref="AL17">_xlfn.IFS(Z17=1,"Bad",Z17=2,"Good",Z17=3,"Better",Z17=4,"Best")</f>
        <v>Better</v>
      </c>
      <c r="AM17" t="str" cm="1">
        <f t="array" ref="AM17">_xlfn.IFS(W17=0,"No_stock",W17=1,"Low",W17=2,"Medium",W17=3,"High")</f>
        <v>Low</v>
      </c>
      <c r="AN17" t="str">
        <f t="shared" si="0"/>
        <v>Far</v>
      </c>
    </row>
    <row r="18" spans="1:40" x14ac:dyDescent="0.45">
      <c r="A18">
        <v>32</v>
      </c>
      <c r="B18" t="s">
        <v>37</v>
      </c>
      <c r="C18" t="s">
        <v>31</v>
      </c>
      <c r="D18">
        <v>334</v>
      </c>
      <c r="E18" t="s">
        <v>39</v>
      </c>
      <c r="F18">
        <v>5</v>
      </c>
      <c r="G18">
        <v>2</v>
      </c>
      <c r="H18" t="s">
        <v>33</v>
      </c>
      <c r="I18">
        <v>21</v>
      </c>
      <c r="J18">
        <v>1</v>
      </c>
      <c r="K18" t="s">
        <v>40</v>
      </c>
      <c r="L18">
        <v>4</v>
      </c>
      <c r="M18">
        <v>1</v>
      </c>
      <c r="N18" t="s">
        <v>41</v>
      </c>
      <c r="O18">
        <v>2</v>
      </c>
      <c r="P18" t="s">
        <v>46</v>
      </c>
      <c r="Q18">
        <v>3298</v>
      </c>
      <c r="R18">
        <v>0</v>
      </c>
      <c r="S18" t="s">
        <v>30</v>
      </c>
      <c r="T18">
        <v>12</v>
      </c>
      <c r="U18">
        <v>3</v>
      </c>
      <c r="V18">
        <v>4</v>
      </c>
      <c r="W18">
        <v>2</v>
      </c>
      <c r="X18">
        <v>7</v>
      </c>
      <c r="Y18">
        <v>5</v>
      </c>
      <c r="Z18">
        <v>2</v>
      </c>
      <c r="AA18">
        <v>6</v>
      </c>
      <c r="AB18">
        <v>2</v>
      </c>
      <c r="AC18">
        <v>0</v>
      </c>
      <c r="AD18">
        <v>5</v>
      </c>
      <c r="AE18" t="str" cm="1">
        <f t="array" ref="AE18">_xlfn.IFS(G18=1,"Before College",G18=2,"College",G18=3,"Bachelor",G18=4,"Master",G18=5,"Doctor")</f>
        <v>College</v>
      </c>
      <c r="AF18" t="str" cm="1">
        <f t="array" ref="AF18">_xlfn.IFS(J18=1,"Low",J18=2,"Medium",J18=3,"High",J18=4,"Very High")</f>
        <v>Low</v>
      </c>
      <c r="AG18" t="str" cm="1">
        <f t="array" ref="AG18">_xlfn.IFS(L18=1,"Low",L18=2,"Medium",L18=3,"High",L18=4,"Very High")</f>
        <v>Very High</v>
      </c>
      <c r="AH18" t="str" cm="1">
        <f t="array" ref="AH18">_xlfn.IFS(M18=1,"Junior employee",M18=2,"Mid-level",M18=3,"Senior",M18=4,"Manager",M18=5,"Executive")</f>
        <v>Junior employee</v>
      </c>
      <c r="AI18" t="str" cm="1">
        <f t="array" ref="AI18">_xlfn.IFS(O18=1,"Low",O18=2,"Medium",O18=3,"High",O18=4,"Very High")</f>
        <v>Medium</v>
      </c>
      <c r="AJ18" t="str" cm="1">
        <f t="array" ref="AJ18">_xlfn.IFS(U18=1,"Low",U18=2,"Good",U18=3,"Excellent",U18=4,"Outstanding")</f>
        <v>Excellent</v>
      </c>
      <c r="AK18" t="str" cm="1">
        <f t="array" ref="AK18">_xlfn.IFS(V18=1,"Low",V18=2,"Medium",V18=3,"High",V18=4,"Very High")</f>
        <v>Very High</v>
      </c>
      <c r="AL18" t="str" cm="1">
        <f t="array" ref="AL18">_xlfn.IFS(Z18=1,"Bad",Z18=2,"Good",Z18=3,"Better",Z18=4,"Best")</f>
        <v>Good</v>
      </c>
      <c r="AM18" t="str" cm="1">
        <f t="array" ref="AM18">_xlfn.IFS(W18=0,"No_stock",W18=1,"Low",W18=2,"Medium",W18=3,"High")</f>
        <v>Medium</v>
      </c>
      <c r="AN18" t="str">
        <f t="shared" si="0"/>
        <v>Near</v>
      </c>
    </row>
    <row r="19" spans="1:40" x14ac:dyDescent="0.45">
      <c r="A19">
        <v>22</v>
      </c>
      <c r="B19" t="s">
        <v>37</v>
      </c>
      <c r="C19" t="s">
        <v>49</v>
      </c>
      <c r="D19">
        <v>1123</v>
      </c>
      <c r="E19" t="s">
        <v>39</v>
      </c>
      <c r="F19">
        <v>16</v>
      </c>
      <c r="G19">
        <v>2</v>
      </c>
      <c r="H19" t="s">
        <v>45</v>
      </c>
      <c r="I19">
        <v>22</v>
      </c>
      <c r="J19">
        <v>4</v>
      </c>
      <c r="K19" t="s">
        <v>40</v>
      </c>
      <c r="L19">
        <v>4</v>
      </c>
      <c r="M19">
        <v>1</v>
      </c>
      <c r="N19" t="s">
        <v>44</v>
      </c>
      <c r="O19">
        <v>4</v>
      </c>
      <c r="P19" t="s">
        <v>46</v>
      </c>
      <c r="Q19">
        <v>2935</v>
      </c>
      <c r="R19">
        <v>1</v>
      </c>
      <c r="S19" t="s">
        <v>30</v>
      </c>
      <c r="T19">
        <v>13</v>
      </c>
      <c r="U19">
        <v>3</v>
      </c>
      <c r="V19">
        <v>2</v>
      </c>
      <c r="W19">
        <v>2</v>
      </c>
      <c r="X19">
        <v>1</v>
      </c>
      <c r="Y19">
        <v>2</v>
      </c>
      <c r="Z19">
        <v>2</v>
      </c>
      <c r="AA19">
        <v>1</v>
      </c>
      <c r="AB19">
        <v>0</v>
      </c>
      <c r="AC19">
        <v>0</v>
      </c>
      <c r="AD19">
        <v>0</v>
      </c>
      <c r="AE19" t="str" cm="1">
        <f t="array" ref="AE19">_xlfn.IFS(G19=1,"Before College",G19=2,"College",G19=3,"Bachelor",G19=4,"Master",G19=5,"Doctor")</f>
        <v>College</v>
      </c>
      <c r="AF19" t="str" cm="1">
        <f t="array" ref="AF19">_xlfn.IFS(J19=1,"Low",J19=2,"Medium",J19=3,"High",J19=4,"Very High")</f>
        <v>Very High</v>
      </c>
      <c r="AG19" t="str" cm="1">
        <f t="array" ref="AG19">_xlfn.IFS(L19=1,"Low",L19=2,"Medium",L19=3,"High",L19=4,"Very High")</f>
        <v>Very High</v>
      </c>
      <c r="AH19" t="str" cm="1">
        <f t="array" ref="AH19">_xlfn.IFS(M19=1,"Junior employee",M19=2,"Mid-level",M19=3,"Senior",M19=4,"Manager",M19=5,"Executive")</f>
        <v>Junior employee</v>
      </c>
      <c r="AI19" t="str" cm="1">
        <f t="array" ref="AI19">_xlfn.IFS(O19=1,"Low",O19=2,"Medium",O19=3,"High",O19=4,"Very High")</f>
        <v>Very High</v>
      </c>
      <c r="AJ19" t="str" cm="1">
        <f t="array" ref="AJ19">_xlfn.IFS(U19=1,"Low",U19=2,"Good",U19=3,"Excellent",U19=4,"Outstanding")</f>
        <v>Excellent</v>
      </c>
      <c r="AK19" t="str" cm="1">
        <f t="array" ref="AK19">_xlfn.IFS(V19=1,"Low",V19=2,"Medium",V19=3,"High",V19=4,"Very High")</f>
        <v>Medium</v>
      </c>
      <c r="AL19" t="str" cm="1">
        <f t="array" ref="AL19">_xlfn.IFS(Z19=1,"Bad",Z19=2,"Good",Z19=3,"Better",Z19=4,"Best")</f>
        <v>Good</v>
      </c>
      <c r="AM19" t="str" cm="1">
        <f t="array" ref="AM19">_xlfn.IFS(W19=0,"No_stock",W19=1,"Low",W19=2,"Medium",W19=3,"High")</f>
        <v>Medium</v>
      </c>
      <c r="AN19" t="str">
        <f t="shared" si="0"/>
        <v>Far</v>
      </c>
    </row>
    <row r="20" spans="1:40" x14ac:dyDescent="0.45">
      <c r="A20">
        <v>53</v>
      </c>
      <c r="B20" t="s">
        <v>37</v>
      </c>
      <c r="C20" t="s">
        <v>31</v>
      </c>
      <c r="D20">
        <v>1219</v>
      </c>
      <c r="E20" t="s">
        <v>32</v>
      </c>
      <c r="F20">
        <v>2</v>
      </c>
      <c r="G20">
        <v>4</v>
      </c>
      <c r="H20" t="s">
        <v>33</v>
      </c>
      <c r="I20">
        <v>23</v>
      </c>
      <c r="J20">
        <v>1</v>
      </c>
      <c r="K20" t="s">
        <v>34</v>
      </c>
      <c r="L20">
        <v>2</v>
      </c>
      <c r="M20">
        <v>4</v>
      </c>
      <c r="N20" t="s">
        <v>50</v>
      </c>
      <c r="O20">
        <v>4</v>
      </c>
      <c r="P20" t="s">
        <v>42</v>
      </c>
      <c r="Q20">
        <v>15427</v>
      </c>
      <c r="R20">
        <v>2</v>
      </c>
      <c r="S20" t="s">
        <v>37</v>
      </c>
      <c r="T20">
        <v>16</v>
      </c>
      <c r="U20">
        <v>3</v>
      </c>
      <c r="V20">
        <v>3</v>
      </c>
      <c r="W20">
        <v>0</v>
      </c>
      <c r="X20">
        <v>31</v>
      </c>
      <c r="Y20">
        <v>3</v>
      </c>
      <c r="Z20">
        <v>3</v>
      </c>
      <c r="AA20">
        <v>25</v>
      </c>
      <c r="AB20">
        <v>8</v>
      </c>
      <c r="AC20">
        <v>3</v>
      </c>
      <c r="AD20">
        <v>7</v>
      </c>
      <c r="AE20" t="str" cm="1">
        <f t="array" ref="AE20">_xlfn.IFS(G20=1,"Before College",G20=2,"College",G20=3,"Bachelor",G20=4,"Master",G20=5,"Doctor")</f>
        <v>Master</v>
      </c>
      <c r="AF20" t="str" cm="1">
        <f t="array" ref="AF20">_xlfn.IFS(J20=1,"Low",J20=2,"Medium",J20=3,"High",J20=4,"Very High")</f>
        <v>Low</v>
      </c>
      <c r="AG20" t="str" cm="1">
        <f t="array" ref="AG20">_xlfn.IFS(L20=1,"Low",L20=2,"Medium",L20=3,"High",L20=4,"Very High")</f>
        <v>Medium</v>
      </c>
      <c r="AH20" t="str" cm="1">
        <f t="array" ref="AH20">_xlfn.IFS(M20=1,"Junior employee",M20=2,"Mid-level",M20=3,"Senior",M20=4,"Manager",M20=5,"Executive")</f>
        <v>Manager</v>
      </c>
      <c r="AI20" t="str" cm="1">
        <f t="array" ref="AI20">_xlfn.IFS(O20=1,"Low",O20=2,"Medium",O20=3,"High",O20=4,"Very High")</f>
        <v>Very High</v>
      </c>
      <c r="AJ20" t="str" cm="1">
        <f t="array" ref="AJ20">_xlfn.IFS(U20=1,"Low",U20=2,"Good",U20=3,"Excellent",U20=4,"Outstanding")</f>
        <v>Excellent</v>
      </c>
      <c r="AK20" t="str" cm="1">
        <f t="array" ref="AK20">_xlfn.IFS(V20=1,"Low",V20=2,"Medium",V20=3,"High",V20=4,"Very High")</f>
        <v>High</v>
      </c>
      <c r="AL20" t="str" cm="1">
        <f t="array" ref="AL20">_xlfn.IFS(Z20=1,"Bad",Z20=2,"Good",Z20=3,"Better",Z20=4,"Best")</f>
        <v>Better</v>
      </c>
      <c r="AM20" t="str" cm="1">
        <f t="array" ref="AM20">_xlfn.IFS(W20=0,"No_stock",W20=1,"Low",W20=2,"Medium",W20=3,"High")</f>
        <v>No_stock</v>
      </c>
      <c r="AN20" t="str">
        <f t="shared" si="0"/>
        <v>Near</v>
      </c>
    </row>
    <row r="21" spans="1:40" x14ac:dyDescent="0.45">
      <c r="A21">
        <v>38</v>
      </c>
      <c r="B21" t="s">
        <v>37</v>
      </c>
      <c r="C21" t="s">
        <v>31</v>
      </c>
      <c r="D21">
        <v>371</v>
      </c>
      <c r="E21" t="s">
        <v>39</v>
      </c>
      <c r="F21">
        <v>2</v>
      </c>
      <c r="G21">
        <v>3</v>
      </c>
      <c r="H21" t="s">
        <v>33</v>
      </c>
      <c r="I21">
        <v>24</v>
      </c>
      <c r="J21">
        <v>4</v>
      </c>
      <c r="K21" t="s">
        <v>40</v>
      </c>
      <c r="L21">
        <v>3</v>
      </c>
      <c r="M21">
        <v>1</v>
      </c>
      <c r="N21" t="s">
        <v>41</v>
      </c>
      <c r="O21">
        <v>4</v>
      </c>
      <c r="P21" t="s">
        <v>36</v>
      </c>
      <c r="Q21">
        <v>3944</v>
      </c>
      <c r="R21">
        <v>5</v>
      </c>
      <c r="S21" t="s">
        <v>30</v>
      </c>
      <c r="T21">
        <v>11</v>
      </c>
      <c r="U21">
        <v>3</v>
      </c>
      <c r="V21">
        <v>3</v>
      </c>
      <c r="W21">
        <v>0</v>
      </c>
      <c r="X21">
        <v>6</v>
      </c>
      <c r="Y21">
        <v>3</v>
      </c>
      <c r="Z21">
        <v>3</v>
      </c>
      <c r="AA21">
        <v>3</v>
      </c>
      <c r="AB21">
        <v>2</v>
      </c>
      <c r="AC21">
        <v>1</v>
      </c>
      <c r="AD21">
        <v>2</v>
      </c>
      <c r="AE21" t="str" cm="1">
        <f t="array" ref="AE21">_xlfn.IFS(G21=1,"Before College",G21=2,"College",G21=3,"Bachelor",G21=4,"Master",G21=5,"Doctor")</f>
        <v>Bachelor</v>
      </c>
      <c r="AF21" t="str" cm="1">
        <f t="array" ref="AF21">_xlfn.IFS(J21=1,"Low",J21=2,"Medium",J21=3,"High",J21=4,"Very High")</f>
        <v>Very High</v>
      </c>
      <c r="AG21" t="str" cm="1">
        <f t="array" ref="AG21">_xlfn.IFS(L21=1,"Low",L21=2,"Medium",L21=3,"High",L21=4,"Very High")</f>
        <v>High</v>
      </c>
      <c r="AH21" t="str" cm="1">
        <f t="array" ref="AH21">_xlfn.IFS(M21=1,"Junior employee",M21=2,"Mid-level",M21=3,"Senior",M21=4,"Manager",M21=5,"Executive")</f>
        <v>Junior employee</v>
      </c>
      <c r="AI21" t="str" cm="1">
        <f t="array" ref="AI21">_xlfn.IFS(O21=1,"Low",O21=2,"Medium",O21=3,"High",O21=4,"Very High")</f>
        <v>Very High</v>
      </c>
      <c r="AJ21" t="str" cm="1">
        <f t="array" ref="AJ21">_xlfn.IFS(U21=1,"Low",U21=2,"Good",U21=3,"Excellent",U21=4,"Outstanding")</f>
        <v>Excellent</v>
      </c>
      <c r="AK21" t="str" cm="1">
        <f t="array" ref="AK21">_xlfn.IFS(V21=1,"Low",V21=2,"Medium",V21=3,"High",V21=4,"Very High")</f>
        <v>High</v>
      </c>
      <c r="AL21" t="str" cm="1">
        <f t="array" ref="AL21">_xlfn.IFS(Z21=1,"Bad",Z21=2,"Good",Z21=3,"Better",Z21=4,"Best")</f>
        <v>Better</v>
      </c>
      <c r="AM21" t="str" cm="1">
        <f t="array" ref="AM21">_xlfn.IFS(W21=0,"No_stock",W21=1,"Low",W21=2,"Medium",W21=3,"High")</f>
        <v>No_stock</v>
      </c>
      <c r="AN21" t="str">
        <f t="shared" si="0"/>
        <v>Near</v>
      </c>
    </row>
    <row r="22" spans="1:40" x14ac:dyDescent="0.45">
      <c r="A22">
        <v>24</v>
      </c>
      <c r="B22" t="s">
        <v>37</v>
      </c>
      <c r="C22" t="s">
        <v>49</v>
      </c>
      <c r="D22">
        <v>673</v>
      </c>
      <c r="E22" t="s">
        <v>39</v>
      </c>
      <c r="F22">
        <v>11</v>
      </c>
      <c r="G22">
        <v>2</v>
      </c>
      <c r="H22" t="s">
        <v>43</v>
      </c>
      <c r="I22">
        <v>26</v>
      </c>
      <c r="J22">
        <v>1</v>
      </c>
      <c r="K22" t="s">
        <v>34</v>
      </c>
      <c r="L22">
        <v>4</v>
      </c>
      <c r="M22">
        <v>2</v>
      </c>
      <c r="N22" t="s">
        <v>47</v>
      </c>
      <c r="O22">
        <v>3</v>
      </c>
      <c r="P22" t="s">
        <v>46</v>
      </c>
      <c r="Q22">
        <v>4011</v>
      </c>
      <c r="R22">
        <v>0</v>
      </c>
      <c r="S22" t="s">
        <v>37</v>
      </c>
      <c r="T22">
        <v>18</v>
      </c>
      <c r="U22">
        <v>3</v>
      </c>
      <c r="V22">
        <v>4</v>
      </c>
      <c r="W22">
        <v>1</v>
      </c>
      <c r="X22">
        <v>5</v>
      </c>
      <c r="Y22">
        <v>5</v>
      </c>
      <c r="Z22">
        <v>2</v>
      </c>
      <c r="AA22">
        <v>4</v>
      </c>
      <c r="AB22">
        <v>2</v>
      </c>
      <c r="AC22">
        <v>1</v>
      </c>
      <c r="AD22">
        <v>3</v>
      </c>
      <c r="AE22" t="str" cm="1">
        <f t="array" ref="AE22">_xlfn.IFS(G22=1,"Before College",G22=2,"College",G22=3,"Bachelor",G22=4,"Master",G22=5,"Doctor")</f>
        <v>College</v>
      </c>
      <c r="AF22" t="str" cm="1">
        <f t="array" ref="AF22">_xlfn.IFS(J22=1,"Low",J22=2,"Medium",J22=3,"High",J22=4,"Very High")</f>
        <v>Low</v>
      </c>
      <c r="AG22" t="str" cm="1">
        <f t="array" ref="AG22">_xlfn.IFS(L22=1,"Low",L22=2,"Medium",L22=3,"High",L22=4,"Very High")</f>
        <v>Very High</v>
      </c>
      <c r="AH22" t="str" cm="1">
        <f t="array" ref="AH22">_xlfn.IFS(M22=1,"Junior employee",M22=2,"Mid-level",M22=3,"Senior",M22=4,"Manager",M22=5,"Executive")</f>
        <v>Mid-level</v>
      </c>
      <c r="AI22" t="str" cm="1">
        <f t="array" ref="AI22">_xlfn.IFS(O22=1,"Low",O22=2,"Medium",O22=3,"High",O22=4,"Very High")</f>
        <v>High</v>
      </c>
      <c r="AJ22" t="str" cm="1">
        <f t="array" ref="AJ22">_xlfn.IFS(U22=1,"Low",U22=2,"Good",U22=3,"Excellent",U22=4,"Outstanding")</f>
        <v>Excellent</v>
      </c>
      <c r="AK22" t="str" cm="1">
        <f t="array" ref="AK22">_xlfn.IFS(V22=1,"Low",V22=2,"Medium",V22=3,"High",V22=4,"Very High")</f>
        <v>Very High</v>
      </c>
      <c r="AL22" t="str" cm="1">
        <f t="array" ref="AL22">_xlfn.IFS(Z22=1,"Bad",Z22=2,"Good",Z22=3,"Better",Z22=4,"Best")</f>
        <v>Good</v>
      </c>
      <c r="AM22" t="str" cm="1">
        <f t="array" ref="AM22">_xlfn.IFS(W22=0,"No_stock",W22=1,"Low",W22=2,"Medium",W22=3,"High")</f>
        <v>Low</v>
      </c>
      <c r="AN22" t="str">
        <f t="shared" si="0"/>
        <v>Medium</v>
      </c>
    </row>
    <row r="23" spans="1:40" x14ac:dyDescent="0.45">
      <c r="A23">
        <v>36</v>
      </c>
      <c r="B23" t="s">
        <v>30</v>
      </c>
      <c r="C23" t="s">
        <v>31</v>
      </c>
      <c r="D23">
        <v>1218</v>
      </c>
      <c r="E23" t="s">
        <v>32</v>
      </c>
      <c r="F23">
        <v>9</v>
      </c>
      <c r="G23">
        <v>4</v>
      </c>
      <c r="H23" t="s">
        <v>33</v>
      </c>
      <c r="I23">
        <v>27</v>
      </c>
      <c r="J23">
        <v>3</v>
      </c>
      <c r="K23" t="s">
        <v>40</v>
      </c>
      <c r="L23">
        <v>2</v>
      </c>
      <c r="M23">
        <v>1</v>
      </c>
      <c r="N23" t="s">
        <v>51</v>
      </c>
      <c r="O23">
        <v>1</v>
      </c>
      <c r="P23" t="s">
        <v>36</v>
      </c>
      <c r="Q23">
        <v>3407</v>
      </c>
      <c r="R23">
        <v>7</v>
      </c>
      <c r="S23" t="s">
        <v>37</v>
      </c>
      <c r="T23">
        <v>23</v>
      </c>
      <c r="U23">
        <v>4</v>
      </c>
      <c r="V23">
        <v>2</v>
      </c>
      <c r="W23">
        <v>0</v>
      </c>
      <c r="X23">
        <v>10</v>
      </c>
      <c r="Y23">
        <v>4</v>
      </c>
      <c r="Z23">
        <v>3</v>
      </c>
      <c r="AA23">
        <v>5</v>
      </c>
      <c r="AB23">
        <v>3</v>
      </c>
      <c r="AC23">
        <v>0</v>
      </c>
      <c r="AD23">
        <v>3</v>
      </c>
      <c r="AE23" t="str" cm="1">
        <f t="array" ref="AE23">_xlfn.IFS(G23=1,"Before College",G23=2,"College",G23=3,"Bachelor",G23=4,"Master",G23=5,"Doctor")</f>
        <v>Master</v>
      </c>
      <c r="AF23" t="str" cm="1">
        <f t="array" ref="AF23">_xlfn.IFS(J23=1,"Low",J23=2,"Medium",J23=3,"High",J23=4,"Very High")</f>
        <v>High</v>
      </c>
      <c r="AG23" t="str" cm="1">
        <f t="array" ref="AG23">_xlfn.IFS(L23=1,"Low",L23=2,"Medium",L23=3,"High",L23=4,"Very High")</f>
        <v>Medium</v>
      </c>
      <c r="AH23" t="str" cm="1">
        <f t="array" ref="AH23">_xlfn.IFS(M23=1,"Junior employee",M23=2,"Mid-level",M23=3,"Senior",M23=4,"Manager",M23=5,"Executive")</f>
        <v>Junior employee</v>
      </c>
      <c r="AI23" t="str" cm="1">
        <f t="array" ref="AI23">_xlfn.IFS(O23=1,"Low",O23=2,"Medium",O23=3,"High",O23=4,"Very High")</f>
        <v>Low</v>
      </c>
      <c r="AJ23" t="str" cm="1">
        <f t="array" ref="AJ23">_xlfn.IFS(U23=1,"Low",U23=2,"Good",U23=3,"Excellent",U23=4,"Outstanding")</f>
        <v>Outstanding</v>
      </c>
      <c r="AK23" t="str" cm="1">
        <f t="array" ref="AK23">_xlfn.IFS(V23=1,"Low",V23=2,"Medium",V23=3,"High",V23=4,"Very High")</f>
        <v>Medium</v>
      </c>
      <c r="AL23" t="str" cm="1">
        <f t="array" ref="AL23">_xlfn.IFS(Z23=1,"Bad",Z23=2,"Good",Z23=3,"Better",Z23=4,"Best")</f>
        <v>Better</v>
      </c>
      <c r="AM23" t="str" cm="1">
        <f t="array" ref="AM23">_xlfn.IFS(W23=0,"No_stock",W23=1,"Low",W23=2,"Medium",W23=3,"High")</f>
        <v>No_stock</v>
      </c>
      <c r="AN23" t="str">
        <f t="shared" si="0"/>
        <v>Medium</v>
      </c>
    </row>
    <row r="24" spans="1:40" x14ac:dyDescent="0.45">
      <c r="A24">
        <v>34</v>
      </c>
      <c r="B24" t="s">
        <v>37</v>
      </c>
      <c r="C24" t="s">
        <v>31</v>
      </c>
      <c r="D24">
        <v>419</v>
      </c>
      <c r="E24" t="s">
        <v>39</v>
      </c>
      <c r="F24">
        <v>7</v>
      </c>
      <c r="G24">
        <v>4</v>
      </c>
      <c r="H24" t="s">
        <v>33</v>
      </c>
      <c r="I24">
        <v>28</v>
      </c>
      <c r="J24">
        <v>1</v>
      </c>
      <c r="K24" t="s">
        <v>34</v>
      </c>
      <c r="L24">
        <v>3</v>
      </c>
      <c r="M24">
        <v>3</v>
      </c>
      <c r="N24" t="s">
        <v>52</v>
      </c>
      <c r="O24">
        <v>2</v>
      </c>
      <c r="P24" t="s">
        <v>36</v>
      </c>
      <c r="Q24">
        <v>11994</v>
      </c>
      <c r="R24">
        <v>0</v>
      </c>
      <c r="S24" t="s">
        <v>37</v>
      </c>
      <c r="T24">
        <v>11</v>
      </c>
      <c r="U24">
        <v>3</v>
      </c>
      <c r="V24">
        <v>3</v>
      </c>
      <c r="W24">
        <v>0</v>
      </c>
      <c r="X24">
        <v>13</v>
      </c>
      <c r="Y24">
        <v>4</v>
      </c>
      <c r="Z24">
        <v>3</v>
      </c>
      <c r="AA24">
        <v>12</v>
      </c>
      <c r="AB24">
        <v>6</v>
      </c>
      <c r="AC24">
        <v>2</v>
      </c>
      <c r="AD24">
        <v>11</v>
      </c>
      <c r="AE24" t="str" cm="1">
        <f t="array" ref="AE24">_xlfn.IFS(G24=1,"Before College",G24=2,"College",G24=3,"Bachelor",G24=4,"Master",G24=5,"Doctor")</f>
        <v>Master</v>
      </c>
      <c r="AF24" t="str" cm="1">
        <f t="array" ref="AF24">_xlfn.IFS(J24=1,"Low",J24=2,"Medium",J24=3,"High",J24=4,"Very High")</f>
        <v>Low</v>
      </c>
      <c r="AG24" t="str" cm="1">
        <f t="array" ref="AG24">_xlfn.IFS(L24=1,"Low",L24=2,"Medium",L24=3,"High",L24=4,"Very High")</f>
        <v>High</v>
      </c>
      <c r="AH24" t="str" cm="1">
        <f t="array" ref="AH24">_xlfn.IFS(M24=1,"Junior employee",M24=2,"Mid-level",M24=3,"Senior",M24=4,"Manager",M24=5,"Executive")</f>
        <v>Senior</v>
      </c>
      <c r="AI24" t="str" cm="1">
        <f t="array" ref="AI24">_xlfn.IFS(O24=1,"Low",O24=2,"Medium",O24=3,"High",O24=4,"Very High")</f>
        <v>Medium</v>
      </c>
      <c r="AJ24" t="str" cm="1">
        <f t="array" ref="AJ24">_xlfn.IFS(U24=1,"Low",U24=2,"Good",U24=3,"Excellent",U24=4,"Outstanding")</f>
        <v>Excellent</v>
      </c>
      <c r="AK24" t="str" cm="1">
        <f t="array" ref="AK24">_xlfn.IFS(V24=1,"Low",V24=2,"Medium",V24=3,"High",V24=4,"Very High")</f>
        <v>High</v>
      </c>
      <c r="AL24" t="str" cm="1">
        <f t="array" ref="AL24">_xlfn.IFS(Z24=1,"Bad",Z24=2,"Good",Z24=3,"Better",Z24=4,"Best")</f>
        <v>Better</v>
      </c>
      <c r="AM24" t="str" cm="1">
        <f t="array" ref="AM24">_xlfn.IFS(W24=0,"No_stock",W24=1,"Low",W24=2,"Medium",W24=3,"High")</f>
        <v>No_stock</v>
      </c>
      <c r="AN24" t="str">
        <f t="shared" si="0"/>
        <v>Medium</v>
      </c>
    </row>
    <row r="25" spans="1:40" x14ac:dyDescent="0.45">
      <c r="A25">
        <v>21</v>
      </c>
      <c r="B25" t="s">
        <v>37</v>
      </c>
      <c r="C25" t="s">
        <v>31</v>
      </c>
      <c r="D25">
        <v>391</v>
      </c>
      <c r="E25" t="s">
        <v>39</v>
      </c>
      <c r="F25">
        <v>15</v>
      </c>
      <c r="G25">
        <v>2</v>
      </c>
      <c r="H25" t="s">
        <v>33</v>
      </c>
      <c r="I25">
        <v>30</v>
      </c>
      <c r="J25">
        <v>3</v>
      </c>
      <c r="K25" t="s">
        <v>40</v>
      </c>
      <c r="L25">
        <v>3</v>
      </c>
      <c r="M25">
        <v>1</v>
      </c>
      <c r="N25" t="s">
        <v>41</v>
      </c>
      <c r="O25">
        <v>4</v>
      </c>
      <c r="P25" t="s">
        <v>36</v>
      </c>
      <c r="Q25">
        <v>1232</v>
      </c>
      <c r="R25">
        <v>1</v>
      </c>
      <c r="S25" t="s">
        <v>37</v>
      </c>
      <c r="T25">
        <v>14</v>
      </c>
      <c r="U25">
        <v>3</v>
      </c>
      <c r="V25">
        <v>4</v>
      </c>
      <c r="W25">
        <v>0</v>
      </c>
      <c r="X25">
        <v>0</v>
      </c>
      <c r="Y25">
        <v>6</v>
      </c>
      <c r="Z25">
        <v>3</v>
      </c>
      <c r="AA25">
        <v>0</v>
      </c>
      <c r="AB25">
        <v>0</v>
      </c>
      <c r="AC25">
        <v>0</v>
      </c>
      <c r="AD25">
        <v>0</v>
      </c>
      <c r="AE25" t="str" cm="1">
        <f t="array" ref="AE25">_xlfn.IFS(G25=1,"Before College",G25=2,"College",G25=3,"Bachelor",G25=4,"Master",G25=5,"Doctor")</f>
        <v>College</v>
      </c>
      <c r="AF25" t="str" cm="1">
        <f t="array" ref="AF25">_xlfn.IFS(J25=1,"Low",J25=2,"Medium",J25=3,"High",J25=4,"Very High")</f>
        <v>High</v>
      </c>
      <c r="AG25" t="str" cm="1">
        <f t="array" ref="AG25">_xlfn.IFS(L25=1,"Low",L25=2,"Medium",L25=3,"High",L25=4,"Very High")</f>
        <v>High</v>
      </c>
      <c r="AH25" t="str" cm="1">
        <f t="array" ref="AH25">_xlfn.IFS(M25=1,"Junior employee",M25=2,"Mid-level",M25=3,"Senior",M25=4,"Manager",M25=5,"Executive")</f>
        <v>Junior employee</v>
      </c>
      <c r="AI25" t="str" cm="1">
        <f t="array" ref="AI25">_xlfn.IFS(O25=1,"Low",O25=2,"Medium",O25=3,"High",O25=4,"Very High")</f>
        <v>Very High</v>
      </c>
      <c r="AJ25" t="str" cm="1">
        <f t="array" ref="AJ25">_xlfn.IFS(U25=1,"Low",U25=2,"Good",U25=3,"Excellent",U25=4,"Outstanding")</f>
        <v>Excellent</v>
      </c>
      <c r="AK25" t="str" cm="1">
        <f t="array" ref="AK25">_xlfn.IFS(V25=1,"Low",V25=2,"Medium",V25=3,"High",V25=4,"Very High")</f>
        <v>Very High</v>
      </c>
      <c r="AL25" t="str" cm="1">
        <f t="array" ref="AL25">_xlfn.IFS(Z25=1,"Bad",Z25=2,"Good",Z25=3,"Better",Z25=4,"Best")</f>
        <v>Better</v>
      </c>
      <c r="AM25" t="str" cm="1">
        <f t="array" ref="AM25">_xlfn.IFS(W25=0,"No_stock",W25=1,"Low",W25=2,"Medium",W25=3,"High")</f>
        <v>No_stock</v>
      </c>
      <c r="AN25" t="str">
        <f t="shared" si="0"/>
        <v>Medium</v>
      </c>
    </row>
    <row r="26" spans="1:40" x14ac:dyDescent="0.45">
      <c r="A26">
        <v>34</v>
      </c>
      <c r="B26" t="s">
        <v>30</v>
      </c>
      <c r="C26" t="s">
        <v>31</v>
      </c>
      <c r="D26">
        <v>699</v>
      </c>
      <c r="E26" t="s">
        <v>39</v>
      </c>
      <c r="F26">
        <v>6</v>
      </c>
      <c r="G26">
        <v>1</v>
      </c>
      <c r="H26" t="s">
        <v>45</v>
      </c>
      <c r="I26">
        <v>31</v>
      </c>
      <c r="J26">
        <v>2</v>
      </c>
      <c r="K26" t="s">
        <v>40</v>
      </c>
      <c r="L26">
        <v>3</v>
      </c>
      <c r="M26">
        <v>1</v>
      </c>
      <c r="N26" t="s">
        <v>41</v>
      </c>
      <c r="O26">
        <v>1</v>
      </c>
      <c r="P26" t="s">
        <v>36</v>
      </c>
      <c r="Q26">
        <v>2960</v>
      </c>
      <c r="R26">
        <v>2</v>
      </c>
      <c r="S26" t="s">
        <v>37</v>
      </c>
      <c r="T26">
        <v>11</v>
      </c>
      <c r="U26">
        <v>3</v>
      </c>
      <c r="V26">
        <v>3</v>
      </c>
      <c r="W26">
        <v>0</v>
      </c>
      <c r="X26">
        <v>8</v>
      </c>
      <c r="Y26">
        <v>2</v>
      </c>
      <c r="Z26">
        <v>3</v>
      </c>
      <c r="AA26">
        <v>4</v>
      </c>
      <c r="AB26">
        <v>2</v>
      </c>
      <c r="AC26">
        <v>1</v>
      </c>
      <c r="AD26">
        <v>3</v>
      </c>
      <c r="AE26" t="str" cm="1">
        <f t="array" ref="AE26">_xlfn.IFS(G26=1,"Before College",G26=2,"College",G26=3,"Bachelor",G26=4,"Master",G26=5,"Doctor")</f>
        <v>Before College</v>
      </c>
      <c r="AF26" t="str" cm="1">
        <f t="array" ref="AF26">_xlfn.IFS(J26=1,"Low",J26=2,"Medium",J26=3,"High",J26=4,"Very High")</f>
        <v>Medium</v>
      </c>
      <c r="AG26" t="str" cm="1">
        <f t="array" ref="AG26">_xlfn.IFS(L26=1,"Low",L26=2,"Medium",L26=3,"High",L26=4,"Very High")</f>
        <v>High</v>
      </c>
      <c r="AH26" t="str" cm="1">
        <f t="array" ref="AH26">_xlfn.IFS(M26=1,"Junior employee",M26=2,"Mid-level",M26=3,"Senior",M26=4,"Manager",M26=5,"Executive")</f>
        <v>Junior employee</v>
      </c>
      <c r="AI26" t="str" cm="1">
        <f t="array" ref="AI26">_xlfn.IFS(O26=1,"Low",O26=2,"Medium",O26=3,"High",O26=4,"Very High")</f>
        <v>Low</v>
      </c>
      <c r="AJ26" t="str" cm="1">
        <f t="array" ref="AJ26">_xlfn.IFS(U26=1,"Low",U26=2,"Good",U26=3,"Excellent",U26=4,"Outstanding")</f>
        <v>Excellent</v>
      </c>
      <c r="AK26" t="str" cm="1">
        <f t="array" ref="AK26">_xlfn.IFS(V26=1,"Low",V26=2,"Medium",V26=3,"High",V26=4,"Very High")</f>
        <v>High</v>
      </c>
      <c r="AL26" t="str" cm="1">
        <f t="array" ref="AL26">_xlfn.IFS(Z26=1,"Bad",Z26=2,"Good",Z26=3,"Better",Z26=4,"Best")</f>
        <v>Better</v>
      </c>
      <c r="AM26" t="str" cm="1">
        <f t="array" ref="AM26">_xlfn.IFS(W26=0,"No_stock",W26=1,"Low",W26=2,"Medium",W26=3,"High")</f>
        <v>No_stock</v>
      </c>
      <c r="AN26" t="str">
        <f t="shared" si="0"/>
        <v>Medium</v>
      </c>
    </row>
    <row r="27" spans="1:40" x14ac:dyDescent="0.45">
      <c r="A27">
        <v>53</v>
      </c>
      <c r="B27" t="s">
        <v>37</v>
      </c>
      <c r="C27" t="s">
        <v>31</v>
      </c>
      <c r="D27">
        <v>1282</v>
      </c>
      <c r="E27" t="s">
        <v>39</v>
      </c>
      <c r="F27">
        <v>5</v>
      </c>
      <c r="G27">
        <v>3</v>
      </c>
      <c r="H27" t="s">
        <v>43</v>
      </c>
      <c r="I27">
        <v>32</v>
      </c>
      <c r="J27">
        <v>3</v>
      </c>
      <c r="K27" t="s">
        <v>34</v>
      </c>
      <c r="L27">
        <v>3</v>
      </c>
      <c r="M27">
        <v>5</v>
      </c>
      <c r="N27" t="s">
        <v>50</v>
      </c>
      <c r="O27">
        <v>3</v>
      </c>
      <c r="P27" t="s">
        <v>46</v>
      </c>
      <c r="Q27">
        <v>19094</v>
      </c>
      <c r="R27">
        <v>4</v>
      </c>
      <c r="S27" t="s">
        <v>37</v>
      </c>
      <c r="T27">
        <v>11</v>
      </c>
      <c r="U27">
        <v>3</v>
      </c>
      <c r="V27">
        <v>4</v>
      </c>
      <c r="W27">
        <v>1</v>
      </c>
      <c r="X27">
        <v>26</v>
      </c>
      <c r="Y27">
        <v>3</v>
      </c>
      <c r="Z27">
        <v>2</v>
      </c>
      <c r="AA27">
        <v>14</v>
      </c>
      <c r="AB27">
        <v>13</v>
      </c>
      <c r="AC27">
        <v>4</v>
      </c>
      <c r="AD27">
        <v>8</v>
      </c>
      <c r="AE27" t="str" cm="1">
        <f t="array" ref="AE27">_xlfn.IFS(G27=1,"Before College",G27=2,"College",G27=3,"Bachelor",G27=4,"Master",G27=5,"Doctor")</f>
        <v>Bachelor</v>
      </c>
      <c r="AF27" t="str" cm="1">
        <f t="array" ref="AF27">_xlfn.IFS(J27=1,"Low",J27=2,"Medium",J27=3,"High",J27=4,"Very High")</f>
        <v>High</v>
      </c>
      <c r="AG27" t="str" cm="1">
        <f t="array" ref="AG27">_xlfn.IFS(L27=1,"Low",L27=2,"Medium",L27=3,"High",L27=4,"Very High")</f>
        <v>High</v>
      </c>
      <c r="AH27" t="str" cm="1">
        <f t="array" ref="AH27">_xlfn.IFS(M27=1,"Junior employee",M27=2,"Mid-level",M27=3,"Senior",M27=4,"Manager",M27=5,"Executive")</f>
        <v>Executive</v>
      </c>
      <c r="AI27" t="str" cm="1">
        <f t="array" ref="AI27">_xlfn.IFS(O27=1,"Low",O27=2,"Medium",O27=3,"High",O27=4,"Very High")</f>
        <v>High</v>
      </c>
      <c r="AJ27" t="str" cm="1">
        <f t="array" ref="AJ27">_xlfn.IFS(U27=1,"Low",U27=2,"Good",U27=3,"Excellent",U27=4,"Outstanding")</f>
        <v>Excellent</v>
      </c>
      <c r="AK27" t="str" cm="1">
        <f t="array" ref="AK27">_xlfn.IFS(V27=1,"Low",V27=2,"Medium",V27=3,"High",V27=4,"Very High")</f>
        <v>Very High</v>
      </c>
      <c r="AL27" t="str" cm="1">
        <f t="array" ref="AL27">_xlfn.IFS(Z27=1,"Bad",Z27=2,"Good",Z27=3,"Better",Z27=4,"Best")</f>
        <v>Good</v>
      </c>
      <c r="AM27" t="str" cm="1">
        <f t="array" ref="AM27">_xlfn.IFS(W27=0,"No_stock",W27=1,"Low",W27=2,"Medium",W27=3,"High")</f>
        <v>Low</v>
      </c>
      <c r="AN27" t="str">
        <f t="shared" si="0"/>
        <v>Near</v>
      </c>
    </row>
    <row r="28" spans="1:40" x14ac:dyDescent="0.45">
      <c r="A28">
        <v>32</v>
      </c>
      <c r="B28" t="s">
        <v>30</v>
      </c>
      <c r="C28" t="s">
        <v>38</v>
      </c>
      <c r="D28">
        <v>1125</v>
      </c>
      <c r="E28" t="s">
        <v>39</v>
      </c>
      <c r="F28">
        <v>16</v>
      </c>
      <c r="G28">
        <v>1</v>
      </c>
      <c r="H28" t="s">
        <v>33</v>
      </c>
      <c r="I28">
        <v>33</v>
      </c>
      <c r="J28">
        <v>2</v>
      </c>
      <c r="K28" t="s">
        <v>34</v>
      </c>
      <c r="L28">
        <v>1</v>
      </c>
      <c r="M28">
        <v>1</v>
      </c>
      <c r="N28" t="s">
        <v>41</v>
      </c>
      <c r="O28">
        <v>1</v>
      </c>
      <c r="P28" t="s">
        <v>36</v>
      </c>
      <c r="Q28">
        <v>3919</v>
      </c>
      <c r="R28">
        <v>1</v>
      </c>
      <c r="S28" t="s">
        <v>30</v>
      </c>
      <c r="T28">
        <v>22</v>
      </c>
      <c r="U28">
        <v>4</v>
      </c>
      <c r="V28">
        <v>2</v>
      </c>
      <c r="W28">
        <v>0</v>
      </c>
      <c r="X28">
        <v>10</v>
      </c>
      <c r="Y28">
        <v>5</v>
      </c>
      <c r="Z28">
        <v>3</v>
      </c>
      <c r="AA28">
        <v>10</v>
      </c>
      <c r="AB28">
        <v>2</v>
      </c>
      <c r="AC28">
        <v>6</v>
      </c>
      <c r="AD28">
        <v>7</v>
      </c>
      <c r="AE28" t="str" cm="1">
        <f t="array" ref="AE28">_xlfn.IFS(G28=1,"Before College",G28=2,"College",G28=3,"Bachelor",G28=4,"Master",G28=5,"Doctor")</f>
        <v>Before College</v>
      </c>
      <c r="AF28" t="str" cm="1">
        <f t="array" ref="AF28">_xlfn.IFS(J28=1,"Low",J28=2,"Medium",J28=3,"High",J28=4,"Very High")</f>
        <v>Medium</v>
      </c>
      <c r="AG28" t="str" cm="1">
        <f t="array" ref="AG28">_xlfn.IFS(L28=1,"Low",L28=2,"Medium",L28=3,"High",L28=4,"Very High")</f>
        <v>Low</v>
      </c>
      <c r="AH28" t="str" cm="1">
        <f t="array" ref="AH28">_xlfn.IFS(M28=1,"Junior employee",M28=2,"Mid-level",M28=3,"Senior",M28=4,"Manager",M28=5,"Executive")</f>
        <v>Junior employee</v>
      </c>
      <c r="AI28" t="str" cm="1">
        <f t="array" ref="AI28">_xlfn.IFS(O28=1,"Low",O28=2,"Medium",O28=3,"High",O28=4,"Very High")</f>
        <v>Low</v>
      </c>
      <c r="AJ28" t="str" cm="1">
        <f t="array" ref="AJ28">_xlfn.IFS(U28=1,"Low",U28=2,"Good",U28=3,"Excellent",U28=4,"Outstanding")</f>
        <v>Outstanding</v>
      </c>
      <c r="AK28" t="str" cm="1">
        <f t="array" ref="AK28">_xlfn.IFS(V28=1,"Low",V28=2,"Medium",V28=3,"High",V28=4,"Very High")</f>
        <v>Medium</v>
      </c>
      <c r="AL28" t="str" cm="1">
        <f t="array" ref="AL28">_xlfn.IFS(Z28=1,"Bad",Z28=2,"Good",Z28=3,"Better",Z28=4,"Best")</f>
        <v>Better</v>
      </c>
      <c r="AM28" t="str" cm="1">
        <f t="array" ref="AM28">_xlfn.IFS(W28=0,"No_stock",W28=1,"Low",W28=2,"Medium",W28=3,"High")</f>
        <v>No_stock</v>
      </c>
      <c r="AN28" t="str">
        <f t="shared" si="0"/>
        <v>Far</v>
      </c>
    </row>
    <row r="29" spans="1:40" x14ac:dyDescent="0.45">
      <c r="A29">
        <v>42</v>
      </c>
      <c r="B29" t="s">
        <v>37</v>
      </c>
      <c r="C29" t="s">
        <v>31</v>
      </c>
      <c r="D29">
        <v>691</v>
      </c>
      <c r="E29" t="s">
        <v>32</v>
      </c>
      <c r="F29">
        <v>8</v>
      </c>
      <c r="G29">
        <v>4</v>
      </c>
      <c r="H29" t="s">
        <v>53</v>
      </c>
      <c r="I29">
        <v>35</v>
      </c>
      <c r="J29">
        <v>3</v>
      </c>
      <c r="K29" t="s">
        <v>40</v>
      </c>
      <c r="L29">
        <v>3</v>
      </c>
      <c r="M29">
        <v>2</v>
      </c>
      <c r="N29" t="s">
        <v>35</v>
      </c>
      <c r="O29">
        <v>2</v>
      </c>
      <c r="P29" t="s">
        <v>42</v>
      </c>
      <c r="Q29">
        <v>6825</v>
      </c>
      <c r="R29">
        <v>0</v>
      </c>
      <c r="S29" t="s">
        <v>37</v>
      </c>
      <c r="T29">
        <v>11</v>
      </c>
      <c r="U29">
        <v>3</v>
      </c>
      <c r="V29">
        <v>4</v>
      </c>
      <c r="W29">
        <v>1</v>
      </c>
      <c r="X29">
        <v>10</v>
      </c>
      <c r="Y29">
        <v>2</v>
      </c>
      <c r="Z29">
        <v>3</v>
      </c>
      <c r="AA29">
        <v>9</v>
      </c>
      <c r="AB29">
        <v>7</v>
      </c>
      <c r="AC29">
        <v>4</v>
      </c>
      <c r="AD29">
        <v>2</v>
      </c>
      <c r="AE29" t="str" cm="1">
        <f t="array" ref="AE29">_xlfn.IFS(G29=1,"Before College",G29=2,"College",G29=3,"Bachelor",G29=4,"Master",G29=5,"Doctor")</f>
        <v>Master</v>
      </c>
      <c r="AF29" t="str" cm="1">
        <f t="array" ref="AF29">_xlfn.IFS(J29=1,"Low",J29=2,"Medium",J29=3,"High",J29=4,"Very High")</f>
        <v>High</v>
      </c>
      <c r="AG29" t="str" cm="1">
        <f t="array" ref="AG29">_xlfn.IFS(L29=1,"Low",L29=2,"Medium",L29=3,"High",L29=4,"Very High")</f>
        <v>High</v>
      </c>
      <c r="AH29" t="str" cm="1">
        <f t="array" ref="AH29">_xlfn.IFS(M29=1,"Junior employee",M29=2,"Mid-level",M29=3,"Senior",M29=4,"Manager",M29=5,"Executive")</f>
        <v>Mid-level</v>
      </c>
      <c r="AI29" t="str" cm="1">
        <f t="array" ref="AI29">_xlfn.IFS(O29=1,"Low",O29=2,"Medium",O29=3,"High",O29=4,"Very High")</f>
        <v>Medium</v>
      </c>
      <c r="AJ29" t="str" cm="1">
        <f t="array" ref="AJ29">_xlfn.IFS(U29=1,"Low",U29=2,"Good",U29=3,"Excellent",U29=4,"Outstanding")</f>
        <v>Excellent</v>
      </c>
      <c r="AK29" t="str" cm="1">
        <f t="array" ref="AK29">_xlfn.IFS(V29=1,"Low",V29=2,"Medium",V29=3,"High",V29=4,"Very High")</f>
        <v>Very High</v>
      </c>
      <c r="AL29" t="str" cm="1">
        <f t="array" ref="AL29">_xlfn.IFS(Z29=1,"Bad",Z29=2,"Good",Z29=3,"Better",Z29=4,"Best")</f>
        <v>Better</v>
      </c>
      <c r="AM29" t="str" cm="1">
        <f t="array" ref="AM29">_xlfn.IFS(W29=0,"No_stock",W29=1,"Low",W29=2,"Medium",W29=3,"High")</f>
        <v>Low</v>
      </c>
      <c r="AN29" t="str">
        <f t="shared" si="0"/>
        <v>Medium</v>
      </c>
    </row>
    <row r="30" spans="1:40" x14ac:dyDescent="0.45">
      <c r="A30">
        <v>44</v>
      </c>
      <c r="B30" t="s">
        <v>37</v>
      </c>
      <c r="C30" t="s">
        <v>31</v>
      </c>
      <c r="D30">
        <v>477</v>
      </c>
      <c r="E30" t="s">
        <v>39</v>
      </c>
      <c r="F30">
        <v>7</v>
      </c>
      <c r="G30">
        <v>4</v>
      </c>
      <c r="H30" t="s">
        <v>45</v>
      </c>
      <c r="I30">
        <v>36</v>
      </c>
      <c r="J30">
        <v>1</v>
      </c>
      <c r="K30" t="s">
        <v>34</v>
      </c>
      <c r="L30">
        <v>2</v>
      </c>
      <c r="M30">
        <v>3</v>
      </c>
      <c r="N30" t="s">
        <v>48</v>
      </c>
      <c r="O30">
        <v>4</v>
      </c>
      <c r="P30" t="s">
        <v>42</v>
      </c>
      <c r="Q30">
        <v>10248</v>
      </c>
      <c r="R30">
        <v>3</v>
      </c>
      <c r="S30" t="s">
        <v>37</v>
      </c>
      <c r="T30">
        <v>14</v>
      </c>
      <c r="U30">
        <v>3</v>
      </c>
      <c r="V30">
        <v>4</v>
      </c>
      <c r="W30">
        <v>1</v>
      </c>
      <c r="X30">
        <v>24</v>
      </c>
      <c r="Y30">
        <v>4</v>
      </c>
      <c r="Z30">
        <v>3</v>
      </c>
      <c r="AA30">
        <v>22</v>
      </c>
      <c r="AB30">
        <v>6</v>
      </c>
      <c r="AC30">
        <v>5</v>
      </c>
      <c r="AD30">
        <v>17</v>
      </c>
      <c r="AE30" t="str" cm="1">
        <f t="array" ref="AE30">_xlfn.IFS(G30=1,"Before College",G30=2,"College",G30=3,"Bachelor",G30=4,"Master",G30=5,"Doctor")</f>
        <v>Master</v>
      </c>
      <c r="AF30" t="str" cm="1">
        <f t="array" ref="AF30">_xlfn.IFS(J30=1,"Low",J30=2,"Medium",J30=3,"High",J30=4,"Very High")</f>
        <v>Low</v>
      </c>
      <c r="AG30" t="str" cm="1">
        <f t="array" ref="AG30">_xlfn.IFS(L30=1,"Low",L30=2,"Medium",L30=3,"High",L30=4,"Very High")</f>
        <v>Medium</v>
      </c>
      <c r="AH30" t="str" cm="1">
        <f t="array" ref="AH30">_xlfn.IFS(M30=1,"Junior employee",M30=2,"Mid-level",M30=3,"Senior",M30=4,"Manager",M30=5,"Executive")</f>
        <v>Senior</v>
      </c>
      <c r="AI30" t="str" cm="1">
        <f t="array" ref="AI30">_xlfn.IFS(O30=1,"Low",O30=2,"Medium",O30=3,"High",O30=4,"Very High")</f>
        <v>Very High</v>
      </c>
      <c r="AJ30" t="str" cm="1">
        <f t="array" ref="AJ30">_xlfn.IFS(U30=1,"Low",U30=2,"Good",U30=3,"Excellent",U30=4,"Outstanding")</f>
        <v>Excellent</v>
      </c>
      <c r="AK30" t="str" cm="1">
        <f t="array" ref="AK30">_xlfn.IFS(V30=1,"Low",V30=2,"Medium",V30=3,"High",V30=4,"Very High")</f>
        <v>Very High</v>
      </c>
      <c r="AL30" t="str" cm="1">
        <f t="array" ref="AL30">_xlfn.IFS(Z30=1,"Bad",Z30=2,"Good",Z30=3,"Better",Z30=4,"Best")</f>
        <v>Better</v>
      </c>
      <c r="AM30" t="str" cm="1">
        <f t="array" ref="AM30">_xlfn.IFS(W30=0,"No_stock",W30=1,"Low",W30=2,"Medium",W30=3,"High")</f>
        <v>Low</v>
      </c>
      <c r="AN30" t="str">
        <f t="shared" si="0"/>
        <v>Medium</v>
      </c>
    </row>
    <row r="31" spans="1:40" x14ac:dyDescent="0.45">
      <c r="A31">
        <v>46</v>
      </c>
      <c r="B31" t="s">
        <v>37</v>
      </c>
      <c r="C31" t="s">
        <v>31</v>
      </c>
      <c r="D31">
        <v>705</v>
      </c>
      <c r="E31" t="s">
        <v>32</v>
      </c>
      <c r="F31">
        <v>2</v>
      </c>
      <c r="G31">
        <v>4</v>
      </c>
      <c r="H31" t="s">
        <v>53</v>
      </c>
      <c r="I31">
        <v>38</v>
      </c>
      <c r="J31">
        <v>2</v>
      </c>
      <c r="K31" t="s">
        <v>34</v>
      </c>
      <c r="L31">
        <v>3</v>
      </c>
      <c r="M31">
        <v>5</v>
      </c>
      <c r="N31" t="s">
        <v>50</v>
      </c>
      <c r="O31">
        <v>1</v>
      </c>
      <c r="P31" t="s">
        <v>36</v>
      </c>
      <c r="Q31">
        <v>18947</v>
      </c>
      <c r="R31">
        <v>3</v>
      </c>
      <c r="S31" t="s">
        <v>37</v>
      </c>
      <c r="T31">
        <v>12</v>
      </c>
      <c r="U31">
        <v>3</v>
      </c>
      <c r="V31">
        <v>4</v>
      </c>
      <c r="W31">
        <v>0</v>
      </c>
      <c r="X31">
        <v>22</v>
      </c>
      <c r="Y31">
        <v>2</v>
      </c>
      <c r="Z31">
        <v>2</v>
      </c>
      <c r="AA31">
        <v>2</v>
      </c>
      <c r="AB31">
        <v>2</v>
      </c>
      <c r="AC31">
        <v>2</v>
      </c>
      <c r="AD31">
        <v>1</v>
      </c>
      <c r="AE31" t="str" cm="1">
        <f t="array" ref="AE31">_xlfn.IFS(G31=1,"Before College",G31=2,"College",G31=3,"Bachelor",G31=4,"Master",G31=5,"Doctor")</f>
        <v>Master</v>
      </c>
      <c r="AF31" t="str" cm="1">
        <f t="array" ref="AF31">_xlfn.IFS(J31=1,"Low",J31=2,"Medium",J31=3,"High",J31=4,"Very High")</f>
        <v>Medium</v>
      </c>
      <c r="AG31" t="str" cm="1">
        <f t="array" ref="AG31">_xlfn.IFS(L31=1,"Low",L31=2,"Medium",L31=3,"High",L31=4,"Very High")</f>
        <v>High</v>
      </c>
      <c r="AH31" t="str" cm="1">
        <f t="array" ref="AH31">_xlfn.IFS(M31=1,"Junior employee",M31=2,"Mid-level",M31=3,"Senior",M31=4,"Manager",M31=5,"Executive")</f>
        <v>Executive</v>
      </c>
      <c r="AI31" t="str" cm="1">
        <f t="array" ref="AI31">_xlfn.IFS(O31=1,"Low",O31=2,"Medium",O31=3,"High",O31=4,"Very High")</f>
        <v>Low</v>
      </c>
      <c r="AJ31" t="str" cm="1">
        <f t="array" ref="AJ31">_xlfn.IFS(U31=1,"Low",U31=2,"Good",U31=3,"Excellent",U31=4,"Outstanding")</f>
        <v>Excellent</v>
      </c>
      <c r="AK31" t="str" cm="1">
        <f t="array" ref="AK31">_xlfn.IFS(V31=1,"Low",V31=2,"Medium",V31=3,"High",V31=4,"Very High")</f>
        <v>Very High</v>
      </c>
      <c r="AL31" t="str" cm="1">
        <f t="array" ref="AL31">_xlfn.IFS(Z31=1,"Bad",Z31=2,"Good",Z31=3,"Better",Z31=4,"Best")</f>
        <v>Good</v>
      </c>
      <c r="AM31" t="str" cm="1">
        <f t="array" ref="AM31">_xlfn.IFS(W31=0,"No_stock",W31=1,"Low",W31=2,"Medium",W31=3,"High")</f>
        <v>No_stock</v>
      </c>
      <c r="AN31" t="str">
        <f t="shared" si="0"/>
        <v>Near</v>
      </c>
    </row>
    <row r="32" spans="1:40" x14ac:dyDescent="0.45">
      <c r="A32">
        <v>33</v>
      </c>
      <c r="B32" t="s">
        <v>37</v>
      </c>
      <c r="C32" t="s">
        <v>31</v>
      </c>
      <c r="D32">
        <v>924</v>
      </c>
      <c r="E32" t="s">
        <v>39</v>
      </c>
      <c r="F32">
        <v>2</v>
      </c>
      <c r="G32">
        <v>3</v>
      </c>
      <c r="H32" t="s">
        <v>45</v>
      </c>
      <c r="I32">
        <v>39</v>
      </c>
      <c r="J32">
        <v>3</v>
      </c>
      <c r="K32" t="s">
        <v>40</v>
      </c>
      <c r="L32">
        <v>3</v>
      </c>
      <c r="M32">
        <v>1</v>
      </c>
      <c r="N32" t="s">
        <v>44</v>
      </c>
      <c r="O32">
        <v>4</v>
      </c>
      <c r="P32" t="s">
        <v>36</v>
      </c>
      <c r="Q32">
        <v>2496</v>
      </c>
      <c r="R32">
        <v>4</v>
      </c>
      <c r="S32" t="s">
        <v>37</v>
      </c>
      <c r="T32">
        <v>11</v>
      </c>
      <c r="U32">
        <v>3</v>
      </c>
      <c r="V32">
        <v>4</v>
      </c>
      <c r="W32">
        <v>0</v>
      </c>
      <c r="X32">
        <v>7</v>
      </c>
      <c r="Y32">
        <v>3</v>
      </c>
      <c r="Z32">
        <v>3</v>
      </c>
      <c r="AA32">
        <v>1</v>
      </c>
      <c r="AB32">
        <v>1</v>
      </c>
      <c r="AC32">
        <v>0</v>
      </c>
      <c r="AD32">
        <v>0</v>
      </c>
      <c r="AE32" t="str" cm="1">
        <f t="array" ref="AE32">_xlfn.IFS(G32=1,"Before College",G32=2,"College",G32=3,"Bachelor",G32=4,"Master",G32=5,"Doctor")</f>
        <v>Bachelor</v>
      </c>
      <c r="AF32" t="str" cm="1">
        <f t="array" ref="AF32">_xlfn.IFS(J32=1,"Low",J32=2,"Medium",J32=3,"High",J32=4,"Very High")</f>
        <v>High</v>
      </c>
      <c r="AG32" t="str" cm="1">
        <f t="array" ref="AG32">_xlfn.IFS(L32=1,"Low",L32=2,"Medium",L32=3,"High",L32=4,"Very High")</f>
        <v>High</v>
      </c>
      <c r="AH32" t="str" cm="1">
        <f t="array" ref="AH32">_xlfn.IFS(M32=1,"Junior employee",M32=2,"Mid-level",M32=3,"Senior",M32=4,"Manager",M32=5,"Executive")</f>
        <v>Junior employee</v>
      </c>
      <c r="AI32" t="str" cm="1">
        <f t="array" ref="AI32">_xlfn.IFS(O32=1,"Low",O32=2,"Medium",O32=3,"High",O32=4,"Very High")</f>
        <v>Very High</v>
      </c>
      <c r="AJ32" t="str" cm="1">
        <f t="array" ref="AJ32">_xlfn.IFS(U32=1,"Low",U32=2,"Good",U32=3,"Excellent",U32=4,"Outstanding")</f>
        <v>Excellent</v>
      </c>
      <c r="AK32" t="str" cm="1">
        <f t="array" ref="AK32">_xlfn.IFS(V32=1,"Low",V32=2,"Medium",V32=3,"High",V32=4,"Very High")</f>
        <v>Very High</v>
      </c>
      <c r="AL32" t="str" cm="1">
        <f t="array" ref="AL32">_xlfn.IFS(Z32=1,"Bad",Z32=2,"Good",Z32=3,"Better",Z32=4,"Best")</f>
        <v>Better</v>
      </c>
      <c r="AM32" t="str" cm="1">
        <f t="array" ref="AM32">_xlfn.IFS(W32=0,"No_stock",W32=1,"Low",W32=2,"Medium",W32=3,"High")</f>
        <v>No_stock</v>
      </c>
      <c r="AN32" t="str">
        <f t="shared" si="0"/>
        <v>Near</v>
      </c>
    </row>
    <row r="33" spans="1:40" x14ac:dyDescent="0.45">
      <c r="A33">
        <v>44</v>
      </c>
      <c r="B33" t="s">
        <v>37</v>
      </c>
      <c r="C33" t="s">
        <v>31</v>
      </c>
      <c r="D33">
        <v>1459</v>
      </c>
      <c r="E33" t="s">
        <v>39</v>
      </c>
      <c r="F33">
        <v>10</v>
      </c>
      <c r="G33">
        <v>4</v>
      </c>
      <c r="H33" t="s">
        <v>43</v>
      </c>
      <c r="I33">
        <v>40</v>
      </c>
      <c r="J33">
        <v>4</v>
      </c>
      <c r="K33" t="s">
        <v>40</v>
      </c>
      <c r="L33">
        <v>3</v>
      </c>
      <c r="M33">
        <v>2</v>
      </c>
      <c r="N33" t="s">
        <v>48</v>
      </c>
      <c r="O33">
        <v>4</v>
      </c>
      <c r="P33" t="s">
        <v>42</v>
      </c>
      <c r="Q33">
        <v>6465</v>
      </c>
      <c r="R33">
        <v>2</v>
      </c>
      <c r="S33" t="s">
        <v>30</v>
      </c>
      <c r="T33">
        <v>13</v>
      </c>
      <c r="U33">
        <v>3</v>
      </c>
      <c r="V33">
        <v>4</v>
      </c>
      <c r="W33">
        <v>0</v>
      </c>
      <c r="X33">
        <v>9</v>
      </c>
      <c r="Y33">
        <v>5</v>
      </c>
      <c r="Z33">
        <v>4</v>
      </c>
      <c r="AA33">
        <v>4</v>
      </c>
      <c r="AB33">
        <v>2</v>
      </c>
      <c r="AC33">
        <v>1</v>
      </c>
      <c r="AD33">
        <v>3</v>
      </c>
      <c r="AE33" t="str" cm="1">
        <f t="array" ref="AE33">_xlfn.IFS(G33=1,"Before College",G33=2,"College",G33=3,"Bachelor",G33=4,"Master",G33=5,"Doctor")</f>
        <v>Master</v>
      </c>
      <c r="AF33" t="str" cm="1">
        <f t="array" ref="AF33">_xlfn.IFS(J33=1,"Low",J33=2,"Medium",J33=3,"High",J33=4,"Very High")</f>
        <v>Very High</v>
      </c>
      <c r="AG33" t="str" cm="1">
        <f t="array" ref="AG33">_xlfn.IFS(L33=1,"Low",L33=2,"Medium",L33=3,"High",L33=4,"Very High")</f>
        <v>High</v>
      </c>
      <c r="AH33" t="str" cm="1">
        <f t="array" ref="AH33">_xlfn.IFS(M33=1,"Junior employee",M33=2,"Mid-level",M33=3,"Senior",M33=4,"Manager",M33=5,"Executive")</f>
        <v>Mid-level</v>
      </c>
      <c r="AI33" t="str" cm="1">
        <f t="array" ref="AI33">_xlfn.IFS(O33=1,"Low",O33=2,"Medium",O33=3,"High",O33=4,"Very High")</f>
        <v>Very High</v>
      </c>
      <c r="AJ33" t="str" cm="1">
        <f t="array" ref="AJ33">_xlfn.IFS(U33=1,"Low",U33=2,"Good",U33=3,"Excellent",U33=4,"Outstanding")</f>
        <v>Excellent</v>
      </c>
      <c r="AK33" t="str" cm="1">
        <f t="array" ref="AK33">_xlfn.IFS(V33=1,"Low",V33=2,"Medium",V33=3,"High",V33=4,"Very High")</f>
        <v>Very High</v>
      </c>
      <c r="AL33" t="str" cm="1">
        <f t="array" ref="AL33">_xlfn.IFS(Z33=1,"Bad",Z33=2,"Good",Z33=3,"Better",Z33=4,"Best")</f>
        <v>Best</v>
      </c>
      <c r="AM33" t="str" cm="1">
        <f t="array" ref="AM33">_xlfn.IFS(W33=0,"No_stock",W33=1,"Low",W33=2,"Medium",W33=3,"High")</f>
        <v>No_stock</v>
      </c>
      <c r="AN33" t="str">
        <f t="shared" si="0"/>
        <v>Medium</v>
      </c>
    </row>
    <row r="34" spans="1:40" x14ac:dyDescent="0.45">
      <c r="A34">
        <v>30</v>
      </c>
      <c r="B34" t="s">
        <v>37</v>
      </c>
      <c r="C34" t="s">
        <v>31</v>
      </c>
      <c r="D34">
        <v>125</v>
      </c>
      <c r="E34" t="s">
        <v>39</v>
      </c>
      <c r="F34">
        <v>9</v>
      </c>
      <c r="G34">
        <v>2</v>
      </c>
      <c r="H34" t="s">
        <v>45</v>
      </c>
      <c r="I34">
        <v>41</v>
      </c>
      <c r="J34">
        <v>4</v>
      </c>
      <c r="K34" t="s">
        <v>40</v>
      </c>
      <c r="L34">
        <v>2</v>
      </c>
      <c r="M34">
        <v>1</v>
      </c>
      <c r="N34" t="s">
        <v>44</v>
      </c>
      <c r="O34">
        <v>3</v>
      </c>
      <c r="P34" t="s">
        <v>36</v>
      </c>
      <c r="Q34">
        <v>2206</v>
      </c>
      <c r="R34">
        <v>1</v>
      </c>
      <c r="S34" t="s">
        <v>37</v>
      </c>
      <c r="T34">
        <v>13</v>
      </c>
      <c r="U34">
        <v>3</v>
      </c>
      <c r="V34">
        <v>1</v>
      </c>
      <c r="W34">
        <v>0</v>
      </c>
      <c r="X34">
        <v>10</v>
      </c>
      <c r="Y34">
        <v>5</v>
      </c>
      <c r="Z34">
        <v>3</v>
      </c>
      <c r="AA34">
        <v>10</v>
      </c>
      <c r="AB34">
        <v>0</v>
      </c>
      <c r="AC34">
        <v>1</v>
      </c>
      <c r="AD34">
        <v>8</v>
      </c>
      <c r="AE34" t="str" cm="1">
        <f t="array" ref="AE34">_xlfn.IFS(G34=1,"Before College",G34=2,"College",G34=3,"Bachelor",G34=4,"Master",G34=5,"Doctor")</f>
        <v>College</v>
      </c>
      <c r="AF34" t="str" cm="1">
        <f t="array" ref="AF34">_xlfn.IFS(J34=1,"Low",J34=2,"Medium",J34=3,"High",J34=4,"Very High")</f>
        <v>Very High</v>
      </c>
      <c r="AG34" t="str" cm="1">
        <f t="array" ref="AG34">_xlfn.IFS(L34=1,"Low",L34=2,"Medium",L34=3,"High",L34=4,"Very High")</f>
        <v>Medium</v>
      </c>
      <c r="AH34" t="str" cm="1">
        <f t="array" ref="AH34">_xlfn.IFS(M34=1,"Junior employee",M34=2,"Mid-level",M34=3,"Senior",M34=4,"Manager",M34=5,"Executive")</f>
        <v>Junior employee</v>
      </c>
      <c r="AI34" t="str" cm="1">
        <f t="array" ref="AI34">_xlfn.IFS(O34=1,"Low",O34=2,"Medium",O34=3,"High",O34=4,"Very High")</f>
        <v>High</v>
      </c>
      <c r="AJ34" t="str" cm="1">
        <f t="array" ref="AJ34">_xlfn.IFS(U34=1,"Low",U34=2,"Good",U34=3,"Excellent",U34=4,"Outstanding")</f>
        <v>Excellent</v>
      </c>
      <c r="AK34" t="str" cm="1">
        <f t="array" ref="AK34">_xlfn.IFS(V34=1,"Low",V34=2,"Medium",V34=3,"High",V34=4,"Very High")</f>
        <v>Low</v>
      </c>
      <c r="AL34" t="str" cm="1">
        <f t="array" ref="AL34">_xlfn.IFS(Z34=1,"Bad",Z34=2,"Good",Z34=3,"Better",Z34=4,"Best")</f>
        <v>Better</v>
      </c>
      <c r="AM34" t="str" cm="1">
        <f t="array" ref="AM34">_xlfn.IFS(W34=0,"No_stock",W34=1,"Low",W34=2,"Medium",W34=3,"High")</f>
        <v>No_stock</v>
      </c>
      <c r="AN34" t="str">
        <f t="shared" si="0"/>
        <v>Medium</v>
      </c>
    </row>
    <row r="35" spans="1:40" x14ac:dyDescent="0.45">
      <c r="A35">
        <v>39</v>
      </c>
      <c r="B35" t="s">
        <v>30</v>
      </c>
      <c r="C35" t="s">
        <v>31</v>
      </c>
      <c r="D35">
        <v>895</v>
      </c>
      <c r="E35" t="s">
        <v>32</v>
      </c>
      <c r="F35">
        <v>5</v>
      </c>
      <c r="G35">
        <v>3</v>
      </c>
      <c r="H35" t="s">
        <v>54</v>
      </c>
      <c r="I35">
        <v>42</v>
      </c>
      <c r="J35">
        <v>4</v>
      </c>
      <c r="K35" t="s">
        <v>40</v>
      </c>
      <c r="L35">
        <v>3</v>
      </c>
      <c r="M35">
        <v>2</v>
      </c>
      <c r="N35" t="s">
        <v>51</v>
      </c>
      <c r="O35">
        <v>4</v>
      </c>
      <c r="P35" t="s">
        <v>42</v>
      </c>
      <c r="Q35">
        <v>2086</v>
      </c>
      <c r="R35">
        <v>3</v>
      </c>
      <c r="S35" t="s">
        <v>37</v>
      </c>
      <c r="T35">
        <v>14</v>
      </c>
      <c r="U35">
        <v>3</v>
      </c>
      <c r="V35">
        <v>3</v>
      </c>
      <c r="W35">
        <v>1</v>
      </c>
      <c r="X35">
        <v>19</v>
      </c>
      <c r="Y35">
        <v>6</v>
      </c>
      <c r="Z35">
        <v>4</v>
      </c>
      <c r="AA35">
        <v>1</v>
      </c>
      <c r="AB35">
        <v>0</v>
      </c>
      <c r="AC35">
        <v>0</v>
      </c>
      <c r="AD35">
        <v>0</v>
      </c>
      <c r="AE35" t="str" cm="1">
        <f t="array" ref="AE35">_xlfn.IFS(G35=1,"Before College",G35=2,"College",G35=3,"Bachelor",G35=4,"Master",G35=5,"Doctor")</f>
        <v>Bachelor</v>
      </c>
      <c r="AF35" t="str" cm="1">
        <f t="array" ref="AF35">_xlfn.IFS(J35=1,"Low",J35=2,"Medium",J35=3,"High",J35=4,"Very High")</f>
        <v>Very High</v>
      </c>
      <c r="AG35" t="str" cm="1">
        <f t="array" ref="AG35">_xlfn.IFS(L35=1,"Low",L35=2,"Medium",L35=3,"High",L35=4,"Very High")</f>
        <v>High</v>
      </c>
      <c r="AH35" t="str" cm="1">
        <f t="array" ref="AH35">_xlfn.IFS(M35=1,"Junior employee",M35=2,"Mid-level",M35=3,"Senior",M35=4,"Manager",M35=5,"Executive")</f>
        <v>Mid-level</v>
      </c>
      <c r="AI35" t="str" cm="1">
        <f t="array" ref="AI35">_xlfn.IFS(O35=1,"Low",O35=2,"Medium",O35=3,"High",O35=4,"Very High")</f>
        <v>Very High</v>
      </c>
      <c r="AJ35" t="str" cm="1">
        <f t="array" ref="AJ35">_xlfn.IFS(U35=1,"Low",U35=2,"Good",U35=3,"Excellent",U35=4,"Outstanding")</f>
        <v>Excellent</v>
      </c>
      <c r="AK35" t="str" cm="1">
        <f t="array" ref="AK35">_xlfn.IFS(V35=1,"Low",V35=2,"Medium",V35=3,"High",V35=4,"Very High")</f>
        <v>High</v>
      </c>
      <c r="AL35" t="str" cm="1">
        <f t="array" ref="AL35">_xlfn.IFS(Z35=1,"Bad",Z35=2,"Good",Z35=3,"Better",Z35=4,"Best")</f>
        <v>Best</v>
      </c>
      <c r="AM35" t="str" cm="1">
        <f t="array" ref="AM35">_xlfn.IFS(W35=0,"No_stock",W35=1,"Low",W35=2,"Medium",W35=3,"High")</f>
        <v>Low</v>
      </c>
      <c r="AN35" t="str">
        <f t="shared" si="0"/>
        <v>Near</v>
      </c>
    </row>
    <row r="36" spans="1:40" x14ac:dyDescent="0.45">
      <c r="A36">
        <v>24</v>
      </c>
      <c r="B36" t="s">
        <v>30</v>
      </c>
      <c r="C36" t="s">
        <v>31</v>
      </c>
      <c r="D36">
        <v>813</v>
      </c>
      <c r="E36" t="s">
        <v>39</v>
      </c>
      <c r="F36">
        <v>1</v>
      </c>
      <c r="G36">
        <v>3</v>
      </c>
      <c r="H36" t="s">
        <v>45</v>
      </c>
      <c r="I36">
        <v>45</v>
      </c>
      <c r="J36">
        <v>2</v>
      </c>
      <c r="K36" t="s">
        <v>40</v>
      </c>
      <c r="L36">
        <v>3</v>
      </c>
      <c r="M36">
        <v>1</v>
      </c>
      <c r="N36" t="s">
        <v>41</v>
      </c>
      <c r="O36">
        <v>4</v>
      </c>
      <c r="P36" t="s">
        <v>42</v>
      </c>
      <c r="Q36">
        <v>2293</v>
      </c>
      <c r="R36">
        <v>2</v>
      </c>
      <c r="S36" t="s">
        <v>30</v>
      </c>
      <c r="T36">
        <v>16</v>
      </c>
      <c r="U36">
        <v>3</v>
      </c>
      <c r="V36">
        <v>1</v>
      </c>
      <c r="W36">
        <v>1</v>
      </c>
      <c r="X36">
        <v>6</v>
      </c>
      <c r="Y36">
        <v>2</v>
      </c>
      <c r="Z36">
        <v>2</v>
      </c>
      <c r="AA36">
        <v>2</v>
      </c>
      <c r="AB36">
        <v>0</v>
      </c>
      <c r="AC36">
        <v>2</v>
      </c>
      <c r="AD36">
        <v>0</v>
      </c>
      <c r="AE36" t="str" cm="1">
        <f t="array" ref="AE36">_xlfn.IFS(G36=1,"Before College",G36=2,"College",G36=3,"Bachelor",G36=4,"Master",G36=5,"Doctor")</f>
        <v>Bachelor</v>
      </c>
      <c r="AF36" t="str" cm="1">
        <f t="array" ref="AF36">_xlfn.IFS(J36=1,"Low",J36=2,"Medium",J36=3,"High",J36=4,"Very High")</f>
        <v>Medium</v>
      </c>
      <c r="AG36" t="str" cm="1">
        <f t="array" ref="AG36">_xlfn.IFS(L36=1,"Low",L36=2,"Medium",L36=3,"High",L36=4,"Very High")</f>
        <v>High</v>
      </c>
      <c r="AH36" t="str" cm="1">
        <f t="array" ref="AH36">_xlfn.IFS(M36=1,"Junior employee",M36=2,"Mid-level",M36=3,"Senior",M36=4,"Manager",M36=5,"Executive")</f>
        <v>Junior employee</v>
      </c>
      <c r="AI36" t="str" cm="1">
        <f t="array" ref="AI36">_xlfn.IFS(O36=1,"Low",O36=2,"Medium",O36=3,"High",O36=4,"Very High")</f>
        <v>Very High</v>
      </c>
      <c r="AJ36" t="str" cm="1">
        <f t="array" ref="AJ36">_xlfn.IFS(U36=1,"Low",U36=2,"Good",U36=3,"Excellent",U36=4,"Outstanding")</f>
        <v>Excellent</v>
      </c>
      <c r="AK36" t="str" cm="1">
        <f t="array" ref="AK36">_xlfn.IFS(V36=1,"Low",V36=2,"Medium",V36=3,"High",V36=4,"Very High")</f>
        <v>Low</v>
      </c>
      <c r="AL36" t="str" cm="1">
        <f t="array" ref="AL36">_xlfn.IFS(Z36=1,"Bad",Z36=2,"Good",Z36=3,"Better",Z36=4,"Best")</f>
        <v>Good</v>
      </c>
      <c r="AM36" t="str" cm="1">
        <f t="array" ref="AM36">_xlfn.IFS(W36=0,"No_stock",W36=1,"Low",W36=2,"Medium",W36=3,"High")</f>
        <v>Low</v>
      </c>
      <c r="AN36" t="str">
        <f t="shared" si="0"/>
        <v>Near</v>
      </c>
    </row>
    <row r="37" spans="1:40" x14ac:dyDescent="0.45">
      <c r="A37">
        <v>43</v>
      </c>
      <c r="B37" t="s">
        <v>37</v>
      </c>
      <c r="C37" t="s">
        <v>31</v>
      </c>
      <c r="D37">
        <v>1273</v>
      </c>
      <c r="E37" t="s">
        <v>39</v>
      </c>
      <c r="F37">
        <v>2</v>
      </c>
      <c r="G37">
        <v>2</v>
      </c>
      <c r="H37" t="s">
        <v>45</v>
      </c>
      <c r="I37">
        <v>46</v>
      </c>
      <c r="J37">
        <v>4</v>
      </c>
      <c r="K37" t="s">
        <v>34</v>
      </c>
      <c r="L37">
        <v>4</v>
      </c>
      <c r="M37">
        <v>1</v>
      </c>
      <c r="N37" t="s">
        <v>41</v>
      </c>
      <c r="O37">
        <v>3</v>
      </c>
      <c r="P37" t="s">
        <v>46</v>
      </c>
      <c r="Q37">
        <v>2645</v>
      </c>
      <c r="R37">
        <v>1</v>
      </c>
      <c r="S37" t="s">
        <v>37</v>
      </c>
      <c r="T37">
        <v>12</v>
      </c>
      <c r="U37">
        <v>3</v>
      </c>
      <c r="V37">
        <v>4</v>
      </c>
      <c r="W37">
        <v>2</v>
      </c>
      <c r="X37">
        <v>6</v>
      </c>
      <c r="Y37">
        <v>3</v>
      </c>
      <c r="Z37">
        <v>2</v>
      </c>
      <c r="AA37">
        <v>5</v>
      </c>
      <c r="AB37">
        <v>3</v>
      </c>
      <c r="AC37">
        <v>1</v>
      </c>
      <c r="AD37">
        <v>4</v>
      </c>
      <c r="AE37" t="str" cm="1">
        <f t="array" ref="AE37">_xlfn.IFS(G37=1,"Before College",G37=2,"College",G37=3,"Bachelor",G37=4,"Master",G37=5,"Doctor")</f>
        <v>College</v>
      </c>
      <c r="AF37" t="str" cm="1">
        <f t="array" ref="AF37">_xlfn.IFS(J37=1,"Low",J37=2,"Medium",J37=3,"High",J37=4,"Very High")</f>
        <v>Very High</v>
      </c>
      <c r="AG37" t="str" cm="1">
        <f t="array" ref="AG37">_xlfn.IFS(L37=1,"Low",L37=2,"Medium",L37=3,"High",L37=4,"Very High")</f>
        <v>Very High</v>
      </c>
      <c r="AH37" t="str" cm="1">
        <f t="array" ref="AH37">_xlfn.IFS(M37=1,"Junior employee",M37=2,"Mid-level",M37=3,"Senior",M37=4,"Manager",M37=5,"Executive")</f>
        <v>Junior employee</v>
      </c>
      <c r="AI37" t="str" cm="1">
        <f t="array" ref="AI37">_xlfn.IFS(O37=1,"Low",O37=2,"Medium",O37=3,"High",O37=4,"Very High")</f>
        <v>High</v>
      </c>
      <c r="AJ37" t="str" cm="1">
        <f t="array" ref="AJ37">_xlfn.IFS(U37=1,"Low",U37=2,"Good",U37=3,"Excellent",U37=4,"Outstanding")</f>
        <v>Excellent</v>
      </c>
      <c r="AK37" t="str" cm="1">
        <f t="array" ref="AK37">_xlfn.IFS(V37=1,"Low",V37=2,"Medium",V37=3,"High",V37=4,"Very High")</f>
        <v>Very High</v>
      </c>
      <c r="AL37" t="str" cm="1">
        <f t="array" ref="AL37">_xlfn.IFS(Z37=1,"Bad",Z37=2,"Good",Z37=3,"Better",Z37=4,"Best")</f>
        <v>Good</v>
      </c>
      <c r="AM37" t="str" cm="1">
        <f t="array" ref="AM37">_xlfn.IFS(W37=0,"No_stock",W37=1,"Low",W37=2,"Medium",W37=3,"High")</f>
        <v>Medium</v>
      </c>
      <c r="AN37" t="str">
        <f t="shared" si="0"/>
        <v>Near</v>
      </c>
    </row>
    <row r="38" spans="1:40" x14ac:dyDescent="0.45">
      <c r="A38">
        <v>50</v>
      </c>
      <c r="B38" t="s">
        <v>30</v>
      </c>
      <c r="C38" t="s">
        <v>31</v>
      </c>
      <c r="D38">
        <v>869</v>
      </c>
      <c r="E38" t="s">
        <v>32</v>
      </c>
      <c r="F38">
        <v>3</v>
      </c>
      <c r="G38">
        <v>2</v>
      </c>
      <c r="H38" t="s">
        <v>53</v>
      </c>
      <c r="I38">
        <v>47</v>
      </c>
      <c r="J38">
        <v>1</v>
      </c>
      <c r="K38" t="s">
        <v>40</v>
      </c>
      <c r="L38">
        <v>2</v>
      </c>
      <c r="M38">
        <v>1</v>
      </c>
      <c r="N38" t="s">
        <v>51</v>
      </c>
      <c r="O38">
        <v>3</v>
      </c>
      <c r="P38" t="s">
        <v>42</v>
      </c>
      <c r="Q38">
        <v>2683</v>
      </c>
      <c r="R38">
        <v>1</v>
      </c>
      <c r="S38" t="s">
        <v>30</v>
      </c>
      <c r="T38">
        <v>14</v>
      </c>
      <c r="U38">
        <v>3</v>
      </c>
      <c r="V38">
        <v>3</v>
      </c>
      <c r="W38">
        <v>0</v>
      </c>
      <c r="X38">
        <v>3</v>
      </c>
      <c r="Y38">
        <v>2</v>
      </c>
      <c r="Z38">
        <v>3</v>
      </c>
      <c r="AA38">
        <v>3</v>
      </c>
      <c r="AB38">
        <v>2</v>
      </c>
      <c r="AC38">
        <v>0</v>
      </c>
      <c r="AD38">
        <v>2</v>
      </c>
      <c r="AE38" t="str" cm="1">
        <f t="array" ref="AE38">_xlfn.IFS(G38=1,"Before College",G38=2,"College",G38=3,"Bachelor",G38=4,"Master",G38=5,"Doctor")</f>
        <v>College</v>
      </c>
      <c r="AF38" t="str" cm="1">
        <f t="array" ref="AF38">_xlfn.IFS(J38=1,"Low",J38=2,"Medium",J38=3,"High",J38=4,"Very High")</f>
        <v>Low</v>
      </c>
      <c r="AG38" t="str" cm="1">
        <f t="array" ref="AG38">_xlfn.IFS(L38=1,"Low",L38=2,"Medium",L38=3,"High",L38=4,"Very High")</f>
        <v>Medium</v>
      </c>
      <c r="AH38" t="str" cm="1">
        <f t="array" ref="AH38">_xlfn.IFS(M38=1,"Junior employee",M38=2,"Mid-level",M38=3,"Senior",M38=4,"Manager",M38=5,"Executive")</f>
        <v>Junior employee</v>
      </c>
      <c r="AI38" t="str" cm="1">
        <f t="array" ref="AI38">_xlfn.IFS(O38=1,"Low",O38=2,"Medium",O38=3,"High",O38=4,"Very High")</f>
        <v>High</v>
      </c>
      <c r="AJ38" t="str" cm="1">
        <f t="array" ref="AJ38">_xlfn.IFS(U38=1,"Low",U38=2,"Good",U38=3,"Excellent",U38=4,"Outstanding")</f>
        <v>Excellent</v>
      </c>
      <c r="AK38" t="str" cm="1">
        <f t="array" ref="AK38">_xlfn.IFS(V38=1,"Low",V38=2,"Medium",V38=3,"High",V38=4,"Very High")</f>
        <v>High</v>
      </c>
      <c r="AL38" t="str" cm="1">
        <f t="array" ref="AL38">_xlfn.IFS(Z38=1,"Bad",Z38=2,"Good",Z38=3,"Better",Z38=4,"Best")</f>
        <v>Better</v>
      </c>
      <c r="AM38" t="str" cm="1">
        <f t="array" ref="AM38">_xlfn.IFS(W38=0,"No_stock",W38=1,"Low",W38=2,"Medium",W38=3,"High")</f>
        <v>No_stock</v>
      </c>
      <c r="AN38" t="str">
        <f t="shared" si="0"/>
        <v>Near</v>
      </c>
    </row>
    <row r="39" spans="1:40" x14ac:dyDescent="0.45">
      <c r="A39">
        <v>35</v>
      </c>
      <c r="B39" t="s">
        <v>37</v>
      </c>
      <c r="C39" t="s">
        <v>31</v>
      </c>
      <c r="D39">
        <v>890</v>
      </c>
      <c r="E39" t="s">
        <v>32</v>
      </c>
      <c r="F39">
        <v>2</v>
      </c>
      <c r="G39">
        <v>3</v>
      </c>
      <c r="H39" t="s">
        <v>53</v>
      </c>
      <c r="I39">
        <v>49</v>
      </c>
      <c r="J39">
        <v>4</v>
      </c>
      <c r="K39" t="s">
        <v>34</v>
      </c>
      <c r="L39">
        <v>3</v>
      </c>
      <c r="M39">
        <v>1</v>
      </c>
      <c r="N39" t="s">
        <v>51</v>
      </c>
      <c r="O39">
        <v>4</v>
      </c>
      <c r="P39" t="s">
        <v>42</v>
      </c>
      <c r="Q39">
        <v>2014</v>
      </c>
      <c r="R39">
        <v>1</v>
      </c>
      <c r="S39" t="s">
        <v>37</v>
      </c>
      <c r="T39">
        <v>13</v>
      </c>
      <c r="U39">
        <v>3</v>
      </c>
      <c r="V39">
        <v>1</v>
      </c>
      <c r="W39">
        <v>0</v>
      </c>
      <c r="X39">
        <v>2</v>
      </c>
      <c r="Y39">
        <v>3</v>
      </c>
      <c r="Z39">
        <v>3</v>
      </c>
      <c r="AA39">
        <v>2</v>
      </c>
      <c r="AB39">
        <v>2</v>
      </c>
      <c r="AC39">
        <v>2</v>
      </c>
      <c r="AD39">
        <v>2</v>
      </c>
      <c r="AE39" t="str" cm="1">
        <f t="array" ref="AE39">_xlfn.IFS(G39=1,"Before College",G39=2,"College",G39=3,"Bachelor",G39=4,"Master",G39=5,"Doctor")</f>
        <v>Bachelor</v>
      </c>
      <c r="AF39" t="str" cm="1">
        <f t="array" ref="AF39">_xlfn.IFS(J39=1,"Low",J39=2,"Medium",J39=3,"High",J39=4,"Very High")</f>
        <v>Very High</v>
      </c>
      <c r="AG39" t="str" cm="1">
        <f t="array" ref="AG39">_xlfn.IFS(L39=1,"Low",L39=2,"Medium",L39=3,"High",L39=4,"Very High")</f>
        <v>High</v>
      </c>
      <c r="AH39" t="str" cm="1">
        <f t="array" ref="AH39">_xlfn.IFS(M39=1,"Junior employee",M39=2,"Mid-level",M39=3,"Senior",M39=4,"Manager",M39=5,"Executive")</f>
        <v>Junior employee</v>
      </c>
      <c r="AI39" t="str" cm="1">
        <f t="array" ref="AI39">_xlfn.IFS(O39=1,"Low",O39=2,"Medium",O39=3,"High",O39=4,"Very High")</f>
        <v>Very High</v>
      </c>
      <c r="AJ39" t="str" cm="1">
        <f t="array" ref="AJ39">_xlfn.IFS(U39=1,"Low",U39=2,"Good",U39=3,"Excellent",U39=4,"Outstanding")</f>
        <v>Excellent</v>
      </c>
      <c r="AK39" t="str" cm="1">
        <f t="array" ref="AK39">_xlfn.IFS(V39=1,"Low",V39=2,"Medium",V39=3,"High",V39=4,"Very High")</f>
        <v>Low</v>
      </c>
      <c r="AL39" t="str" cm="1">
        <f t="array" ref="AL39">_xlfn.IFS(Z39=1,"Bad",Z39=2,"Good",Z39=3,"Better",Z39=4,"Best")</f>
        <v>Better</v>
      </c>
      <c r="AM39" t="str" cm="1">
        <f t="array" ref="AM39">_xlfn.IFS(W39=0,"No_stock",W39=1,"Low",W39=2,"Medium",W39=3,"High")</f>
        <v>No_stock</v>
      </c>
      <c r="AN39" t="str">
        <f t="shared" si="0"/>
        <v>Near</v>
      </c>
    </row>
    <row r="40" spans="1:40" x14ac:dyDescent="0.45">
      <c r="A40">
        <v>36</v>
      </c>
      <c r="B40" t="s">
        <v>37</v>
      </c>
      <c r="C40" t="s">
        <v>31</v>
      </c>
      <c r="D40">
        <v>852</v>
      </c>
      <c r="E40" t="s">
        <v>39</v>
      </c>
      <c r="F40">
        <v>5</v>
      </c>
      <c r="G40">
        <v>4</v>
      </c>
      <c r="H40" t="s">
        <v>33</v>
      </c>
      <c r="I40">
        <v>51</v>
      </c>
      <c r="J40">
        <v>2</v>
      </c>
      <c r="K40" t="s">
        <v>34</v>
      </c>
      <c r="L40">
        <v>2</v>
      </c>
      <c r="M40">
        <v>1</v>
      </c>
      <c r="N40" t="s">
        <v>41</v>
      </c>
      <c r="O40">
        <v>1</v>
      </c>
      <c r="P40" t="s">
        <v>42</v>
      </c>
      <c r="Q40">
        <v>3419</v>
      </c>
      <c r="R40">
        <v>9</v>
      </c>
      <c r="S40" t="s">
        <v>30</v>
      </c>
      <c r="T40">
        <v>14</v>
      </c>
      <c r="U40">
        <v>3</v>
      </c>
      <c r="V40">
        <v>4</v>
      </c>
      <c r="W40">
        <v>1</v>
      </c>
      <c r="X40">
        <v>6</v>
      </c>
      <c r="Y40">
        <v>3</v>
      </c>
      <c r="Z40">
        <v>4</v>
      </c>
      <c r="AA40">
        <v>1</v>
      </c>
      <c r="AB40">
        <v>1</v>
      </c>
      <c r="AC40">
        <v>0</v>
      </c>
      <c r="AD40">
        <v>0</v>
      </c>
      <c r="AE40" t="str" cm="1">
        <f t="array" ref="AE40">_xlfn.IFS(G40=1,"Before College",G40=2,"College",G40=3,"Bachelor",G40=4,"Master",G40=5,"Doctor")</f>
        <v>Master</v>
      </c>
      <c r="AF40" t="str" cm="1">
        <f t="array" ref="AF40">_xlfn.IFS(J40=1,"Low",J40=2,"Medium",J40=3,"High",J40=4,"Very High")</f>
        <v>Medium</v>
      </c>
      <c r="AG40" t="str" cm="1">
        <f t="array" ref="AG40">_xlfn.IFS(L40=1,"Low",L40=2,"Medium",L40=3,"High",L40=4,"Very High")</f>
        <v>Medium</v>
      </c>
      <c r="AH40" t="str" cm="1">
        <f t="array" ref="AH40">_xlfn.IFS(M40=1,"Junior employee",M40=2,"Mid-level",M40=3,"Senior",M40=4,"Manager",M40=5,"Executive")</f>
        <v>Junior employee</v>
      </c>
      <c r="AI40" t="str" cm="1">
        <f t="array" ref="AI40">_xlfn.IFS(O40=1,"Low",O40=2,"Medium",O40=3,"High",O40=4,"Very High")</f>
        <v>Low</v>
      </c>
      <c r="AJ40" t="str" cm="1">
        <f t="array" ref="AJ40">_xlfn.IFS(U40=1,"Low",U40=2,"Good",U40=3,"Excellent",U40=4,"Outstanding")</f>
        <v>Excellent</v>
      </c>
      <c r="AK40" t="str" cm="1">
        <f t="array" ref="AK40">_xlfn.IFS(V40=1,"Low",V40=2,"Medium",V40=3,"High",V40=4,"Very High")</f>
        <v>Very High</v>
      </c>
      <c r="AL40" t="str" cm="1">
        <f t="array" ref="AL40">_xlfn.IFS(Z40=1,"Bad",Z40=2,"Good",Z40=3,"Better",Z40=4,"Best")</f>
        <v>Best</v>
      </c>
      <c r="AM40" t="str" cm="1">
        <f t="array" ref="AM40">_xlfn.IFS(W40=0,"No_stock",W40=1,"Low",W40=2,"Medium",W40=3,"High")</f>
        <v>Low</v>
      </c>
      <c r="AN40" t="str">
        <f t="shared" si="0"/>
        <v>Near</v>
      </c>
    </row>
    <row r="41" spans="1:40" x14ac:dyDescent="0.45">
      <c r="A41">
        <v>33</v>
      </c>
      <c r="B41" t="s">
        <v>37</v>
      </c>
      <c r="C41" t="s">
        <v>38</v>
      </c>
      <c r="D41">
        <v>1141</v>
      </c>
      <c r="E41" t="s">
        <v>32</v>
      </c>
      <c r="F41">
        <v>1</v>
      </c>
      <c r="G41">
        <v>3</v>
      </c>
      <c r="H41" t="s">
        <v>33</v>
      </c>
      <c r="I41">
        <v>52</v>
      </c>
      <c r="J41">
        <v>3</v>
      </c>
      <c r="K41" t="s">
        <v>34</v>
      </c>
      <c r="L41">
        <v>4</v>
      </c>
      <c r="M41">
        <v>2</v>
      </c>
      <c r="N41" t="s">
        <v>35</v>
      </c>
      <c r="O41">
        <v>1</v>
      </c>
      <c r="P41" t="s">
        <v>42</v>
      </c>
      <c r="Q41">
        <v>5376</v>
      </c>
      <c r="R41">
        <v>2</v>
      </c>
      <c r="S41" t="s">
        <v>37</v>
      </c>
      <c r="T41">
        <v>19</v>
      </c>
      <c r="U41">
        <v>3</v>
      </c>
      <c r="V41">
        <v>1</v>
      </c>
      <c r="W41">
        <v>2</v>
      </c>
      <c r="X41">
        <v>10</v>
      </c>
      <c r="Y41">
        <v>3</v>
      </c>
      <c r="Z41">
        <v>3</v>
      </c>
      <c r="AA41">
        <v>5</v>
      </c>
      <c r="AB41">
        <v>3</v>
      </c>
      <c r="AC41">
        <v>1</v>
      </c>
      <c r="AD41">
        <v>3</v>
      </c>
      <c r="AE41" t="str" cm="1">
        <f t="array" ref="AE41">_xlfn.IFS(G41=1,"Before College",G41=2,"College",G41=3,"Bachelor",G41=4,"Master",G41=5,"Doctor")</f>
        <v>Bachelor</v>
      </c>
      <c r="AF41" t="str" cm="1">
        <f t="array" ref="AF41">_xlfn.IFS(J41=1,"Low",J41=2,"Medium",J41=3,"High",J41=4,"Very High")</f>
        <v>High</v>
      </c>
      <c r="AG41" t="str" cm="1">
        <f t="array" ref="AG41">_xlfn.IFS(L41=1,"Low",L41=2,"Medium",L41=3,"High",L41=4,"Very High")</f>
        <v>Very High</v>
      </c>
      <c r="AH41" t="str" cm="1">
        <f t="array" ref="AH41">_xlfn.IFS(M41=1,"Junior employee",M41=2,"Mid-level",M41=3,"Senior",M41=4,"Manager",M41=5,"Executive")</f>
        <v>Mid-level</v>
      </c>
      <c r="AI41" t="str" cm="1">
        <f t="array" ref="AI41">_xlfn.IFS(O41=1,"Low",O41=2,"Medium",O41=3,"High",O41=4,"Very High")</f>
        <v>Low</v>
      </c>
      <c r="AJ41" t="str" cm="1">
        <f t="array" ref="AJ41">_xlfn.IFS(U41=1,"Low",U41=2,"Good",U41=3,"Excellent",U41=4,"Outstanding")</f>
        <v>Excellent</v>
      </c>
      <c r="AK41" t="str" cm="1">
        <f t="array" ref="AK41">_xlfn.IFS(V41=1,"Low",V41=2,"Medium",V41=3,"High",V41=4,"Very High")</f>
        <v>Low</v>
      </c>
      <c r="AL41" t="str" cm="1">
        <f t="array" ref="AL41">_xlfn.IFS(Z41=1,"Bad",Z41=2,"Good",Z41=3,"Better",Z41=4,"Best")</f>
        <v>Better</v>
      </c>
      <c r="AM41" t="str" cm="1">
        <f t="array" ref="AM41">_xlfn.IFS(W41=0,"No_stock",W41=1,"Low",W41=2,"Medium",W41=3,"High")</f>
        <v>Medium</v>
      </c>
      <c r="AN41" t="str">
        <f t="shared" si="0"/>
        <v>Near</v>
      </c>
    </row>
    <row r="42" spans="1:40" x14ac:dyDescent="0.45">
      <c r="A42">
        <v>35</v>
      </c>
      <c r="B42" t="s">
        <v>37</v>
      </c>
      <c r="C42" t="s">
        <v>31</v>
      </c>
      <c r="D42">
        <v>464</v>
      </c>
      <c r="E42" t="s">
        <v>39</v>
      </c>
      <c r="F42">
        <v>4</v>
      </c>
      <c r="G42">
        <v>2</v>
      </c>
      <c r="H42" t="s">
        <v>43</v>
      </c>
      <c r="I42">
        <v>53</v>
      </c>
      <c r="J42">
        <v>3</v>
      </c>
      <c r="K42" t="s">
        <v>40</v>
      </c>
      <c r="L42">
        <v>3</v>
      </c>
      <c r="M42">
        <v>1</v>
      </c>
      <c r="N42" t="s">
        <v>44</v>
      </c>
      <c r="O42">
        <v>4</v>
      </c>
      <c r="P42" t="s">
        <v>46</v>
      </c>
      <c r="Q42">
        <v>1951</v>
      </c>
      <c r="R42">
        <v>1</v>
      </c>
      <c r="S42" t="s">
        <v>37</v>
      </c>
      <c r="T42">
        <v>12</v>
      </c>
      <c r="U42">
        <v>3</v>
      </c>
      <c r="V42">
        <v>3</v>
      </c>
      <c r="W42">
        <v>1</v>
      </c>
      <c r="X42">
        <v>1</v>
      </c>
      <c r="Y42">
        <v>3</v>
      </c>
      <c r="Z42">
        <v>3</v>
      </c>
      <c r="AA42">
        <v>1</v>
      </c>
      <c r="AB42">
        <v>0</v>
      </c>
      <c r="AC42">
        <v>0</v>
      </c>
      <c r="AD42">
        <v>0</v>
      </c>
      <c r="AE42" t="str" cm="1">
        <f t="array" ref="AE42">_xlfn.IFS(G42=1,"Before College",G42=2,"College",G42=3,"Bachelor",G42=4,"Master",G42=5,"Doctor")</f>
        <v>College</v>
      </c>
      <c r="AF42" t="str" cm="1">
        <f t="array" ref="AF42">_xlfn.IFS(J42=1,"Low",J42=2,"Medium",J42=3,"High",J42=4,"Very High")</f>
        <v>High</v>
      </c>
      <c r="AG42" t="str" cm="1">
        <f t="array" ref="AG42">_xlfn.IFS(L42=1,"Low",L42=2,"Medium",L42=3,"High",L42=4,"Very High")</f>
        <v>High</v>
      </c>
      <c r="AH42" t="str" cm="1">
        <f t="array" ref="AH42">_xlfn.IFS(M42=1,"Junior employee",M42=2,"Mid-level",M42=3,"Senior",M42=4,"Manager",M42=5,"Executive")</f>
        <v>Junior employee</v>
      </c>
      <c r="AI42" t="str" cm="1">
        <f t="array" ref="AI42">_xlfn.IFS(O42=1,"Low",O42=2,"Medium",O42=3,"High",O42=4,"Very High")</f>
        <v>Very High</v>
      </c>
      <c r="AJ42" t="str" cm="1">
        <f t="array" ref="AJ42">_xlfn.IFS(U42=1,"Low",U42=2,"Good",U42=3,"Excellent",U42=4,"Outstanding")</f>
        <v>Excellent</v>
      </c>
      <c r="AK42" t="str" cm="1">
        <f t="array" ref="AK42">_xlfn.IFS(V42=1,"Low",V42=2,"Medium",V42=3,"High",V42=4,"Very High")</f>
        <v>High</v>
      </c>
      <c r="AL42" t="str" cm="1">
        <f t="array" ref="AL42">_xlfn.IFS(Z42=1,"Bad",Z42=2,"Good",Z42=3,"Better",Z42=4,"Best")</f>
        <v>Better</v>
      </c>
      <c r="AM42" t="str" cm="1">
        <f t="array" ref="AM42">_xlfn.IFS(W42=0,"No_stock",W42=1,"Low",W42=2,"Medium",W42=3,"High")</f>
        <v>Low</v>
      </c>
      <c r="AN42" t="str">
        <f t="shared" si="0"/>
        <v>Near</v>
      </c>
    </row>
    <row r="43" spans="1:40" x14ac:dyDescent="0.45">
      <c r="A43">
        <v>27</v>
      </c>
      <c r="B43" t="s">
        <v>37</v>
      </c>
      <c r="C43" t="s">
        <v>31</v>
      </c>
      <c r="D43">
        <v>1240</v>
      </c>
      <c r="E43" t="s">
        <v>39</v>
      </c>
      <c r="F43">
        <v>2</v>
      </c>
      <c r="G43">
        <v>4</v>
      </c>
      <c r="H43" t="s">
        <v>33</v>
      </c>
      <c r="I43">
        <v>54</v>
      </c>
      <c r="J43">
        <v>4</v>
      </c>
      <c r="K43" t="s">
        <v>34</v>
      </c>
      <c r="L43">
        <v>3</v>
      </c>
      <c r="M43">
        <v>1</v>
      </c>
      <c r="N43" t="s">
        <v>44</v>
      </c>
      <c r="O43">
        <v>1</v>
      </c>
      <c r="P43" t="s">
        <v>46</v>
      </c>
      <c r="Q43">
        <v>2341</v>
      </c>
      <c r="R43">
        <v>1</v>
      </c>
      <c r="S43" t="s">
        <v>37</v>
      </c>
      <c r="T43">
        <v>13</v>
      </c>
      <c r="U43">
        <v>3</v>
      </c>
      <c r="V43">
        <v>4</v>
      </c>
      <c r="W43">
        <v>1</v>
      </c>
      <c r="X43">
        <v>1</v>
      </c>
      <c r="Y43">
        <v>6</v>
      </c>
      <c r="Z43">
        <v>3</v>
      </c>
      <c r="AA43">
        <v>1</v>
      </c>
      <c r="AB43">
        <v>0</v>
      </c>
      <c r="AC43">
        <v>0</v>
      </c>
      <c r="AD43">
        <v>0</v>
      </c>
      <c r="AE43" t="str" cm="1">
        <f t="array" ref="AE43">_xlfn.IFS(G43=1,"Before College",G43=2,"College",G43=3,"Bachelor",G43=4,"Master",G43=5,"Doctor")</f>
        <v>Master</v>
      </c>
      <c r="AF43" t="str" cm="1">
        <f t="array" ref="AF43">_xlfn.IFS(J43=1,"Low",J43=2,"Medium",J43=3,"High",J43=4,"Very High")</f>
        <v>Very High</v>
      </c>
      <c r="AG43" t="str" cm="1">
        <f t="array" ref="AG43">_xlfn.IFS(L43=1,"Low",L43=2,"Medium",L43=3,"High",L43=4,"Very High")</f>
        <v>High</v>
      </c>
      <c r="AH43" t="str" cm="1">
        <f t="array" ref="AH43">_xlfn.IFS(M43=1,"Junior employee",M43=2,"Mid-level",M43=3,"Senior",M43=4,"Manager",M43=5,"Executive")</f>
        <v>Junior employee</v>
      </c>
      <c r="AI43" t="str" cm="1">
        <f t="array" ref="AI43">_xlfn.IFS(O43=1,"Low",O43=2,"Medium",O43=3,"High",O43=4,"Very High")</f>
        <v>Low</v>
      </c>
      <c r="AJ43" t="str" cm="1">
        <f t="array" ref="AJ43">_xlfn.IFS(U43=1,"Low",U43=2,"Good",U43=3,"Excellent",U43=4,"Outstanding")</f>
        <v>Excellent</v>
      </c>
      <c r="AK43" t="str" cm="1">
        <f t="array" ref="AK43">_xlfn.IFS(V43=1,"Low",V43=2,"Medium",V43=3,"High",V43=4,"Very High")</f>
        <v>Very High</v>
      </c>
      <c r="AL43" t="str" cm="1">
        <f t="array" ref="AL43">_xlfn.IFS(Z43=1,"Bad",Z43=2,"Good",Z43=3,"Better",Z43=4,"Best")</f>
        <v>Better</v>
      </c>
      <c r="AM43" t="str" cm="1">
        <f t="array" ref="AM43">_xlfn.IFS(W43=0,"No_stock",W43=1,"Low",W43=2,"Medium",W43=3,"High")</f>
        <v>Low</v>
      </c>
      <c r="AN43" t="str">
        <f t="shared" si="0"/>
        <v>Near</v>
      </c>
    </row>
    <row r="44" spans="1:40" x14ac:dyDescent="0.45">
      <c r="A44">
        <v>26</v>
      </c>
      <c r="B44" t="s">
        <v>30</v>
      </c>
      <c r="C44" t="s">
        <v>31</v>
      </c>
      <c r="D44">
        <v>1357</v>
      </c>
      <c r="E44" t="s">
        <v>39</v>
      </c>
      <c r="F44">
        <v>25</v>
      </c>
      <c r="G44">
        <v>3</v>
      </c>
      <c r="H44" t="s">
        <v>33</v>
      </c>
      <c r="I44">
        <v>55</v>
      </c>
      <c r="J44">
        <v>1</v>
      </c>
      <c r="K44" t="s">
        <v>40</v>
      </c>
      <c r="L44">
        <v>1</v>
      </c>
      <c r="M44">
        <v>1</v>
      </c>
      <c r="N44" t="s">
        <v>44</v>
      </c>
      <c r="O44">
        <v>3</v>
      </c>
      <c r="P44" t="s">
        <v>36</v>
      </c>
      <c r="Q44">
        <v>2293</v>
      </c>
      <c r="R44">
        <v>1</v>
      </c>
      <c r="S44" t="s">
        <v>37</v>
      </c>
      <c r="T44">
        <v>12</v>
      </c>
      <c r="U44">
        <v>3</v>
      </c>
      <c r="V44">
        <v>3</v>
      </c>
      <c r="W44">
        <v>0</v>
      </c>
      <c r="X44">
        <v>1</v>
      </c>
      <c r="Y44">
        <v>2</v>
      </c>
      <c r="Z44">
        <v>2</v>
      </c>
      <c r="AA44">
        <v>1</v>
      </c>
      <c r="AB44">
        <v>0</v>
      </c>
      <c r="AC44">
        <v>0</v>
      </c>
      <c r="AD44">
        <v>1</v>
      </c>
      <c r="AE44" t="str" cm="1">
        <f t="array" ref="AE44">_xlfn.IFS(G44=1,"Before College",G44=2,"College",G44=3,"Bachelor",G44=4,"Master",G44=5,"Doctor")</f>
        <v>Bachelor</v>
      </c>
      <c r="AF44" t="str" cm="1">
        <f t="array" ref="AF44">_xlfn.IFS(J44=1,"Low",J44=2,"Medium",J44=3,"High",J44=4,"Very High")</f>
        <v>Low</v>
      </c>
      <c r="AG44" t="str" cm="1">
        <f t="array" ref="AG44">_xlfn.IFS(L44=1,"Low",L44=2,"Medium",L44=3,"High",L44=4,"Very High")</f>
        <v>Low</v>
      </c>
      <c r="AH44" t="str" cm="1">
        <f t="array" ref="AH44">_xlfn.IFS(M44=1,"Junior employee",M44=2,"Mid-level",M44=3,"Senior",M44=4,"Manager",M44=5,"Executive")</f>
        <v>Junior employee</v>
      </c>
      <c r="AI44" t="str" cm="1">
        <f t="array" ref="AI44">_xlfn.IFS(O44=1,"Low",O44=2,"Medium",O44=3,"High",O44=4,"Very High")</f>
        <v>High</v>
      </c>
      <c r="AJ44" t="str" cm="1">
        <f t="array" ref="AJ44">_xlfn.IFS(U44=1,"Low",U44=2,"Good",U44=3,"Excellent",U44=4,"Outstanding")</f>
        <v>Excellent</v>
      </c>
      <c r="AK44" t="str" cm="1">
        <f t="array" ref="AK44">_xlfn.IFS(V44=1,"Low",V44=2,"Medium",V44=3,"High",V44=4,"Very High")</f>
        <v>High</v>
      </c>
      <c r="AL44" t="str" cm="1">
        <f t="array" ref="AL44">_xlfn.IFS(Z44=1,"Bad",Z44=2,"Good",Z44=3,"Better",Z44=4,"Best")</f>
        <v>Good</v>
      </c>
      <c r="AM44" t="str" cm="1">
        <f t="array" ref="AM44">_xlfn.IFS(W44=0,"No_stock",W44=1,"Low",W44=2,"Medium",W44=3,"High")</f>
        <v>No_stock</v>
      </c>
      <c r="AN44" t="str">
        <f t="shared" si="0"/>
        <v>Far</v>
      </c>
    </row>
    <row r="45" spans="1:40" x14ac:dyDescent="0.45">
      <c r="A45">
        <v>27</v>
      </c>
      <c r="B45" t="s">
        <v>37</v>
      </c>
      <c r="C45" t="s">
        <v>38</v>
      </c>
      <c r="D45">
        <v>994</v>
      </c>
      <c r="E45" t="s">
        <v>32</v>
      </c>
      <c r="F45">
        <v>8</v>
      </c>
      <c r="G45">
        <v>3</v>
      </c>
      <c r="H45" t="s">
        <v>33</v>
      </c>
      <c r="I45">
        <v>56</v>
      </c>
      <c r="J45">
        <v>4</v>
      </c>
      <c r="K45" t="s">
        <v>40</v>
      </c>
      <c r="L45">
        <v>3</v>
      </c>
      <c r="M45">
        <v>3</v>
      </c>
      <c r="N45" t="s">
        <v>35</v>
      </c>
      <c r="O45">
        <v>3</v>
      </c>
      <c r="P45" t="s">
        <v>36</v>
      </c>
      <c r="Q45">
        <v>8726</v>
      </c>
      <c r="R45">
        <v>1</v>
      </c>
      <c r="S45" t="s">
        <v>37</v>
      </c>
      <c r="T45">
        <v>15</v>
      </c>
      <c r="U45">
        <v>3</v>
      </c>
      <c r="V45">
        <v>4</v>
      </c>
      <c r="W45">
        <v>0</v>
      </c>
      <c r="X45">
        <v>9</v>
      </c>
      <c r="Y45">
        <v>0</v>
      </c>
      <c r="Z45">
        <v>3</v>
      </c>
      <c r="AA45">
        <v>9</v>
      </c>
      <c r="AB45">
        <v>8</v>
      </c>
      <c r="AC45">
        <v>1</v>
      </c>
      <c r="AD45">
        <v>7</v>
      </c>
      <c r="AE45" t="str" cm="1">
        <f t="array" ref="AE45">_xlfn.IFS(G45=1,"Before College",G45=2,"College",G45=3,"Bachelor",G45=4,"Master",G45=5,"Doctor")</f>
        <v>Bachelor</v>
      </c>
      <c r="AF45" t="str" cm="1">
        <f t="array" ref="AF45">_xlfn.IFS(J45=1,"Low",J45=2,"Medium",J45=3,"High",J45=4,"Very High")</f>
        <v>Very High</v>
      </c>
      <c r="AG45" t="str" cm="1">
        <f t="array" ref="AG45">_xlfn.IFS(L45=1,"Low",L45=2,"Medium",L45=3,"High",L45=4,"Very High")</f>
        <v>High</v>
      </c>
      <c r="AH45" t="str" cm="1">
        <f t="array" ref="AH45">_xlfn.IFS(M45=1,"Junior employee",M45=2,"Mid-level",M45=3,"Senior",M45=4,"Manager",M45=5,"Executive")</f>
        <v>Senior</v>
      </c>
      <c r="AI45" t="str" cm="1">
        <f t="array" ref="AI45">_xlfn.IFS(O45=1,"Low",O45=2,"Medium",O45=3,"High",O45=4,"Very High")</f>
        <v>High</v>
      </c>
      <c r="AJ45" t="str" cm="1">
        <f t="array" ref="AJ45">_xlfn.IFS(U45=1,"Low",U45=2,"Good",U45=3,"Excellent",U45=4,"Outstanding")</f>
        <v>Excellent</v>
      </c>
      <c r="AK45" t="str" cm="1">
        <f t="array" ref="AK45">_xlfn.IFS(V45=1,"Low",V45=2,"Medium",V45=3,"High",V45=4,"Very High")</f>
        <v>Very High</v>
      </c>
      <c r="AL45" t="str" cm="1">
        <f t="array" ref="AL45">_xlfn.IFS(Z45=1,"Bad",Z45=2,"Good",Z45=3,"Better",Z45=4,"Best")</f>
        <v>Better</v>
      </c>
      <c r="AM45" t="str" cm="1">
        <f t="array" ref="AM45">_xlfn.IFS(W45=0,"No_stock",W45=1,"Low",W45=2,"Medium",W45=3,"High")</f>
        <v>No_stock</v>
      </c>
      <c r="AN45" t="str">
        <f t="shared" si="0"/>
        <v>Medium</v>
      </c>
    </row>
    <row r="46" spans="1:40" x14ac:dyDescent="0.45">
      <c r="A46">
        <v>30</v>
      </c>
      <c r="B46" t="s">
        <v>37</v>
      </c>
      <c r="C46" t="s">
        <v>38</v>
      </c>
      <c r="D46">
        <v>721</v>
      </c>
      <c r="E46" t="s">
        <v>39</v>
      </c>
      <c r="F46">
        <v>1</v>
      </c>
      <c r="G46">
        <v>2</v>
      </c>
      <c r="H46" t="s">
        <v>45</v>
      </c>
      <c r="I46">
        <v>57</v>
      </c>
      <c r="J46">
        <v>3</v>
      </c>
      <c r="K46" t="s">
        <v>34</v>
      </c>
      <c r="L46">
        <v>3</v>
      </c>
      <c r="M46">
        <v>2</v>
      </c>
      <c r="N46" t="s">
        <v>44</v>
      </c>
      <c r="O46">
        <v>4</v>
      </c>
      <c r="P46" t="s">
        <v>36</v>
      </c>
      <c r="Q46">
        <v>4011</v>
      </c>
      <c r="R46">
        <v>1</v>
      </c>
      <c r="S46" t="s">
        <v>37</v>
      </c>
      <c r="T46">
        <v>23</v>
      </c>
      <c r="U46">
        <v>4</v>
      </c>
      <c r="V46">
        <v>4</v>
      </c>
      <c r="W46">
        <v>0</v>
      </c>
      <c r="X46">
        <v>12</v>
      </c>
      <c r="Y46">
        <v>2</v>
      </c>
      <c r="Z46">
        <v>3</v>
      </c>
      <c r="AA46">
        <v>12</v>
      </c>
      <c r="AB46">
        <v>8</v>
      </c>
      <c r="AC46">
        <v>3</v>
      </c>
      <c r="AD46">
        <v>7</v>
      </c>
      <c r="AE46" t="str" cm="1">
        <f t="array" ref="AE46">_xlfn.IFS(G46=1,"Before College",G46=2,"College",G46=3,"Bachelor",G46=4,"Master",G46=5,"Doctor")</f>
        <v>College</v>
      </c>
      <c r="AF46" t="str" cm="1">
        <f t="array" ref="AF46">_xlfn.IFS(J46=1,"Low",J46=2,"Medium",J46=3,"High",J46=4,"Very High")</f>
        <v>High</v>
      </c>
      <c r="AG46" t="str" cm="1">
        <f t="array" ref="AG46">_xlfn.IFS(L46=1,"Low",L46=2,"Medium",L46=3,"High",L46=4,"Very High")</f>
        <v>High</v>
      </c>
      <c r="AH46" t="str" cm="1">
        <f t="array" ref="AH46">_xlfn.IFS(M46=1,"Junior employee",M46=2,"Mid-level",M46=3,"Senior",M46=4,"Manager",M46=5,"Executive")</f>
        <v>Mid-level</v>
      </c>
      <c r="AI46" t="str" cm="1">
        <f t="array" ref="AI46">_xlfn.IFS(O46=1,"Low",O46=2,"Medium",O46=3,"High",O46=4,"Very High")</f>
        <v>Very High</v>
      </c>
      <c r="AJ46" t="str" cm="1">
        <f t="array" ref="AJ46">_xlfn.IFS(U46=1,"Low",U46=2,"Good",U46=3,"Excellent",U46=4,"Outstanding")</f>
        <v>Outstanding</v>
      </c>
      <c r="AK46" t="str" cm="1">
        <f t="array" ref="AK46">_xlfn.IFS(V46=1,"Low",V46=2,"Medium",V46=3,"High",V46=4,"Very High")</f>
        <v>Very High</v>
      </c>
      <c r="AL46" t="str" cm="1">
        <f t="array" ref="AL46">_xlfn.IFS(Z46=1,"Bad",Z46=2,"Good",Z46=3,"Better",Z46=4,"Best")</f>
        <v>Better</v>
      </c>
      <c r="AM46" t="str" cm="1">
        <f t="array" ref="AM46">_xlfn.IFS(W46=0,"No_stock",W46=1,"Low",W46=2,"Medium",W46=3,"High")</f>
        <v>No_stock</v>
      </c>
      <c r="AN46" t="str">
        <f t="shared" si="0"/>
        <v>Near</v>
      </c>
    </row>
    <row r="47" spans="1:40" x14ac:dyDescent="0.45">
      <c r="A47">
        <v>41</v>
      </c>
      <c r="B47" t="s">
        <v>30</v>
      </c>
      <c r="C47" t="s">
        <v>31</v>
      </c>
      <c r="D47">
        <v>1360</v>
      </c>
      <c r="E47" t="s">
        <v>39</v>
      </c>
      <c r="F47">
        <v>12</v>
      </c>
      <c r="G47">
        <v>3</v>
      </c>
      <c r="H47" t="s">
        <v>54</v>
      </c>
      <c r="I47">
        <v>58</v>
      </c>
      <c r="J47">
        <v>2</v>
      </c>
      <c r="K47" t="s">
        <v>34</v>
      </c>
      <c r="L47">
        <v>3</v>
      </c>
      <c r="M47">
        <v>5</v>
      </c>
      <c r="N47" t="s">
        <v>52</v>
      </c>
      <c r="O47">
        <v>3</v>
      </c>
      <c r="P47" t="s">
        <v>42</v>
      </c>
      <c r="Q47">
        <v>19545</v>
      </c>
      <c r="R47">
        <v>1</v>
      </c>
      <c r="S47" t="s">
        <v>37</v>
      </c>
      <c r="T47">
        <v>12</v>
      </c>
      <c r="U47">
        <v>3</v>
      </c>
      <c r="V47">
        <v>4</v>
      </c>
      <c r="W47">
        <v>0</v>
      </c>
      <c r="X47">
        <v>23</v>
      </c>
      <c r="Y47">
        <v>0</v>
      </c>
      <c r="Z47">
        <v>3</v>
      </c>
      <c r="AA47">
        <v>22</v>
      </c>
      <c r="AB47">
        <v>15</v>
      </c>
      <c r="AC47">
        <v>15</v>
      </c>
      <c r="AD47">
        <v>8</v>
      </c>
      <c r="AE47" t="str" cm="1">
        <f t="array" ref="AE47">_xlfn.IFS(G47=1,"Before College",G47=2,"College",G47=3,"Bachelor",G47=4,"Master",G47=5,"Doctor")</f>
        <v>Bachelor</v>
      </c>
      <c r="AF47" t="str" cm="1">
        <f t="array" ref="AF47">_xlfn.IFS(J47=1,"Low",J47=2,"Medium",J47=3,"High",J47=4,"Very High")</f>
        <v>Medium</v>
      </c>
      <c r="AG47" t="str" cm="1">
        <f t="array" ref="AG47">_xlfn.IFS(L47=1,"Low",L47=2,"Medium",L47=3,"High",L47=4,"Very High")</f>
        <v>High</v>
      </c>
      <c r="AH47" t="str" cm="1">
        <f t="array" ref="AH47">_xlfn.IFS(M47=1,"Junior employee",M47=2,"Mid-level",M47=3,"Senior",M47=4,"Manager",M47=5,"Executive")</f>
        <v>Executive</v>
      </c>
      <c r="AI47" t="str" cm="1">
        <f t="array" ref="AI47">_xlfn.IFS(O47=1,"Low",O47=2,"Medium",O47=3,"High",O47=4,"Very High")</f>
        <v>High</v>
      </c>
      <c r="AJ47" t="str" cm="1">
        <f t="array" ref="AJ47">_xlfn.IFS(U47=1,"Low",U47=2,"Good",U47=3,"Excellent",U47=4,"Outstanding")</f>
        <v>Excellent</v>
      </c>
      <c r="AK47" t="str" cm="1">
        <f t="array" ref="AK47">_xlfn.IFS(V47=1,"Low",V47=2,"Medium",V47=3,"High",V47=4,"Very High")</f>
        <v>Very High</v>
      </c>
      <c r="AL47" t="str" cm="1">
        <f t="array" ref="AL47">_xlfn.IFS(Z47=1,"Bad",Z47=2,"Good",Z47=3,"Better",Z47=4,"Best")</f>
        <v>Better</v>
      </c>
      <c r="AM47" t="str" cm="1">
        <f t="array" ref="AM47">_xlfn.IFS(W47=0,"No_stock",W47=1,"Low",W47=2,"Medium",W47=3,"High")</f>
        <v>No_stock</v>
      </c>
      <c r="AN47" t="str">
        <f t="shared" si="0"/>
        <v>Medium</v>
      </c>
    </row>
    <row r="48" spans="1:40" x14ac:dyDescent="0.45">
      <c r="A48">
        <v>34</v>
      </c>
      <c r="B48" t="s">
        <v>37</v>
      </c>
      <c r="C48" t="s">
        <v>49</v>
      </c>
      <c r="D48">
        <v>1065</v>
      </c>
      <c r="E48" t="s">
        <v>32</v>
      </c>
      <c r="F48">
        <v>23</v>
      </c>
      <c r="G48">
        <v>4</v>
      </c>
      <c r="H48" t="s">
        <v>53</v>
      </c>
      <c r="I48">
        <v>60</v>
      </c>
      <c r="J48">
        <v>2</v>
      </c>
      <c r="K48" t="s">
        <v>40</v>
      </c>
      <c r="L48">
        <v>3</v>
      </c>
      <c r="M48">
        <v>2</v>
      </c>
      <c r="N48" t="s">
        <v>35</v>
      </c>
      <c r="O48">
        <v>3</v>
      </c>
      <c r="P48" t="s">
        <v>36</v>
      </c>
      <c r="Q48">
        <v>4568</v>
      </c>
      <c r="R48">
        <v>0</v>
      </c>
      <c r="S48" t="s">
        <v>37</v>
      </c>
      <c r="T48">
        <v>20</v>
      </c>
      <c r="U48">
        <v>4</v>
      </c>
      <c r="V48">
        <v>3</v>
      </c>
      <c r="W48">
        <v>0</v>
      </c>
      <c r="X48">
        <v>10</v>
      </c>
      <c r="Y48">
        <v>2</v>
      </c>
      <c r="Z48">
        <v>3</v>
      </c>
      <c r="AA48">
        <v>9</v>
      </c>
      <c r="AB48">
        <v>5</v>
      </c>
      <c r="AC48">
        <v>8</v>
      </c>
      <c r="AD48">
        <v>7</v>
      </c>
      <c r="AE48" t="str" cm="1">
        <f t="array" ref="AE48">_xlfn.IFS(G48=1,"Before College",G48=2,"College",G48=3,"Bachelor",G48=4,"Master",G48=5,"Doctor")</f>
        <v>Master</v>
      </c>
      <c r="AF48" t="str" cm="1">
        <f t="array" ref="AF48">_xlfn.IFS(J48=1,"Low",J48=2,"Medium",J48=3,"High",J48=4,"Very High")</f>
        <v>Medium</v>
      </c>
      <c r="AG48" t="str" cm="1">
        <f t="array" ref="AG48">_xlfn.IFS(L48=1,"Low",L48=2,"Medium",L48=3,"High",L48=4,"Very High")</f>
        <v>High</v>
      </c>
      <c r="AH48" t="str" cm="1">
        <f t="array" ref="AH48">_xlfn.IFS(M48=1,"Junior employee",M48=2,"Mid-level",M48=3,"Senior",M48=4,"Manager",M48=5,"Executive")</f>
        <v>Mid-level</v>
      </c>
      <c r="AI48" t="str" cm="1">
        <f t="array" ref="AI48">_xlfn.IFS(O48=1,"Low",O48=2,"Medium",O48=3,"High",O48=4,"Very High")</f>
        <v>High</v>
      </c>
      <c r="AJ48" t="str" cm="1">
        <f t="array" ref="AJ48">_xlfn.IFS(U48=1,"Low",U48=2,"Good",U48=3,"Excellent",U48=4,"Outstanding")</f>
        <v>Outstanding</v>
      </c>
      <c r="AK48" t="str" cm="1">
        <f t="array" ref="AK48">_xlfn.IFS(V48=1,"Low",V48=2,"Medium",V48=3,"High",V48=4,"Very High")</f>
        <v>High</v>
      </c>
      <c r="AL48" t="str" cm="1">
        <f t="array" ref="AL48">_xlfn.IFS(Z48=1,"Bad",Z48=2,"Good",Z48=3,"Better",Z48=4,"Best")</f>
        <v>Better</v>
      </c>
      <c r="AM48" t="str" cm="1">
        <f t="array" ref="AM48">_xlfn.IFS(W48=0,"No_stock",W48=1,"Low",W48=2,"Medium",W48=3,"High")</f>
        <v>No_stock</v>
      </c>
      <c r="AN48" t="str">
        <f t="shared" si="0"/>
        <v>Far</v>
      </c>
    </row>
    <row r="49" spans="1:40" x14ac:dyDescent="0.45">
      <c r="A49">
        <v>37</v>
      </c>
      <c r="B49" t="s">
        <v>37</v>
      </c>
      <c r="C49" t="s">
        <v>31</v>
      </c>
      <c r="D49">
        <v>408</v>
      </c>
      <c r="E49" t="s">
        <v>39</v>
      </c>
      <c r="F49">
        <v>19</v>
      </c>
      <c r="G49">
        <v>2</v>
      </c>
      <c r="H49" t="s">
        <v>33</v>
      </c>
      <c r="I49">
        <v>61</v>
      </c>
      <c r="J49">
        <v>2</v>
      </c>
      <c r="K49" t="s">
        <v>40</v>
      </c>
      <c r="L49">
        <v>3</v>
      </c>
      <c r="M49">
        <v>1</v>
      </c>
      <c r="N49" t="s">
        <v>41</v>
      </c>
      <c r="O49">
        <v>2</v>
      </c>
      <c r="P49" t="s">
        <v>42</v>
      </c>
      <c r="Q49">
        <v>3022</v>
      </c>
      <c r="R49">
        <v>4</v>
      </c>
      <c r="S49" t="s">
        <v>37</v>
      </c>
      <c r="T49">
        <v>21</v>
      </c>
      <c r="U49">
        <v>4</v>
      </c>
      <c r="V49">
        <v>1</v>
      </c>
      <c r="W49">
        <v>0</v>
      </c>
      <c r="X49">
        <v>8</v>
      </c>
      <c r="Y49">
        <v>1</v>
      </c>
      <c r="Z49">
        <v>3</v>
      </c>
      <c r="AA49">
        <v>1</v>
      </c>
      <c r="AB49">
        <v>0</v>
      </c>
      <c r="AC49">
        <v>0</v>
      </c>
      <c r="AD49">
        <v>0</v>
      </c>
      <c r="AE49" t="str" cm="1">
        <f t="array" ref="AE49">_xlfn.IFS(G49=1,"Before College",G49=2,"College",G49=3,"Bachelor",G49=4,"Master",G49=5,"Doctor")</f>
        <v>College</v>
      </c>
      <c r="AF49" t="str" cm="1">
        <f t="array" ref="AF49">_xlfn.IFS(J49=1,"Low",J49=2,"Medium",J49=3,"High",J49=4,"Very High")</f>
        <v>Medium</v>
      </c>
      <c r="AG49" t="str" cm="1">
        <f t="array" ref="AG49">_xlfn.IFS(L49=1,"Low",L49=2,"Medium",L49=3,"High",L49=4,"Very High")</f>
        <v>High</v>
      </c>
      <c r="AH49" t="str" cm="1">
        <f t="array" ref="AH49">_xlfn.IFS(M49=1,"Junior employee",M49=2,"Mid-level",M49=3,"Senior",M49=4,"Manager",M49=5,"Executive")</f>
        <v>Junior employee</v>
      </c>
      <c r="AI49" t="str" cm="1">
        <f t="array" ref="AI49">_xlfn.IFS(O49=1,"Low",O49=2,"Medium",O49=3,"High",O49=4,"Very High")</f>
        <v>Medium</v>
      </c>
      <c r="AJ49" t="str" cm="1">
        <f t="array" ref="AJ49">_xlfn.IFS(U49=1,"Low",U49=2,"Good",U49=3,"Excellent",U49=4,"Outstanding")</f>
        <v>Outstanding</v>
      </c>
      <c r="AK49" t="str" cm="1">
        <f t="array" ref="AK49">_xlfn.IFS(V49=1,"Low",V49=2,"Medium",V49=3,"High",V49=4,"Very High")</f>
        <v>Low</v>
      </c>
      <c r="AL49" t="str" cm="1">
        <f t="array" ref="AL49">_xlfn.IFS(Z49=1,"Bad",Z49=2,"Good",Z49=3,"Better",Z49=4,"Best")</f>
        <v>Better</v>
      </c>
      <c r="AM49" t="str" cm="1">
        <f t="array" ref="AM49">_xlfn.IFS(W49=0,"No_stock",W49=1,"Low",W49=2,"Medium",W49=3,"High")</f>
        <v>No_stock</v>
      </c>
      <c r="AN49" t="str">
        <f t="shared" si="0"/>
        <v>Far</v>
      </c>
    </row>
    <row r="50" spans="1:40" x14ac:dyDescent="0.45">
      <c r="A50">
        <v>46</v>
      </c>
      <c r="B50" t="s">
        <v>37</v>
      </c>
      <c r="C50" t="s">
        <v>38</v>
      </c>
      <c r="D50">
        <v>1211</v>
      </c>
      <c r="E50" t="s">
        <v>32</v>
      </c>
      <c r="F50">
        <v>5</v>
      </c>
      <c r="G50">
        <v>4</v>
      </c>
      <c r="H50" t="s">
        <v>53</v>
      </c>
      <c r="I50">
        <v>62</v>
      </c>
      <c r="J50">
        <v>1</v>
      </c>
      <c r="K50" t="s">
        <v>40</v>
      </c>
      <c r="L50">
        <v>3</v>
      </c>
      <c r="M50">
        <v>2</v>
      </c>
      <c r="N50" t="s">
        <v>35</v>
      </c>
      <c r="O50">
        <v>4</v>
      </c>
      <c r="P50" t="s">
        <v>36</v>
      </c>
      <c r="Q50">
        <v>5772</v>
      </c>
      <c r="R50">
        <v>4</v>
      </c>
      <c r="S50" t="s">
        <v>30</v>
      </c>
      <c r="T50">
        <v>21</v>
      </c>
      <c r="U50">
        <v>4</v>
      </c>
      <c r="V50">
        <v>3</v>
      </c>
      <c r="W50">
        <v>0</v>
      </c>
      <c r="X50">
        <v>14</v>
      </c>
      <c r="Y50">
        <v>4</v>
      </c>
      <c r="Z50">
        <v>3</v>
      </c>
      <c r="AA50">
        <v>9</v>
      </c>
      <c r="AB50">
        <v>6</v>
      </c>
      <c r="AC50">
        <v>0</v>
      </c>
      <c r="AD50">
        <v>8</v>
      </c>
      <c r="AE50" t="str" cm="1">
        <f t="array" ref="AE50">_xlfn.IFS(G50=1,"Before College",G50=2,"College",G50=3,"Bachelor",G50=4,"Master",G50=5,"Doctor")</f>
        <v>Master</v>
      </c>
      <c r="AF50" t="str" cm="1">
        <f t="array" ref="AF50">_xlfn.IFS(J50=1,"Low",J50=2,"Medium",J50=3,"High",J50=4,"Very High")</f>
        <v>Low</v>
      </c>
      <c r="AG50" t="str" cm="1">
        <f t="array" ref="AG50">_xlfn.IFS(L50=1,"Low",L50=2,"Medium",L50=3,"High",L50=4,"Very High")</f>
        <v>High</v>
      </c>
      <c r="AH50" t="str" cm="1">
        <f t="array" ref="AH50">_xlfn.IFS(M50=1,"Junior employee",M50=2,"Mid-level",M50=3,"Senior",M50=4,"Manager",M50=5,"Executive")</f>
        <v>Mid-level</v>
      </c>
      <c r="AI50" t="str" cm="1">
        <f t="array" ref="AI50">_xlfn.IFS(O50=1,"Low",O50=2,"Medium",O50=3,"High",O50=4,"Very High")</f>
        <v>Very High</v>
      </c>
      <c r="AJ50" t="str" cm="1">
        <f t="array" ref="AJ50">_xlfn.IFS(U50=1,"Low",U50=2,"Good",U50=3,"Excellent",U50=4,"Outstanding")</f>
        <v>Outstanding</v>
      </c>
      <c r="AK50" t="str" cm="1">
        <f t="array" ref="AK50">_xlfn.IFS(V50=1,"Low",V50=2,"Medium",V50=3,"High",V50=4,"Very High")</f>
        <v>High</v>
      </c>
      <c r="AL50" t="str" cm="1">
        <f t="array" ref="AL50">_xlfn.IFS(Z50=1,"Bad",Z50=2,"Good",Z50=3,"Better",Z50=4,"Best")</f>
        <v>Better</v>
      </c>
      <c r="AM50" t="str" cm="1">
        <f t="array" ref="AM50">_xlfn.IFS(W50=0,"No_stock",W50=1,"Low",W50=2,"Medium",W50=3,"High")</f>
        <v>No_stock</v>
      </c>
      <c r="AN50" t="str">
        <f t="shared" si="0"/>
        <v>Near</v>
      </c>
    </row>
    <row r="51" spans="1:40" x14ac:dyDescent="0.45">
      <c r="A51">
        <v>35</v>
      </c>
      <c r="B51" t="s">
        <v>37</v>
      </c>
      <c r="C51" t="s">
        <v>31</v>
      </c>
      <c r="D51">
        <v>1229</v>
      </c>
      <c r="E51" t="s">
        <v>39</v>
      </c>
      <c r="F51">
        <v>8</v>
      </c>
      <c r="G51">
        <v>1</v>
      </c>
      <c r="H51" t="s">
        <v>33</v>
      </c>
      <c r="I51">
        <v>63</v>
      </c>
      <c r="J51">
        <v>4</v>
      </c>
      <c r="K51" t="s">
        <v>40</v>
      </c>
      <c r="L51">
        <v>4</v>
      </c>
      <c r="M51">
        <v>1</v>
      </c>
      <c r="N51" t="s">
        <v>44</v>
      </c>
      <c r="O51">
        <v>4</v>
      </c>
      <c r="P51" t="s">
        <v>42</v>
      </c>
      <c r="Q51">
        <v>2269</v>
      </c>
      <c r="R51">
        <v>1</v>
      </c>
      <c r="S51" t="s">
        <v>37</v>
      </c>
      <c r="T51">
        <v>19</v>
      </c>
      <c r="U51">
        <v>3</v>
      </c>
      <c r="V51">
        <v>4</v>
      </c>
      <c r="W51">
        <v>0</v>
      </c>
      <c r="X51">
        <v>1</v>
      </c>
      <c r="Y51">
        <v>2</v>
      </c>
      <c r="Z51">
        <v>3</v>
      </c>
      <c r="AA51">
        <v>1</v>
      </c>
      <c r="AB51">
        <v>0</v>
      </c>
      <c r="AC51">
        <v>0</v>
      </c>
      <c r="AD51">
        <v>1</v>
      </c>
      <c r="AE51" t="str" cm="1">
        <f t="array" ref="AE51">_xlfn.IFS(G51=1,"Before College",G51=2,"College",G51=3,"Bachelor",G51=4,"Master",G51=5,"Doctor")</f>
        <v>Before College</v>
      </c>
      <c r="AF51" t="str" cm="1">
        <f t="array" ref="AF51">_xlfn.IFS(J51=1,"Low",J51=2,"Medium",J51=3,"High",J51=4,"Very High")</f>
        <v>Very High</v>
      </c>
      <c r="AG51" t="str" cm="1">
        <f t="array" ref="AG51">_xlfn.IFS(L51=1,"Low",L51=2,"Medium",L51=3,"High",L51=4,"Very High")</f>
        <v>Very High</v>
      </c>
      <c r="AH51" t="str" cm="1">
        <f t="array" ref="AH51">_xlfn.IFS(M51=1,"Junior employee",M51=2,"Mid-level",M51=3,"Senior",M51=4,"Manager",M51=5,"Executive")</f>
        <v>Junior employee</v>
      </c>
      <c r="AI51" t="str" cm="1">
        <f t="array" ref="AI51">_xlfn.IFS(O51=1,"Low",O51=2,"Medium",O51=3,"High",O51=4,"Very High")</f>
        <v>Very High</v>
      </c>
      <c r="AJ51" t="str" cm="1">
        <f t="array" ref="AJ51">_xlfn.IFS(U51=1,"Low",U51=2,"Good",U51=3,"Excellent",U51=4,"Outstanding")</f>
        <v>Excellent</v>
      </c>
      <c r="AK51" t="str" cm="1">
        <f t="array" ref="AK51">_xlfn.IFS(V51=1,"Low",V51=2,"Medium",V51=3,"High",V51=4,"Very High")</f>
        <v>Very High</v>
      </c>
      <c r="AL51" t="str" cm="1">
        <f t="array" ref="AL51">_xlfn.IFS(Z51=1,"Bad",Z51=2,"Good",Z51=3,"Better",Z51=4,"Best")</f>
        <v>Better</v>
      </c>
      <c r="AM51" t="str" cm="1">
        <f t="array" ref="AM51">_xlfn.IFS(W51=0,"No_stock",W51=1,"Low",W51=2,"Medium",W51=3,"High")</f>
        <v>No_stock</v>
      </c>
      <c r="AN51" t="str">
        <f t="shared" si="0"/>
        <v>Medium</v>
      </c>
    </row>
    <row r="52" spans="1:40" x14ac:dyDescent="0.45">
      <c r="A52">
        <v>48</v>
      </c>
      <c r="B52" t="s">
        <v>30</v>
      </c>
      <c r="C52" t="s">
        <v>31</v>
      </c>
      <c r="D52">
        <v>626</v>
      </c>
      <c r="E52" t="s">
        <v>39</v>
      </c>
      <c r="F52">
        <v>1</v>
      </c>
      <c r="G52">
        <v>2</v>
      </c>
      <c r="H52" t="s">
        <v>33</v>
      </c>
      <c r="I52">
        <v>64</v>
      </c>
      <c r="J52">
        <v>1</v>
      </c>
      <c r="K52" t="s">
        <v>40</v>
      </c>
      <c r="L52">
        <v>2</v>
      </c>
      <c r="M52">
        <v>3</v>
      </c>
      <c r="N52" t="s">
        <v>44</v>
      </c>
      <c r="O52">
        <v>3</v>
      </c>
      <c r="P52" t="s">
        <v>36</v>
      </c>
      <c r="Q52">
        <v>5381</v>
      </c>
      <c r="R52">
        <v>9</v>
      </c>
      <c r="S52" t="s">
        <v>30</v>
      </c>
      <c r="T52">
        <v>13</v>
      </c>
      <c r="U52">
        <v>3</v>
      </c>
      <c r="V52">
        <v>4</v>
      </c>
      <c r="W52">
        <v>0</v>
      </c>
      <c r="X52">
        <v>23</v>
      </c>
      <c r="Y52">
        <v>2</v>
      </c>
      <c r="Z52">
        <v>3</v>
      </c>
      <c r="AA52">
        <v>1</v>
      </c>
      <c r="AB52">
        <v>0</v>
      </c>
      <c r="AC52">
        <v>0</v>
      </c>
      <c r="AD52">
        <v>0</v>
      </c>
      <c r="AE52" t="str" cm="1">
        <f t="array" ref="AE52">_xlfn.IFS(G52=1,"Before College",G52=2,"College",G52=3,"Bachelor",G52=4,"Master",G52=5,"Doctor")</f>
        <v>College</v>
      </c>
      <c r="AF52" t="str" cm="1">
        <f t="array" ref="AF52">_xlfn.IFS(J52=1,"Low",J52=2,"Medium",J52=3,"High",J52=4,"Very High")</f>
        <v>Low</v>
      </c>
      <c r="AG52" t="str" cm="1">
        <f t="array" ref="AG52">_xlfn.IFS(L52=1,"Low",L52=2,"Medium",L52=3,"High",L52=4,"Very High")</f>
        <v>Medium</v>
      </c>
      <c r="AH52" t="str" cm="1">
        <f t="array" ref="AH52">_xlfn.IFS(M52=1,"Junior employee",M52=2,"Mid-level",M52=3,"Senior",M52=4,"Manager",M52=5,"Executive")</f>
        <v>Senior</v>
      </c>
      <c r="AI52" t="str" cm="1">
        <f t="array" ref="AI52">_xlfn.IFS(O52=1,"Low",O52=2,"Medium",O52=3,"High",O52=4,"Very High")</f>
        <v>High</v>
      </c>
      <c r="AJ52" t="str" cm="1">
        <f t="array" ref="AJ52">_xlfn.IFS(U52=1,"Low",U52=2,"Good",U52=3,"Excellent",U52=4,"Outstanding")</f>
        <v>Excellent</v>
      </c>
      <c r="AK52" t="str" cm="1">
        <f t="array" ref="AK52">_xlfn.IFS(V52=1,"Low",V52=2,"Medium",V52=3,"High",V52=4,"Very High")</f>
        <v>Very High</v>
      </c>
      <c r="AL52" t="str" cm="1">
        <f t="array" ref="AL52">_xlfn.IFS(Z52=1,"Bad",Z52=2,"Good",Z52=3,"Better",Z52=4,"Best")</f>
        <v>Better</v>
      </c>
      <c r="AM52" t="str" cm="1">
        <f t="array" ref="AM52">_xlfn.IFS(W52=0,"No_stock",W52=1,"Low",W52=2,"Medium",W52=3,"High")</f>
        <v>No_stock</v>
      </c>
      <c r="AN52" t="str">
        <f t="shared" si="0"/>
        <v>Near</v>
      </c>
    </row>
    <row r="53" spans="1:40" x14ac:dyDescent="0.45">
      <c r="A53">
        <v>28</v>
      </c>
      <c r="B53" t="s">
        <v>30</v>
      </c>
      <c r="C53" t="s">
        <v>31</v>
      </c>
      <c r="D53">
        <v>1434</v>
      </c>
      <c r="E53" t="s">
        <v>39</v>
      </c>
      <c r="F53">
        <v>5</v>
      </c>
      <c r="G53">
        <v>4</v>
      </c>
      <c r="H53" t="s">
        <v>54</v>
      </c>
      <c r="I53">
        <v>65</v>
      </c>
      <c r="J53">
        <v>3</v>
      </c>
      <c r="K53" t="s">
        <v>40</v>
      </c>
      <c r="L53">
        <v>3</v>
      </c>
      <c r="M53">
        <v>1</v>
      </c>
      <c r="N53" t="s">
        <v>44</v>
      </c>
      <c r="O53">
        <v>3</v>
      </c>
      <c r="P53" t="s">
        <v>36</v>
      </c>
      <c r="Q53">
        <v>3441</v>
      </c>
      <c r="R53">
        <v>1</v>
      </c>
      <c r="S53" t="s">
        <v>30</v>
      </c>
      <c r="T53">
        <v>13</v>
      </c>
      <c r="U53">
        <v>3</v>
      </c>
      <c r="V53">
        <v>3</v>
      </c>
      <c r="W53">
        <v>0</v>
      </c>
      <c r="X53">
        <v>2</v>
      </c>
      <c r="Y53">
        <v>3</v>
      </c>
      <c r="Z53">
        <v>2</v>
      </c>
      <c r="AA53">
        <v>2</v>
      </c>
      <c r="AB53">
        <v>2</v>
      </c>
      <c r="AC53">
        <v>2</v>
      </c>
      <c r="AD53">
        <v>2</v>
      </c>
      <c r="AE53" t="str" cm="1">
        <f t="array" ref="AE53">_xlfn.IFS(G53=1,"Before College",G53=2,"College",G53=3,"Bachelor",G53=4,"Master",G53=5,"Doctor")</f>
        <v>Master</v>
      </c>
      <c r="AF53" t="str" cm="1">
        <f t="array" ref="AF53">_xlfn.IFS(J53=1,"Low",J53=2,"Medium",J53=3,"High",J53=4,"Very High")</f>
        <v>High</v>
      </c>
      <c r="AG53" t="str" cm="1">
        <f t="array" ref="AG53">_xlfn.IFS(L53=1,"Low",L53=2,"Medium",L53=3,"High",L53=4,"Very High")</f>
        <v>High</v>
      </c>
      <c r="AH53" t="str" cm="1">
        <f t="array" ref="AH53">_xlfn.IFS(M53=1,"Junior employee",M53=2,"Mid-level",M53=3,"Senior",M53=4,"Manager",M53=5,"Executive")</f>
        <v>Junior employee</v>
      </c>
      <c r="AI53" t="str" cm="1">
        <f t="array" ref="AI53">_xlfn.IFS(O53=1,"Low",O53=2,"Medium",O53=3,"High",O53=4,"Very High")</f>
        <v>High</v>
      </c>
      <c r="AJ53" t="str" cm="1">
        <f t="array" ref="AJ53">_xlfn.IFS(U53=1,"Low",U53=2,"Good",U53=3,"Excellent",U53=4,"Outstanding")</f>
        <v>Excellent</v>
      </c>
      <c r="AK53" t="str" cm="1">
        <f t="array" ref="AK53">_xlfn.IFS(V53=1,"Low",V53=2,"Medium",V53=3,"High",V53=4,"Very High")</f>
        <v>High</v>
      </c>
      <c r="AL53" t="str" cm="1">
        <f t="array" ref="AL53">_xlfn.IFS(Z53=1,"Bad",Z53=2,"Good",Z53=3,"Better",Z53=4,"Best")</f>
        <v>Good</v>
      </c>
      <c r="AM53" t="str" cm="1">
        <f t="array" ref="AM53">_xlfn.IFS(W53=0,"No_stock",W53=1,"Low",W53=2,"Medium",W53=3,"High")</f>
        <v>No_stock</v>
      </c>
      <c r="AN53" t="str">
        <f t="shared" si="0"/>
        <v>Near</v>
      </c>
    </row>
    <row r="54" spans="1:40" x14ac:dyDescent="0.45">
      <c r="A54">
        <v>44</v>
      </c>
      <c r="B54" t="s">
        <v>37</v>
      </c>
      <c r="C54" t="s">
        <v>31</v>
      </c>
      <c r="D54">
        <v>1488</v>
      </c>
      <c r="E54" t="s">
        <v>32</v>
      </c>
      <c r="F54">
        <v>1</v>
      </c>
      <c r="G54">
        <v>5</v>
      </c>
      <c r="H54" t="s">
        <v>53</v>
      </c>
      <c r="I54">
        <v>68</v>
      </c>
      <c r="J54">
        <v>2</v>
      </c>
      <c r="K54" t="s">
        <v>34</v>
      </c>
      <c r="L54">
        <v>3</v>
      </c>
      <c r="M54">
        <v>2</v>
      </c>
      <c r="N54" t="s">
        <v>35</v>
      </c>
      <c r="O54">
        <v>1</v>
      </c>
      <c r="P54" t="s">
        <v>46</v>
      </c>
      <c r="Q54">
        <v>5454</v>
      </c>
      <c r="R54">
        <v>5</v>
      </c>
      <c r="S54" t="s">
        <v>30</v>
      </c>
      <c r="T54">
        <v>21</v>
      </c>
      <c r="U54">
        <v>4</v>
      </c>
      <c r="V54">
        <v>3</v>
      </c>
      <c r="W54">
        <v>1</v>
      </c>
      <c r="X54">
        <v>9</v>
      </c>
      <c r="Y54">
        <v>2</v>
      </c>
      <c r="Z54">
        <v>2</v>
      </c>
      <c r="AA54">
        <v>4</v>
      </c>
      <c r="AB54">
        <v>3</v>
      </c>
      <c r="AC54">
        <v>1</v>
      </c>
      <c r="AD54">
        <v>3</v>
      </c>
      <c r="AE54" t="str" cm="1">
        <f t="array" ref="AE54">_xlfn.IFS(G54=1,"Before College",G54=2,"College",G54=3,"Bachelor",G54=4,"Master",G54=5,"Doctor")</f>
        <v>Doctor</v>
      </c>
      <c r="AF54" t="str" cm="1">
        <f t="array" ref="AF54">_xlfn.IFS(J54=1,"Low",J54=2,"Medium",J54=3,"High",J54=4,"Very High")</f>
        <v>Medium</v>
      </c>
      <c r="AG54" t="str" cm="1">
        <f t="array" ref="AG54">_xlfn.IFS(L54=1,"Low",L54=2,"Medium",L54=3,"High",L54=4,"Very High")</f>
        <v>High</v>
      </c>
      <c r="AH54" t="str" cm="1">
        <f t="array" ref="AH54">_xlfn.IFS(M54=1,"Junior employee",M54=2,"Mid-level",M54=3,"Senior",M54=4,"Manager",M54=5,"Executive")</f>
        <v>Mid-level</v>
      </c>
      <c r="AI54" t="str" cm="1">
        <f t="array" ref="AI54">_xlfn.IFS(O54=1,"Low",O54=2,"Medium",O54=3,"High",O54=4,"Very High")</f>
        <v>Low</v>
      </c>
      <c r="AJ54" t="str" cm="1">
        <f t="array" ref="AJ54">_xlfn.IFS(U54=1,"Low",U54=2,"Good",U54=3,"Excellent",U54=4,"Outstanding")</f>
        <v>Outstanding</v>
      </c>
      <c r="AK54" t="str" cm="1">
        <f t="array" ref="AK54">_xlfn.IFS(V54=1,"Low",V54=2,"Medium",V54=3,"High",V54=4,"Very High")</f>
        <v>High</v>
      </c>
      <c r="AL54" t="str" cm="1">
        <f t="array" ref="AL54">_xlfn.IFS(Z54=1,"Bad",Z54=2,"Good",Z54=3,"Better",Z54=4,"Best")</f>
        <v>Good</v>
      </c>
      <c r="AM54" t="str" cm="1">
        <f t="array" ref="AM54">_xlfn.IFS(W54=0,"No_stock",W54=1,"Low",W54=2,"Medium",W54=3,"High")</f>
        <v>Low</v>
      </c>
      <c r="AN54" t="str">
        <f t="shared" si="0"/>
        <v>Near</v>
      </c>
    </row>
    <row r="55" spans="1:40" x14ac:dyDescent="0.45">
      <c r="A55">
        <v>35</v>
      </c>
      <c r="B55" t="s">
        <v>37</v>
      </c>
      <c r="C55" t="s">
        <v>49</v>
      </c>
      <c r="D55">
        <v>1097</v>
      </c>
      <c r="E55" t="s">
        <v>39</v>
      </c>
      <c r="F55">
        <v>11</v>
      </c>
      <c r="G55">
        <v>2</v>
      </c>
      <c r="H55" t="s">
        <v>45</v>
      </c>
      <c r="I55">
        <v>70</v>
      </c>
      <c r="J55">
        <v>3</v>
      </c>
      <c r="K55" t="s">
        <v>40</v>
      </c>
      <c r="L55">
        <v>2</v>
      </c>
      <c r="M55">
        <v>3</v>
      </c>
      <c r="N55" t="s">
        <v>48</v>
      </c>
      <c r="O55">
        <v>1</v>
      </c>
      <c r="P55" t="s">
        <v>42</v>
      </c>
      <c r="Q55">
        <v>9884</v>
      </c>
      <c r="R55">
        <v>2</v>
      </c>
      <c r="S55" t="s">
        <v>30</v>
      </c>
      <c r="T55">
        <v>13</v>
      </c>
      <c r="U55">
        <v>3</v>
      </c>
      <c r="V55">
        <v>3</v>
      </c>
      <c r="W55">
        <v>1</v>
      </c>
      <c r="X55">
        <v>10</v>
      </c>
      <c r="Y55">
        <v>3</v>
      </c>
      <c r="Z55">
        <v>3</v>
      </c>
      <c r="AA55">
        <v>4</v>
      </c>
      <c r="AB55">
        <v>0</v>
      </c>
      <c r="AC55">
        <v>2</v>
      </c>
      <c r="AD55">
        <v>3</v>
      </c>
      <c r="AE55" t="str" cm="1">
        <f t="array" ref="AE55">_xlfn.IFS(G55=1,"Before College",G55=2,"College",G55=3,"Bachelor",G55=4,"Master",G55=5,"Doctor")</f>
        <v>College</v>
      </c>
      <c r="AF55" t="str" cm="1">
        <f t="array" ref="AF55">_xlfn.IFS(J55=1,"Low",J55=2,"Medium",J55=3,"High",J55=4,"Very High")</f>
        <v>High</v>
      </c>
      <c r="AG55" t="str" cm="1">
        <f t="array" ref="AG55">_xlfn.IFS(L55=1,"Low",L55=2,"Medium",L55=3,"High",L55=4,"Very High")</f>
        <v>Medium</v>
      </c>
      <c r="AH55" t="str" cm="1">
        <f t="array" ref="AH55">_xlfn.IFS(M55=1,"Junior employee",M55=2,"Mid-level",M55=3,"Senior",M55=4,"Manager",M55=5,"Executive")</f>
        <v>Senior</v>
      </c>
      <c r="AI55" t="str" cm="1">
        <f t="array" ref="AI55">_xlfn.IFS(O55=1,"Low",O55=2,"Medium",O55=3,"High",O55=4,"Very High")</f>
        <v>Low</v>
      </c>
      <c r="AJ55" t="str" cm="1">
        <f t="array" ref="AJ55">_xlfn.IFS(U55=1,"Low",U55=2,"Good",U55=3,"Excellent",U55=4,"Outstanding")</f>
        <v>Excellent</v>
      </c>
      <c r="AK55" t="str" cm="1">
        <f t="array" ref="AK55">_xlfn.IFS(V55=1,"Low",V55=2,"Medium",V55=3,"High",V55=4,"Very High")</f>
        <v>High</v>
      </c>
      <c r="AL55" t="str" cm="1">
        <f t="array" ref="AL55">_xlfn.IFS(Z55=1,"Bad",Z55=2,"Good",Z55=3,"Better",Z55=4,"Best")</f>
        <v>Better</v>
      </c>
      <c r="AM55" t="str" cm="1">
        <f t="array" ref="AM55">_xlfn.IFS(W55=0,"No_stock",W55=1,"Low",W55=2,"Medium",W55=3,"High")</f>
        <v>Low</v>
      </c>
      <c r="AN55" t="str">
        <f t="shared" si="0"/>
        <v>Medium</v>
      </c>
    </row>
    <row r="56" spans="1:40" x14ac:dyDescent="0.45">
      <c r="A56">
        <v>26</v>
      </c>
      <c r="B56" t="s">
        <v>37</v>
      </c>
      <c r="C56" t="s">
        <v>31</v>
      </c>
      <c r="D56">
        <v>1443</v>
      </c>
      <c r="E56" t="s">
        <v>32</v>
      </c>
      <c r="F56">
        <v>23</v>
      </c>
      <c r="G56">
        <v>3</v>
      </c>
      <c r="H56" t="s">
        <v>53</v>
      </c>
      <c r="I56">
        <v>72</v>
      </c>
      <c r="J56">
        <v>3</v>
      </c>
      <c r="K56" t="s">
        <v>34</v>
      </c>
      <c r="L56">
        <v>2</v>
      </c>
      <c r="M56">
        <v>2</v>
      </c>
      <c r="N56" t="s">
        <v>35</v>
      </c>
      <c r="O56">
        <v>4</v>
      </c>
      <c r="P56" t="s">
        <v>42</v>
      </c>
      <c r="Q56">
        <v>4157</v>
      </c>
      <c r="R56">
        <v>7</v>
      </c>
      <c r="S56" t="s">
        <v>30</v>
      </c>
      <c r="T56">
        <v>19</v>
      </c>
      <c r="U56">
        <v>3</v>
      </c>
      <c r="V56">
        <v>3</v>
      </c>
      <c r="W56">
        <v>1</v>
      </c>
      <c r="X56">
        <v>5</v>
      </c>
      <c r="Y56">
        <v>2</v>
      </c>
      <c r="Z56">
        <v>2</v>
      </c>
      <c r="AA56">
        <v>2</v>
      </c>
      <c r="AB56">
        <v>2</v>
      </c>
      <c r="AC56">
        <v>0</v>
      </c>
      <c r="AD56">
        <v>0</v>
      </c>
      <c r="AE56" t="str" cm="1">
        <f t="array" ref="AE56">_xlfn.IFS(G56=1,"Before College",G56=2,"College",G56=3,"Bachelor",G56=4,"Master",G56=5,"Doctor")</f>
        <v>Bachelor</v>
      </c>
      <c r="AF56" t="str" cm="1">
        <f t="array" ref="AF56">_xlfn.IFS(J56=1,"Low",J56=2,"Medium",J56=3,"High",J56=4,"Very High")</f>
        <v>High</v>
      </c>
      <c r="AG56" t="str" cm="1">
        <f t="array" ref="AG56">_xlfn.IFS(L56=1,"Low",L56=2,"Medium",L56=3,"High",L56=4,"Very High")</f>
        <v>Medium</v>
      </c>
      <c r="AH56" t="str" cm="1">
        <f t="array" ref="AH56">_xlfn.IFS(M56=1,"Junior employee",M56=2,"Mid-level",M56=3,"Senior",M56=4,"Manager",M56=5,"Executive")</f>
        <v>Mid-level</v>
      </c>
      <c r="AI56" t="str" cm="1">
        <f t="array" ref="AI56">_xlfn.IFS(O56=1,"Low",O56=2,"Medium",O56=3,"High",O56=4,"Very High")</f>
        <v>Very High</v>
      </c>
      <c r="AJ56" t="str" cm="1">
        <f t="array" ref="AJ56">_xlfn.IFS(U56=1,"Low",U56=2,"Good",U56=3,"Excellent",U56=4,"Outstanding")</f>
        <v>Excellent</v>
      </c>
      <c r="AK56" t="str" cm="1">
        <f t="array" ref="AK56">_xlfn.IFS(V56=1,"Low",V56=2,"Medium",V56=3,"High",V56=4,"Very High")</f>
        <v>High</v>
      </c>
      <c r="AL56" t="str" cm="1">
        <f t="array" ref="AL56">_xlfn.IFS(Z56=1,"Bad",Z56=2,"Good",Z56=3,"Better",Z56=4,"Best")</f>
        <v>Good</v>
      </c>
      <c r="AM56" t="str" cm="1">
        <f t="array" ref="AM56">_xlfn.IFS(W56=0,"No_stock",W56=1,"Low",W56=2,"Medium",W56=3,"High")</f>
        <v>Low</v>
      </c>
      <c r="AN56" t="str">
        <f t="shared" si="0"/>
        <v>Far</v>
      </c>
    </row>
    <row r="57" spans="1:40" x14ac:dyDescent="0.45">
      <c r="A57">
        <v>33</v>
      </c>
      <c r="B57" t="s">
        <v>37</v>
      </c>
      <c r="C57" t="s">
        <v>38</v>
      </c>
      <c r="D57">
        <v>515</v>
      </c>
      <c r="E57" t="s">
        <v>39</v>
      </c>
      <c r="F57">
        <v>1</v>
      </c>
      <c r="G57">
        <v>2</v>
      </c>
      <c r="H57" t="s">
        <v>33</v>
      </c>
      <c r="I57">
        <v>73</v>
      </c>
      <c r="J57">
        <v>1</v>
      </c>
      <c r="K57" t="s">
        <v>34</v>
      </c>
      <c r="L57">
        <v>3</v>
      </c>
      <c r="M57">
        <v>3</v>
      </c>
      <c r="N57" t="s">
        <v>52</v>
      </c>
      <c r="O57">
        <v>4</v>
      </c>
      <c r="P57" t="s">
        <v>36</v>
      </c>
      <c r="Q57">
        <v>13458</v>
      </c>
      <c r="R57">
        <v>1</v>
      </c>
      <c r="S57" t="s">
        <v>30</v>
      </c>
      <c r="T57">
        <v>12</v>
      </c>
      <c r="U57">
        <v>3</v>
      </c>
      <c r="V57">
        <v>3</v>
      </c>
      <c r="W57">
        <v>0</v>
      </c>
      <c r="X57">
        <v>15</v>
      </c>
      <c r="Y57">
        <v>1</v>
      </c>
      <c r="Z57">
        <v>3</v>
      </c>
      <c r="AA57">
        <v>15</v>
      </c>
      <c r="AB57">
        <v>14</v>
      </c>
      <c r="AC57">
        <v>8</v>
      </c>
      <c r="AD57">
        <v>12</v>
      </c>
      <c r="AE57" t="str" cm="1">
        <f t="array" ref="AE57">_xlfn.IFS(G57=1,"Before College",G57=2,"College",G57=3,"Bachelor",G57=4,"Master",G57=5,"Doctor")</f>
        <v>College</v>
      </c>
      <c r="AF57" t="str" cm="1">
        <f t="array" ref="AF57">_xlfn.IFS(J57=1,"Low",J57=2,"Medium",J57=3,"High",J57=4,"Very High")</f>
        <v>Low</v>
      </c>
      <c r="AG57" t="str" cm="1">
        <f t="array" ref="AG57">_xlfn.IFS(L57=1,"Low",L57=2,"Medium",L57=3,"High",L57=4,"Very High")</f>
        <v>High</v>
      </c>
      <c r="AH57" t="str" cm="1">
        <f t="array" ref="AH57">_xlfn.IFS(M57=1,"Junior employee",M57=2,"Mid-level",M57=3,"Senior",M57=4,"Manager",M57=5,"Executive")</f>
        <v>Senior</v>
      </c>
      <c r="AI57" t="str" cm="1">
        <f t="array" ref="AI57">_xlfn.IFS(O57=1,"Low",O57=2,"Medium",O57=3,"High",O57=4,"Very High")</f>
        <v>Very High</v>
      </c>
      <c r="AJ57" t="str" cm="1">
        <f t="array" ref="AJ57">_xlfn.IFS(U57=1,"Low",U57=2,"Good",U57=3,"Excellent",U57=4,"Outstanding")</f>
        <v>Excellent</v>
      </c>
      <c r="AK57" t="str" cm="1">
        <f t="array" ref="AK57">_xlfn.IFS(V57=1,"Low",V57=2,"Medium",V57=3,"High",V57=4,"Very High")</f>
        <v>High</v>
      </c>
      <c r="AL57" t="str" cm="1">
        <f t="array" ref="AL57">_xlfn.IFS(Z57=1,"Bad",Z57=2,"Good",Z57=3,"Better",Z57=4,"Best")</f>
        <v>Better</v>
      </c>
      <c r="AM57" t="str" cm="1">
        <f t="array" ref="AM57">_xlfn.IFS(W57=0,"No_stock",W57=1,"Low",W57=2,"Medium",W57=3,"High")</f>
        <v>No_stock</v>
      </c>
      <c r="AN57" t="str">
        <f t="shared" si="0"/>
        <v>Near</v>
      </c>
    </row>
    <row r="58" spans="1:40" x14ac:dyDescent="0.45">
      <c r="A58">
        <v>35</v>
      </c>
      <c r="B58" t="s">
        <v>37</v>
      </c>
      <c r="C58" t="s">
        <v>38</v>
      </c>
      <c r="D58">
        <v>853</v>
      </c>
      <c r="E58" t="s">
        <v>32</v>
      </c>
      <c r="F58">
        <v>18</v>
      </c>
      <c r="G58">
        <v>5</v>
      </c>
      <c r="H58" t="s">
        <v>33</v>
      </c>
      <c r="I58">
        <v>74</v>
      </c>
      <c r="J58">
        <v>2</v>
      </c>
      <c r="K58" t="s">
        <v>40</v>
      </c>
      <c r="L58">
        <v>3</v>
      </c>
      <c r="M58">
        <v>3</v>
      </c>
      <c r="N58" t="s">
        <v>35</v>
      </c>
      <c r="O58">
        <v>1</v>
      </c>
      <c r="P58" t="s">
        <v>42</v>
      </c>
      <c r="Q58">
        <v>9069</v>
      </c>
      <c r="R58">
        <v>1</v>
      </c>
      <c r="S58" t="s">
        <v>37</v>
      </c>
      <c r="T58">
        <v>22</v>
      </c>
      <c r="U58">
        <v>4</v>
      </c>
      <c r="V58">
        <v>4</v>
      </c>
      <c r="W58">
        <v>1</v>
      </c>
      <c r="X58">
        <v>9</v>
      </c>
      <c r="Y58">
        <v>3</v>
      </c>
      <c r="Z58">
        <v>2</v>
      </c>
      <c r="AA58">
        <v>9</v>
      </c>
      <c r="AB58">
        <v>8</v>
      </c>
      <c r="AC58">
        <v>1</v>
      </c>
      <c r="AD58">
        <v>8</v>
      </c>
      <c r="AE58" t="str" cm="1">
        <f t="array" ref="AE58">_xlfn.IFS(G58=1,"Before College",G58=2,"College",G58=3,"Bachelor",G58=4,"Master",G58=5,"Doctor")</f>
        <v>Doctor</v>
      </c>
      <c r="AF58" t="str" cm="1">
        <f t="array" ref="AF58">_xlfn.IFS(J58=1,"Low",J58=2,"Medium",J58=3,"High",J58=4,"Very High")</f>
        <v>Medium</v>
      </c>
      <c r="AG58" t="str" cm="1">
        <f t="array" ref="AG58">_xlfn.IFS(L58=1,"Low",L58=2,"Medium",L58=3,"High",L58=4,"Very High")</f>
        <v>High</v>
      </c>
      <c r="AH58" t="str" cm="1">
        <f t="array" ref="AH58">_xlfn.IFS(M58=1,"Junior employee",M58=2,"Mid-level",M58=3,"Senior",M58=4,"Manager",M58=5,"Executive")</f>
        <v>Senior</v>
      </c>
      <c r="AI58" t="str" cm="1">
        <f t="array" ref="AI58">_xlfn.IFS(O58=1,"Low",O58=2,"Medium",O58=3,"High",O58=4,"Very High")</f>
        <v>Low</v>
      </c>
      <c r="AJ58" t="str" cm="1">
        <f t="array" ref="AJ58">_xlfn.IFS(U58=1,"Low",U58=2,"Good",U58=3,"Excellent",U58=4,"Outstanding")</f>
        <v>Outstanding</v>
      </c>
      <c r="AK58" t="str" cm="1">
        <f t="array" ref="AK58">_xlfn.IFS(V58=1,"Low",V58=2,"Medium",V58=3,"High",V58=4,"Very High")</f>
        <v>Very High</v>
      </c>
      <c r="AL58" t="str" cm="1">
        <f t="array" ref="AL58">_xlfn.IFS(Z58=1,"Bad",Z58=2,"Good",Z58=3,"Better",Z58=4,"Best")</f>
        <v>Good</v>
      </c>
      <c r="AM58" t="str" cm="1">
        <f t="array" ref="AM58">_xlfn.IFS(W58=0,"No_stock",W58=1,"Low",W58=2,"Medium",W58=3,"High")</f>
        <v>Low</v>
      </c>
      <c r="AN58" t="str">
        <f t="shared" si="0"/>
        <v>Far</v>
      </c>
    </row>
    <row r="59" spans="1:40" x14ac:dyDescent="0.45">
      <c r="A59">
        <v>35</v>
      </c>
      <c r="B59" t="s">
        <v>37</v>
      </c>
      <c r="C59" t="s">
        <v>31</v>
      </c>
      <c r="D59">
        <v>1142</v>
      </c>
      <c r="E59" t="s">
        <v>39</v>
      </c>
      <c r="F59">
        <v>23</v>
      </c>
      <c r="G59">
        <v>4</v>
      </c>
      <c r="H59" t="s">
        <v>45</v>
      </c>
      <c r="I59">
        <v>75</v>
      </c>
      <c r="J59">
        <v>3</v>
      </c>
      <c r="K59" t="s">
        <v>34</v>
      </c>
      <c r="L59">
        <v>3</v>
      </c>
      <c r="M59">
        <v>1</v>
      </c>
      <c r="N59" t="s">
        <v>44</v>
      </c>
      <c r="O59">
        <v>1</v>
      </c>
      <c r="P59" t="s">
        <v>42</v>
      </c>
      <c r="Q59">
        <v>4014</v>
      </c>
      <c r="R59">
        <v>3</v>
      </c>
      <c r="S59" t="s">
        <v>30</v>
      </c>
      <c r="T59">
        <v>15</v>
      </c>
      <c r="U59">
        <v>3</v>
      </c>
      <c r="V59">
        <v>3</v>
      </c>
      <c r="W59">
        <v>1</v>
      </c>
      <c r="X59">
        <v>4</v>
      </c>
      <c r="Y59">
        <v>3</v>
      </c>
      <c r="Z59">
        <v>3</v>
      </c>
      <c r="AA59">
        <v>2</v>
      </c>
      <c r="AB59">
        <v>2</v>
      </c>
      <c r="AC59">
        <v>2</v>
      </c>
      <c r="AD59">
        <v>2</v>
      </c>
      <c r="AE59" t="str" cm="1">
        <f t="array" ref="AE59">_xlfn.IFS(G59=1,"Before College",G59=2,"College",G59=3,"Bachelor",G59=4,"Master",G59=5,"Doctor")</f>
        <v>Master</v>
      </c>
      <c r="AF59" t="str" cm="1">
        <f t="array" ref="AF59">_xlfn.IFS(J59=1,"Low",J59=2,"Medium",J59=3,"High",J59=4,"Very High")</f>
        <v>High</v>
      </c>
      <c r="AG59" t="str" cm="1">
        <f t="array" ref="AG59">_xlfn.IFS(L59=1,"Low",L59=2,"Medium",L59=3,"High",L59=4,"Very High")</f>
        <v>High</v>
      </c>
      <c r="AH59" t="str" cm="1">
        <f t="array" ref="AH59">_xlfn.IFS(M59=1,"Junior employee",M59=2,"Mid-level",M59=3,"Senior",M59=4,"Manager",M59=5,"Executive")</f>
        <v>Junior employee</v>
      </c>
      <c r="AI59" t="str" cm="1">
        <f t="array" ref="AI59">_xlfn.IFS(O59=1,"Low",O59=2,"Medium",O59=3,"High",O59=4,"Very High")</f>
        <v>Low</v>
      </c>
      <c r="AJ59" t="str" cm="1">
        <f t="array" ref="AJ59">_xlfn.IFS(U59=1,"Low",U59=2,"Good",U59=3,"Excellent",U59=4,"Outstanding")</f>
        <v>Excellent</v>
      </c>
      <c r="AK59" t="str" cm="1">
        <f t="array" ref="AK59">_xlfn.IFS(V59=1,"Low",V59=2,"Medium",V59=3,"High",V59=4,"Very High")</f>
        <v>High</v>
      </c>
      <c r="AL59" t="str" cm="1">
        <f t="array" ref="AL59">_xlfn.IFS(Z59=1,"Bad",Z59=2,"Good",Z59=3,"Better",Z59=4,"Best")</f>
        <v>Better</v>
      </c>
      <c r="AM59" t="str" cm="1">
        <f t="array" ref="AM59">_xlfn.IFS(W59=0,"No_stock",W59=1,"Low",W59=2,"Medium",W59=3,"High")</f>
        <v>Low</v>
      </c>
      <c r="AN59" t="str">
        <f t="shared" si="0"/>
        <v>Far</v>
      </c>
    </row>
    <row r="60" spans="1:40" x14ac:dyDescent="0.45">
      <c r="A60">
        <v>31</v>
      </c>
      <c r="B60" t="s">
        <v>37</v>
      </c>
      <c r="C60" t="s">
        <v>31</v>
      </c>
      <c r="D60">
        <v>655</v>
      </c>
      <c r="E60" t="s">
        <v>39</v>
      </c>
      <c r="F60">
        <v>7</v>
      </c>
      <c r="G60">
        <v>4</v>
      </c>
      <c r="H60" t="s">
        <v>33</v>
      </c>
      <c r="I60">
        <v>76</v>
      </c>
      <c r="J60">
        <v>4</v>
      </c>
      <c r="K60" t="s">
        <v>40</v>
      </c>
      <c r="L60">
        <v>3</v>
      </c>
      <c r="M60">
        <v>2</v>
      </c>
      <c r="N60" t="s">
        <v>44</v>
      </c>
      <c r="O60">
        <v>4</v>
      </c>
      <c r="P60" t="s">
        <v>46</v>
      </c>
      <c r="Q60">
        <v>5915</v>
      </c>
      <c r="R60">
        <v>3</v>
      </c>
      <c r="S60" t="s">
        <v>37</v>
      </c>
      <c r="T60">
        <v>22</v>
      </c>
      <c r="U60">
        <v>4</v>
      </c>
      <c r="V60">
        <v>4</v>
      </c>
      <c r="W60">
        <v>1</v>
      </c>
      <c r="X60">
        <v>10</v>
      </c>
      <c r="Y60">
        <v>3</v>
      </c>
      <c r="Z60">
        <v>2</v>
      </c>
      <c r="AA60">
        <v>7</v>
      </c>
      <c r="AB60">
        <v>7</v>
      </c>
      <c r="AC60">
        <v>1</v>
      </c>
      <c r="AD60">
        <v>7</v>
      </c>
      <c r="AE60" t="str" cm="1">
        <f t="array" ref="AE60">_xlfn.IFS(G60=1,"Before College",G60=2,"College",G60=3,"Bachelor",G60=4,"Master",G60=5,"Doctor")</f>
        <v>Master</v>
      </c>
      <c r="AF60" t="str" cm="1">
        <f t="array" ref="AF60">_xlfn.IFS(J60=1,"Low",J60=2,"Medium",J60=3,"High",J60=4,"Very High")</f>
        <v>Very High</v>
      </c>
      <c r="AG60" t="str" cm="1">
        <f t="array" ref="AG60">_xlfn.IFS(L60=1,"Low",L60=2,"Medium",L60=3,"High",L60=4,"Very High")</f>
        <v>High</v>
      </c>
      <c r="AH60" t="str" cm="1">
        <f t="array" ref="AH60">_xlfn.IFS(M60=1,"Junior employee",M60=2,"Mid-level",M60=3,"Senior",M60=4,"Manager",M60=5,"Executive")</f>
        <v>Mid-level</v>
      </c>
      <c r="AI60" t="str" cm="1">
        <f t="array" ref="AI60">_xlfn.IFS(O60=1,"Low",O60=2,"Medium",O60=3,"High",O60=4,"Very High")</f>
        <v>Very High</v>
      </c>
      <c r="AJ60" t="str" cm="1">
        <f t="array" ref="AJ60">_xlfn.IFS(U60=1,"Low",U60=2,"Good",U60=3,"Excellent",U60=4,"Outstanding")</f>
        <v>Outstanding</v>
      </c>
      <c r="AK60" t="str" cm="1">
        <f t="array" ref="AK60">_xlfn.IFS(V60=1,"Low",V60=2,"Medium",V60=3,"High",V60=4,"Very High")</f>
        <v>Very High</v>
      </c>
      <c r="AL60" t="str" cm="1">
        <f t="array" ref="AL60">_xlfn.IFS(Z60=1,"Bad",Z60=2,"Good",Z60=3,"Better",Z60=4,"Best")</f>
        <v>Good</v>
      </c>
      <c r="AM60" t="str" cm="1">
        <f t="array" ref="AM60">_xlfn.IFS(W60=0,"No_stock",W60=1,"Low",W60=2,"Medium",W60=3,"High")</f>
        <v>Low</v>
      </c>
      <c r="AN60" t="str">
        <f t="shared" si="0"/>
        <v>Medium</v>
      </c>
    </row>
    <row r="61" spans="1:40" x14ac:dyDescent="0.45">
      <c r="A61">
        <v>37</v>
      </c>
      <c r="B61" t="s">
        <v>37</v>
      </c>
      <c r="C61" t="s">
        <v>31</v>
      </c>
      <c r="D61">
        <v>1115</v>
      </c>
      <c r="E61" t="s">
        <v>39</v>
      </c>
      <c r="F61">
        <v>1</v>
      </c>
      <c r="G61">
        <v>4</v>
      </c>
      <c r="H61" t="s">
        <v>33</v>
      </c>
      <c r="I61">
        <v>77</v>
      </c>
      <c r="J61">
        <v>1</v>
      </c>
      <c r="K61" t="s">
        <v>40</v>
      </c>
      <c r="L61">
        <v>2</v>
      </c>
      <c r="M61">
        <v>2</v>
      </c>
      <c r="N61" t="s">
        <v>47</v>
      </c>
      <c r="O61">
        <v>3</v>
      </c>
      <c r="P61" t="s">
        <v>46</v>
      </c>
      <c r="Q61">
        <v>5993</v>
      </c>
      <c r="R61">
        <v>1</v>
      </c>
      <c r="S61" t="s">
        <v>37</v>
      </c>
      <c r="T61">
        <v>18</v>
      </c>
      <c r="U61">
        <v>3</v>
      </c>
      <c r="V61">
        <v>3</v>
      </c>
      <c r="W61">
        <v>1</v>
      </c>
      <c r="X61">
        <v>7</v>
      </c>
      <c r="Y61">
        <v>2</v>
      </c>
      <c r="Z61">
        <v>4</v>
      </c>
      <c r="AA61">
        <v>7</v>
      </c>
      <c r="AB61">
        <v>5</v>
      </c>
      <c r="AC61">
        <v>0</v>
      </c>
      <c r="AD61">
        <v>7</v>
      </c>
      <c r="AE61" t="str" cm="1">
        <f t="array" ref="AE61">_xlfn.IFS(G61=1,"Before College",G61=2,"College",G61=3,"Bachelor",G61=4,"Master",G61=5,"Doctor")</f>
        <v>Master</v>
      </c>
      <c r="AF61" t="str" cm="1">
        <f t="array" ref="AF61">_xlfn.IFS(J61=1,"Low",J61=2,"Medium",J61=3,"High",J61=4,"Very High")</f>
        <v>Low</v>
      </c>
      <c r="AG61" t="str" cm="1">
        <f t="array" ref="AG61">_xlfn.IFS(L61=1,"Low",L61=2,"Medium",L61=3,"High",L61=4,"Very High")</f>
        <v>Medium</v>
      </c>
      <c r="AH61" t="str" cm="1">
        <f t="array" ref="AH61">_xlfn.IFS(M61=1,"Junior employee",M61=2,"Mid-level",M61=3,"Senior",M61=4,"Manager",M61=5,"Executive")</f>
        <v>Mid-level</v>
      </c>
      <c r="AI61" t="str" cm="1">
        <f t="array" ref="AI61">_xlfn.IFS(O61=1,"Low",O61=2,"Medium",O61=3,"High",O61=4,"Very High")</f>
        <v>High</v>
      </c>
      <c r="AJ61" t="str" cm="1">
        <f t="array" ref="AJ61">_xlfn.IFS(U61=1,"Low",U61=2,"Good",U61=3,"Excellent",U61=4,"Outstanding")</f>
        <v>Excellent</v>
      </c>
      <c r="AK61" t="str" cm="1">
        <f t="array" ref="AK61">_xlfn.IFS(V61=1,"Low",V61=2,"Medium",V61=3,"High",V61=4,"Very High")</f>
        <v>High</v>
      </c>
      <c r="AL61" t="str" cm="1">
        <f t="array" ref="AL61">_xlfn.IFS(Z61=1,"Bad",Z61=2,"Good",Z61=3,"Better",Z61=4,"Best")</f>
        <v>Best</v>
      </c>
      <c r="AM61" t="str" cm="1">
        <f t="array" ref="AM61">_xlfn.IFS(W61=0,"No_stock",W61=1,"Low",W61=2,"Medium",W61=3,"High")</f>
        <v>Low</v>
      </c>
      <c r="AN61" t="str">
        <f t="shared" si="0"/>
        <v>Near</v>
      </c>
    </row>
    <row r="62" spans="1:40" x14ac:dyDescent="0.45">
      <c r="A62">
        <v>32</v>
      </c>
      <c r="B62" t="s">
        <v>37</v>
      </c>
      <c r="C62" t="s">
        <v>31</v>
      </c>
      <c r="D62">
        <v>427</v>
      </c>
      <c r="E62" t="s">
        <v>39</v>
      </c>
      <c r="F62">
        <v>1</v>
      </c>
      <c r="G62">
        <v>3</v>
      </c>
      <c r="H62" t="s">
        <v>45</v>
      </c>
      <c r="I62">
        <v>78</v>
      </c>
      <c r="J62">
        <v>1</v>
      </c>
      <c r="K62" t="s">
        <v>40</v>
      </c>
      <c r="L62">
        <v>3</v>
      </c>
      <c r="M62">
        <v>2</v>
      </c>
      <c r="N62" t="s">
        <v>47</v>
      </c>
      <c r="O62">
        <v>4</v>
      </c>
      <c r="P62" t="s">
        <v>42</v>
      </c>
      <c r="Q62">
        <v>6162</v>
      </c>
      <c r="R62">
        <v>1</v>
      </c>
      <c r="S62" t="s">
        <v>30</v>
      </c>
      <c r="T62">
        <v>22</v>
      </c>
      <c r="U62">
        <v>4</v>
      </c>
      <c r="V62">
        <v>2</v>
      </c>
      <c r="W62">
        <v>1</v>
      </c>
      <c r="X62">
        <v>9</v>
      </c>
      <c r="Y62">
        <v>3</v>
      </c>
      <c r="Z62">
        <v>3</v>
      </c>
      <c r="AA62">
        <v>9</v>
      </c>
      <c r="AB62">
        <v>8</v>
      </c>
      <c r="AC62">
        <v>7</v>
      </c>
      <c r="AD62">
        <v>8</v>
      </c>
      <c r="AE62" t="str" cm="1">
        <f t="array" ref="AE62">_xlfn.IFS(G62=1,"Before College",G62=2,"College",G62=3,"Bachelor",G62=4,"Master",G62=5,"Doctor")</f>
        <v>Bachelor</v>
      </c>
      <c r="AF62" t="str" cm="1">
        <f t="array" ref="AF62">_xlfn.IFS(J62=1,"Low",J62=2,"Medium",J62=3,"High",J62=4,"Very High")</f>
        <v>Low</v>
      </c>
      <c r="AG62" t="str" cm="1">
        <f t="array" ref="AG62">_xlfn.IFS(L62=1,"Low",L62=2,"Medium",L62=3,"High",L62=4,"Very High")</f>
        <v>High</v>
      </c>
      <c r="AH62" t="str" cm="1">
        <f t="array" ref="AH62">_xlfn.IFS(M62=1,"Junior employee",M62=2,"Mid-level",M62=3,"Senior",M62=4,"Manager",M62=5,"Executive")</f>
        <v>Mid-level</v>
      </c>
      <c r="AI62" t="str" cm="1">
        <f t="array" ref="AI62">_xlfn.IFS(O62=1,"Low",O62=2,"Medium",O62=3,"High",O62=4,"Very High")</f>
        <v>Very High</v>
      </c>
      <c r="AJ62" t="str" cm="1">
        <f t="array" ref="AJ62">_xlfn.IFS(U62=1,"Low",U62=2,"Good",U62=3,"Excellent",U62=4,"Outstanding")</f>
        <v>Outstanding</v>
      </c>
      <c r="AK62" t="str" cm="1">
        <f t="array" ref="AK62">_xlfn.IFS(V62=1,"Low",V62=2,"Medium",V62=3,"High",V62=4,"Very High")</f>
        <v>Medium</v>
      </c>
      <c r="AL62" t="str" cm="1">
        <f t="array" ref="AL62">_xlfn.IFS(Z62=1,"Bad",Z62=2,"Good",Z62=3,"Better",Z62=4,"Best")</f>
        <v>Better</v>
      </c>
      <c r="AM62" t="str" cm="1">
        <f t="array" ref="AM62">_xlfn.IFS(W62=0,"No_stock",W62=1,"Low",W62=2,"Medium",W62=3,"High")</f>
        <v>Low</v>
      </c>
      <c r="AN62" t="str">
        <f t="shared" si="0"/>
        <v>Near</v>
      </c>
    </row>
    <row r="63" spans="1:40" x14ac:dyDescent="0.45">
      <c r="A63">
        <v>38</v>
      </c>
      <c r="B63" t="s">
        <v>37</v>
      </c>
      <c r="C63" t="s">
        <v>38</v>
      </c>
      <c r="D63">
        <v>653</v>
      </c>
      <c r="E63" t="s">
        <v>39</v>
      </c>
      <c r="F63">
        <v>29</v>
      </c>
      <c r="G63">
        <v>5</v>
      </c>
      <c r="H63" t="s">
        <v>33</v>
      </c>
      <c r="I63">
        <v>79</v>
      </c>
      <c r="J63">
        <v>4</v>
      </c>
      <c r="K63" t="s">
        <v>34</v>
      </c>
      <c r="L63">
        <v>3</v>
      </c>
      <c r="M63">
        <v>2</v>
      </c>
      <c r="N63" t="s">
        <v>44</v>
      </c>
      <c r="O63">
        <v>4</v>
      </c>
      <c r="P63" t="s">
        <v>36</v>
      </c>
      <c r="Q63">
        <v>2406</v>
      </c>
      <c r="R63">
        <v>1</v>
      </c>
      <c r="S63" t="s">
        <v>37</v>
      </c>
      <c r="T63">
        <v>11</v>
      </c>
      <c r="U63">
        <v>3</v>
      </c>
      <c r="V63">
        <v>4</v>
      </c>
      <c r="W63">
        <v>0</v>
      </c>
      <c r="X63">
        <v>10</v>
      </c>
      <c r="Y63">
        <v>2</v>
      </c>
      <c r="Z63">
        <v>3</v>
      </c>
      <c r="AA63">
        <v>10</v>
      </c>
      <c r="AB63">
        <v>3</v>
      </c>
      <c r="AC63">
        <v>9</v>
      </c>
      <c r="AD63">
        <v>9</v>
      </c>
      <c r="AE63" t="str" cm="1">
        <f t="array" ref="AE63">_xlfn.IFS(G63=1,"Before College",G63=2,"College",G63=3,"Bachelor",G63=4,"Master",G63=5,"Doctor")</f>
        <v>Doctor</v>
      </c>
      <c r="AF63" t="str" cm="1">
        <f t="array" ref="AF63">_xlfn.IFS(J63=1,"Low",J63=2,"Medium",J63=3,"High",J63=4,"Very High")</f>
        <v>Very High</v>
      </c>
      <c r="AG63" t="str" cm="1">
        <f t="array" ref="AG63">_xlfn.IFS(L63=1,"Low",L63=2,"Medium",L63=3,"High",L63=4,"Very High")</f>
        <v>High</v>
      </c>
      <c r="AH63" t="str" cm="1">
        <f t="array" ref="AH63">_xlfn.IFS(M63=1,"Junior employee",M63=2,"Mid-level",M63=3,"Senior",M63=4,"Manager",M63=5,"Executive")</f>
        <v>Mid-level</v>
      </c>
      <c r="AI63" t="str" cm="1">
        <f t="array" ref="AI63">_xlfn.IFS(O63=1,"Low",O63=2,"Medium",O63=3,"High",O63=4,"Very High")</f>
        <v>Very High</v>
      </c>
      <c r="AJ63" t="str" cm="1">
        <f t="array" ref="AJ63">_xlfn.IFS(U63=1,"Low",U63=2,"Good",U63=3,"Excellent",U63=4,"Outstanding")</f>
        <v>Excellent</v>
      </c>
      <c r="AK63" t="str" cm="1">
        <f t="array" ref="AK63">_xlfn.IFS(V63=1,"Low",V63=2,"Medium",V63=3,"High",V63=4,"Very High")</f>
        <v>Very High</v>
      </c>
      <c r="AL63" t="str" cm="1">
        <f t="array" ref="AL63">_xlfn.IFS(Z63=1,"Bad",Z63=2,"Good",Z63=3,"Better",Z63=4,"Best")</f>
        <v>Better</v>
      </c>
      <c r="AM63" t="str" cm="1">
        <f t="array" ref="AM63">_xlfn.IFS(W63=0,"No_stock",W63=1,"Low",W63=2,"Medium",W63=3,"High")</f>
        <v>No_stock</v>
      </c>
      <c r="AN63" t="str">
        <f t="shared" si="0"/>
        <v>Far</v>
      </c>
    </row>
    <row r="64" spans="1:40" x14ac:dyDescent="0.45">
      <c r="A64">
        <v>50</v>
      </c>
      <c r="B64" t="s">
        <v>37</v>
      </c>
      <c r="C64" t="s">
        <v>31</v>
      </c>
      <c r="D64">
        <v>989</v>
      </c>
      <c r="E64" t="s">
        <v>39</v>
      </c>
      <c r="F64">
        <v>7</v>
      </c>
      <c r="G64">
        <v>2</v>
      </c>
      <c r="H64" t="s">
        <v>45</v>
      </c>
      <c r="I64">
        <v>80</v>
      </c>
      <c r="J64">
        <v>2</v>
      </c>
      <c r="K64" t="s">
        <v>34</v>
      </c>
      <c r="L64">
        <v>2</v>
      </c>
      <c r="M64">
        <v>5</v>
      </c>
      <c r="N64" t="s">
        <v>52</v>
      </c>
      <c r="O64">
        <v>3</v>
      </c>
      <c r="P64" t="s">
        <v>46</v>
      </c>
      <c r="Q64">
        <v>18740</v>
      </c>
      <c r="R64">
        <v>5</v>
      </c>
      <c r="S64" t="s">
        <v>30</v>
      </c>
      <c r="T64">
        <v>12</v>
      </c>
      <c r="U64">
        <v>3</v>
      </c>
      <c r="V64">
        <v>4</v>
      </c>
      <c r="W64">
        <v>1</v>
      </c>
      <c r="X64">
        <v>29</v>
      </c>
      <c r="Y64">
        <v>2</v>
      </c>
      <c r="Z64">
        <v>2</v>
      </c>
      <c r="AA64">
        <v>27</v>
      </c>
      <c r="AB64">
        <v>3</v>
      </c>
      <c r="AC64">
        <v>13</v>
      </c>
      <c r="AD64">
        <v>8</v>
      </c>
      <c r="AE64" t="str" cm="1">
        <f t="array" ref="AE64">_xlfn.IFS(G64=1,"Before College",G64=2,"College",G64=3,"Bachelor",G64=4,"Master",G64=5,"Doctor")</f>
        <v>College</v>
      </c>
      <c r="AF64" t="str" cm="1">
        <f t="array" ref="AF64">_xlfn.IFS(J64=1,"Low",J64=2,"Medium",J64=3,"High",J64=4,"Very High")</f>
        <v>Medium</v>
      </c>
      <c r="AG64" t="str" cm="1">
        <f t="array" ref="AG64">_xlfn.IFS(L64=1,"Low",L64=2,"Medium",L64=3,"High",L64=4,"Very High")</f>
        <v>Medium</v>
      </c>
      <c r="AH64" t="str" cm="1">
        <f t="array" ref="AH64">_xlfn.IFS(M64=1,"Junior employee",M64=2,"Mid-level",M64=3,"Senior",M64=4,"Manager",M64=5,"Executive")</f>
        <v>Executive</v>
      </c>
      <c r="AI64" t="str" cm="1">
        <f t="array" ref="AI64">_xlfn.IFS(O64=1,"Low",O64=2,"Medium",O64=3,"High",O64=4,"Very High")</f>
        <v>High</v>
      </c>
      <c r="AJ64" t="str" cm="1">
        <f t="array" ref="AJ64">_xlfn.IFS(U64=1,"Low",U64=2,"Good",U64=3,"Excellent",U64=4,"Outstanding")</f>
        <v>Excellent</v>
      </c>
      <c r="AK64" t="str" cm="1">
        <f t="array" ref="AK64">_xlfn.IFS(V64=1,"Low",V64=2,"Medium",V64=3,"High",V64=4,"Very High")</f>
        <v>Very High</v>
      </c>
      <c r="AL64" t="str" cm="1">
        <f t="array" ref="AL64">_xlfn.IFS(Z64=1,"Bad",Z64=2,"Good",Z64=3,"Better",Z64=4,"Best")</f>
        <v>Good</v>
      </c>
      <c r="AM64" t="str" cm="1">
        <f t="array" ref="AM64">_xlfn.IFS(W64=0,"No_stock",W64=1,"Low",W64=2,"Medium",W64=3,"High")</f>
        <v>Low</v>
      </c>
      <c r="AN64" t="str">
        <f t="shared" si="0"/>
        <v>Medium</v>
      </c>
    </row>
    <row r="65" spans="1:40" x14ac:dyDescent="0.45">
      <c r="A65">
        <v>59</v>
      </c>
      <c r="B65" t="s">
        <v>37</v>
      </c>
      <c r="C65" t="s">
        <v>31</v>
      </c>
      <c r="D65">
        <v>1435</v>
      </c>
      <c r="E65" t="s">
        <v>32</v>
      </c>
      <c r="F65">
        <v>25</v>
      </c>
      <c r="G65">
        <v>3</v>
      </c>
      <c r="H65" t="s">
        <v>33</v>
      </c>
      <c r="I65">
        <v>81</v>
      </c>
      <c r="J65">
        <v>1</v>
      </c>
      <c r="K65" t="s">
        <v>34</v>
      </c>
      <c r="L65">
        <v>3</v>
      </c>
      <c r="M65">
        <v>3</v>
      </c>
      <c r="N65" t="s">
        <v>35</v>
      </c>
      <c r="O65">
        <v>1</v>
      </c>
      <c r="P65" t="s">
        <v>36</v>
      </c>
      <c r="Q65">
        <v>7637</v>
      </c>
      <c r="R65">
        <v>7</v>
      </c>
      <c r="S65" t="s">
        <v>37</v>
      </c>
      <c r="T65">
        <v>11</v>
      </c>
      <c r="U65">
        <v>3</v>
      </c>
      <c r="V65">
        <v>4</v>
      </c>
      <c r="W65">
        <v>0</v>
      </c>
      <c r="X65">
        <v>28</v>
      </c>
      <c r="Y65">
        <v>3</v>
      </c>
      <c r="Z65">
        <v>2</v>
      </c>
      <c r="AA65">
        <v>21</v>
      </c>
      <c r="AB65">
        <v>16</v>
      </c>
      <c r="AC65">
        <v>7</v>
      </c>
      <c r="AD65">
        <v>9</v>
      </c>
      <c r="AE65" t="str" cm="1">
        <f t="array" ref="AE65">_xlfn.IFS(G65=1,"Before College",G65=2,"College",G65=3,"Bachelor",G65=4,"Master",G65=5,"Doctor")</f>
        <v>Bachelor</v>
      </c>
      <c r="AF65" t="str" cm="1">
        <f t="array" ref="AF65">_xlfn.IFS(J65=1,"Low",J65=2,"Medium",J65=3,"High",J65=4,"Very High")</f>
        <v>Low</v>
      </c>
      <c r="AG65" t="str" cm="1">
        <f t="array" ref="AG65">_xlfn.IFS(L65=1,"Low",L65=2,"Medium",L65=3,"High",L65=4,"Very High")</f>
        <v>High</v>
      </c>
      <c r="AH65" t="str" cm="1">
        <f t="array" ref="AH65">_xlfn.IFS(M65=1,"Junior employee",M65=2,"Mid-level",M65=3,"Senior",M65=4,"Manager",M65=5,"Executive")</f>
        <v>Senior</v>
      </c>
      <c r="AI65" t="str" cm="1">
        <f t="array" ref="AI65">_xlfn.IFS(O65=1,"Low",O65=2,"Medium",O65=3,"High",O65=4,"Very High")</f>
        <v>Low</v>
      </c>
      <c r="AJ65" t="str" cm="1">
        <f t="array" ref="AJ65">_xlfn.IFS(U65=1,"Low",U65=2,"Good",U65=3,"Excellent",U65=4,"Outstanding")</f>
        <v>Excellent</v>
      </c>
      <c r="AK65" t="str" cm="1">
        <f t="array" ref="AK65">_xlfn.IFS(V65=1,"Low",V65=2,"Medium",V65=3,"High",V65=4,"Very High")</f>
        <v>Very High</v>
      </c>
      <c r="AL65" t="str" cm="1">
        <f t="array" ref="AL65">_xlfn.IFS(Z65=1,"Bad",Z65=2,"Good",Z65=3,"Better",Z65=4,"Best")</f>
        <v>Good</v>
      </c>
      <c r="AM65" t="str" cm="1">
        <f t="array" ref="AM65">_xlfn.IFS(W65=0,"No_stock",W65=1,"Low",W65=2,"Medium",W65=3,"High")</f>
        <v>No_stock</v>
      </c>
      <c r="AN65" t="str">
        <f t="shared" si="0"/>
        <v>Far</v>
      </c>
    </row>
    <row r="66" spans="1:40" x14ac:dyDescent="0.45">
      <c r="A66">
        <v>36</v>
      </c>
      <c r="B66" t="s">
        <v>37</v>
      </c>
      <c r="C66" t="s">
        <v>31</v>
      </c>
      <c r="D66">
        <v>1223</v>
      </c>
      <c r="E66" t="s">
        <v>39</v>
      </c>
      <c r="F66">
        <v>8</v>
      </c>
      <c r="G66">
        <v>3</v>
      </c>
      <c r="H66" t="s">
        <v>54</v>
      </c>
      <c r="I66">
        <v>83</v>
      </c>
      <c r="J66">
        <v>3</v>
      </c>
      <c r="K66" t="s">
        <v>34</v>
      </c>
      <c r="L66">
        <v>3</v>
      </c>
      <c r="M66">
        <v>3</v>
      </c>
      <c r="N66" t="s">
        <v>48</v>
      </c>
      <c r="O66">
        <v>3</v>
      </c>
      <c r="P66" t="s">
        <v>46</v>
      </c>
      <c r="Q66">
        <v>10096</v>
      </c>
      <c r="R66">
        <v>1</v>
      </c>
      <c r="S66" t="s">
        <v>37</v>
      </c>
      <c r="T66">
        <v>13</v>
      </c>
      <c r="U66">
        <v>3</v>
      </c>
      <c r="V66">
        <v>2</v>
      </c>
      <c r="W66">
        <v>3</v>
      </c>
      <c r="X66">
        <v>17</v>
      </c>
      <c r="Y66">
        <v>2</v>
      </c>
      <c r="Z66">
        <v>3</v>
      </c>
      <c r="AA66">
        <v>17</v>
      </c>
      <c r="AB66">
        <v>14</v>
      </c>
      <c r="AC66">
        <v>12</v>
      </c>
      <c r="AD66">
        <v>8</v>
      </c>
      <c r="AE66" t="str" cm="1">
        <f t="array" ref="AE66">_xlfn.IFS(G66=1,"Before College",G66=2,"College",G66=3,"Bachelor",G66=4,"Master",G66=5,"Doctor")</f>
        <v>Bachelor</v>
      </c>
      <c r="AF66" t="str" cm="1">
        <f t="array" ref="AF66">_xlfn.IFS(J66=1,"Low",J66=2,"Medium",J66=3,"High",J66=4,"Very High")</f>
        <v>High</v>
      </c>
      <c r="AG66" t="str" cm="1">
        <f t="array" ref="AG66">_xlfn.IFS(L66=1,"Low",L66=2,"Medium",L66=3,"High",L66=4,"Very High")</f>
        <v>High</v>
      </c>
      <c r="AH66" t="str" cm="1">
        <f t="array" ref="AH66">_xlfn.IFS(M66=1,"Junior employee",M66=2,"Mid-level",M66=3,"Senior",M66=4,"Manager",M66=5,"Executive")</f>
        <v>Senior</v>
      </c>
      <c r="AI66" t="str" cm="1">
        <f t="array" ref="AI66">_xlfn.IFS(O66=1,"Low",O66=2,"Medium",O66=3,"High",O66=4,"Very High")</f>
        <v>High</v>
      </c>
      <c r="AJ66" t="str" cm="1">
        <f t="array" ref="AJ66">_xlfn.IFS(U66=1,"Low",U66=2,"Good",U66=3,"Excellent",U66=4,"Outstanding")</f>
        <v>Excellent</v>
      </c>
      <c r="AK66" t="str" cm="1">
        <f t="array" ref="AK66">_xlfn.IFS(V66=1,"Low",V66=2,"Medium",V66=3,"High",V66=4,"Very High")</f>
        <v>Medium</v>
      </c>
      <c r="AL66" t="str" cm="1">
        <f t="array" ref="AL66">_xlfn.IFS(Z66=1,"Bad",Z66=2,"Good",Z66=3,"Better",Z66=4,"Best")</f>
        <v>Better</v>
      </c>
      <c r="AM66" t="str" cm="1">
        <f t="array" ref="AM66">_xlfn.IFS(W66=0,"No_stock",W66=1,"Low",W66=2,"Medium",W66=3,"High")</f>
        <v>High</v>
      </c>
      <c r="AN66" t="str">
        <f t="shared" ref="AN66:AN129" si="1">IF(F66&lt;=5,"Near",IF(F66&lt;=15,"Medium","Far"))</f>
        <v>Medium</v>
      </c>
    </row>
    <row r="67" spans="1:40" x14ac:dyDescent="0.45">
      <c r="A67">
        <v>55</v>
      </c>
      <c r="B67" t="s">
        <v>37</v>
      </c>
      <c r="C67" t="s">
        <v>31</v>
      </c>
      <c r="D67">
        <v>836</v>
      </c>
      <c r="E67" t="s">
        <v>39</v>
      </c>
      <c r="F67">
        <v>8</v>
      </c>
      <c r="G67">
        <v>3</v>
      </c>
      <c r="H67" t="s">
        <v>45</v>
      </c>
      <c r="I67">
        <v>84</v>
      </c>
      <c r="J67">
        <v>4</v>
      </c>
      <c r="K67" t="s">
        <v>34</v>
      </c>
      <c r="L67">
        <v>3</v>
      </c>
      <c r="M67">
        <v>4</v>
      </c>
      <c r="N67" t="s">
        <v>50</v>
      </c>
      <c r="O67">
        <v>3</v>
      </c>
      <c r="P67" t="s">
        <v>46</v>
      </c>
      <c r="Q67">
        <v>14756</v>
      </c>
      <c r="R67">
        <v>2</v>
      </c>
      <c r="S67" t="s">
        <v>30</v>
      </c>
      <c r="T67">
        <v>14</v>
      </c>
      <c r="U67">
        <v>3</v>
      </c>
      <c r="V67">
        <v>3</v>
      </c>
      <c r="W67">
        <v>3</v>
      </c>
      <c r="X67">
        <v>21</v>
      </c>
      <c r="Y67">
        <v>2</v>
      </c>
      <c r="Z67">
        <v>3</v>
      </c>
      <c r="AA67">
        <v>5</v>
      </c>
      <c r="AB67">
        <v>0</v>
      </c>
      <c r="AC67">
        <v>0</v>
      </c>
      <c r="AD67">
        <v>2</v>
      </c>
      <c r="AE67" t="str" cm="1">
        <f t="array" ref="AE67">_xlfn.IFS(G67=1,"Before College",G67=2,"College",G67=3,"Bachelor",G67=4,"Master",G67=5,"Doctor")</f>
        <v>Bachelor</v>
      </c>
      <c r="AF67" t="str" cm="1">
        <f t="array" ref="AF67">_xlfn.IFS(J67=1,"Low",J67=2,"Medium",J67=3,"High",J67=4,"Very High")</f>
        <v>Very High</v>
      </c>
      <c r="AG67" t="str" cm="1">
        <f t="array" ref="AG67">_xlfn.IFS(L67=1,"Low",L67=2,"Medium",L67=3,"High",L67=4,"Very High")</f>
        <v>High</v>
      </c>
      <c r="AH67" t="str" cm="1">
        <f t="array" ref="AH67">_xlfn.IFS(M67=1,"Junior employee",M67=2,"Mid-level",M67=3,"Senior",M67=4,"Manager",M67=5,"Executive")</f>
        <v>Manager</v>
      </c>
      <c r="AI67" t="str" cm="1">
        <f t="array" ref="AI67">_xlfn.IFS(O67=1,"Low",O67=2,"Medium",O67=3,"High",O67=4,"Very High")</f>
        <v>High</v>
      </c>
      <c r="AJ67" t="str" cm="1">
        <f t="array" ref="AJ67">_xlfn.IFS(U67=1,"Low",U67=2,"Good",U67=3,"Excellent",U67=4,"Outstanding")</f>
        <v>Excellent</v>
      </c>
      <c r="AK67" t="str" cm="1">
        <f t="array" ref="AK67">_xlfn.IFS(V67=1,"Low",V67=2,"Medium",V67=3,"High",V67=4,"Very High")</f>
        <v>High</v>
      </c>
      <c r="AL67" t="str" cm="1">
        <f t="array" ref="AL67">_xlfn.IFS(Z67=1,"Bad",Z67=2,"Good",Z67=3,"Better",Z67=4,"Best")</f>
        <v>Better</v>
      </c>
      <c r="AM67" t="str" cm="1">
        <f t="array" ref="AM67">_xlfn.IFS(W67=0,"No_stock",W67=1,"Low",W67=2,"Medium",W67=3,"High")</f>
        <v>High</v>
      </c>
      <c r="AN67" t="str">
        <f t="shared" si="1"/>
        <v>Medium</v>
      </c>
    </row>
    <row r="68" spans="1:40" x14ac:dyDescent="0.45">
      <c r="A68">
        <v>36</v>
      </c>
      <c r="B68" t="s">
        <v>37</v>
      </c>
      <c r="C68" t="s">
        <v>38</v>
      </c>
      <c r="D68">
        <v>1195</v>
      </c>
      <c r="E68" t="s">
        <v>39</v>
      </c>
      <c r="F68">
        <v>11</v>
      </c>
      <c r="G68">
        <v>3</v>
      </c>
      <c r="H68" t="s">
        <v>33</v>
      </c>
      <c r="I68">
        <v>85</v>
      </c>
      <c r="J68">
        <v>2</v>
      </c>
      <c r="K68" t="s">
        <v>40</v>
      </c>
      <c r="L68">
        <v>2</v>
      </c>
      <c r="M68">
        <v>2</v>
      </c>
      <c r="N68" t="s">
        <v>47</v>
      </c>
      <c r="O68">
        <v>2</v>
      </c>
      <c r="P68" t="s">
        <v>36</v>
      </c>
      <c r="Q68">
        <v>6499</v>
      </c>
      <c r="R68">
        <v>1</v>
      </c>
      <c r="S68" t="s">
        <v>37</v>
      </c>
      <c r="T68">
        <v>13</v>
      </c>
      <c r="U68">
        <v>3</v>
      </c>
      <c r="V68">
        <v>3</v>
      </c>
      <c r="W68">
        <v>0</v>
      </c>
      <c r="X68">
        <v>6</v>
      </c>
      <c r="Y68">
        <v>3</v>
      </c>
      <c r="Z68">
        <v>3</v>
      </c>
      <c r="AA68">
        <v>6</v>
      </c>
      <c r="AB68">
        <v>5</v>
      </c>
      <c r="AC68">
        <v>0</v>
      </c>
      <c r="AD68">
        <v>3</v>
      </c>
      <c r="AE68" t="str" cm="1">
        <f t="array" ref="AE68">_xlfn.IFS(G68=1,"Before College",G68=2,"College",G68=3,"Bachelor",G68=4,"Master",G68=5,"Doctor")</f>
        <v>Bachelor</v>
      </c>
      <c r="AF68" t="str" cm="1">
        <f t="array" ref="AF68">_xlfn.IFS(J68=1,"Low",J68=2,"Medium",J68=3,"High",J68=4,"Very High")</f>
        <v>Medium</v>
      </c>
      <c r="AG68" t="str" cm="1">
        <f t="array" ref="AG68">_xlfn.IFS(L68=1,"Low",L68=2,"Medium",L68=3,"High",L68=4,"Very High")</f>
        <v>Medium</v>
      </c>
      <c r="AH68" t="str" cm="1">
        <f t="array" ref="AH68">_xlfn.IFS(M68=1,"Junior employee",M68=2,"Mid-level",M68=3,"Senior",M68=4,"Manager",M68=5,"Executive")</f>
        <v>Mid-level</v>
      </c>
      <c r="AI68" t="str" cm="1">
        <f t="array" ref="AI68">_xlfn.IFS(O68=1,"Low",O68=2,"Medium",O68=3,"High",O68=4,"Very High")</f>
        <v>Medium</v>
      </c>
      <c r="AJ68" t="str" cm="1">
        <f t="array" ref="AJ68">_xlfn.IFS(U68=1,"Low",U68=2,"Good",U68=3,"Excellent",U68=4,"Outstanding")</f>
        <v>Excellent</v>
      </c>
      <c r="AK68" t="str" cm="1">
        <f t="array" ref="AK68">_xlfn.IFS(V68=1,"Low",V68=2,"Medium",V68=3,"High",V68=4,"Very High")</f>
        <v>High</v>
      </c>
      <c r="AL68" t="str" cm="1">
        <f t="array" ref="AL68">_xlfn.IFS(Z68=1,"Bad",Z68=2,"Good",Z68=3,"Better",Z68=4,"Best")</f>
        <v>Better</v>
      </c>
      <c r="AM68" t="str" cm="1">
        <f t="array" ref="AM68">_xlfn.IFS(W68=0,"No_stock",W68=1,"Low",W68=2,"Medium",W68=3,"High")</f>
        <v>No_stock</v>
      </c>
      <c r="AN68" t="str">
        <f t="shared" si="1"/>
        <v>Medium</v>
      </c>
    </row>
    <row r="69" spans="1:40" x14ac:dyDescent="0.45">
      <c r="A69">
        <v>45</v>
      </c>
      <c r="B69" t="s">
        <v>37</v>
      </c>
      <c r="C69" t="s">
        <v>31</v>
      </c>
      <c r="D69">
        <v>1339</v>
      </c>
      <c r="E69" t="s">
        <v>39</v>
      </c>
      <c r="F69">
        <v>7</v>
      </c>
      <c r="G69">
        <v>3</v>
      </c>
      <c r="H69" t="s">
        <v>33</v>
      </c>
      <c r="I69">
        <v>86</v>
      </c>
      <c r="J69">
        <v>2</v>
      </c>
      <c r="K69" t="s">
        <v>40</v>
      </c>
      <c r="L69">
        <v>3</v>
      </c>
      <c r="M69">
        <v>3</v>
      </c>
      <c r="N69" t="s">
        <v>41</v>
      </c>
      <c r="O69">
        <v>1</v>
      </c>
      <c r="P69" t="s">
        <v>46</v>
      </c>
      <c r="Q69">
        <v>9724</v>
      </c>
      <c r="R69">
        <v>2</v>
      </c>
      <c r="S69" t="s">
        <v>37</v>
      </c>
      <c r="T69">
        <v>17</v>
      </c>
      <c r="U69">
        <v>3</v>
      </c>
      <c r="V69">
        <v>3</v>
      </c>
      <c r="W69">
        <v>1</v>
      </c>
      <c r="X69">
        <v>25</v>
      </c>
      <c r="Y69">
        <v>2</v>
      </c>
      <c r="Z69">
        <v>3</v>
      </c>
      <c r="AA69">
        <v>1</v>
      </c>
      <c r="AB69">
        <v>0</v>
      </c>
      <c r="AC69">
        <v>0</v>
      </c>
      <c r="AD69">
        <v>0</v>
      </c>
      <c r="AE69" t="str" cm="1">
        <f t="array" ref="AE69">_xlfn.IFS(G69=1,"Before College",G69=2,"College",G69=3,"Bachelor",G69=4,"Master",G69=5,"Doctor")</f>
        <v>Bachelor</v>
      </c>
      <c r="AF69" t="str" cm="1">
        <f t="array" ref="AF69">_xlfn.IFS(J69=1,"Low",J69=2,"Medium",J69=3,"High",J69=4,"Very High")</f>
        <v>Medium</v>
      </c>
      <c r="AG69" t="str" cm="1">
        <f t="array" ref="AG69">_xlfn.IFS(L69=1,"Low",L69=2,"Medium",L69=3,"High",L69=4,"Very High")</f>
        <v>High</v>
      </c>
      <c r="AH69" t="str" cm="1">
        <f t="array" ref="AH69">_xlfn.IFS(M69=1,"Junior employee",M69=2,"Mid-level",M69=3,"Senior",M69=4,"Manager",M69=5,"Executive")</f>
        <v>Senior</v>
      </c>
      <c r="AI69" t="str" cm="1">
        <f t="array" ref="AI69">_xlfn.IFS(O69=1,"Low",O69=2,"Medium",O69=3,"High",O69=4,"Very High")</f>
        <v>Low</v>
      </c>
      <c r="AJ69" t="str" cm="1">
        <f t="array" ref="AJ69">_xlfn.IFS(U69=1,"Low",U69=2,"Good",U69=3,"Excellent",U69=4,"Outstanding")</f>
        <v>Excellent</v>
      </c>
      <c r="AK69" t="str" cm="1">
        <f t="array" ref="AK69">_xlfn.IFS(V69=1,"Low",V69=2,"Medium",V69=3,"High",V69=4,"Very High")</f>
        <v>High</v>
      </c>
      <c r="AL69" t="str" cm="1">
        <f t="array" ref="AL69">_xlfn.IFS(Z69=1,"Bad",Z69=2,"Good",Z69=3,"Better",Z69=4,"Best")</f>
        <v>Better</v>
      </c>
      <c r="AM69" t="str" cm="1">
        <f t="array" ref="AM69">_xlfn.IFS(W69=0,"No_stock",W69=1,"Low",W69=2,"Medium",W69=3,"High")</f>
        <v>Low</v>
      </c>
      <c r="AN69" t="str">
        <f t="shared" si="1"/>
        <v>Medium</v>
      </c>
    </row>
    <row r="70" spans="1:40" x14ac:dyDescent="0.45">
      <c r="A70">
        <v>35</v>
      </c>
      <c r="B70" t="s">
        <v>37</v>
      </c>
      <c r="C70" t="s">
        <v>38</v>
      </c>
      <c r="D70">
        <v>664</v>
      </c>
      <c r="E70" t="s">
        <v>39</v>
      </c>
      <c r="F70">
        <v>1</v>
      </c>
      <c r="G70">
        <v>3</v>
      </c>
      <c r="H70" t="s">
        <v>45</v>
      </c>
      <c r="I70">
        <v>88</v>
      </c>
      <c r="J70">
        <v>2</v>
      </c>
      <c r="K70" t="s">
        <v>40</v>
      </c>
      <c r="L70">
        <v>3</v>
      </c>
      <c r="M70">
        <v>1</v>
      </c>
      <c r="N70" t="s">
        <v>41</v>
      </c>
      <c r="O70">
        <v>1</v>
      </c>
      <c r="P70" t="s">
        <v>42</v>
      </c>
      <c r="Q70">
        <v>2194</v>
      </c>
      <c r="R70">
        <v>4</v>
      </c>
      <c r="S70" t="s">
        <v>37</v>
      </c>
      <c r="T70">
        <v>13</v>
      </c>
      <c r="U70">
        <v>3</v>
      </c>
      <c r="V70">
        <v>4</v>
      </c>
      <c r="W70">
        <v>1</v>
      </c>
      <c r="X70">
        <v>5</v>
      </c>
      <c r="Y70">
        <v>2</v>
      </c>
      <c r="Z70">
        <v>2</v>
      </c>
      <c r="AA70">
        <v>3</v>
      </c>
      <c r="AB70">
        <v>2</v>
      </c>
      <c r="AC70">
        <v>1</v>
      </c>
      <c r="AD70">
        <v>2</v>
      </c>
      <c r="AE70" t="str" cm="1">
        <f t="array" ref="AE70">_xlfn.IFS(G70=1,"Before College",G70=2,"College",G70=3,"Bachelor",G70=4,"Master",G70=5,"Doctor")</f>
        <v>Bachelor</v>
      </c>
      <c r="AF70" t="str" cm="1">
        <f t="array" ref="AF70">_xlfn.IFS(J70=1,"Low",J70=2,"Medium",J70=3,"High",J70=4,"Very High")</f>
        <v>Medium</v>
      </c>
      <c r="AG70" t="str" cm="1">
        <f t="array" ref="AG70">_xlfn.IFS(L70=1,"Low",L70=2,"Medium",L70=3,"High",L70=4,"Very High")</f>
        <v>High</v>
      </c>
      <c r="AH70" t="str" cm="1">
        <f t="array" ref="AH70">_xlfn.IFS(M70=1,"Junior employee",M70=2,"Mid-level",M70=3,"Senior",M70=4,"Manager",M70=5,"Executive")</f>
        <v>Junior employee</v>
      </c>
      <c r="AI70" t="str" cm="1">
        <f t="array" ref="AI70">_xlfn.IFS(O70=1,"Low",O70=2,"Medium",O70=3,"High",O70=4,"Very High")</f>
        <v>Low</v>
      </c>
      <c r="AJ70" t="str" cm="1">
        <f t="array" ref="AJ70">_xlfn.IFS(U70=1,"Low",U70=2,"Good",U70=3,"Excellent",U70=4,"Outstanding")</f>
        <v>Excellent</v>
      </c>
      <c r="AK70" t="str" cm="1">
        <f t="array" ref="AK70">_xlfn.IFS(V70=1,"Low",V70=2,"Medium",V70=3,"High",V70=4,"Very High")</f>
        <v>Very High</v>
      </c>
      <c r="AL70" t="str" cm="1">
        <f t="array" ref="AL70">_xlfn.IFS(Z70=1,"Bad",Z70=2,"Good",Z70=3,"Better",Z70=4,"Best")</f>
        <v>Good</v>
      </c>
      <c r="AM70" t="str" cm="1">
        <f t="array" ref="AM70">_xlfn.IFS(W70=0,"No_stock",W70=1,"Low",W70=2,"Medium",W70=3,"High")</f>
        <v>Low</v>
      </c>
      <c r="AN70" t="str">
        <f t="shared" si="1"/>
        <v>Near</v>
      </c>
    </row>
    <row r="71" spans="1:40" x14ac:dyDescent="0.45">
      <c r="A71">
        <v>36</v>
      </c>
      <c r="B71" t="s">
        <v>30</v>
      </c>
      <c r="C71" t="s">
        <v>31</v>
      </c>
      <c r="D71">
        <v>318</v>
      </c>
      <c r="E71" t="s">
        <v>39</v>
      </c>
      <c r="F71">
        <v>9</v>
      </c>
      <c r="G71">
        <v>3</v>
      </c>
      <c r="H71" t="s">
        <v>45</v>
      </c>
      <c r="I71">
        <v>90</v>
      </c>
      <c r="J71">
        <v>4</v>
      </c>
      <c r="K71" t="s">
        <v>40</v>
      </c>
      <c r="L71">
        <v>2</v>
      </c>
      <c r="M71">
        <v>1</v>
      </c>
      <c r="N71" t="s">
        <v>41</v>
      </c>
      <c r="O71">
        <v>3</v>
      </c>
      <c r="P71" t="s">
        <v>42</v>
      </c>
      <c r="Q71">
        <v>3388</v>
      </c>
      <c r="R71">
        <v>0</v>
      </c>
      <c r="S71" t="s">
        <v>30</v>
      </c>
      <c r="T71">
        <v>17</v>
      </c>
      <c r="U71">
        <v>3</v>
      </c>
      <c r="V71">
        <v>1</v>
      </c>
      <c r="W71">
        <v>1</v>
      </c>
      <c r="X71">
        <v>2</v>
      </c>
      <c r="Y71">
        <v>0</v>
      </c>
      <c r="Z71">
        <v>2</v>
      </c>
      <c r="AA71">
        <v>1</v>
      </c>
      <c r="AB71">
        <v>0</v>
      </c>
      <c r="AC71">
        <v>0</v>
      </c>
      <c r="AD71">
        <v>0</v>
      </c>
      <c r="AE71" t="str" cm="1">
        <f t="array" ref="AE71">_xlfn.IFS(G71=1,"Before College",G71=2,"College",G71=3,"Bachelor",G71=4,"Master",G71=5,"Doctor")</f>
        <v>Bachelor</v>
      </c>
      <c r="AF71" t="str" cm="1">
        <f t="array" ref="AF71">_xlfn.IFS(J71=1,"Low",J71=2,"Medium",J71=3,"High",J71=4,"Very High")</f>
        <v>Very High</v>
      </c>
      <c r="AG71" t="str" cm="1">
        <f t="array" ref="AG71">_xlfn.IFS(L71=1,"Low",L71=2,"Medium",L71=3,"High",L71=4,"Very High")</f>
        <v>Medium</v>
      </c>
      <c r="AH71" t="str" cm="1">
        <f t="array" ref="AH71">_xlfn.IFS(M71=1,"Junior employee",M71=2,"Mid-level",M71=3,"Senior",M71=4,"Manager",M71=5,"Executive")</f>
        <v>Junior employee</v>
      </c>
      <c r="AI71" t="str" cm="1">
        <f t="array" ref="AI71">_xlfn.IFS(O71=1,"Low",O71=2,"Medium",O71=3,"High",O71=4,"Very High")</f>
        <v>High</v>
      </c>
      <c r="AJ71" t="str" cm="1">
        <f t="array" ref="AJ71">_xlfn.IFS(U71=1,"Low",U71=2,"Good",U71=3,"Excellent",U71=4,"Outstanding")</f>
        <v>Excellent</v>
      </c>
      <c r="AK71" t="str" cm="1">
        <f t="array" ref="AK71">_xlfn.IFS(V71=1,"Low",V71=2,"Medium",V71=3,"High",V71=4,"Very High")</f>
        <v>Low</v>
      </c>
      <c r="AL71" t="str" cm="1">
        <f t="array" ref="AL71">_xlfn.IFS(Z71=1,"Bad",Z71=2,"Good",Z71=3,"Better",Z71=4,"Best")</f>
        <v>Good</v>
      </c>
      <c r="AM71" t="str" cm="1">
        <f t="array" ref="AM71">_xlfn.IFS(W71=0,"No_stock",W71=1,"Low",W71=2,"Medium",W71=3,"High")</f>
        <v>Low</v>
      </c>
      <c r="AN71" t="str">
        <f t="shared" si="1"/>
        <v>Medium</v>
      </c>
    </row>
    <row r="72" spans="1:40" x14ac:dyDescent="0.45">
      <c r="A72">
        <v>59</v>
      </c>
      <c r="B72" t="s">
        <v>37</v>
      </c>
      <c r="C72" t="s">
        <v>38</v>
      </c>
      <c r="D72">
        <v>1225</v>
      </c>
      <c r="E72" t="s">
        <v>32</v>
      </c>
      <c r="F72">
        <v>1</v>
      </c>
      <c r="G72">
        <v>1</v>
      </c>
      <c r="H72" t="s">
        <v>33</v>
      </c>
      <c r="I72">
        <v>91</v>
      </c>
      <c r="J72">
        <v>1</v>
      </c>
      <c r="K72" t="s">
        <v>34</v>
      </c>
      <c r="L72">
        <v>2</v>
      </c>
      <c r="M72">
        <v>2</v>
      </c>
      <c r="N72" t="s">
        <v>35</v>
      </c>
      <c r="O72">
        <v>3</v>
      </c>
      <c r="P72" t="s">
        <v>36</v>
      </c>
      <c r="Q72">
        <v>5473</v>
      </c>
      <c r="R72">
        <v>7</v>
      </c>
      <c r="S72" t="s">
        <v>37</v>
      </c>
      <c r="T72">
        <v>11</v>
      </c>
      <c r="U72">
        <v>3</v>
      </c>
      <c r="V72">
        <v>4</v>
      </c>
      <c r="W72">
        <v>0</v>
      </c>
      <c r="X72">
        <v>20</v>
      </c>
      <c r="Y72">
        <v>2</v>
      </c>
      <c r="Z72">
        <v>2</v>
      </c>
      <c r="AA72">
        <v>4</v>
      </c>
      <c r="AB72">
        <v>3</v>
      </c>
      <c r="AC72">
        <v>1</v>
      </c>
      <c r="AD72">
        <v>3</v>
      </c>
      <c r="AE72" t="str" cm="1">
        <f t="array" ref="AE72">_xlfn.IFS(G72=1,"Before College",G72=2,"College",G72=3,"Bachelor",G72=4,"Master",G72=5,"Doctor")</f>
        <v>Before College</v>
      </c>
      <c r="AF72" t="str" cm="1">
        <f t="array" ref="AF72">_xlfn.IFS(J72=1,"Low",J72=2,"Medium",J72=3,"High",J72=4,"Very High")</f>
        <v>Low</v>
      </c>
      <c r="AG72" t="str" cm="1">
        <f t="array" ref="AG72">_xlfn.IFS(L72=1,"Low",L72=2,"Medium",L72=3,"High",L72=4,"Very High")</f>
        <v>Medium</v>
      </c>
      <c r="AH72" t="str" cm="1">
        <f t="array" ref="AH72">_xlfn.IFS(M72=1,"Junior employee",M72=2,"Mid-level",M72=3,"Senior",M72=4,"Manager",M72=5,"Executive")</f>
        <v>Mid-level</v>
      </c>
      <c r="AI72" t="str" cm="1">
        <f t="array" ref="AI72">_xlfn.IFS(O72=1,"Low",O72=2,"Medium",O72=3,"High",O72=4,"Very High")</f>
        <v>High</v>
      </c>
      <c r="AJ72" t="str" cm="1">
        <f t="array" ref="AJ72">_xlfn.IFS(U72=1,"Low",U72=2,"Good",U72=3,"Excellent",U72=4,"Outstanding")</f>
        <v>Excellent</v>
      </c>
      <c r="AK72" t="str" cm="1">
        <f t="array" ref="AK72">_xlfn.IFS(V72=1,"Low",V72=2,"Medium",V72=3,"High",V72=4,"Very High")</f>
        <v>Very High</v>
      </c>
      <c r="AL72" t="str" cm="1">
        <f t="array" ref="AL72">_xlfn.IFS(Z72=1,"Bad",Z72=2,"Good",Z72=3,"Better",Z72=4,"Best")</f>
        <v>Good</v>
      </c>
      <c r="AM72" t="str" cm="1">
        <f t="array" ref="AM72">_xlfn.IFS(W72=0,"No_stock",W72=1,"Low",W72=2,"Medium",W72=3,"High")</f>
        <v>No_stock</v>
      </c>
      <c r="AN72" t="str">
        <f t="shared" si="1"/>
        <v>Near</v>
      </c>
    </row>
    <row r="73" spans="1:40" x14ac:dyDescent="0.45">
      <c r="A73">
        <v>29</v>
      </c>
      <c r="B73" t="s">
        <v>37</v>
      </c>
      <c r="C73" t="s">
        <v>31</v>
      </c>
      <c r="D73">
        <v>1328</v>
      </c>
      <c r="E73" t="s">
        <v>39</v>
      </c>
      <c r="F73">
        <v>2</v>
      </c>
      <c r="G73">
        <v>3</v>
      </c>
      <c r="H73" t="s">
        <v>33</v>
      </c>
      <c r="I73">
        <v>94</v>
      </c>
      <c r="J73">
        <v>3</v>
      </c>
      <c r="K73" t="s">
        <v>40</v>
      </c>
      <c r="L73">
        <v>3</v>
      </c>
      <c r="M73">
        <v>1</v>
      </c>
      <c r="N73" t="s">
        <v>41</v>
      </c>
      <c r="O73">
        <v>2</v>
      </c>
      <c r="P73" t="s">
        <v>42</v>
      </c>
      <c r="Q73">
        <v>2703</v>
      </c>
      <c r="R73">
        <v>0</v>
      </c>
      <c r="S73" t="s">
        <v>37</v>
      </c>
      <c r="T73">
        <v>23</v>
      </c>
      <c r="U73">
        <v>4</v>
      </c>
      <c r="V73">
        <v>4</v>
      </c>
      <c r="W73">
        <v>1</v>
      </c>
      <c r="X73">
        <v>6</v>
      </c>
      <c r="Y73">
        <v>3</v>
      </c>
      <c r="Z73">
        <v>3</v>
      </c>
      <c r="AA73">
        <v>5</v>
      </c>
      <c r="AB73">
        <v>4</v>
      </c>
      <c r="AC73">
        <v>0</v>
      </c>
      <c r="AD73">
        <v>4</v>
      </c>
      <c r="AE73" t="str" cm="1">
        <f t="array" ref="AE73">_xlfn.IFS(G73=1,"Before College",G73=2,"College",G73=3,"Bachelor",G73=4,"Master",G73=5,"Doctor")</f>
        <v>Bachelor</v>
      </c>
      <c r="AF73" t="str" cm="1">
        <f t="array" ref="AF73">_xlfn.IFS(J73=1,"Low",J73=2,"Medium",J73=3,"High",J73=4,"Very High")</f>
        <v>High</v>
      </c>
      <c r="AG73" t="str" cm="1">
        <f t="array" ref="AG73">_xlfn.IFS(L73=1,"Low",L73=2,"Medium",L73=3,"High",L73=4,"Very High")</f>
        <v>High</v>
      </c>
      <c r="AH73" t="str" cm="1">
        <f t="array" ref="AH73">_xlfn.IFS(M73=1,"Junior employee",M73=2,"Mid-level",M73=3,"Senior",M73=4,"Manager",M73=5,"Executive")</f>
        <v>Junior employee</v>
      </c>
      <c r="AI73" t="str" cm="1">
        <f t="array" ref="AI73">_xlfn.IFS(O73=1,"Low",O73=2,"Medium",O73=3,"High",O73=4,"Very High")</f>
        <v>Medium</v>
      </c>
      <c r="AJ73" t="str" cm="1">
        <f t="array" ref="AJ73">_xlfn.IFS(U73=1,"Low",U73=2,"Good",U73=3,"Excellent",U73=4,"Outstanding")</f>
        <v>Outstanding</v>
      </c>
      <c r="AK73" t="str" cm="1">
        <f t="array" ref="AK73">_xlfn.IFS(V73=1,"Low",V73=2,"Medium",V73=3,"High",V73=4,"Very High")</f>
        <v>Very High</v>
      </c>
      <c r="AL73" t="str" cm="1">
        <f t="array" ref="AL73">_xlfn.IFS(Z73=1,"Bad",Z73=2,"Good",Z73=3,"Better",Z73=4,"Best")</f>
        <v>Better</v>
      </c>
      <c r="AM73" t="str" cm="1">
        <f t="array" ref="AM73">_xlfn.IFS(W73=0,"No_stock",W73=1,"Low",W73=2,"Medium",W73=3,"High")</f>
        <v>Low</v>
      </c>
      <c r="AN73" t="str">
        <f t="shared" si="1"/>
        <v>Near</v>
      </c>
    </row>
    <row r="74" spans="1:40" x14ac:dyDescent="0.45">
      <c r="A74">
        <v>31</v>
      </c>
      <c r="B74" t="s">
        <v>37</v>
      </c>
      <c r="C74" t="s">
        <v>31</v>
      </c>
      <c r="D74">
        <v>1082</v>
      </c>
      <c r="E74" t="s">
        <v>39</v>
      </c>
      <c r="F74">
        <v>1</v>
      </c>
      <c r="G74">
        <v>4</v>
      </c>
      <c r="H74" t="s">
        <v>45</v>
      </c>
      <c r="I74">
        <v>95</v>
      </c>
      <c r="J74">
        <v>3</v>
      </c>
      <c r="K74" t="s">
        <v>40</v>
      </c>
      <c r="L74">
        <v>3</v>
      </c>
      <c r="M74">
        <v>1</v>
      </c>
      <c r="N74" t="s">
        <v>41</v>
      </c>
      <c r="O74">
        <v>2</v>
      </c>
      <c r="P74" t="s">
        <v>36</v>
      </c>
      <c r="Q74">
        <v>2501</v>
      </c>
      <c r="R74">
        <v>1</v>
      </c>
      <c r="S74" t="s">
        <v>37</v>
      </c>
      <c r="T74">
        <v>17</v>
      </c>
      <c r="U74">
        <v>3</v>
      </c>
      <c r="V74">
        <v>2</v>
      </c>
      <c r="W74">
        <v>0</v>
      </c>
      <c r="X74">
        <v>1</v>
      </c>
      <c r="Y74">
        <v>4</v>
      </c>
      <c r="Z74">
        <v>3</v>
      </c>
      <c r="AA74">
        <v>1</v>
      </c>
      <c r="AB74">
        <v>1</v>
      </c>
      <c r="AC74">
        <v>1</v>
      </c>
      <c r="AD74">
        <v>0</v>
      </c>
      <c r="AE74" t="str" cm="1">
        <f t="array" ref="AE74">_xlfn.IFS(G74=1,"Before College",G74=2,"College",G74=3,"Bachelor",G74=4,"Master",G74=5,"Doctor")</f>
        <v>Master</v>
      </c>
      <c r="AF74" t="str" cm="1">
        <f t="array" ref="AF74">_xlfn.IFS(J74=1,"Low",J74=2,"Medium",J74=3,"High",J74=4,"Very High")</f>
        <v>High</v>
      </c>
      <c r="AG74" t="str" cm="1">
        <f t="array" ref="AG74">_xlfn.IFS(L74=1,"Low",L74=2,"Medium",L74=3,"High",L74=4,"Very High")</f>
        <v>High</v>
      </c>
      <c r="AH74" t="str" cm="1">
        <f t="array" ref="AH74">_xlfn.IFS(M74=1,"Junior employee",M74=2,"Mid-level",M74=3,"Senior",M74=4,"Manager",M74=5,"Executive")</f>
        <v>Junior employee</v>
      </c>
      <c r="AI74" t="str" cm="1">
        <f t="array" ref="AI74">_xlfn.IFS(O74=1,"Low",O74=2,"Medium",O74=3,"High",O74=4,"Very High")</f>
        <v>Medium</v>
      </c>
      <c r="AJ74" t="str" cm="1">
        <f t="array" ref="AJ74">_xlfn.IFS(U74=1,"Low",U74=2,"Good",U74=3,"Excellent",U74=4,"Outstanding")</f>
        <v>Excellent</v>
      </c>
      <c r="AK74" t="str" cm="1">
        <f t="array" ref="AK74">_xlfn.IFS(V74=1,"Low",V74=2,"Medium",V74=3,"High",V74=4,"Very High")</f>
        <v>Medium</v>
      </c>
      <c r="AL74" t="str" cm="1">
        <f t="array" ref="AL74">_xlfn.IFS(Z74=1,"Bad",Z74=2,"Good",Z74=3,"Better",Z74=4,"Best")</f>
        <v>Better</v>
      </c>
      <c r="AM74" t="str" cm="1">
        <f t="array" ref="AM74">_xlfn.IFS(W74=0,"No_stock",W74=1,"Low",W74=2,"Medium",W74=3,"High")</f>
        <v>No_stock</v>
      </c>
      <c r="AN74" t="str">
        <f t="shared" si="1"/>
        <v>Near</v>
      </c>
    </row>
    <row r="75" spans="1:40" x14ac:dyDescent="0.45">
      <c r="A75">
        <v>32</v>
      </c>
      <c r="B75" t="s">
        <v>37</v>
      </c>
      <c r="C75" t="s">
        <v>31</v>
      </c>
      <c r="D75">
        <v>548</v>
      </c>
      <c r="E75" t="s">
        <v>39</v>
      </c>
      <c r="F75">
        <v>1</v>
      </c>
      <c r="G75">
        <v>3</v>
      </c>
      <c r="H75" t="s">
        <v>33</v>
      </c>
      <c r="I75">
        <v>96</v>
      </c>
      <c r="J75">
        <v>2</v>
      </c>
      <c r="K75" t="s">
        <v>40</v>
      </c>
      <c r="L75">
        <v>3</v>
      </c>
      <c r="M75">
        <v>2</v>
      </c>
      <c r="N75" t="s">
        <v>41</v>
      </c>
      <c r="O75">
        <v>2</v>
      </c>
      <c r="P75" t="s">
        <v>42</v>
      </c>
      <c r="Q75">
        <v>6220</v>
      </c>
      <c r="R75">
        <v>1</v>
      </c>
      <c r="S75" t="s">
        <v>37</v>
      </c>
      <c r="T75">
        <v>17</v>
      </c>
      <c r="U75">
        <v>3</v>
      </c>
      <c r="V75">
        <v>2</v>
      </c>
      <c r="W75">
        <v>2</v>
      </c>
      <c r="X75">
        <v>10</v>
      </c>
      <c r="Y75">
        <v>3</v>
      </c>
      <c r="Z75">
        <v>3</v>
      </c>
      <c r="AA75">
        <v>10</v>
      </c>
      <c r="AB75">
        <v>4</v>
      </c>
      <c r="AC75">
        <v>0</v>
      </c>
      <c r="AD75">
        <v>9</v>
      </c>
      <c r="AE75" t="str" cm="1">
        <f t="array" ref="AE75">_xlfn.IFS(G75=1,"Before College",G75=2,"College",G75=3,"Bachelor",G75=4,"Master",G75=5,"Doctor")</f>
        <v>Bachelor</v>
      </c>
      <c r="AF75" t="str" cm="1">
        <f t="array" ref="AF75">_xlfn.IFS(J75=1,"Low",J75=2,"Medium",J75=3,"High",J75=4,"Very High")</f>
        <v>Medium</v>
      </c>
      <c r="AG75" t="str" cm="1">
        <f t="array" ref="AG75">_xlfn.IFS(L75=1,"Low",L75=2,"Medium",L75=3,"High",L75=4,"Very High")</f>
        <v>High</v>
      </c>
      <c r="AH75" t="str" cm="1">
        <f t="array" ref="AH75">_xlfn.IFS(M75=1,"Junior employee",M75=2,"Mid-level",M75=3,"Senior",M75=4,"Manager",M75=5,"Executive")</f>
        <v>Mid-level</v>
      </c>
      <c r="AI75" t="str" cm="1">
        <f t="array" ref="AI75">_xlfn.IFS(O75=1,"Low",O75=2,"Medium",O75=3,"High",O75=4,"Very High")</f>
        <v>Medium</v>
      </c>
      <c r="AJ75" t="str" cm="1">
        <f t="array" ref="AJ75">_xlfn.IFS(U75=1,"Low",U75=2,"Good",U75=3,"Excellent",U75=4,"Outstanding")</f>
        <v>Excellent</v>
      </c>
      <c r="AK75" t="str" cm="1">
        <f t="array" ref="AK75">_xlfn.IFS(V75=1,"Low",V75=2,"Medium",V75=3,"High",V75=4,"Very High")</f>
        <v>Medium</v>
      </c>
      <c r="AL75" t="str" cm="1">
        <f t="array" ref="AL75">_xlfn.IFS(Z75=1,"Bad",Z75=2,"Good",Z75=3,"Better",Z75=4,"Best")</f>
        <v>Better</v>
      </c>
      <c r="AM75" t="str" cm="1">
        <f t="array" ref="AM75">_xlfn.IFS(W75=0,"No_stock",W75=1,"Low",W75=2,"Medium",W75=3,"High")</f>
        <v>Medium</v>
      </c>
      <c r="AN75" t="str">
        <f t="shared" si="1"/>
        <v>Near</v>
      </c>
    </row>
    <row r="76" spans="1:40" x14ac:dyDescent="0.45">
      <c r="A76">
        <v>36</v>
      </c>
      <c r="B76" t="s">
        <v>37</v>
      </c>
      <c r="C76" t="s">
        <v>31</v>
      </c>
      <c r="D76">
        <v>132</v>
      </c>
      <c r="E76" t="s">
        <v>39</v>
      </c>
      <c r="F76">
        <v>6</v>
      </c>
      <c r="G76">
        <v>3</v>
      </c>
      <c r="H76" t="s">
        <v>33</v>
      </c>
      <c r="I76">
        <v>97</v>
      </c>
      <c r="J76">
        <v>2</v>
      </c>
      <c r="K76" t="s">
        <v>34</v>
      </c>
      <c r="L76">
        <v>4</v>
      </c>
      <c r="M76">
        <v>1</v>
      </c>
      <c r="N76" t="s">
        <v>44</v>
      </c>
      <c r="O76">
        <v>4</v>
      </c>
      <c r="P76" t="s">
        <v>42</v>
      </c>
      <c r="Q76">
        <v>3038</v>
      </c>
      <c r="R76">
        <v>3</v>
      </c>
      <c r="S76" t="s">
        <v>37</v>
      </c>
      <c r="T76">
        <v>12</v>
      </c>
      <c r="U76">
        <v>3</v>
      </c>
      <c r="V76">
        <v>2</v>
      </c>
      <c r="W76">
        <v>0</v>
      </c>
      <c r="X76">
        <v>5</v>
      </c>
      <c r="Y76">
        <v>3</v>
      </c>
      <c r="Z76">
        <v>3</v>
      </c>
      <c r="AA76">
        <v>1</v>
      </c>
      <c r="AB76">
        <v>0</v>
      </c>
      <c r="AC76">
        <v>0</v>
      </c>
      <c r="AD76">
        <v>0</v>
      </c>
      <c r="AE76" t="str" cm="1">
        <f t="array" ref="AE76">_xlfn.IFS(G76=1,"Before College",G76=2,"College",G76=3,"Bachelor",G76=4,"Master",G76=5,"Doctor")</f>
        <v>Bachelor</v>
      </c>
      <c r="AF76" t="str" cm="1">
        <f t="array" ref="AF76">_xlfn.IFS(J76=1,"Low",J76=2,"Medium",J76=3,"High",J76=4,"Very High")</f>
        <v>Medium</v>
      </c>
      <c r="AG76" t="str" cm="1">
        <f t="array" ref="AG76">_xlfn.IFS(L76=1,"Low",L76=2,"Medium",L76=3,"High",L76=4,"Very High")</f>
        <v>Very High</v>
      </c>
      <c r="AH76" t="str" cm="1">
        <f t="array" ref="AH76">_xlfn.IFS(M76=1,"Junior employee",M76=2,"Mid-level",M76=3,"Senior",M76=4,"Manager",M76=5,"Executive")</f>
        <v>Junior employee</v>
      </c>
      <c r="AI76" t="str" cm="1">
        <f t="array" ref="AI76">_xlfn.IFS(O76=1,"Low",O76=2,"Medium",O76=3,"High",O76=4,"Very High")</f>
        <v>Very High</v>
      </c>
      <c r="AJ76" t="str" cm="1">
        <f t="array" ref="AJ76">_xlfn.IFS(U76=1,"Low",U76=2,"Good",U76=3,"Excellent",U76=4,"Outstanding")</f>
        <v>Excellent</v>
      </c>
      <c r="AK76" t="str" cm="1">
        <f t="array" ref="AK76">_xlfn.IFS(V76=1,"Low",V76=2,"Medium",V76=3,"High",V76=4,"Very High")</f>
        <v>Medium</v>
      </c>
      <c r="AL76" t="str" cm="1">
        <f t="array" ref="AL76">_xlfn.IFS(Z76=1,"Bad",Z76=2,"Good",Z76=3,"Better",Z76=4,"Best")</f>
        <v>Better</v>
      </c>
      <c r="AM76" t="str" cm="1">
        <f t="array" ref="AM76">_xlfn.IFS(W76=0,"No_stock",W76=1,"Low",W76=2,"Medium",W76=3,"High")</f>
        <v>No_stock</v>
      </c>
      <c r="AN76" t="str">
        <f t="shared" si="1"/>
        <v>Medium</v>
      </c>
    </row>
    <row r="77" spans="1:40" x14ac:dyDescent="0.45">
      <c r="A77">
        <v>31</v>
      </c>
      <c r="B77" t="s">
        <v>37</v>
      </c>
      <c r="C77" t="s">
        <v>31</v>
      </c>
      <c r="D77">
        <v>746</v>
      </c>
      <c r="E77" t="s">
        <v>39</v>
      </c>
      <c r="F77">
        <v>8</v>
      </c>
      <c r="G77">
        <v>4</v>
      </c>
      <c r="H77" t="s">
        <v>33</v>
      </c>
      <c r="I77">
        <v>98</v>
      </c>
      <c r="J77">
        <v>3</v>
      </c>
      <c r="K77" t="s">
        <v>34</v>
      </c>
      <c r="L77">
        <v>3</v>
      </c>
      <c r="M77">
        <v>2</v>
      </c>
      <c r="N77" t="s">
        <v>47</v>
      </c>
      <c r="O77">
        <v>4</v>
      </c>
      <c r="P77" t="s">
        <v>36</v>
      </c>
      <c r="Q77">
        <v>4424</v>
      </c>
      <c r="R77">
        <v>1</v>
      </c>
      <c r="S77" t="s">
        <v>37</v>
      </c>
      <c r="T77">
        <v>23</v>
      </c>
      <c r="U77">
        <v>4</v>
      </c>
      <c r="V77">
        <v>4</v>
      </c>
      <c r="W77">
        <v>0</v>
      </c>
      <c r="X77">
        <v>11</v>
      </c>
      <c r="Y77">
        <v>2</v>
      </c>
      <c r="Z77">
        <v>3</v>
      </c>
      <c r="AA77">
        <v>11</v>
      </c>
      <c r="AB77">
        <v>7</v>
      </c>
      <c r="AC77">
        <v>1</v>
      </c>
      <c r="AD77">
        <v>8</v>
      </c>
      <c r="AE77" t="str" cm="1">
        <f t="array" ref="AE77">_xlfn.IFS(G77=1,"Before College",G77=2,"College",G77=3,"Bachelor",G77=4,"Master",G77=5,"Doctor")</f>
        <v>Master</v>
      </c>
      <c r="AF77" t="str" cm="1">
        <f t="array" ref="AF77">_xlfn.IFS(J77=1,"Low",J77=2,"Medium",J77=3,"High",J77=4,"Very High")</f>
        <v>High</v>
      </c>
      <c r="AG77" t="str" cm="1">
        <f t="array" ref="AG77">_xlfn.IFS(L77=1,"Low",L77=2,"Medium",L77=3,"High",L77=4,"Very High")</f>
        <v>High</v>
      </c>
      <c r="AH77" t="str" cm="1">
        <f t="array" ref="AH77">_xlfn.IFS(M77=1,"Junior employee",M77=2,"Mid-level",M77=3,"Senior",M77=4,"Manager",M77=5,"Executive")</f>
        <v>Mid-level</v>
      </c>
      <c r="AI77" t="str" cm="1">
        <f t="array" ref="AI77">_xlfn.IFS(O77=1,"Low",O77=2,"Medium",O77=3,"High",O77=4,"Very High")</f>
        <v>Very High</v>
      </c>
      <c r="AJ77" t="str" cm="1">
        <f t="array" ref="AJ77">_xlfn.IFS(U77=1,"Low",U77=2,"Good",U77=3,"Excellent",U77=4,"Outstanding")</f>
        <v>Outstanding</v>
      </c>
      <c r="AK77" t="str" cm="1">
        <f t="array" ref="AK77">_xlfn.IFS(V77=1,"Low",V77=2,"Medium",V77=3,"High",V77=4,"Very High")</f>
        <v>Very High</v>
      </c>
      <c r="AL77" t="str" cm="1">
        <f t="array" ref="AL77">_xlfn.IFS(Z77=1,"Bad",Z77=2,"Good",Z77=3,"Better",Z77=4,"Best")</f>
        <v>Better</v>
      </c>
      <c r="AM77" t="str" cm="1">
        <f t="array" ref="AM77">_xlfn.IFS(W77=0,"No_stock",W77=1,"Low",W77=2,"Medium",W77=3,"High")</f>
        <v>No_stock</v>
      </c>
      <c r="AN77" t="str">
        <f t="shared" si="1"/>
        <v>Medium</v>
      </c>
    </row>
    <row r="78" spans="1:40" x14ac:dyDescent="0.45">
      <c r="A78">
        <v>35</v>
      </c>
      <c r="B78" t="s">
        <v>37</v>
      </c>
      <c r="C78" t="s">
        <v>31</v>
      </c>
      <c r="D78">
        <v>776</v>
      </c>
      <c r="E78" t="s">
        <v>32</v>
      </c>
      <c r="F78">
        <v>1</v>
      </c>
      <c r="G78">
        <v>4</v>
      </c>
      <c r="H78" t="s">
        <v>53</v>
      </c>
      <c r="I78">
        <v>100</v>
      </c>
      <c r="J78">
        <v>3</v>
      </c>
      <c r="K78" t="s">
        <v>40</v>
      </c>
      <c r="L78">
        <v>2</v>
      </c>
      <c r="M78">
        <v>2</v>
      </c>
      <c r="N78" t="s">
        <v>35</v>
      </c>
      <c r="O78">
        <v>1</v>
      </c>
      <c r="P78" t="s">
        <v>36</v>
      </c>
      <c r="Q78">
        <v>4312</v>
      </c>
      <c r="R78">
        <v>0</v>
      </c>
      <c r="S78" t="s">
        <v>37</v>
      </c>
      <c r="T78">
        <v>14</v>
      </c>
      <c r="U78">
        <v>3</v>
      </c>
      <c r="V78">
        <v>2</v>
      </c>
      <c r="W78">
        <v>0</v>
      </c>
      <c r="X78">
        <v>16</v>
      </c>
      <c r="Y78">
        <v>2</v>
      </c>
      <c r="Z78">
        <v>3</v>
      </c>
      <c r="AA78">
        <v>15</v>
      </c>
      <c r="AB78">
        <v>13</v>
      </c>
      <c r="AC78">
        <v>2</v>
      </c>
      <c r="AD78">
        <v>8</v>
      </c>
      <c r="AE78" t="str" cm="1">
        <f t="array" ref="AE78">_xlfn.IFS(G78=1,"Before College",G78=2,"College",G78=3,"Bachelor",G78=4,"Master",G78=5,"Doctor")</f>
        <v>Master</v>
      </c>
      <c r="AF78" t="str" cm="1">
        <f t="array" ref="AF78">_xlfn.IFS(J78=1,"Low",J78=2,"Medium",J78=3,"High",J78=4,"Very High")</f>
        <v>High</v>
      </c>
      <c r="AG78" t="str" cm="1">
        <f t="array" ref="AG78">_xlfn.IFS(L78=1,"Low",L78=2,"Medium",L78=3,"High",L78=4,"Very High")</f>
        <v>Medium</v>
      </c>
      <c r="AH78" t="str" cm="1">
        <f t="array" ref="AH78">_xlfn.IFS(M78=1,"Junior employee",M78=2,"Mid-level",M78=3,"Senior",M78=4,"Manager",M78=5,"Executive")</f>
        <v>Mid-level</v>
      </c>
      <c r="AI78" t="str" cm="1">
        <f t="array" ref="AI78">_xlfn.IFS(O78=1,"Low",O78=2,"Medium",O78=3,"High",O78=4,"Very High")</f>
        <v>Low</v>
      </c>
      <c r="AJ78" t="str" cm="1">
        <f t="array" ref="AJ78">_xlfn.IFS(U78=1,"Low",U78=2,"Good",U78=3,"Excellent",U78=4,"Outstanding")</f>
        <v>Excellent</v>
      </c>
      <c r="AK78" t="str" cm="1">
        <f t="array" ref="AK78">_xlfn.IFS(V78=1,"Low",V78=2,"Medium",V78=3,"High",V78=4,"Very High")</f>
        <v>Medium</v>
      </c>
      <c r="AL78" t="str" cm="1">
        <f t="array" ref="AL78">_xlfn.IFS(Z78=1,"Bad",Z78=2,"Good",Z78=3,"Better",Z78=4,"Best")</f>
        <v>Better</v>
      </c>
      <c r="AM78" t="str" cm="1">
        <f t="array" ref="AM78">_xlfn.IFS(W78=0,"No_stock",W78=1,"Low",W78=2,"Medium",W78=3,"High")</f>
        <v>No_stock</v>
      </c>
      <c r="AN78" t="str">
        <f t="shared" si="1"/>
        <v>Near</v>
      </c>
    </row>
    <row r="79" spans="1:40" x14ac:dyDescent="0.45">
      <c r="A79">
        <v>45</v>
      </c>
      <c r="B79" t="s">
        <v>37</v>
      </c>
      <c r="C79" t="s">
        <v>31</v>
      </c>
      <c r="D79">
        <v>193</v>
      </c>
      <c r="E79" t="s">
        <v>39</v>
      </c>
      <c r="F79">
        <v>6</v>
      </c>
      <c r="G79">
        <v>4</v>
      </c>
      <c r="H79" t="s">
        <v>43</v>
      </c>
      <c r="I79">
        <v>101</v>
      </c>
      <c r="J79">
        <v>4</v>
      </c>
      <c r="K79" t="s">
        <v>40</v>
      </c>
      <c r="L79">
        <v>3</v>
      </c>
      <c r="M79">
        <v>3</v>
      </c>
      <c r="N79" t="s">
        <v>52</v>
      </c>
      <c r="O79">
        <v>1</v>
      </c>
      <c r="P79" t="s">
        <v>42</v>
      </c>
      <c r="Q79">
        <v>13245</v>
      </c>
      <c r="R79">
        <v>4</v>
      </c>
      <c r="S79" t="s">
        <v>30</v>
      </c>
      <c r="T79">
        <v>14</v>
      </c>
      <c r="U79">
        <v>3</v>
      </c>
      <c r="V79">
        <v>2</v>
      </c>
      <c r="W79">
        <v>0</v>
      </c>
      <c r="X79">
        <v>17</v>
      </c>
      <c r="Y79">
        <v>3</v>
      </c>
      <c r="Z79">
        <v>4</v>
      </c>
      <c r="AA79">
        <v>0</v>
      </c>
      <c r="AB79">
        <v>0</v>
      </c>
      <c r="AC79">
        <v>0</v>
      </c>
      <c r="AD79">
        <v>0</v>
      </c>
      <c r="AE79" t="str" cm="1">
        <f t="array" ref="AE79">_xlfn.IFS(G79=1,"Before College",G79=2,"College",G79=3,"Bachelor",G79=4,"Master",G79=5,"Doctor")</f>
        <v>Master</v>
      </c>
      <c r="AF79" t="str" cm="1">
        <f t="array" ref="AF79">_xlfn.IFS(J79=1,"Low",J79=2,"Medium",J79=3,"High",J79=4,"Very High")</f>
        <v>Very High</v>
      </c>
      <c r="AG79" t="str" cm="1">
        <f t="array" ref="AG79">_xlfn.IFS(L79=1,"Low",L79=2,"Medium",L79=3,"High",L79=4,"Very High")</f>
        <v>High</v>
      </c>
      <c r="AH79" t="str" cm="1">
        <f t="array" ref="AH79">_xlfn.IFS(M79=1,"Junior employee",M79=2,"Mid-level",M79=3,"Senior",M79=4,"Manager",M79=5,"Executive")</f>
        <v>Senior</v>
      </c>
      <c r="AI79" t="str" cm="1">
        <f t="array" ref="AI79">_xlfn.IFS(O79=1,"Low",O79=2,"Medium",O79=3,"High",O79=4,"Very High")</f>
        <v>Low</v>
      </c>
      <c r="AJ79" t="str" cm="1">
        <f t="array" ref="AJ79">_xlfn.IFS(U79=1,"Low",U79=2,"Good",U79=3,"Excellent",U79=4,"Outstanding")</f>
        <v>Excellent</v>
      </c>
      <c r="AK79" t="str" cm="1">
        <f t="array" ref="AK79">_xlfn.IFS(V79=1,"Low",V79=2,"Medium",V79=3,"High",V79=4,"Very High")</f>
        <v>Medium</v>
      </c>
      <c r="AL79" t="str" cm="1">
        <f t="array" ref="AL79">_xlfn.IFS(Z79=1,"Bad",Z79=2,"Good",Z79=3,"Better",Z79=4,"Best")</f>
        <v>Best</v>
      </c>
      <c r="AM79" t="str" cm="1">
        <f t="array" ref="AM79">_xlfn.IFS(W79=0,"No_stock",W79=1,"Low",W79=2,"Medium",W79=3,"High")</f>
        <v>No_stock</v>
      </c>
      <c r="AN79" t="str">
        <f t="shared" si="1"/>
        <v>Medium</v>
      </c>
    </row>
    <row r="80" spans="1:40" x14ac:dyDescent="0.45">
      <c r="A80">
        <v>37</v>
      </c>
      <c r="B80" t="s">
        <v>37</v>
      </c>
      <c r="C80" t="s">
        <v>31</v>
      </c>
      <c r="D80">
        <v>397</v>
      </c>
      <c r="E80" t="s">
        <v>39</v>
      </c>
      <c r="F80">
        <v>7</v>
      </c>
      <c r="G80">
        <v>4</v>
      </c>
      <c r="H80" t="s">
        <v>45</v>
      </c>
      <c r="I80">
        <v>102</v>
      </c>
      <c r="J80">
        <v>1</v>
      </c>
      <c r="K80" t="s">
        <v>40</v>
      </c>
      <c r="L80">
        <v>3</v>
      </c>
      <c r="M80">
        <v>3</v>
      </c>
      <c r="N80" t="s">
        <v>52</v>
      </c>
      <c r="O80">
        <v>3</v>
      </c>
      <c r="P80" t="s">
        <v>36</v>
      </c>
      <c r="Q80">
        <v>13664</v>
      </c>
      <c r="R80">
        <v>4</v>
      </c>
      <c r="S80" t="s">
        <v>37</v>
      </c>
      <c r="T80">
        <v>13</v>
      </c>
      <c r="U80">
        <v>3</v>
      </c>
      <c r="V80">
        <v>1</v>
      </c>
      <c r="W80">
        <v>0</v>
      </c>
      <c r="X80">
        <v>16</v>
      </c>
      <c r="Y80">
        <v>3</v>
      </c>
      <c r="Z80">
        <v>4</v>
      </c>
      <c r="AA80">
        <v>5</v>
      </c>
      <c r="AB80">
        <v>2</v>
      </c>
      <c r="AC80">
        <v>0</v>
      </c>
      <c r="AD80">
        <v>2</v>
      </c>
      <c r="AE80" t="str" cm="1">
        <f t="array" ref="AE80">_xlfn.IFS(G80=1,"Before College",G80=2,"College",G80=3,"Bachelor",G80=4,"Master",G80=5,"Doctor")</f>
        <v>Master</v>
      </c>
      <c r="AF80" t="str" cm="1">
        <f t="array" ref="AF80">_xlfn.IFS(J80=1,"Low",J80=2,"Medium",J80=3,"High",J80=4,"Very High")</f>
        <v>Low</v>
      </c>
      <c r="AG80" t="str" cm="1">
        <f t="array" ref="AG80">_xlfn.IFS(L80=1,"Low",L80=2,"Medium",L80=3,"High",L80=4,"Very High")</f>
        <v>High</v>
      </c>
      <c r="AH80" t="str" cm="1">
        <f t="array" ref="AH80">_xlfn.IFS(M80=1,"Junior employee",M80=2,"Mid-level",M80=3,"Senior",M80=4,"Manager",M80=5,"Executive")</f>
        <v>Senior</v>
      </c>
      <c r="AI80" t="str" cm="1">
        <f t="array" ref="AI80">_xlfn.IFS(O80=1,"Low",O80=2,"Medium",O80=3,"High",O80=4,"Very High")</f>
        <v>High</v>
      </c>
      <c r="AJ80" t="str" cm="1">
        <f t="array" ref="AJ80">_xlfn.IFS(U80=1,"Low",U80=2,"Good",U80=3,"Excellent",U80=4,"Outstanding")</f>
        <v>Excellent</v>
      </c>
      <c r="AK80" t="str" cm="1">
        <f t="array" ref="AK80">_xlfn.IFS(V80=1,"Low",V80=2,"Medium",V80=3,"High",V80=4,"Very High")</f>
        <v>Low</v>
      </c>
      <c r="AL80" t="str" cm="1">
        <f t="array" ref="AL80">_xlfn.IFS(Z80=1,"Bad",Z80=2,"Good",Z80=3,"Better",Z80=4,"Best")</f>
        <v>Best</v>
      </c>
      <c r="AM80" t="str" cm="1">
        <f t="array" ref="AM80">_xlfn.IFS(W80=0,"No_stock",W80=1,"Low",W80=2,"Medium",W80=3,"High")</f>
        <v>No_stock</v>
      </c>
      <c r="AN80" t="str">
        <f t="shared" si="1"/>
        <v>Medium</v>
      </c>
    </row>
    <row r="81" spans="1:40" x14ac:dyDescent="0.45">
      <c r="A81">
        <v>46</v>
      </c>
      <c r="B81" t="s">
        <v>37</v>
      </c>
      <c r="C81" t="s">
        <v>31</v>
      </c>
      <c r="D81">
        <v>945</v>
      </c>
      <c r="E81" t="s">
        <v>55</v>
      </c>
      <c r="F81">
        <v>5</v>
      </c>
      <c r="G81">
        <v>2</v>
      </c>
      <c r="H81" t="s">
        <v>45</v>
      </c>
      <c r="I81">
        <v>103</v>
      </c>
      <c r="J81">
        <v>2</v>
      </c>
      <c r="K81" t="s">
        <v>40</v>
      </c>
      <c r="L81">
        <v>3</v>
      </c>
      <c r="M81">
        <v>2</v>
      </c>
      <c r="N81" t="s">
        <v>55</v>
      </c>
      <c r="O81">
        <v>2</v>
      </c>
      <c r="P81" t="s">
        <v>46</v>
      </c>
      <c r="Q81">
        <v>5021</v>
      </c>
      <c r="R81">
        <v>8</v>
      </c>
      <c r="S81" t="s">
        <v>30</v>
      </c>
      <c r="T81">
        <v>22</v>
      </c>
      <c r="U81">
        <v>4</v>
      </c>
      <c r="V81">
        <v>4</v>
      </c>
      <c r="W81">
        <v>1</v>
      </c>
      <c r="X81">
        <v>16</v>
      </c>
      <c r="Y81">
        <v>2</v>
      </c>
      <c r="Z81">
        <v>3</v>
      </c>
      <c r="AA81">
        <v>4</v>
      </c>
      <c r="AB81">
        <v>2</v>
      </c>
      <c r="AC81">
        <v>0</v>
      </c>
      <c r="AD81">
        <v>2</v>
      </c>
      <c r="AE81" t="str" cm="1">
        <f t="array" ref="AE81">_xlfn.IFS(G81=1,"Before College",G81=2,"College",G81=3,"Bachelor",G81=4,"Master",G81=5,"Doctor")</f>
        <v>College</v>
      </c>
      <c r="AF81" t="str" cm="1">
        <f t="array" ref="AF81">_xlfn.IFS(J81=1,"Low",J81=2,"Medium",J81=3,"High",J81=4,"Very High")</f>
        <v>Medium</v>
      </c>
      <c r="AG81" t="str" cm="1">
        <f t="array" ref="AG81">_xlfn.IFS(L81=1,"Low",L81=2,"Medium",L81=3,"High",L81=4,"Very High")</f>
        <v>High</v>
      </c>
      <c r="AH81" t="str" cm="1">
        <f t="array" ref="AH81">_xlfn.IFS(M81=1,"Junior employee",M81=2,"Mid-level",M81=3,"Senior",M81=4,"Manager",M81=5,"Executive")</f>
        <v>Mid-level</v>
      </c>
      <c r="AI81" t="str" cm="1">
        <f t="array" ref="AI81">_xlfn.IFS(O81=1,"Low",O81=2,"Medium",O81=3,"High",O81=4,"Very High")</f>
        <v>Medium</v>
      </c>
      <c r="AJ81" t="str" cm="1">
        <f t="array" ref="AJ81">_xlfn.IFS(U81=1,"Low",U81=2,"Good",U81=3,"Excellent",U81=4,"Outstanding")</f>
        <v>Outstanding</v>
      </c>
      <c r="AK81" t="str" cm="1">
        <f t="array" ref="AK81">_xlfn.IFS(V81=1,"Low",V81=2,"Medium",V81=3,"High",V81=4,"Very High")</f>
        <v>Very High</v>
      </c>
      <c r="AL81" t="str" cm="1">
        <f t="array" ref="AL81">_xlfn.IFS(Z81=1,"Bad",Z81=2,"Good",Z81=3,"Better",Z81=4,"Best")</f>
        <v>Better</v>
      </c>
      <c r="AM81" t="str" cm="1">
        <f t="array" ref="AM81">_xlfn.IFS(W81=0,"No_stock",W81=1,"Low",W81=2,"Medium",W81=3,"High")</f>
        <v>Low</v>
      </c>
      <c r="AN81" t="str">
        <f t="shared" si="1"/>
        <v>Near</v>
      </c>
    </row>
    <row r="82" spans="1:40" x14ac:dyDescent="0.45">
      <c r="A82">
        <v>30</v>
      </c>
      <c r="B82" t="s">
        <v>37</v>
      </c>
      <c r="C82" t="s">
        <v>31</v>
      </c>
      <c r="D82">
        <v>852</v>
      </c>
      <c r="E82" t="s">
        <v>39</v>
      </c>
      <c r="F82">
        <v>1</v>
      </c>
      <c r="G82">
        <v>1</v>
      </c>
      <c r="H82" t="s">
        <v>33</v>
      </c>
      <c r="I82">
        <v>104</v>
      </c>
      <c r="J82">
        <v>4</v>
      </c>
      <c r="K82" t="s">
        <v>40</v>
      </c>
      <c r="L82">
        <v>2</v>
      </c>
      <c r="M82">
        <v>2</v>
      </c>
      <c r="N82" t="s">
        <v>44</v>
      </c>
      <c r="O82">
        <v>4</v>
      </c>
      <c r="P82" t="s">
        <v>42</v>
      </c>
      <c r="Q82">
        <v>5126</v>
      </c>
      <c r="R82">
        <v>1</v>
      </c>
      <c r="S82" t="s">
        <v>30</v>
      </c>
      <c r="T82">
        <v>12</v>
      </c>
      <c r="U82">
        <v>3</v>
      </c>
      <c r="V82">
        <v>3</v>
      </c>
      <c r="W82">
        <v>2</v>
      </c>
      <c r="X82">
        <v>10</v>
      </c>
      <c r="Y82">
        <v>1</v>
      </c>
      <c r="Z82">
        <v>2</v>
      </c>
      <c r="AA82">
        <v>10</v>
      </c>
      <c r="AB82">
        <v>8</v>
      </c>
      <c r="AC82">
        <v>3</v>
      </c>
      <c r="AD82">
        <v>0</v>
      </c>
      <c r="AE82" t="str" cm="1">
        <f t="array" ref="AE82">_xlfn.IFS(G82=1,"Before College",G82=2,"College",G82=3,"Bachelor",G82=4,"Master",G82=5,"Doctor")</f>
        <v>Before College</v>
      </c>
      <c r="AF82" t="str" cm="1">
        <f t="array" ref="AF82">_xlfn.IFS(J82=1,"Low",J82=2,"Medium",J82=3,"High",J82=4,"Very High")</f>
        <v>Very High</v>
      </c>
      <c r="AG82" t="str" cm="1">
        <f t="array" ref="AG82">_xlfn.IFS(L82=1,"Low",L82=2,"Medium",L82=3,"High",L82=4,"Very High")</f>
        <v>Medium</v>
      </c>
      <c r="AH82" t="str" cm="1">
        <f t="array" ref="AH82">_xlfn.IFS(M82=1,"Junior employee",M82=2,"Mid-level",M82=3,"Senior",M82=4,"Manager",M82=5,"Executive")</f>
        <v>Mid-level</v>
      </c>
      <c r="AI82" t="str" cm="1">
        <f t="array" ref="AI82">_xlfn.IFS(O82=1,"Low",O82=2,"Medium",O82=3,"High",O82=4,"Very High")</f>
        <v>Very High</v>
      </c>
      <c r="AJ82" t="str" cm="1">
        <f t="array" ref="AJ82">_xlfn.IFS(U82=1,"Low",U82=2,"Good",U82=3,"Excellent",U82=4,"Outstanding")</f>
        <v>Excellent</v>
      </c>
      <c r="AK82" t="str" cm="1">
        <f t="array" ref="AK82">_xlfn.IFS(V82=1,"Low",V82=2,"Medium",V82=3,"High",V82=4,"Very High")</f>
        <v>High</v>
      </c>
      <c r="AL82" t="str" cm="1">
        <f t="array" ref="AL82">_xlfn.IFS(Z82=1,"Bad",Z82=2,"Good",Z82=3,"Better",Z82=4,"Best")</f>
        <v>Good</v>
      </c>
      <c r="AM82" t="str" cm="1">
        <f t="array" ref="AM82">_xlfn.IFS(W82=0,"No_stock",W82=1,"Low",W82=2,"Medium",W82=3,"High")</f>
        <v>Medium</v>
      </c>
      <c r="AN82" t="str">
        <f t="shared" si="1"/>
        <v>Near</v>
      </c>
    </row>
    <row r="83" spans="1:40" x14ac:dyDescent="0.45">
      <c r="A83">
        <v>35</v>
      </c>
      <c r="B83" t="s">
        <v>37</v>
      </c>
      <c r="C83" t="s">
        <v>31</v>
      </c>
      <c r="D83">
        <v>1214</v>
      </c>
      <c r="E83" t="s">
        <v>39</v>
      </c>
      <c r="F83">
        <v>1</v>
      </c>
      <c r="G83">
        <v>3</v>
      </c>
      <c r="H83" t="s">
        <v>45</v>
      </c>
      <c r="I83">
        <v>105</v>
      </c>
      <c r="J83">
        <v>2</v>
      </c>
      <c r="K83" t="s">
        <v>40</v>
      </c>
      <c r="L83">
        <v>2</v>
      </c>
      <c r="M83">
        <v>1</v>
      </c>
      <c r="N83" t="s">
        <v>41</v>
      </c>
      <c r="O83">
        <v>3</v>
      </c>
      <c r="P83" t="s">
        <v>36</v>
      </c>
      <c r="Q83">
        <v>2859</v>
      </c>
      <c r="R83">
        <v>1</v>
      </c>
      <c r="S83" t="s">
        <v>37</v>
      </c>
      <c r="T83">
        <v>18</v>
      </c>
      <c r="U83">
        <v>3</v>
      </c>
      <c r="V83">
        <v>1</v>
      </c>
      <c r="W83">
        <v>0</v>
      </c>
      <c r="X83">
        <v>6</v>
      </c>
      <c r="Y83">
        <v>3</v>
      </c>
      <c r="Z83">
        <v>3</v>
      </c>
      <c r="AA83">
        <v>6</v>
      </c>
      <c r="AB83">
        <v>4</v>
      </c>
      <c r="AC83">
        <v>0</v>
      </c>
      <c r="AD83">
        <v>4</v>
      </c>
      <c r="AE83" t="str" cm="1">
        <f t="array" ref="AE83">_xlfn.IFS(G83=1,"Before College",G83=2,"College",G83=3,"Bachelor",G83=4,"Master",G83=5,"Doctor")</f>
        <v>Bachelor</v>
      </c>
      <c r="AF83" t="str" cm="1">
        <f t="array" ref="AF83">_xlfn.IFS(J83=1,"Low",J83=2,"Medium",J83=3,"High",J83=4,"Very High")</f>
        <v>Medium</v>
      </c>
      <c r="AG83" t="str" cm="1">
        <f t="array" ref="AG83">_xlfn.IFS(L83=1,"Low",L83=2,"Medium",L83=3,"High",L83=4,"Very High")</f>
        <v>Medium</v>
      </c>
      <c r="AH83" t="str" cm="1">
        <f t="array" ref="AH83">_xlfn.IFS(M83=1,"Junior employee",M83=2,"Mid-level",M83=3,"Senior",M83=4,"Manager",M83=5,"Executive")</f>
        <v>Junior employee</v>
      </c>
      <c r="AI83" t="str" cm="1">
        <f t="array" ref="AI83">_xlfn.IFS(O83=1,"Low",O83=2,"Medium",O83=3,"High",O83=4,"Very High")</f>
        <v>High</v>
      </c>
      <c r="AJ83" t="str" cm="1">
        <f t="array" ref="AJ83">_xlfn.IFS(U83=1,"Low",U83=2,"Good",U83=3,"Excellent",U83=4,"Outstanding")</f>
        <v>Excellent</v>
      </c>
      <c r="AK83" t="str" cm="1">
        <f t="array" ref="AK83">_xlfn.IFS(V83=1,"Low",V83=2,"Medium",V83=3,"High",V83=4,"Very High")</f>
        <v>Low</v>
      </c>
      <c r="AL83" t="str" cm="1">
        <f t="array" ref="AL83">_xlfn.IFS(Z83=1,"Bad",Z83=2,"Good",Z83=3,"Better",Z83=4,"Best")</f>
        <v>Better</v>
      </c>
      <c r="AM83" t="str" cm="1">
        <f t="array" ref="AM83">_xlfn.IFS(W83=0,"No_stock",W83=1,"Low",W83=2,"Medium",W83=3,"High")</f>
        <v>No_stock</v>
      </c>
      <c r="AN83" t="str">
        <f t="shared" si="1"/>
        <v>Near</v>
      </c>
    </row>
    <row r="84" spans="1:40" x14ac:dyDescent="0.45">
      <c r="A84">
        <v>55</v>
      </c>
      <c r="B84" t="s">
        <v>37</v>
      </c>
      <c r="C84" t="s">
        <v>31</v>
      </c>
      <c r="D84">
        <v>111</v>
      </c>
      <c r="E84" t="s">
        <v>32</v>
      </c>
      <c r="F84">
        <v>1</v>
      </c>
      <c r="G84">
        <v>2</v>
      </c>
      <c r="H84" t="s">
        <v>33</v>
      </c>
      <c r="I84">
        <v>106</v>
      </c>
      <c r="J84">
        <v>1</v>
      </c>
      <c r="K84" t="s">
        <v>40</v>
      </c>
      <c r="L84">
        <v>3</v>
      </c>
      <c r="M84">
        <v>3</v>
      </c>
      <c r="N84" t="s">
        <v>35</v>
      </c>
      <c r="O84">
        <v>4</v>
      </c>
      <c r="P84" t="s">
        <v>42</v>
      </c>
      <c r="Q84">
        <v>10239</v>
      </c>
      <c r="R84">
        <v>3</v>
      </c>
      <c r="S84" t="s">
        <v>37</v>
      </c>
      <c r="T84">
        <v>14</v>
      </c>
      <c r="U84">
        <v>3</v>
      </c>
      <c r="V84">
        <v>4</v>
      </c>
      <c r="W84">
        <v>1</v>
      </c>
      <c r="X84">
        <v>24</v>
      </c>
      <c r="Y84">
        <v>4</v>
      </c>
      <c r="Z84">
        <v>3</v>
      </c>
      <c r="AA84">
        <v>1</v>
      </c>
      <c r="AB84">
        <v>0</v>
      </c>
      <c r="AC84">
        <v>1</v>
      </c>
      <c r="AD84">
        <v>0</v>
      </c>
      <c r="AE84" t="str" cm="1">
        <f t="array" ref="AE84">_xlfn.IFS(G84=1,"Before College",G84=2,"College",G84=3,"Bachelor",G84=4,"Master",G84=5,"Doctor")</f>
        <v>College</v>
      </c>
      <c r="AF84" t="str" cm="1">
        <f t="array" ref="AF84">_xlfn.IFS(J84=1,"Low",J84=2,"Medium",J84=3,"High",J84=4,"Very High")</f>
        <v>Low</v>
      </c>
      <c r="AG84" t="str" cm="1">
        <f t="array" ref="AG84">_xlfn.IFS(L84=1,"Low",L84=2,"Medium",L84=3,"High",L84=4,"Very High")</f>
        <v>High</v>
      </c>
      <c r="AH84" t="str" cm="1">
        <f t="array" ref="AH84">_xlfn.IFS(M84=1,"Junior employee",M84=2,"Mid-level",M84=3,"Senior",M84=4,"Manager",M84=5,"Executive")</f>
        <v>Senior</v>
      </c>
      <c r="AI84" t="str" cm="1">
        <f t="array" ref="AI84">_xlfn.IFS(O84=1,"Low",O84=2,"Medium",O84=3,"High",O84=4,"Very High")</f>
        <v>Very High</v>
      </c>
      <c r="AJ84" t="str" cm="1">
        <f t="array" ref="AJ84">_xlfn.IFS(U84=1,"Low",U84=2,"Good",U84=3,"Excellent",U84=4,"Outstanding")</f>
        <v>Excellent</v>
      </c>
      <c r="AK84" t="str" cm="1">
        <f t="array" ref="AK84">_xlfn.IFS(V84=1,"Low",V84=2,"Medium",V84=3,"High",V84=4,"Very High")</f>
        <v>Very High</v>
      </c>
      <c r="AL84" t="str" cm="1">
        <f t="array" ref="AL84">_xlfn.IFS(Z84=1,"Bad",Z84=2,"Good",Z84=3,"Better",Z84=4,"Best")</f>
        <v>Better</v>
      </c>
      <c r="AM84" t="str" cm="1">
        <f t="array" ref="AM84">_xlfn.IFS(W84=0,"No_stock",W84=1,"Low",W84=2,"Medium",W84=3,"High")</f>
        <v>Low</v>
      </c>
      <c r="AN84" t="str">
        <f t="shared" si="1"/>
        <v>Near</v>
      </c>
    </row>
    <row r="85" spans="1:40" x14ac:dyDescent="0.45">
      <c r="A85">
        <v>38</v>
      </c>
      <c r="B85" t="s">
        <v>37</v>
      </c>
      <c r="C85" t="s">
        <v>49</v>
      </c>
      <c r="D85">
        <v>573</v>
      </c>
      <c r="E85" t="s">
        <v>39</v>
      </c>
      <c r="F85">
        <v>6</v>
      </c>
      <c r="G85">
        <v>3</v>
      </c>
      <c r="H85" t="s">
        <v>45</v>
      </c>
      <c r="I85">
        <v>107</v>
      </c>
      <c r="J85">
        <v>2</v>
      </c>
      <c r="K85" t="s">
        <v>34</v>
      </c>
      <c r="L85">
        <v>1</v>
      </c>
      <c r="M85">
        <v>2</v>
      </c>
      <c r="N85" t="s">
        <v>41</v>
      </c>
      <c r="O85">
        <v>4</v>
      </c>
      <c r="P85" t="s">
        <v>46</v>
      </c>
      <c r="Q85">
        <v>5329</v>
      </c>
      <c r="R85">
        <v>7</v>
      </c>
      <c r="S85" t="s">
        <v>30</v>
      </c>
      <c r="T85">
        <v>12</v>
      </c>
      <c r="U85">
        <v>3</v>
      </c>
      <c r="V85">
        <v>4</v>
      </c>
      <c r="W85">
        <v>3</v>
      </c>
      <c r="X85">
        <v>17</v>
      </c>
      <c r="Y85">
        <v>3</v>
      </c>
      <c r="Z85">
        <v>3</v>
      </c>
      <c r="AA85">
        <v>13</v>
      </c>
      <c r="AB85">
        <v>11</v>
      </c>
      <c r="AC85">
        <v>1</v>
      </c>
      <c r="AD85">
        <v>9</v>
      </c>
      <c r="AE85" t="str" cm="1">
        <f t="array" ref="AE85">_xlfn.IFS(G85=1,"Before College",G85=2,"College",G85=3,"Bachelor",G85=4,"Master",G85=5,"Doctor")</f>
        <v>Bachelor</v>
      </c>
      <c r="AF85" t="str" cm="1">
        <f t="array" ref="AF85">_xlfn.IFS(J85=1,"Low",J85=2,"Medium",J85=3,"High",J85=4,"Very High")</f>
        <v>Medium</v>
      </c>
      <c r="AG85" t="str" cm="1">
        <f t="array" ref="AG85">_xlfn.IFS(L85=1,"Low",L85=2,"Medium",L85=3,"High",L85=4,"Very High")</f>
        <v>Low</v>
      </c>
      <c r="AH85" t="str" cm="1">
        <f t="array" ref="AH85">_xlfn.IFS(M85=1,"Junior employee",M85=2,"Mid-level",M85=3,"Senior",M85=4,"Manager",M85=5,"Executive")</f>
        <v>Mid-level</v>
      </c>
      <c r="AI85" t="str" cm="1">
        <f t="array" ref="AI85">_xlfn.IFS(O85=1,"Low",O85=2,"Medium",O85=3,"High",O85=4,"Very High")</f>
        <v>Very High</v>
      </c>
      <c r="AJ85" t="str" cm="1">
        <f t="array" ref="AJ85">_xlfn.IFS(U85=1,"Low",U85=2,"Good",U85=3,"Excellent",U85=4,"Outstanding")</f>
        <v>Excellent</v>
      </c>
      <c r="AK85" t="str" cm="1">
        <f t="array" ref="AK85">_xlfn.IFS(V85=1,"Low",V85=2,"Medium",V85=3,"High",V85=4,"Very High")</f>
        <v>Very High</v>
      </c>
      <c r="AL85" t="str" cm="1">
        <f t="array" ref="AL85">_xlfn.IFS(Z85=1,"Bad",Z85=2,"Good",Z85=3,"Better",Z85=4,"Best")</f>
        <v>Better</v>
      </c>
      <c r="AM85" t="str" cm="1">
        <f t="array" ref="AM85">_xlfn.IFS(W85=0,"No_stock",W85=1,"Low",W85=2,"Medium",W85=3,"High")</f>
        <v>High</v>
      </c>
      <c r="AN85" t="str">
        <f t="shared" si="1"/>
        <v>Medium</v>
      </c>
    </row>
    <row r="86" spans="1:40" x14ac:dyDescent="0.45">
      <c r="A86">
        <v>34</v>
      </c>
      <c r="B86" t="s">
        <v>37</v>
      </c>
      <c r="C86" t="s">
        <v>31</v>
      </c>
      <c r="D86">
        <v>1153</v>
      </c>
      <c r="E86" t="s">
        <v>39</v>
      </c>
      <c r="F86">
        <v>1</v>
      </c>
      <c r="G86">
        <v>2</v>
      </c>
      <c r="H86" t="s">
        <v>45</v>
      </c>
      <c r="I86">
        <v>110</v>
      </c>
      <c r="J86">
        <v>1</v>
      </c>
      <c r="K86" t="s">
        <v>40</v>
      </c>
      <c r="L86">
        <v>3</v>
      </c>
      <c r="M86">
        <v>2</v>
      </c>
      <c r="N86" t="s">
        <v>47</v>
      </c>
      <c r="O86">
        <v>2</v>
      </c>
      <c r="P86" t="s">
        <v>42</v>
      </c>
      <c r="Q86">
        <v>4325</v>
      </c>
      <c r="R86">
        <v>1</v>
      </c>
      <c r="S86" t="s">
        <v>37</v>
      </c>
      <c r="T86">
        <v>15</v>
      </c>
      <c r="U86">
        <v>3</v>
      </c>
      <c r="V86">
        <v>3</v>
      </c>
      <c r="W86">
        <v>0</v>
      </c>
      <c r="X86">
        <v>5</v>
      </c>
      <c r="Y86">
        <v>2</v>
      </c>
      <c r="Z86">
        <v>3</v>
      </c>
      <c r="AA86">
        <v>5</v>
      </c>
      <c r="AB86">
        <v>2</v>
      </c>
      <c r="AC86">
        <v>1</v>
      </c>
      <c r="AD86">
        <v>3</v>
      </c>
      <c r="AE86" t="str" cm="1">
        <f t="array" ref="AE86">_xlfn.IFS(G86=1,"Before College",G86=2,"College",G86=3,"Bachelor",G86=4,"Master",G86=5,"Doctor")</f>
        <v>College</v>
      </c>
      <c r="AF86" t="str" cm="1">
        <f t="array" ref="AF86">_xlfn.IFS(J86=1,"Low",J86=2,"Medium",J86=3,"High",J86=4,"Very High")</f>
        <v>Low</v>
      </c>
      <c r="AG86" t="str" cm="1">
        <f t="array" ref="AG86">_xlfn.IFS(L86=1,"Low",L86=2,"Medium",L86=3,"High",L86=4,"Very High")</f>
        <v>High</v>
      </c>
      <c r="AH86" t="str" cm="1">
        <f t="array" ref="AH86">_xlfn.IFS(M86=1,"Junior employee",M86=2,"Mid-level",M86=3,"Senior",M86=4,"Manager",M86=5,"Executive")</f>
        <v>Mid-level</v>
      </c>
      <c r="AI86" t="str" cm="1">
        <f t="array" ref="AI86">_xlfn.IFS(O86=1,"Low",O86=2,"Medium",O86=3,"High",O86=4,"Very High")</f>
        <v>Medium</v>
      </c>
      <c r="AJ86" t="str" cm="1">
        <f t="array" ref="AJ86">_xlfn.IFS(U86=1,"Low",U86=2,"Good",U86=3,"Excellent",U86=4,"Outstanding")</f>
        <v>Excellent</v>
      </c>
      <c r="AK86" t="str" cm="1">
        <f t="array" ref="AK86">_xlfn.IFS(V86=1,"Low",V86=2,"Medium",V86=3,"High",V86=4,"Very High")</f>
        <v>High</v>
      </c>
      <c r="AL86" t="str" cm="1">
        <f t="array" ref="AL86">_xlfn.IFS(Z86=1,"Bad",Z86=2,"Good",Z86=3,"Better",Z86=4,"Best")</f>
        <v>Better</v>
      </c>
      <c r="AM86" t="str" cm="1">
        <f t="array" ref="AM86">_xlfn.IFS(W86=0,"No_stock",W86=1,"Low",W86=2,"Medium",W86=3,"High")</f>
        <v>No_stock</v>
      </c>
      <c r="AN86" t="str">
        <f t="shared" si="1"/>
        <v>Near</v>
      </c>
    </row>
    <row r="87" spans="1:40" x14ac:dyDescent="0.45">
      <c r="A87">
        <v>56</v>
      </c>
      <c r="B87" t="s">
        <v>37</v>
      </c>
      <c r="C87" t="s">
        <v>31</v>
      </c>
      <c r="D87">
        <v>1400</v>
      </c>
      <c r="E87" t="s">
        <v>39</v>
      </c>
      <c r="F87">
        <v>7</v>
      </c>
      <c r="G87">
        <v>3</v>
      </c>
      <c r="H87" t="s">
        <v>33</v>
      </c>
      <c r="I87">
        <v>112</v>
      </c>
      <c r="J87">
        <v>4</v>
      </c>
      <c r="K87" t="s">
        <v>40</v>
      </c>
      <c r="L87">
        <v>1</v>
      </c>
      <c r="M87">
        <v>3</v>
      </c>
      <c r="N87" t="s">
        <v>47</v>
      </c>
      <c r="O87">
        <v>4</v>
      </c>
      <c r="P87" t="s">
        <v>36</v>
      </c>
      <c r="Q87">
        <v>7260</v>
      </c>
      <c r="R87">
        <v>4</v>
      </c>
      <c r="S87" t="s">
        <v>37</v>
      </c>
      <c r="T87">
        <v>11</v>
      </c>
      <c r="U87">
        <v>3</v>
      </c>
      <c r="V87">
        <v>1</v>
      </c>
      <c r="W87">
        <v>0</v>
      </c>
      <c r="X87">
        <v>37</v>
      </c>
      <c r="Y87">
        <v>3</v>
      </c>
      <c r="Z87">
        <v>2</v>
      </c>
      <c r="AA87">
        <v>6</v>
      </c>
      <c r="AB87">
        <v>4</v>
      </c>
      <c r="AC87">
        <v>0</v>
      </c>
      <c r="AD87">
        <v>2</v>
      </c>
      <c r="AE87" t="str" cm="1">
        <f t="array" ref="AE87">_xlfn.IFS(G87=1,"Before College",G87=2,"College",G87=3,"Bachelor",G87=4,"Master",G87=5,"Doctor")</f>
        <v>Bachelor</v>
      </c>
      <c r="AF87" t="str" cm="1">
        <f t="array" ref="AF87">_xlfn.IFS(J87=1,"Low",J87=2,"Medium",J87=3,"High",J87=4,"Very High")</f>
        <v>Very High</v>
      </c>
      <c r="AG87" t="str" cm="1">
        <f t="array" ref="AG87">_xlfn.IFS(L87=1,"Low",L87=2,"Medium",L87=3,"High",L87=4,"Very High")</f>
        <v>Low</v>
      </c>
      <c r="AH87" t="str" cm="1">
        <f t="array" ref="AH87">_xlfn.IFS(M87=1,"Junior employee",M87=2,"Mid-level",M87=3,"Senior",M87=4,"Manager",M87=5,"Executive")</f>
        <v>Senior</v>
      </c>
      <c r="AI87" t="str" cm="1">
        <f t="array" ref="AI87">_xlfn.IFS(O87=1,"Low",O87=2,"Medium",O87=3,"High",O87=4,"Very High")</f>
        <v>Very High</v>
      </c>
      <c r="AJ87" t="str" cm="1">
        <f t="array" ref="AJ87">_xlfn.IFS(U87=1,"Low",U87=2,"Good",U87=3,"Excellent",U87=4,"Outstanding")</f>
        <v>Excellent</v>
      </c>
      <c r="AK87" t="str" cm="1">
        <f t="array" ref="AK87">_xlfn.IFS(V87=1,"Low",V87=2,"Medium",V87=3,"High",V87=4,"Very High")</f>
        <v>Low</v>
      </c>
      <c r="AL87" t="str" cm="1">
        <f t="array" ref="AL87">_xlfn.IFS(Z87=1,"Bad",Z87=2,"Good",Z87=3,"Better",Z87=4,"Best")</f>
        <v>Good</v>
      </c>
      <c r="AM87" t="str" cm="1">
        <f t="array" ref="AM87">_xlfn.IFS(W87=0,"No_stock",W87=1,"Low",W87=2,"Medium",W87=3,"High")</f>
        <v>No_stock</v>
      </c>
      <c r="AN87" t="str">
        <f t="shared" si="1"/>
        <v>Medium</v>
      </c>
    </row>
    <row r="88" spans="1:40" x14ac:dyDescent="0.45">
      <c r="A88">
        <v>23</v>
      </c>
      <c r="B88" t="s">
        <v>37</v>
      </c>
      <c r="C88" t="s">
        <v>31</v>
      </c>
      <c r="D88">
        <v>541</v>
      </c>
      <c r="E88" t="s">
        <v>32</v>
      </c>
      <c r="F88">
        <v>2</v>
      </c>
      <c r="G88">
        <v>1</v>
      </c>
      <c r="H88" t="s">
        <v>54</v>
      </c>
      <c r="I88">
        <v>113</v>
      </c>
      <c r="J88">
        <v>3</v>
      </c>
      <c r="K88" t="s">
        <v>40</v>
      </c>
      <c r="L88">
        <v>3</v>
      </c>
      <c r="M88">
        <v>1</v>
      </c>
      <c r="N88" t="s">
        <v>51</v>
      </c>
      <c r="O88">
        <v>1</v>
      </c>
      <c r="P88" t="s">
        <v>46</v>
      </c>
      <c r="Q88">
        <v>2322</v>
      </c>
      <c r="R88">
        <v>3</v>
      </c>
      <c r="S88" t="s">
        <v>37</v>
      </c>
      <c r="T88">
        <v>13</v>
      </c>
      <c r="U88">
        <v>3</v>
      </c>
      <c r="V88">
        <v>3</v>
      </c>
      <c r="W88">
        <v>1</v>
      </c>
      <c r="X88">
        <v>3</v>
      </c>
      <c r="Y88">
        <v>3</v>
      </c>
      <c r="Z88">
        <v>3</v>
      </c>
      <c r="AA88">
        <v>0</v>
      </c>
      <c r="AB88">
        <v>0</v>
      </c>
      <c r="AC88">
        <v>0</v>
      </c>
      <c r="AD88">
        <v>0</v>
      </c>
      <c r="AE88" t="str" cm="1">
        <f t="array" ref="AE88">_xlfn.IFS(G88=1,"Before College",G88=2,"College",G88=3,"Bachelor",G88=4,"Master",G88=5,"Doctor")</f>
        <v>Before College</v>
      </c>
      <c r="AF88" t="str" cm="1">
        <f t="array" ref="AF88">_xlfn.IFS(J88=1,"Low",J88=2,"Medium",J88=3,"High",J88=4,"Very High")</f>
        <v>High</v>
      </c>
      <c r="AG88" t="str" cm="1">
        <f t="array" ref="AG88">_xlfn.IFS(L88=1,"Low",L88=2,"Medium",L88=3,"High",L88=4,"Very High")</f>
        <v>High</v>
      </c>
      <c r="AH88" t="str" cm="1">
        <f t="array" ref="AH88">_xlfn.IFS(M88=1,"Junior employee",M88=2,"Mid-level",M88=3,"Senior",M88=4,"Manager",M88=5,"Executive")</f>
        <v>Junior employee</v>
      </c>
      <c r="AI88" t="str" cm="1">
        <f t="array" ref="AI88">_xlfn.IFS(O88=1,"Low",O88=2,"Medium",O88=3,"High",O88=4,"Very High")</f>
        <v>Low</v>
      </c>
      <c r="AJ88" t="str" cm="1">
        <f t="array" ref="AJ88">_xlfn.IFS(U88=1,"Low",U88=2,"Good",U88=3,"Excellent",U88=4,"Outstanding")</f>
        <v>Excellent</v>
      </c>
      <c r="AK88" t="str" cm="1">
        <f t="array" ref="AK88">_xlfn.IFS(V88=1,"Low",V88=2,"Medium",V88=3,"High",V88=4,"Very High")</f>
        <v>High</v>
      </c>
      <c r="AL88" t="str" cm="1">
        <f t="array" ref="AL88">_xlfn.IFS(Z88=1,"Bad",Z88=2,"Good",Z88=3,"Better",Z88=4,"Best")</f>
        <v>Better</v>
      </c>
      <c r="AM88" t="str" cm="1">
        <f t="array" ref="AM88">_xlfn.IFS(W88=0,"No_stock",W88=1,"Low",W88=2,"Medium",W88=3,"High")</f>
        <v>Low</v>
      </c>
      <c r="AN88" t="str">
        <f t="shared" si="1"/>
        <v>Near</v>
      </c>
    </row>
    <row r="89" spans="1:40" x14ac:dyDescent="0.45">
      <c r="A89">
        <v>51</v>
      </c>
      <c r="B89" t="s">
        <v>37</v>
      </c>
      <c r="C89" t="s">
        <v>31</v>
      </c>
      <c r="D89">
        <v>432</v>
      </c>
      <c r="E89" t="s">
        <v>39</v>
      </c>
      <c r="F89">
        <v>9</v>
      </c>
      <c r="G89">
        <v>4</v>
      </c>
      <c r="H89" t="s">
        <v>33</v>
      </c>
      <c r="I89">
        <v>116</v>
      </c>
      <c r="J89">
        <v>4</v>
      </c>
      <c r="K89" t="s">
        <v>40</v>
      </c>
      <c r="L89">
        <v>3</v>
      </c>
      <c r="M89">
        <v>1</v>
      </c>
      <c r="N89" t="s">
        <v>44</v>
      </c>
      <c r="O89">
        <v>4</v>
      </c>
      <c r="P89" t="s">
        <v>42</v>
      </c>
      <c r="Q89">
        <v>2075</v>
      </c>
      <c r="R89">
        <v>3</v>
      </c>
      <c r="S89" t="s">
        <v>37</v>
      </c>
      <c r="T89">
        <v>23</v>
      </c>
      <c r="U89">
        <v>4</v>
      </c>
      <c r="V89">
        <v>2</v>
      </c>
      <c r="W89">
        <v>2</v>
      </c>
      <c r="X89">
        <v>10</v>
      </c>
      <c r="Y89">
        <v>4</v>
      </c>
      <c r="Z89">
        <v>3</v>
      </c>
      <c r="AA89">
        <v>4</v>
      </c>
      <c r="AB89">
        <v>2</v>
      </c>
      <c r="AC89">
        <v>0</v>
      </c>
      <c r="AD89">
        <v>3</v>
      </c>
      <c r="AE89" t="str" cm="1">
        <f t="array" ref="AE89">_xlfn.IFS(G89=1,"Before College",G89=2,"College",G89=3,"Bachelor",G89=4,"Master",G89=5,"Doctor")</f>
        <v>Master</v>
      </c>
      <c r="AF89" t="str" cm="1">
        <f t="array" ref="AF89">_xlfn.IFS(J89=1,"Low",J89=2,"Medium",J89=3,"High",J89=4,"Very High")</f>
        <v>Very High</v>
      </c>
      <c r="AG89" t="str" cm="1">
        <f t="array" ref="AG89">_xlfn.IFS(L89=1,"Low",L89=2,"Medium",L89=3,"High",L89=4,"Very High")</f>
        <v>High</v>
      </c>
      <c r="AH89" t="str" cm="1">
        <f t="array" ref="AH89">_xlfn.IFS(M89=1,"Junior employee",M89=2,"Mid-level",M89=3,"Senior",M89=4,"Manager",M89=5,"Executive")</f>
        <v>Junior employee</v>
      </c>
      <c r="AI89" t="str" cm="1">
        <f t="array" ref="AI89">_xlfn.IFS(O89=1,"Low",O89=2,"Medium",O89=3,"High",O89=4,"Very High")</f>
        <v>Very High</v>
      </c>
      <c r="AJ89" t="str" cm="1">
        <f t="array" ref="AJ89">_xlfn.IFS(U89=1,"Low",U89=2,"Good",U89=3,"Excellent",U89=4,"Outstanding")</f>
        <v>Outstanding</v>
      </c>
      <c r="AK89" t="str" cm="1">
        <f t="array" ref="AK89">_xlfn.IFS(V89=1,"Low",V89=2,"Medium",V89=3,"High",V89=4,"Very High")</f>
        <v>Medium</v>
      </c>
      <c r="AL89" t="str" cm="1">
        <f t="array" ref="AL89">_xlfn.IFS(Z89=1,"Bad",Z89=2,"Good",Z89=3,"Better",Z89=4,"Best")</f>
        <v>Better</v>
      </c>
      <c r="AM89" t="str" cm="1">
        <f t="array" ref="AM89">_xlfn.IFS(W89=0,"No_stock",W89=1,"Low",W89=2,"Medium",W89=3,"High")</f>
        <v>Medium</v>
      </c>
      <c r="AN89" t="str">
        <f t="shared" si="1"/>
        <v>Medium</v>
      </c>
    </row>
    <row r="90" spans="1:40" x14ac:dyDescent="0.45">
      <c r="A90">
        <v>30</v>
      </c>
      <c r="B90" t="s">
        <v>37</v>
      </c>
      <c r="C90" t="s">
        <v>31</v>
      </c>
      <c r="D90">
        <v>288</v>
      </c>
      <c r="E90" t="s">
        <v>39</v>
      </c>
      <c r="F90">
        <v>2</v>
      </c>
      <c r="G90">
        <v>3</v>
      </c>
      <c r="H90" t="s">
        <v>33</v>
      </c>
      <c r="I90">
        <v>117</v>
      </c>
      <c r="J90">
        <v>3</v>
      </c>
      <c r="K90" t="s">
        <v>40</v>
      </c>
      <c r="L90">
        <v>2</v>
      </c>
      <c r="M90">
        <v>2</v>
      </c>
      <c r="N90" t="s">
        <v>48</v>
      </c>
      <c r="O90">
        <v>4</v>
      </c>
      <c r="P90" t="s">
        <v>42</v>
      </c>
      <c r="Q90">
        <v>4152</v>
      </c>
      <c r="R90">
        <v>1</v>
      </c>
      <c r="S90" t="s">
        <v>37</v>
      </c>
      <c r="T90">
        <v>19</v>
      </c>
      <c r="U90">
        <v>3</v>
      </c>
      <c r="V90">
        <v>1</v>
      </c>
      <c r="W90">
        <v>3</v>
      </c>
      <c r="X90">
        <v>11</v>
      </c>
      <c r="Y90">
        <v>3</v>
      </c>
      <c r="Z90">
        <v>3</v>
      </c>
      <c r="AA90">
        <v>11</v>
      </c>
      <c r="AB90">
        <v>10</v>
      </c>
      <c r="AC90">
        <v>10</v>
      </c>
      <c r="AD90">
        <v>8</v>
      </c>
      <c r="AE90" t="str" cm="1">
        <f t="array" ref="AE90">_xlfn.IFS(G90=1,"Before College",G90=2,"College",G90=3,"Bachelor",G90=4,"Master",G90=5,"Doctor")</f>
        <v>Bachelor</v>
      </c>
      <c r="AF90" t="str" cm="1">
        <f t="array" ref="AF90">_xlfn.IFS(J90=1,"Low",J90=2,"Medium",J90=3,"High",J90=4,"Very High")</f>
        <v>High</v>
      </c>
      <c r="AG90" t="str" cm="1">
        <f t="array" ref="AG90">_xlfn.IFS(L90=1,"Low",L90=2,"Medium",L90=3,"High",L90=4,"Very High")</f>
        <v>Medium</v>
      </c>
      <c r="AH90" t="str" cm="1">
        <f t="array" ref="AH90">_xlfn.IFS(M90=1,"Junior employee",M90=2,"Mid-level",M90=3,"Senior",M90=4,"Manager",M90=5,"Executive")</f>
        <v>Mid-level</v>
      </c>
      <c r="AI90" t="str" cm="1">
        <f t="array" ref="AI90">_xlfn.IFS(O90=1,"Low",O90=2,"Medium",O90=3,"High",O90=4,"Very High")</f>
        <v>Very High</v>
      </c>
      <c r="AJ90" t="str" cm="1">
        <f t="array" ref="AJ90">_xlfn.IFS(U90=1,"Low",U90=2,"Good",U90=3,"Excellent",U90=4,"Outstanding")</f>
        <v>Excellent</v>
      </c>
      <c r="AK90" t="str" cm="1">
        <f t="array" ref="AK90">_xlfn.IFS(V90=1,"Low",V90=2,"Medium",V90=3,"High",V90=4,"Very High")</f>
        <v>Low</v>
      </c>
      <c r="AL90" t="str" cm="1">
        <f t="array" ref="AL90">_xlfn.IFS(Z90=1,"Bad",Z90=2,"Good",Z90=3,"Better",Z90=4,"Best")</f>
        <v>Better</v>
      </c>
      <c r="AM90" t="str" cm="1">
        <f t="array" ref="AM90">_xlfn.IFS(W90=0,"No_stock",W90=1,"Low",W90=2,"Medium",W90=3,"High")</f>
        <v>High</v>
      </c>
      <c r="AN90" t="str">
        <f t="shared" si="1"/>
        <v>Near</v>
      </c>
    </row>
    <row r="91" spans="1:40" x14ac:dyDescent="0.45">
      <c r="A91">
        <v>46</v>
      </c>
      <c r="B91" t="s">
        <v>30</v>
      </c>
      <c r="C91" t="s">
        <v>31</v>
      </c>
      <c r="D91">
        <v>669</v>
      </c>
      <c r="E91" t="s">
        <v>32</v>
      </c>
      <c r="F91">
        <v>9</v>
      </c>
      <c r="G91">
        <v>2</v>
      </c>
      <c r="H91" t="s">
        <v>45</v>
      </c>
      <c r="I91">
        <v>118</v>
      </c>
      <c r="J91">
        <v>3</v>
      </c>
      <c r="K91" t="s">
        <v>40</v>
      </c>
      <c r="L91">
        <v>2</v>
      </c>
      <c r="M91">
        <v>3</v>
      </c>
      <c r="N91" t="s">
        <v>35</v>
      </c>
      <c r="O91">
        <v>4</v>
      </c>
      <c r="P91" t="s">
        <v>36</v>
      </c>
      <c r="Q91">
        <v>9619</v>
      </c>
      <c r="R91">
        <v>1</v>
      </c>
      <c r="S91" t="s">
        <v>37</v>
      </c>
      <c r="T91">
        <v>16</v>
      </c>
      <c r="U91">
        <v>3</v>
      </c>
      <c r="V91">
        <v>4</v>
      </c>
      <c r="W91">
        <v>0</v>
      </c>
      <c r="X91">
        <v>9</v>
      </c>
      <c r="Y91">
        <v>3</v>
      </c>
      <c r="Z91">
        <v>3</v>
      </c>
      <c r="AA91">
        <v>9</v>
      </c>
      <c r="AB91">
        <v>8</v>
      </c>
      <c r="AC91">
        <v>4</v>
      </c>
      <c r="AD91">
        <v>7</v>
      </c>
      <c r="AE91" t="str" cm="1">
        <f t="array" ref="AE91">_xlfn.IFS(G91=1,"Before College",G91=2,"College",G91=3,"Bachelor",G91=4,"Master",G91=5,"Doctor")</f>
        <v>College</v>
      </c>
      <c r="AF91" t="str" cm="1">
        <f t="array" ref="AF91">_xlfn.IFS(J91=1,"Low",J91=2,"Medium",J91=3,"High",J91=4,"Very High")</f>
        <v>High</v>
      </c>
      <c r="AG91" t="str" cm="1">
        <f t="array" ref="AG91">_xlfn.IFS(L91=1,"Low",L91=2,"Medium",L91=3,"High",L91=4,"Very High")</f>
        <v>Medium</v>
      </c>
      <c r="AH91" t="str" cm="1">
        <f t="array" ref="AH91">_xlfn.IFS(M91=1,"Junior employee",M91=2,"Mid-level",M91=3,"Senior",M91=4,"Manager",M91=5,"Executive")</f>
        <v>Senior</v>
      </c>
      <c r="AI91" t="str" cm="1">
        <f t="array" ref="AI91">_xlfn.IFS(O91=1,"Low",O91=2,"Medium",O91=3,"High",O91=4,"Very High")</f>
        <v>Very High</v>
      </c>
      <c r="AJ91" t="str" cm="1">
        <f t="array" ref="AJ91">_xlfn.IFS(U91=1,"Low",U91=2,"Good",U91=3,"Excellent",U91=4,"Outstanding")</f>
        <v>Excellent</v>
      </c>
      <c r="AK91" t="str" cm="1">
        <f t="array" ref="AK91">_xlfn.IFS(V91=1,"Low",V91=2,"Medium",V91=3,"High",V91=4,"Very High")</f>
        <v>Very High</v>
      </c>
      <c r="AL91" t="str" cm="1">
        <f t="array" ref="AL91">_xlfn.IFS(Z91=1,"Bad",Z91=2,"Good",Z91=3,"Better",Z91=4,"Best")</f>
        <v>Better</v>
      </c>
      <c r="AM91" t="str" cm="1">
        <f t="array" ref="AM91">_xlfn.IFS(W91=0,"No_stock",W91=1,"Low",W91=2,"Medium",W91=3,"High")</f>
        <v>No_stock</v>
      </c>
      <c r="AN91" t="str">
        <f t="shared" si="1"/>
        <v>Medium</v>
      </c>
    </row>
    <row r="92" spans="1:40" x14ac:dyDescent="0.45">
      <c r="A92">
        <v>40</v>
      </c>
      <c r="B92" t="s">
        <v>37</v>
      </c>
      <c r="C92" t="s">
        <v>38</v>
      </c>
      <c r="D92">
        <v>530</v>
      </c>
      <c r="E92" t="s">
        <v>39</v>
      </c>
      <c r="F92">
        <v>1</v>
      </c>
      <c r="G92">
        <v>4</v>
      </c>
      <c r="H92" t="s">
        <v>33</v>
      </c>
      <c r="I92">
        <v>119</v>
      </c>
      <c r="J92">
        <v>3</v>
      </c>
      <c r="K92" t="s">
        <v>40</v>
      </c>
      <c r="L92">
        <v>2</v>
      </c>
      <c r="M92">
        <v>4</v>
      </c>
      <c r="N92" t="s">
        <v>48</v>
      </c>
      <c r="O92">
        <v>2</v>
      </c>
      <c r="P92" t="s">
        <v>42</v>
      </c>
      <c r="Q92">
        <v>13503</v>
      </c>
      <c r="R92">
        <v>1</v>
      </c>
      <c r="S92" t="s">
        <v>37</v>
      </c>
      <c r="T92">
        <v>22</v>
      </c>
      <c r="U92">
        <v>4</v>
      </c>
      <c r="V92">
        <v>4</v>
      </c>
      <c r="W92">
        <v>1</v>
      </c>
      <c r="X92">
        <v>22</v>
      </c>
      <c r="Y92">
        <v>3</v>
      </c>
      <c r="Z92">
        <v>2</v>
      </c>
      <c r="AA92">
        <v>22</v>
      </c>
      <c r="AB92">
        <v>3</v>
      </c>
      <c r="AC92">
        <v>11</v>
      </c>
      <c r="AD92">
        <v>11</v>
      </c>
      <c r="AE92" t="str" cm="1">
        <f t="array" ref="AE92">_xlfn.IFS(G92=1,"Before College",G92=2,"College",G92=3,"Bachelor",G92=4,"Master",G92=5,"Doctor")</f>
        <v>Master</v>
      </c>
      <c r="AF92" t="str" cm="1">
        <f t="array" ref="AF92">_xlfn.IFS(J92=1,"Low",J92=2,"Medium",J92=3,"High",J92=4,"Very High")</f>
        <v>High</v>
      </c>
      <c r="AG92" t="str" cm="1">
        <f t="array" ref="AG92">_xlfn.IFS(L92=1,"Low",L92=2,"Medium",L92=3,"High",L92=4,"Very High")</f>
        <v>Medium</v>
      </c>
      <c r="AH92" t="str" cm="1">
        <f t="array" ref="AH92">_xlfn.IFS(M92=1,"Junior employee",M92=2,"Mid-level",M92=3,"Senior",M92=4,"Manager",M92=5,"Executive")</f>
        <v>Manager</v>
      </c>
      <c r="AI92" t="str" cm="1">
        <f t="array" ref="AI92">_xlfn.IFS(O92=1,"Low",O92=2,"Medium",O92=3,"High",O92=4,"Very High")</f>
        <v>Medium</v>
      </c>
      <c r="AJ92" t="str" cm="1">
        <f t="array" ref="AJ92">_xlfn.IFS(U92=1,"Low",U92=2,"Good",U92=3,"Excellent",U92=4,"Outstanding")</f>
        <v>Outstanding</v>
      </c>
      <c r="AK92" t="str" cm="1">
        <f t="array" ref="AK92">_xlfn.IFS(V92=1,"Low",V92=2,"Medium",V92=3,"High",V92=4,"Very High")</f>
        <v>Very High</v>
      </c>
      <c r="AL92" t="str" cm="1">
        <f t="array" ref="AL92">_xlfn.IFS(Z92=1,"Bad",Z92=2,"Good",Z92=3,"Better",Z92=4,"Best")</f>
        <v>Good</v>
      </c>
      <c r="AM92" t="str" cm="1">
        <f t="array" ref="AM92">_xlfn.IFS(W92=0,"No_stock",W92=1,"Low",W92=2,"Medium",W92=3,"High")</f>
        <v>Low</v>
      </c>
      <c r="AN92" t="str">
        <f t="shared" si="1"/>
        <v>Near</v>
      </c>
    </row>
    <row r="93" spans="1:40" x14ac:dyDescent="0.45">
      <c r="A93">
        <v>51</v>
      </c>
      <c r="B93" t="s">
        <v>37</v>
      </c>
      <c r="C93" t="s">
        <v>31</v>
      </c>
      <c r="D93">
        <v>632</v>
      </c>
      <c r="E93" t="s">
        <v>32</v>
      </c>
      <c r="F93">
        <v>21</v>
      </c>
      <c r="G93">
        <v>4</v>
      </c>
      <c r="H93" t="s">
        <v>53</v>
      </c>
      <c r="I93">
        <v>120</v>
      </c>
      <c r="J93">
        <v>3</v>
      </c>
      <c r="K93" t="s">
        <v>40</v>
      </c>
      <c r="L93">
        <v>3</v>
      </c>
      <c r="M93">
        <v>2</v>
      </c>
      <c r="N93" t="s">
        <v>35</v>
      </c>
      <c r="O93">
        <v>4</v>
      </c>
      <c r="P93" t="s">
        <v>36</v>
      </c>
      <c r="Q93">
        <v>5441</v>
      </c>
      <c r="R93">
        <v>0</v>
      </c>
      <c r="S93" t="s">
        <v>30</v>
      </c>
      <c r="T93">
        <v>22</v>
      </c>
      <c r="U93">
        <v>4</v>
      </c>
      <c r="V93">
        <v>4</v>
      </c>
      <c r="W93">
        <v>0</v>
      </c>
      <c r="X93">
        <v>11</v>
      </c>
      <c r="Y93">
        <v>2</v>
      </c>
      <c r="Z93">
        <v>1</v>
      </c>
      <c r="AA93">
        <v>10</v>
      </c>
      <c r="AB93">
        <v>7</v>
      </c>
      <c r="AC93">
        <v>1</v>
      </c>
      <c r="AD93">
        <v>0</v>
      </c>
      <c r="AE93" t="str" cm="1">
        <f t="array" ref="AE93">_xlfn.IFS(G93=1,"Before College",G93=2,"College",G93=3,"Bachelor",G93=4,"Master",G93=5,"Doctor")</f>
        <v>Master</v>
      </c>
      <c r="AF93" t="str" cm="1">
        <f t="array" ref="AF93">_xlfn.IFS(J93=1,"Low",J93=2,"Medium",J93=3,"High",J93=4,"Very High")</f>
        <v>High</v>
      </c>
      <c r="AG93" t="str" cm="1">
        <f t="array" ref="AG93">_xlfn.IFS(L93=1,"Low",L93=2,"Medium",L93=3,"High",L93=4,"Very High")</f>
        <v>High</v>
      </c>
      <c r="AH93" t="str" cm="1">
        <f t="array" ref="AH93">_xlfn.IFS(M93=1,"Junior employee",M93=2,"Mid-level",M93=3,"Senior",M93=4,"Manager",M93=5,"Executive")</f>
        <v>Mid-level</v>
      </c>
      <c r="AI93" t="str" cm="1">
        <f t="array" ref="AI93">_xlfn.IFS(O93=1,"Low",O93=2,"Medium",O93=3,"High",O93=4,"Very High")</f>
        <v>Very High</v>
      </c>
      <c r="AJ93" t="str" cm="1">
        <f t="array" ref="AJ93">_xlfn.IFS(U93=1,"Low",U93=2,"Good",U93=3,"Excellent",U93=4,"Outstanding")</f>
        <v>Outstanding</v>
      </c>
      <c r="AK93" t="str" cm="1">
        <f t="array" ref="AK93">_xlfn.IFS(V93=1,"Low",V93=2,"Medium",V93=3,"High",V93=4,"Very High")</f>
        <v>Very High</v>
      </c>
      <c r="AL93" t="str" cm="1">
        <f t="array" ref="AL93">_xlfn.IFS(Z93=1,"Bad",Z93=2,"Good",Z93=3,"Better",Z93=4,"Best")</f>
        <v>Bad</v>
      </c>
      <c r="AM93" t="str" cm="1">
        <f t="array" ref="AM93">_xlfn.IFS(W93=0,"No_stock",W93=1,"Low",W93=2,"Medium",W93=3,"High")</f>
        <v>No_stock</v>
      </c>
      <c r="AN93" t="str">
        <f t="shared" si="1"/>
        <v>Far</v>
      </c>
    </row>
    <row r="94" spans="1:40" x14ac:dyDescent="0.45">
      <c r="A94">
        <v>30</v>
      </c>
      <c r="B94" t="s">
        <v>37</v>
      </c>
      <c r="C94" t="s">
        <v>31</v>
      </c>
      <c r="D94">
        <v>1334</v>
      </c>
      <c r="E94" t="s">
        <v>32</v>
      </c>
      <c r="F94">
        <v>4</v>
      </c>
      <c r="G94">
        <v>2</v>
      </c>
      <c r="H94" t="s">
        <v>45</v>
      </c>
      <c r="I94">
        <v>121</v>
      </c>
      <c r="J94">
        <v>3</v>
      </c>
      <c r="K94" t="s">
        <v>34</v>
      </c>
      <c r="L94">
        <v>2</v>
      </c>
      <c r="M94">
        <v>2</v>
      </c>
      <c r="N94" t="s">
        <v>35</v>
      </c>
      <c r="O94">
        <v>2</v>
      </c>
      <c r="P94" t="s">
        <v>46</v>
      </c>
      <c r="Q94">
        <v>5209</v>
      </c>
      <c r="R94">
        <v>1</v>
      </c>
      <c r="S94" t="s">
        <v>30</v>
      </c>
      <c r="T94">
        <v>12</v>
      </c>
      <c r="U94">
        <v>3</v>
      </c>
      <c r="V94">
        <v>2</v>
      </c>
      <c r="W94">
        <v>3</v>
      </c>
      <c r="X94">
        <v>11</v>
      </c>
      <c r="Y94">
        <v>4</v>
      </c>
      <c r="Z94">
        <v>2</v>
      </c>
      <c r="AA94">
        <v>11</v>
      </c>
      <c r="AB94">
        <v>8</v>
      </c>
      <c r="AC94">
        <v>2</v>
      </c>
      <c r="AD94">
        <v>7</v>
      </c>
      <c r="AE94" t="str" cm="1">
        <f t="array" ref="AE94">_xlfn.IFS(G94=1,"Before College",G94=2,"College",G94=3,"Bachelor",G94=4,"Master",G94=5,"Doctor")</f>
        <v>College</v>
      </c>
      <c r="AF94" t="str" cm="1">
        <f t="array" ref="AF94">_xlfn.IFS(J94=1,"Low",J94=2,"Medium",J94=3,"High",J94=4,"Very High")</f>
        <v>High</v>
      </c>
      <c r="AG94" t="str" cm="1">
        <f t="array" ref="AG94">_xlfn.IFS(L94=1,"Low",L94=2,"Medium",L94=3,"High",L94=4,"Very High")</f>
        <v>Medium</v>
      </c>
      <c r="AH94" t="str" cm="1">
        <f t="array" ref="AH94">_xlfn.IFS(M94=1,"Junior employee",M94=2,"Mid-level",M94=3,"Senior",M94=4,"Manager",M94=5,"Executive")</f>
        <v>Mid-level</v>
      </c>
      <c r="AI94" t="str" cm="1">
        <f t="array" ref="AI94">_xlfn.IFS(O94=1,"Low",O94=2,"Medium",O94=3,"High",O94=4,"Very High")</f>
        <v>Medium</v>
      </c>
      <c r="AJ94" t="str" cm="1">
        <f t="array" ref="AJ94">_xlfn.IFS(U94=1,"Low",U94=2,"Good",U94=3,"Excellent",U94=4,"Outstanding")</f>
        <v>Excellent</v>
      </c>
      <c r="AK94" t="str" cm="1">
        <f t="array" ref="AK94">_xlfn.IFS(V94=1,"Low",V94=2,"Medium",V94=3,"High",V94=4,"Very High")</f>
        <v>Medium</v>
      </c>
      <c r="AL94" t="str" cm="1">
        <f t="array" ref="AL94">_xlfn.IFS(Z94=1,"Bad",Z94=2,"Good",Z94=3,"Better",Z94=4,"Best")</f>
        <v>Good</v>
      </c>
      <c r="AM94" t="str" cm="1">
        <f t="array" ref="AM94">_xlfn.IFS(W94=0,"No_stock",W94=1,"Low",W94=2,"Medium",W94=3,"High")</f>
        <v>High</v>
      </c>
      <c r="AN94" t="str">
        <f t="shared" si="1"/>
        <v>Near</v>
      </c>
    </row>
    <row r="95" spans="1:40" x14ac:dyDescent="0.45">
      <c r="A95">
        <v>46</v>
      </c>
      <c r="B95" t="s">
        <v>37</v>
      </c>
      <c r="C95" t="s">
        <v>38</v>
      </c>
      <c r="D95">
        <v>638</v>
      </c>
      <c r="E95" t="s">
        <v>39</v>
      </c>
      <c r="F95">
        <v>1</v>
      </c>
      <c r="G95">
        <v>3</v>
      </c>
      <c r="H95" t="s">
        <v>45</v>
      </c>
      <c r="I95">
        <v>124</v>
      </c>
      <c r="J95">
        <v>3</v>
      </c>
      <c r="K95" t="s">
        <v>40</v>
      </c>
      <c r="L95">
        <v>2</v>
      </c>
      <c r="M95">
        <v>3</v>
      </c>
      <c r="N95" t="s">
        <v>48</v>
      </c>
      <c r="O95">
        <v>1</v>
      </c>
      <c r="P95" t="s">
        <v>42</v>
      </c>
      <c r="Q95">
        <v>10673</v>
      </c>
      <c r="R95">
        <v>2</v>
      </c>
      <c r="S95" t="s">
        <v>30</v>
      </c>
      <c r="T95">
        <v>13</v>
      </c>
      <c r="U95">
        <v>3</v>
      </c>
      <c r="V95">
        <v>3</v>
      </c>
      <c r="W95">
        <v>1</v>
      </c>
      <c r="X95">
        <v>21</v>
      </c>
      <c r="Y95">
        <v>5</v>
      </c>
      <c r="Z95">
        <v>2</v>
      </c>
      <c r="AA95">
        <v>10</v>
      </c>
      <c r="AB95">
        <v>9</v>
      </c>
      <c r="AC95">
        <v>9</v>
      </c>
      <c r="AD95">
        <v>5</v>
      </c>
      <c r="AE95" t="str" cm="1">
        <f t="array" ref="AE95">_xlfn.IFS(G95=1,"Before College",G95=2,"College",G95=3,"Bachelor",G95=4,"Master",G95=5,"Doctor")</f>
        <v>Bachelor</v>
      </c>
      <c r="AF95" t="str" cm="1">
        <f t="array" ref="AF95">_xlfn.IFS(J95=1,"Low",J95=2,"Medium",J95=3,"High",J95=4,"Very High")</f>
        <v>High</v>
      </c>
      <c r="AG95" t="str" cm="1">
        <f t="array" ref="AG95">_xlfn.IFS(L95=1,"Low",L95=2,"Medium",L95=3,"High",L95=4,"Very High")</f>
        <v>Medium</v>
      </c>
      <c r="AH95" t="str" cm="1">
        <f t="array" ref="AH95">_xlfn.IFS(M95=1,"Junior employee",M95=2,"Mid-level",M95=3,"Senior",M95=4,"Manager",M95=5,"Executive")</f>
        <v>Senior</v>
      </c>
      <c r="AI95" t="str" cm="1">
        <f t="array" ref="AI95">_xlfn.IFS(O95=1,"Low",O95=2,"Medium",O95=3,"High",O95=4,"Very High")</f>
        <v>Low</v>
      </c>
      <c r="AJ95" t="str" cm="1">
        <f t="array" ref="AJ95">_xlfn.IFS(U95=1,"Low",U95=2,"Good",U95=3,"Excellent",U95=4,"Outstanding")</f>
        <v>Excellent</v>
      </c>
      <c r="AK95" t="str" cm="1">
        <f t="array" ref="AK95">_xlfn.IFS(V95=1,"Low",V95=2,"Medium",V95=3,"High",V95=4,"Very High")</f>
        <v>High</v>
      </c>
      <c r="AL95" t="str" cm="1">
        <f t="array" ref="AL95">_xlfn.IFS(Z95=1,"Bad",Z95=2,"Good",Z95=3,"Better",Z95=4,"Best")</f>
        <v>Good</v>
      </c>
      <c r="AM95" t="str" cm="1">
        <f t="array" ref="AM95">_xlfn.IFS(W95=0,"No_stock",W95=1,"Low",W95=2,"Medium",W95=3,"High")</f>
        <v>Low</v>
      </c>
      <c r="AN95" t="str">
        <f t="shared" si="1"/>
        <v>Near</v>
      </c>
    </row>
    <row r="96" spans="1:40" x14ac:dyDescent="0.45">
      <c r="A96">
        <v>32</v>
      </c>
      <c r="B96" t="s">
        <v>37</v>
      </c>
      <c r="C96" t="s">
        <v>31</v>
      </c>
      <c r="D96">
        <v>1093</v>
      </c>
      <c r="E96" t="s">
        <v>32</v>
      </c>
      <c r="F96">
        <v>6</v>
      </c>
      <c r="G96">
        <v>4</v>
      </c>
      <c r="H96" t="s">
        <v>45</v>
      </c>
      <c r="I96">
        <v>125</v>
      </c>
      <c r="J96">
        <v>2</v>
      </c>
      <c r="K96" t="s">
        <v>40</v>
      </c>
      <c r="L96">
        <v>3</v>
      </c>
      <c r="M96">
        <v>2</v>
      </c>
      <c r="N96" t="s">
        <v>35</v>
      </c>
      <c r="O96">
        <v>3</v>
      </c>
      <c r="P96" t="s">
        <v>36</v>
      </c>
      <c r="Q96">
        <v>5010</v>
      </c>
      <c r="R96">
        <v>1</v>
      </c>
      <c r="S96" t="s">
        <v>37</v>
      </c>
      <c r="T96">
        <v>16</v>
      </c>
      <c r="U96">
        <v>3</v>
      </c>
      <c r="V96">
        <v>1</v>
      </c>
      <c r="W96">
        <v>0</v>
      </c>
      <c r="X96">
        <v>12</v>
      </c>
      <c r="Y96">
        <v>0</v>
      </c>
      <c r="Z96">
        <v>3</v>
      </c>
      <c r="AA96">
        <v>11</v>
      </c>
      <c r="AB96">
        <v>8</v>
      </c>
      <c r="AC96">
        <v>5</v>
      </c>
      <c r="AD96">
        <v>7</v>
      </c>
      <c r="AE96" t="str" cm="1">
        <f t="array" ref="AE96">_xlfn.IFS(G96=1,"Before College",G96=2,"College",G96=3,"Bachelor",G96=4,"Master",G96=5,"Doctor")</f>
        <v>Master</v>
      </c>
      <c r="AF96" t="str" cm="1">
        <f t="array" ref="AF96">_xlfn.IFS(J96=1,"Low",J96=2,"Medium",J96=3,"High",J96=4,"Very High")</f>
        <v>Medium</v>
      </c>
      <c r="AG96" t="str" cm="1">
        <f t="array" ref="AG96">_xlfn.IFS(L96=1,"Low",L96=2,"Medium",L96=3,"High",L96=4,"Very High")</f>
        <v>High</v>
      </c>
      <c r="AH96" t="str" cm="1">
        <f t="array" ref="AH96">_xlfn.IFS(M96=1,"Junior employee",M96=2,"Mid-level",M96=3,"Senior",M96=4,"Manager",M96=5,"Executive")</f>
        <v>Mid-level</v>
      </c>
      <c r="AI96" t="str" cm="1">
        <f t="array" ref="AI96">_xlfn.IFS(O96=1,"Low",O96=2,"Medium",O96=3,"High",O96=4,"Very High")</f>
        <v>High</v>
      </c>
      <c r="AJ96" t="str" cm="1">
        <f t="array" ref="AJ96">_xlfn.IFS(U96=1,"Low",U96=2,"Good",U96=3,"Excellent",U96=4,"Outstanding")</f>
        <v>Excellent</v>
      </c>
      <c r="AK96" t="str" cm="1">
        <f t="array" ref="AK96">_xlfn.IFS(V96=1,"Low",V96=2,"Medium",V96=3,"High",V96=4,"Very High")</f>
        <v>Low</v>
      </c>
      <c r="AL96" t="str" cm="1">
        <f t="array" ref="AL96">_xlfn.IFS(Z96=1,"Bad",Z96=2,"Good",Z96=3,"Better",Z96=4,"Best")</f>
        <v>Better</v>
      </c>
      <c r="AM96" t="str" cm="1">
        <f t="array" ref="AM96">_xlfn.IFS(W96=0,"No_stock",W96=1,"Low",W96=2,"Medium",W96=3,"High")</f>
        <v>No_stock</v>
      </c>
      <c r="AN96" t="str">
        <f t="shared" si="1"/>
        <v>Medium</v>
      </c>
    </row>
    <row r="97" spans="1:40" x14ac:dyDescent="0.45">
      <c r="A97">
        <v>54</v>
      </c>
      <c r="B97" t="s">
        <v>37</v>
      </c>
      <c r="C97" t="s">
        <v>31</v>
      </c>
      <c r="D97">
        <v>1217</v>
      </c>
      <c r="E97" t="s">
        <v>39</v>
      </c>
      <c r="F97">
        <v>2</v>
      </c>
      <c r="G97">
        <v>4</v>
      </c>
      <c r="H97" t="s">
        <v>54</v>
      </c>
      <c r="I97">
        <v>126</v>
      </c>
      <c r="J97">
        <v>1</v>
      </c>
      <c r="K97" t="s">
        <v>34</v>
      </c>
      <c r="L97">
        <v>3</v>
      </c>
      <c r="M97">
        <v>3</v>
      </c>
      <c r="N97" t="s">
        <v>52</v>
      </c>
      <c r="O97">
        <v>3</v>
      </c>
      <c r="P97" t="s">
        <v>42</v>
      </c>
      <c r="Q97">
        <v>13549</v>
      </c>
      <c r="R97">
        <v>9</v>
      </c>
      <c r="S97" t="s">
        <v>37</v>
      </c>
      <c r="T97">
        <v>12</v>
      </c>
      <c r="U97">
        <v>3</v>
      </c>
      <c r="V97">
        <v>1</v>
      </c>
      <c r="W97">
        <v>1</v>
      </c>
      <c r="X97">
        <v>16</v>
      </c>
      <c r="Y97">
        <v>5</v>
      </c>
      <c r="Z97">
        <v>1</v>
      </c>
      <c r="AA97">
        <v>4</v>
      </c>
      <c r="AB97">
        <v>3</v>
      </c>
      <c r="AC97">
        <v>0</v>
      </c>
      <c r="AD97">
        <v>3</v>
      </c>
      <c r="AE97" t="str" cm="1">
        <f t="array" ref="AE97">_xlfn.IFS(G97=1,"Before College",G97=2,"College",G97=3,"Bachelor",G97=4,"Master",G97=5,"Doctor")</f>
        <v>Master</v>
      </c>
      <c r="AF97" t="str" cm="1">
        <f t="array" ref="AF97">_xlfn.IFS(J97=1,"Low",J97=2,"Medium",J97=3,"High",J97=4,"Very High")</f>
        <v>Low</v>
      </c>
      <c r="AG97" t="str" cm="1">
        <f t="array" ref="AG97">_xlfn.IFS(L97=1,"Low",L97=2,"Medium",L97=3,"High",L97=4,"Very High")</f>
        <v>High</v>
      </c>
      <c r="AH97" t="str" cm="1">
        <f t="array" ref="AH97">_xlfn.IFS(M97=1,"Junior employee",M97=2,"Mid-level",M97=3,"Senior",M97=4,"Manager",M97=5,"Executive")</f>
        <v>Senior</v>
      </c>
      <c r="AI97" t="str" cm="1">
        <f t="array" ref="AI97">_xlfn.IFS(O97=1,"Low",O97=2,"Medium",O97=3,"High",O97=4,"Very High")</f>
        <v>High</v>
      </c>
      <c r="AJ97" t="str" cm="1">
        <f t="array" ref="AJ97">_xlfn.IFS(U97=1,"Low",U97=2,"Good",U97=3,"Excellent",U97=4,"Outstanding")</f>
        <v>Excellent</v>
      </c>
      <c r="AK97" t="str" cm="1">
        <f t="array" ref="AK97">_xlfn.IFS(V97=1,"Low",V97=2,"Medium",V97=3,"High",V97=4,"Very High")</f>
        <v>Low</v>
      </c>
      <c r="AL97" t="str" cm="1">
        <f t="array" ref="AL97">_xlfn.IFS(Z97=1,"Bad",Z97=2,"Good",Z97=3,"Better",Z97=4,"Best")</f>
        <v>Bad</v>
      </c>
      <c r="AM97" t="str" cm="1">
        <f t="array" ref="AM97">_xlfn.IFS(W97=0,"No_stock",W97=1,"Low",W97=2,"Medium",W97=3,"High")</f>
        <v>Low</v>
      </c>
      <c r="AN97" t="str">
        <f t="shared" si="1"/>
        <v>Near</v>
      </c>
    </row>
    <row r="98" spans="1:40" x14ac:dyDescent="0.45">
      <c r="A98">
        <v>24</v>
      </c>
      <c r="B98" t="s">
        <v>37</v>
      </c>
      <c r="C98" t="s">
        <v>31</v>
      </c>
      <c r="D98">
        <v>1353</v>
      </c>
      <c r="E98" t="s">
        <v>32</v>
      </c>
      <c r="F98">
        <v>3</v>
      </c>
      <c r="G98">
        <v>2</v>
      </c>
      <c r="H98" t="s">
        <v>43</v>
      </c>
      <c r="I98">
        <v>128</v>
      </c>
      <c r="J98">
        <v>1</v>
      </c>
      <c r="K98" t="s">
        <v>34</v>
      </c>
      <c r="L98">
        <v>3</v>
      </c>
      <c r="M98">
        <v>2</v>
      </c>
      <c r="N98" t="s">
        <v>35</v>
      </c>
      <c r="O98">
        <v>3</v>
      </c>
      <c r="P98" t="s">
        <v>42</v>
      </c>
      <c r="Q98">
        <v>4999</v>
      </c>
      <c r="R98">
        <v>0</v>
      </c>
      <c r="S98" t="s">
        <v>37</v>
      </c>
      <c r="T98">
        <v>21</v>
      </c>
      <c r="U98">
        <v>4</v>
      </c>
      <c r="V98">
        <v>1</v>
      </c>
      <c r="W98">
        <v>1</v>
      </c>
      <c r="X98">
        <v>4</v>
      </c>
      <c r="Y98">
        <v>2</v>
      </c>
      <c r="Z98">
        <v>2</v>
      </c>
      <c r="AA98">
        <v>3</v>
      </c>
      <c r="AB98">
        <v>2</v>
      </c>
      <c r="AC98">
        <v>0</v>
      </c>
      <c r="AD98">
        <v>2</v>
      </c>
      <c r="AE98" t="str" cm="1">
        <f t="array" ref="AE98">_xlfn.IFS(G98=1,"Before College",G98=2,"College",G98=3,"Bachelor",G98=4,"Master",G98=5,"Doctor")</f>
        <v>College</v>
      </c>
      <c r="AF98" t="str" cm="1">
        <f t="array" ref="AF98">_xlfn.IFS(J98=1,"Low",J98=2,"Medium",J98=3,"High",J98=4,"Very High")</f>
        <v>Low</v>
      </c>
      <c r="AG98" t="str" cm="1">
        <f t="array" ref="AG98">_xlfn.IFS(L98=1,"Low",L98=2,"Medium",L98=3,"High",L98=4,"Very High")</f>
        <v>High</v>
      </c>
      <c r="AH98" t="str" cm="1">
        <f t="array" ref="AH98">_xlfn.IFS(M98=1,"Junior employee",M98=2,"Mid-level",M98=3,"Senior",M98=4,"Manager",M98=5,"Executive")</f>
        <v>Mid-level</v>
      </c>
      <c r="AI98" t="str" cm="1">
        <f t="array" ref="AI98">_xlfn.IFS(O98=1,"Low",O98=2,"Medium",O98=3,"High",O98=4,"Very High")</f>
        <v>High</v>
      </c>
      <c r="AJ98" t="str" cm="1">
        <f t="array" ref="AJ98">_xlfn.IFS(U98=1,"Low",U98=2,"Good",U98=3,"Excellent",U98=4,"Outstanding")</f>
        <v>Outstanding</v>
      </c>
      <c r="AK98" t="str" cm="1">
        <f t="array" ref="AK98">_xlfn.IFS(V98=1,"Low",V98=2,"Medium",V98=3,"High",V98=4,"Very High")</f>
        <v>Low</v>
      </c>
      <c r="AL98" t="str" cm="1">
        <f t="array" ref="AL98">_xlfn.IFS(Z98=1,"Bad",Z98=2,"Good",Z98=3,"Better",Z98=4,"Best")</f>
        <v>Good</v>
      </c>
      <c r="AM98" t="str" cm="1">
        <f t="array" ref="AM98">_xlfn.IFS(W98=0,"No_stock",W98=1,"Low",W98=2,"Medium",W98=3,"High")</f>
        <v>Low</v>
      </c>
      <c r="AN98" t="str">
        <f t="shared" si="1"/>
        <v>Near</v>
      </c>
    </row>
    <row r="99" spans="1:40" x14ac:dyDescent="0.45">
      <c r="A99">
        <v>28</v>
      </c>
      <c r="B99" t="s">
        <v>37</v>
      </c>
      <c r="C99" t="s">
        <v>49</v>
      </c>
      <c r="D99">
        <v>120</v>
      </c>
      <c r="E99" t="s">
        <v>32</v>
      </c>
      <c r="F99">
        <v>4</v>
      </c>
      <c r="G99">
        <v>3</v>
      </c>
      <c r="H99" t="s">
        <v>45</v>
      </c>
      <c r="I99">
        <v>129</v>
      </c>
      <c r="J99">
        <v>2</v>
      </c>
      <c r="K99" t="s">
        <v>40</v>
      </c>
      <c r="L99">
        <v>3</v>
      </c>
      <c r="M99">
        <v>2</v>
      </c>
      <c r="N99" t="s">
        <v>35</v>
      </c>
      <c r="O99">
        <v>3</v>
      </c>
      <c r="P99" t="s">
        <v>42</v>
      </c>
      <c r="Q99">
        <v>4221</v>
      </c>
      <c r="R99">
        <v>1</v>
      </c>
      <c r="S99" t="s">
        <v>37</v>
      </c>
      <c r="T99">
        <v>15</v>
      </c>
      <c r="U99">
        <v>3</v>
      </c>
      <c r="V99">
        <v>2</v>
      </c>
      <c r="W99">
        <v>0</v>
      </c>
      <c r="X99">
        <v>5</v>
      </c>
      <c r="Y99">
        <v>3</v>
      </c>
      <c r="Z99">
        <v>4</v>
      </c>
      <c r="AA99">
        <v>5</v>
      </c>
      <c r="AB99">
        <v>4</v>
      </c>
      <c r="AC99">
        <v>0</v>
      </c>
      <c r="AD99">
        <v>4</v>
      </c>
      <c r="AE99" t="str" cm="1">
        <f t="array" ref="AE99">_xlfn.IFS(G99=1,"Before College",G99=2,"College",G99=3,"Bachelor",G99=4,"Master",G99=5,"Doctor")</f>
        <v>Bachelor</v>
      </c>
      <c r="AF99" t="str" cm="1">
        <f t="array" ref="AF99">_xlfn.IFS(J99=1,"Low",J99=2,"Medium",J99=3,"High",J99=4,"Very High")</f>
        <v>Medium</v>
      </c>
      <c r="AG99" t="str" cm="1">
        <f t="array" ref="AG99">_xlfn.IFS(L99=1,"Low",L99=2,"Medium",L99=3,"High",L99=4,"Very High")</f>
        <v>High</v>
      </c>
      <c r="AH99" t="str" cm="1">
        <f t="array" ref="AH99">_xlfn.IFS(M99=1,"Junior employee",M99=2,"Mid-level",M99=3,"Senior",M99=4,"Manager",M99=5,"Executive")</f>
        <v>Mid-level</v>
      </c>
      <c r="AI99" t="str" cm="1">
        <f t="array" ref="AI99">_xlfn.IFS(O99=1,"Low",O99=2,"Medium",O99=3,"High",O99=4,"Very High")</f>
        <v>High</v>
      </c>
      <c r="AJ99" t="str" cm="1">
        <f t="array" ref="AJ99">_xlfn.IFS(U99=1,"Low",U99=2,"Good",U99=3,"Excellent",U99=4,"Outstanding")</f>
        <v>Excellent</v>
      </c>
      <c r="AK99" t="str" cm="1">
        <f t="array" ref="AK99">_xlfn.IFS(V99=1,"Low",V99=2,"Medium",V99=3,"High",V99=4,"Very High")</f>
        <v>Medium</v>
      </c>
      <c r="AL99" t="str" cm="1">
        <f t="array" ref="AL99">_xlfn.IFS(Z99=1,"Bad",Z99=2,"Good",Z99=3,"Better",Z99=4,"Best")</f>
        <v>Best</v>
      </c>
      <c r="AM99" t="str" cm="1">
        <f t="array" ref="AM99">_xlfn.IFS(W99=0,"No_stock",W99=1,"Low",W99=2,"Medium",W99=3,"High")</f>
        <v>No_stock</v>
      </c>
      <c r="AN99" t="str">
        <f t="shared" si="1"/>
        <v>Near</v>
      </c>
    </row>
    <row r="100" spans="1:40" x14ac:dyDescent="0.45">
      <c r="A100">
        <v>58</v>
      </c>
      <c r="B100" t="s">
        <v>37</v>
      </c>
      <c r="C100" t="s">
        <v>31</v>
      </c>
      <c r="D100">
        <v>682</v>
      </c>
      <c r="E100" t="s">
        <v>32</v>
      </c>
      <c r="F100">
        <v>10</v>
      </c>
      <c r="G100">
        <v>4</v>
      </c>
      <c r="H100" t="s">
        <v>45</v>
      </c>
      <c r="I100">
        <v>131</v>
      </c>
      <c r="J100">
        <v>4</v>
      </c>
      <c r="K100" t="s">
        <v>40</v>
      </c>
      <c r="L100">
        <v>3</v>
      </c>
      <c r="M100">
        <v>4</v>
      </c>
      <c r="N100" t="s">
        <v>35</v>
      </c>
      <c r="O100">
        <v>3</v>
      </c>
      <c r="P100" t="s">
        <v>36</v>
      </c>
      <c r="Q100">
        <v>13872</v>
      </c>
      <c r="R100">
        <v>0</v>
      </c>
      <c r="S100" t="s">
        <v>37</v>
      </c>
      <c r="T100">
        <v>13</v>
      </c>
      <c r="U100">
        <v>3</v>
      </c>
      <c r="V100">
        <v>3</v>
      </c>
      <c r="W100">
        <v>0</v>
      </c>
      <c r="X100">
        <v>38</v>
      </c>
      <c r="Y100">
        <v>1</v>
      </c>
      <c r="Z100">
        <v>2</v>
      </c>
      <c r="AA100">
        <v>37</v>
      </c>
      <c r="AB100">
        <v>10</v>
      </c>
      <c r="AC100">
        <v>1</v>
      </c>
      <c r="AD100">
        <v>8</v>
      </c>
      <c r="AE100" t="str" cm="1">
        <f t="array" ref="AE100">_xlfn.IFS(G100=1,"Before College",G100=2,"College",G100=3,"Bachelor",G100=4,"Master",G100=5,"Doctor")</f>
        <v>Master</v>
      </c>
      <c r="AF100" t="str" cm="1">
        <f t="array" ref="AF100">_xlfn.IFS(J100=1,"Low",J100=2,"Medium",J100=3,"High",J100=4,"Very High")</f>
        <v>Very High</v>
      </c>
      <c r="AG100" t="str" cm="1">
        <f t="array" ref="AG100">_xlfn.IFS(L100=1,"Low",L100=2,"Medium",L100=3,"High",L100=4,"Very High")</f>
        <v>High</v>
      </c>
      <c r="AH100" t="str" cm="1">
        <f t="array" ref="AH100">_xlfn.IFS(M100=1,"Junior employee",M100=2,"Mid-level",M100=3,"Senior",M100=4,"Manager",M100=5,"Executive")</f>
        <v>Manager</v>
      </c>
      <c r="AI100" t="str" cm="1">
        <f t="array" ref="AI100">_xlfn.IFS(O100=1,"Low",O100=2,"Medium",O100=3,"High",O100=4,"Very High")</f>
        <v>High</v>
      </c>
      <c r="AJ100" t="str" cm="1">
        <f t="array" ref="AJ100">_xlfn.IFS(U100=1,"Low",U100=2,"Good",U100=3,"Excellent",U100=4,"Outstanding")</f>
        <v>Excellent</v>
      </c>
      <c r="AK100" t="str" cm="1">
        <f t="array" ref="AK100">_xlfn.IFS(V100=1,"Low",V100=2,"Medium",V100=3,"High",V100=4,"Very High")</f>
        <v>High</v>
      </c>
      <c r="AL100" t="str" cm="1">
        <f t="array" ref="AL100">_xlfn.IFS(Z100=1,"Bad",Z100=2,"Good",Z100=3,"Better",Z100=4,"Best")</f>
        <v>Good</v>
      </c>
      <c r="AM100" t="str" cm="1">
        <f t="array" ref="AM100">_xlfn.IFS(W100=0,"No_stock",W100=1,"Low",W100=2,"Medium",W100=3,"High")</f>
        <v>No_stock</v>
      </c>
      <c r="AN100" t="str">
        <f t="shared" si="1"/>
        <v>Medium</v>
      </c>
    </row>
    <row r="101" spans="1:40" x14ac:dyDescent="0.45">
      <c r="A101">
        <v>44</v>
      </c>
      <c r="B101" t="s">
        <v>37</v>
      </c>
      <c r="C101" t="s">
        <v>49</v>
      </c>
      <c r="D101">
        <v>489</v>
      </c>
      <c r="E101" t="s">
        <v>39</v>
      </c>
      <c r="F101">
        <v>23</v>
      </c>
      <c r="G101">
        <v>3</v>
      </c>
      <c r="H101" t="s">
        <v>45</v>
      </c>
      <c r="I101">
        <v>132</v>
      </c>
      <c r="J101">
        <v>2</v>
      </c>
      <c r="K101" t="s">
        <v>40</v>
      </c>
      <c r="L101">
        <v>3</v>
      </c>
      <c r="M101">
        <v>2</v>
      </c>
      <c r="N101" t="s">
        <v>44</v>
      </c>
      <c r="O101">
        <v>2</v>
      </c>
      <c r="P101" t="s">
        <v>42</v>
      </c>
      <c r="Q101">
        <v>2042</v>
      </c>
      <c r="R101">
        <v>4</v>
      </c>
      <c r="S101" t="s">
        <v>37</v>
      </c>
      <c r="T101">
        <v>12</v>
      </c>
      <c r="U101">
        <v>3</v>
      </c>
      <c r="V101">
        <v>3</v>
      </c>
      <c r="W101">
        <v>1</v>
      </c>
      <c r="X101">
        <v>17</v>
      </c>
      <c r="Y101">
        <v>3</v>
      </c>
      <c r="Z101">
        <v>4</v>
      </c>
      <c r="AA101">
        <v>3</v>
      </c>
      <c r="AB101">
        <v>2</v>
      </c>
      <c r="AC101">
        <v>1</v>
      </c>
      <c r="AD101">
        <v>2</v>
      </c>
      <c r="AE101" t="str" cm="1">
        <f t="array" ref="AE101">_xlfn.IFS(G101=1,"Before College",G101=2,"College",G101=3,"Bachelor",G101=4,"Master",G101=5,"Doctor")</f>
        <v>Bachelor</v>
      </c>
      <c r="AF101" t="str" cm="1">
        <f t="array" ref="AF101">_xlfn.IFS(J101=1,"Low",J101=2,"Medium",J101=3,"High",J101=4,"Very High")</f>
        <v>Medium</v>
      </c>
      <c r="AG101" t="str" cm="1">
        <f t="array" ref="AG101">_xlfn.IFS(L101=1,"Low",L101=2,"Medium",L101=3,"High",L101=4,"Very High")</f>
        <v>High</v>
      </c>
      <c r="AH101" t="str" cm="1">
        <f t="array" ref="AH101">_xlfn.IFS(M101=1,"Junior employee",M101=2,"Mid-level",M101=3,"Senior",M101=4,"Manager",M101=5,"Executive")</f>
        <v>Mid-level</v>
      </c>
      <c r="AI101" t="str" cm="1">
        <f t="array" ref="AI101">_xlfn.IFS(O101=1,"Low",O101=2,"Medium",O101=3,"High",O101=4,"Very High")</f>
        <v>Medium</v>
      </c>
      <c r="AJ101" t="str" cm="1">
        <f t="array" ref="AJ101">_xlfn.IFS(U101=1,"Low",U101=2,"Good",U101=3,"Excellent",U101=4,"Outstanding")</f>
        <v>Excellent</v>
      </c>
      <c r="AK101" t="str" cm="1">
        <f t="array" ref="AK101">_xlfn.IFS(V101=1,"Low",V101=2,"Medium",V101=3,"High",V101=4,"Very High")</f>
        <v>High</v>
      </c>
      <c r="AL101" t="str" cm="1">
        <f t="array" ref="AL101">_xlfn.IFS(Z101=1,"Bad",Z101=2,"Good",Z101=3,"Better",Z101=4,"Best")</f>
        <v>Best</v>
      </c>
      <c r="AM101" t="str" cm="1">
        <f t="array" ref="AM101">_xlfn.IFS(W101=0,"No_stock",W101=1,"Low",W101=2,"Medium",W101=3,"High")</f>
        <v>Low</v>
      </c>
      <c r="AN101" t="str">
        <f t="shared" si="1"/>
        <v>Far</v>
      </c>
    </row>
    <row r="102" spans="1:40" x14ac:dyDescent="0.45">
      <c r="A102">
        <v>37</v>
      </c>
      <c r="B102" t="s">
        <v>30</v>
      </c>
      <c r="C102" t="s">
        <v>31</v>
      </c>
      <c r="D102">
        <v>807</v>
      </c>
      <c r="E102" t="s">
        <v>55</v>
      </c>
      <c r="F102">
        <v>6</v>
      </c>
      <c r="G102">
        <v>4</v>
      </c>
      <c r="H102" t="s">
        <v>55</v>
      </c>
      <c r="I102">
        <v>133</v>
      </c>
      <c r="J102">
        <v>3</v>
      </c>
      <c r="K102" t="s">
        <v>40</v>
      </c>
      <c r="L102">
        <v>3</v>
      </c>
      <c r="M102">
        <v>1</v>
      </c>
      <c r="N102" t="s">
        <v>55</v>
      </c>
      <c r="O102">
        <v>1</v>
      </c>
      <c r="P102" t="s">
        <v>46</v>
      </c>
      <c r="Q102">
        <v>2073</v>
      </c>
      <c r="R102">
        <v>4</v>
      </c>
      <c r="S102" t="s">
        <v>30</v>
      </c>
      <c r="T102">
        <v>22</v>
      </c>
      <c r="U102">
        <v>4</v>
      </c>
      <c r="V102">
        <v>4</v>
      </c>
      <c r="W102">
        <v>0</v>
      </c>
      <c r="X102">
        <v>7</v>
      </c>
      <c r="Y102">
        <v>3</v>
      </c>
      <c r="Z102">
        <v>3</v>
      </c>
      <c r="AA102">
        <v>3</v>
      </c>
      <c r="AB102">
        <v>2</v>
      </c>
      <c r="AC102">
        <v>0</v>
      </c>
      <c r="AD102">
        <v>2</v>
      </c>
      <c r="AE102" t="str" cm="1">
        <f t="array" ref="AE102">_xlfn.IFS(G102=1,"Before College",G102=2,"College",G102=3,"Bachelor",G102=4,"Master",G102=5,"Doctor")</f>
        <v>Master</v>
      </c>
      <c r="AF102" t="str" cm="1">
        <f t="array" ref="AF102">_xlfn.IFS(J102=1,"Low",J102=2,"Medium",J102=3,"High",J102=4,"Very High")</f>
        <v>High</v>
      </c>
      <c r="AG102" t="str" cm="1">
        <f t="array" ref="AG102">_xlfn.IFS(L102=1,"Low",L102=2,"Medium",L102=3,"High",L102=4,"Very High")</f>
        <v>High</v>
      </c>
      <c r="AH102" t="str" cm="1">
        <f t="array" ref="AH102">_xlfn.IFS(M102=1,"Junior employee",M102=2,"Mid-level",M102=3,"Senior",M102=4,"Manager",M102=5,"Executive")</f>
        <v>Junior employee</v>
      </c>
      <c r="AI102" t="str" cm="1">
        <f t="array" ref="AI102">_xlfn.IFS(O102=1,"Low",O102=2,"Medium",O102=3,"High",O102=4,"Very High")</f>
        <v>Low</v>
      </c>
      <c r="AJ102" t="str" cm="1">
        <f t="array" ref="AJ102">_xlfn.IFS(U102=1,"Low",U102=2,"Good",U102=3,"Excellent",U102=4,"Outstanding")</f>
        <v>Outstanding</v>
      </c>
      <c r="AK102" t="str" cm="1">
        <f t="array" ref="AK102">_xlfn.IFS(V102=1,"Low",V102=2,"Medium",V102=3,"High",V102=4,"Very High")</f>
        <v>Very High</v>
      </c>
      <c r="AL102" t="str" cm="1">
        <f t="array" ref="AL102">_xlfn.IFS(Z102=1,"Bad",Z102=2,"Good",Z102=3,"Better",Z102=4,"Best")</f>
        <v>Better</v>
      </c>
      <c r="AM102" t="str" cm="1">
        <f t="array" ref="AM102">_xlfn.IFS(W102=0,"No_stock",W102=1,"Low",W102=2,"Medium",W102=3,"High")</f>
        <v>No_stock</v>
      </c>
      <c r="AN102" t="str">
        <f t="shared" si="1"/>
        <v>Medium</v>
      </c>
    </row>
    <row r="103" spans="1:40" x14ac:dyDescent="0.45">
      <c r="A103">
        <v>32</v>
      </c>
      <c r="B103" t="s">
        <v>37</v>
      </c>
      <c r="C103" t="s">
        <v>31</v>
      </c>
      <c r="D103">
        <v>827</v>
      </c>
      <c r="E103" t="s">
        <v>39</v>
      </c>
      <c r="F103">
        <v>1</v>
      </c>
      <c r="G103">
        <v>1</v>
      </c>
      <c r="H103" t="s">
        <v>33</v>
      </c>
      <c r="I103">
        <v>134</v>
      </c>
      <c r="J103">
        <v>4</v>
      </c>
      <c r="K103" t="s">
        <v>40</v>
      </c>
      <c r="L103">
        <v>3</v>
      </c>
      <c r="M103">
        <v>1</v>
      </c>
      <c r="N103" t="s">
        <v>41</v>
      </c>
      <c r="O103">
        <v>1</v>
      </c>
      <c r="P103" t="s">
        <v>36</v>
      </c>
      <c r="Q103">
        <v>2956</v>
      </c>
      <c r="R103">
        <v>1</v>
      </c>
      <c r="S103" t="s">
        <v>37</v>
      </c>
      <c r="T103">
        <v>13</v>
      </c>
      <c r="U103">
        <v>3</v>
      </c>
      <c r="V103">
        <v>4</v>
      </c>
      <c r="W103">
        <v>0</v>
      </c>
      <c r="X103">
        <v>1</v>
      </c>
      <c r="Y103">
        <v>2</v>
      </c>
      <c r="Z103">
        <v>3</v>
      </c>
      <c r="AA103">
        <v>1</v>
      </c>
      <c r="AB103">
        <v>0</v>
      </c>
      <c r="AC103">
        <v>0</v>
      </c>
      <c r="AD103">
        <v>0</v>
      </c>
      <c r="AE103" t="str" cm="1">
        <f t="array" ref="AE103">_xlfn.IFS(G103=1,"Before College",G103=2,"College",G103=3,"Bachelor",G103=4,"Master",G103=5,"Doctor")</f>
        <v>Before College</v>
      </c>
      <c r="AF103" t="str" cm="1">
        <f t="array" ref="AF103">_xlfn.IFS(J103=1,"Low",J103=2,"Medium",J103=3,"High",J103=4,"Very High")</f>
        <v>Very High</v>
      </c>
      <c r="AG103" t="str" cm="1">
        <f t="array" ref="AG103">_xlfn.IFS(L103=1,"Low",L103=2,"Medium",L103=3,"High",L103=4,"Very High")</f>
        <v>High</v>
      </c>
      <c r="AH103" t="str" cm="1">
        <f t="array" ref="AH103">_xlfn.IFS(M103=1,"Junior employee",M103=2,"Mid-level",M103=3,"Senior",M103=4,"Manager",M103=5,"Executive")</f>
        <v>Junior employee</v>
      </c>
      <c r="AI103" t="str" cm="1">
        <f t="array" ref="AI103">_xlfn.IFS(O103=1,"Low",O103=2,"Medium",O103=3,"High",O103=4,"Very High")</f>
        <v>Low</v>
      </c>
      <c r="AJ103" t="str" cm="1">
        <f t="array" ref="AJ103">_xlfn.IFS(U103=1,"Low",U103=2,"Good",U103=3,"Excellent",U103=4,"Outstanding")</f>
        <v>Excellent</v>
      </c>
      <c r="AK103" t="str" cm="1">
        <f t="array" ref="AK103">_xlfn.IFS(V103=1,"Low",V103=2,"Medium",V103=3,"High",V103=4,"Very High")</f>
        <v>Very High</v>
      </c>
      <c r="AL103" t="str" cm="1">
        <f t="array" ref="AL103">_xlfn.IFS(Z103=1,"Bad",Z103=2,"Good",Z103=3,"Better",Z103=4,"Best")</f>
        <v>Better</v>
      </c>
      <c r="AM103" t="str" cm="1">
        <f t="array" ref="AM103">_xlfn.IFS(W103=0,"No_stock",W103=1,"Low",W103=2,"Medium",W103=3,"High")</f>
        <v>No_stock</v>
      </c>
      <c r="AN103" t="str">
        <f t="shared" si="1"/>
        <v>Near</v>
      </c>
    </row>
    <row r="104" spans="1:40" x14ac:dyDescent="0.45">
      <c r="A104">
        <v>20</v>
      </c>
      <c r="B104" t="s">
        <v>30</v>
      </c>
      <c r="C104" t="s">
        <v>38</v>
      </c>
      <c r="D104">
        <v>871</v>
      </c>
      <c r="E104" t="s">
        <v>39</v>
      </c>
      <c r="F104">
        <v>6</v>
      </c>
      <c r="G104">
        <v>3</v>
      </c>
      <c r="H104" t="s">
        <v>33</v>
      </c>
      <c r="I104">
        <v>137</v>
      </c>
      <c r="J104">
        <v>4</v>
      </c>
      <c r="K104" t="s">
        <v>34</v>
      </c>
      <c r="L104">
        <v>2</v>
      </c>
      <c r="M104">
        <v>1</v>
      </c>
      <c r="N104" t="s">
        <v>44</v>
      </c>
      <c r="O104">
        <v>4</v>
      </c>
      <c r="P104" t="s">
        <v>36</v>
      </c>
      <c r="Q104">
        <v>2926</v>
      </c>
      <c r="R104">
        <v>1</v>
      </c>
      <c r="S104" t="s">
        <v>30</v>
      </c>
      <c r="T104">
        <v>18</v>
      </c>
      <c r="U104">
        <v>3</v>
      </c>
      <c r="V104">
        <v>2</v>
      </c>
      <c r="W104">
        <v>0</v>
      </c>
      <c r="X104">
        <v>1</v>
      </c>
      <c r="Y104">
        <v>5</v>
      </c>
      <c r="Z104">
        <v>3</v>
      </c>
      <c r="AA104">
        <v>1</v>
      </c>
      <c r="AB104">
        <v>0</v>
      </c>
      <c r="AC104">
        <v>1</v>
      </c>
      <c r="AD104">
        <v>0</v>
      </c>
      <c r="AE104" t="str" cm="1">
        <f t="array" ref="AE104">_xlfn.IFS(G104=1,"Before College",G104=2,"College",G104=3,"Bachelor",G104=4,"Master",G104=5,"Doctor")</f>
        <v>Bachelor</v>
      </c>
      <c r="AF104" t="str" cm="1">
        <f t="array" ref="AF104">_xlfn.IFS(J104=1,"Low",J104=2,"Medium",J104=3,"High",J104=4,"Very High")</f>
        <v>Very High</v>
      </c>
      <c r="AG104" t="str" cm="1">
        <f t="array" ref="AG104">_xlfn.IFS(L104=1,"Low",L104=2,"Medium",L104=3,"High",L104=4,"Very High")</f>
        <v>Medium</v>
      </c>
      <c r="AH104" t="str" cm="1">
        <f t="array" ref="AH104">_xlfn.IFS(M104=1,"Junior employee",M104=2,"Mid-level",M104=3,"Senior",M104=4,"Manager",M104=5,"Executive")</f>
        <v>Junior employee</v>
      </c>
      <c r="AI104" t="str" cm="1">
        <f t="array" ref="AI104">_xlfn.IFS(O104=1,"Low",O104=2,"Medium",O104=3,"High",O104=4,"Very High")</f>
        <v>Very High</v>
      </c>
      <c r="AJ104" t="str" cm="1">
        <f t="array" ref="AJ104">_xlfn.IFS(U104=1,"Low",U104=2,"Good",U104=3,"Excellent",U104=4,"Outstanding")</f>
        <v>Excellent</v>
      </c>
      <c r="AK104" t="str" cm="1">
        <f t="array" ref="AK104">_xlfn.IFS(V104=1,"Low",V104=2,"Medium",V104=3,"High",V104=4,"Very High")</f>
        <v>Medium</v>
      </c>
      <c r="AL104" t="str" cm="1">
        <f t="array" ref="AL104">_xlfn.IFS(Z104=1,"Bad",Z104=2,"Good",Z104=3,"Better",Z104=4,"Best")</f>
        <v>Better</v>
      </c>
      <c r="AM104" t="str" cm="1">
        <f t="array" ref="AM104">_xlfn.IFS(W104=0,"No_stock",W104=1,"Low",W104=2,"Medium",W104=3,"High")</f>
        <v>No_stock</v>
      </c>
      <c r="AN104" t="str">
        <f t="shared" si="1"/>
        <v>Medium</v>
      </c>
    </row>
    <row r="105" spans="1:40" x14ac:dyDescent="0.45">
      <c r="A105">
        <v>34</v>
      </c>
      <c r="B105" t="s">
        <v>37</v>
      </c>
      <c r="C105" t="s">
        <v>31</v>
      </c>
      <c r="D105">
        <v>665</v>
      </c>
      <c r="E105" t="s">
        <v>39</v>
      </c>
      <c r="F105">
        <v>6</v>
      </c>
      <c r="G105">
        <v>4</v>
      </c>
      <c r="H105" t="s">
        <v>43</v>
      </c>
      <c r="I105">
        <v>138</v>
      </c>
      <c r="J105">
        <v>1</v>
      </c>
      <c r="K105" t="s">
        <v>34</v>
      </c>
      <c r="L105">
        <v>3</v>
      </c>
      <c r="M105">
        <v>2</v>
      </c>
      <c r="N105" t="s">
        <v>41</v>
      </c>
      <c r="O105">
        <v>3</v>
      </c>
      <c r="P105" t="s">
        <v>36</v>
      </c>
      <c r="Q105">
        <v>4809</v>
      </c>
      <c r="R105">
        <v>1</v>
      </c>
      <c r="S105" t="s">
        <v>37</v>
      </c>
      <c r="T105">
        <v>14</v>
      </c>
      <c r="U105">
        <v>3</v>
      </c>
      <c r="V105">
        <v>3</v>
      </c>
      <c r="W105">
        <v>0</v>
      </c>
      <c r="X105">
        <v>16</v>
      </c>
      <c r="Y105">
        <v>3</v>
      </c>
      <c r="Z105">
        <v>3</v>
      </c>
      <c r="AA105">
        <v>16</v>
      </c>
      <c r="AB105">
        <v>13</v>
      </c>
      <c r="AC105">
        <v>2</v>
      </c>
      <c r="AD105">
        <v>10</v>
      </c>
      <c r="AE105" t="str" cm="1">
        <f t="array" ref="AE105">_xlfn.IFS(G105=1,"Before College",G105=2,"College",G105=3,"Bachelor",G105=4,"Master",G105=5,"Doctor")</f>
        <v>Master</v>
      </c>
      <c r="AF105" t="str" cm="1">
        <f t="array" ref="AF105">_xlfn.IFS(J105=1,"Low",J105=2,"Medium",J105=3,"High",J105=4,"Very High")</f>
        <v>Low</v>
      </c>
      <c r="AG105" t="str" cm="1">
        <f t="array" ref="AG105">_xlfn.IFS(L105=1,"Low",L105=2,"Medium",L105=3,"High",L105=4,"Very High")</f>
        <v>High</v>
      </c>
      <c r="AH105" t="str" cm="1">
        <f t="array" ref="AH105">_xlfn.IFS(M105=1,"Junior employee",M105=2,"Mid-level",M105=3,"Senior",M105=4,"Manager",M105=5,"Executive")</f>
        <v>Mid-level</v>
      </c>
      <c r="AI105" t="str" cm="1">
        <f t="array" ref="AI105">_xlfn.IFS(O105=1,"Low",O105=2,"Medium",O105=3,"High",O105=4,"Very High")</f>
        <v>High</v>
      </c>
      <c r="AJ105" t="str" cm="1">
        <f t="array" ref="AJ105">_xlfn.IFS(U105=1,"Low",U105=2,"Good",U105=3,"Excellent",U105=4,"Outstanding")</f>
        <v>Excellent</v>
      </c>
      <c r="AK105" t="str" cm="1">
        <f t="array" ref="AK105">_xlfn.IFS(V105=1,"Low",V105=2,"Medium",V105=3,"High",V105=4,"Very High")</f>
        <v>High</v>
      </c>
      <c r="AL105" t="str" cm="1">
        <f t="array" ref="AL105">_xlfn.IFS(Z105=1,"Bad",Z105=2,"Good",Z105=3,"Better",Z105=4,"Best")</f>
        <v>Better</v>
      </c>
      <c r="AM105" t="str" cm="1">
        <f t="array" ref="AM105">_xlfn.IFS(W105=0,"No_stock",W105=1,"Low",W105=2,"Medium",W105=3,"High")</f>
        <v>No_stock</v>
      </c>
      <c r="AN105" t="str">
        <f t="shared" si="1"/>
        <v>Medium</v>
      </c>
    </row>
    <row r="106" spans="1:40" x14ac:dyDescent="0.45">
      <c r="A106">
        <v>37</v>
      </c>
      <c r="B106" t="s">
        <v>37</v>
      </c>
      <c r="C106" t="s">
        <v>49</v>
      </c>
      <c r="D106">
        <v>1040</v>
      </c>
      <c r="E106" t="s">
        <v>39</v>
      </c>
      <c r="F106">
        <v>2</v>
      </c>
      <c r="G106">
        <v>2</v>
      </c>
      <c r="H106" t="s">
        <v>33</v>
      </c>
      <c r="I106">
        <v>139</v>
      </c>
      <c r="J106">
        <v>3</v>
      </c>
      <c r="K106" t="s">
        <v>40</v>
      </c>
      <c r="L106">
        <v>2</v>
      </c>
      <c r="M106">
        <v>2</v>
      </c>
      <c r="N106" t="s">
        <v>48</v>
      </c>
      <c r="O106">
        <v>4</v>
      </c>
      <c r="P106" t="s">
        <v>46</v>
      </c>
      <c r="Q106">
        <v>5163</v>
      </c>
      <c r="R106">
        <v>5</v>
      </c>
      <c r="S106" t="s">
        <v>37</v>
      </c>
      <c r="T106">
        <v>14</v>
      </c>
      <c r="U106">
        <v>3</v>
      </c>
      <c r="V106">
        <v>4</v>
      </c>
      <c r="W106">
        <v>1</v>
      </c>
      <c r="X106">
        <v>17</v>
      </c>
      <c r="Y106">
        <v>2</v>
      </c>
      <c r="Z106">
        <v>4</v>
      </c>
      <c r="AA106">
        <v>1</v>
      </c>
      <c r="AB106">
        <v>0</v>
      </c>
      <c r="AC106">
        <v>0</v>
      </c>
      <c r="AD106">
        <v>0</v>
      </c>
      <c r="AE106" t="str" cm="1">
        <f t="array" ref="AE106">_xlfn.IFS(G106=1,"Before College",G106=2,"College",G106=3,"Bachelor",G106=4,"Master",G106=5,"Doctor")</f>
        <v>College</v>
      </c>
      <c r="AF106" t="str" cm="1">
        <f t="array" ref="AF106">_xlfn.IFS(J106=1,"Low",J106=2,"Medium",J106=3,"High",J106=4,"Very High")</f>
        <v>High</v>
      </c>
      <c r="AG106" t="str" cm="1">
        <f t="array" ref="AG106">_xlfn.IFS(L106=1,"Low",L106=2,"Medium",L106=3,"High",L106=4,"Very High")</f>
        <v>Medium</v>
      </c>
      <c r="AH106" t="str" cm="1">
        <f t="array" ref="AH106">_xlfn.IFS(M106=1,"Junior employee",M106=2,"Mid-level",M106=3,"Senior",M106=4,"Manager",M106=5,"Executive")</f>
        <v>Mid-level</v>
      </c>
      <c r="AI106" t="str" cm="1">
        <f t="array" ref="AI106">_xlfn.IFS(O106=1,"Low",O106=2,"Medium",O106=3,"High",O106=4,"Very High")</f>
        <v>Very High</v>
      </c>
      <c r="AJ106" t="str" cm="1">
        <f t="array" ref="AJ106">_xlfn.IFS(U106=1,"Low",U106=2,"Good",U106=3,"Excellent",U106=4,"Outstanding")</f>
        <v>Excellent</v>
      </c>
      <c r="AK106" t="str" cm="1">
        <f t="array" ref="AK106">_xlfn.IFS(V106=1,"Low",V106=2,"Medium",V106=3,"High",V106=4,"Very High")</f>
        <v>Very High</v>
      </c>
      <c r="AL106" t="str" cm="1">
        <f t="array" ref="AL106">_xlfn.IFS(Z106=1,"Bad",Z106=2,"Good",Z106=3,"Better",Z106=4,"Best")</f>
        <v>Best</v>
      </c>
      <c r="AM106" t="str" cm="1">
        <f t="array" ref="AM106">_xlfn.IFS(W106=0,"No_stock",W106=1,"Low",W106=2,"Medium",W106=3,"High")</f>
        <v>Low</v>
      </c>
      <c r="AN106" t="str">
        <f t="shared" si="1"/>
        <v>Near</v>
      </c>
    </row>
    <row r="107" spans="1:40" x14ac:dyDescent="0.45">
      <c r="A107">
        <v>59</v>
      </c>
      <c r="B107" t="s">
        <v>37</v>
      </c>
      <c r="C107" t="s">
        <v>49</v>
      </c>
      <c r="D107">
        <v>1420</v>
      </c>
      <c r="E107" t="s">
        <v>55</v>
      </c>
      <c r="F107">
        <v>2</v>
      </c>
      <c r="G107">
        <v>4</v>
      </c>
      <c r="H107" t="s">
        <v>55</v>
      </c>
      <c r="I107">
        <v>140</v>
      </c>
      <c r="J107">
        <v>3</v>
      </c>
      <c r="K107" t="s">
        <v>34</v>
      </c>
      <c r="L107">
        <v>2</v>
      </c>
      <c r="M107">
        <v>5</v>
      </c>
      <c r="N107" t="s">
        <v>50</v>
      </c>
      <c r="O107">
        <v>4</v>
      </c>
      <c r="P107" t="s">
        <v>42</v>
      </c>
      <c r="Q107">
        <v>18844</v>
      </c>
      <c r="R107">
        <v>9</v>
      </c>
      <c r="S107" t="s">
        <v>37</v>
      </c>
      <c r="T107">
        <v>21</v>
      </c>
      <c r="U107">
        <v>4</v>
      </c>
      <c r="V107">
        <v>4</v>
      </c>
      <c r="W107">
        <v>1</v>
      </c>
      <c r="X107">
        <v>30</v>
      </c>
      <c r="Y107">
        <v>3</v>
      </c>
      <c r="Z107">
        <v>3</v>
      </c>
      <c r="AA107">
        <v>3</v>
      </c>
      <c r="AB107">
        <v>2</v>
      </c>
      <c r="AC107">
        <v>2</v>
      </c>
      <c r="AD107">
        <v>2</v>
      </c>
      <c r="AE107" t="str" cm="1">
        <f t="array" ref="AE107">_xlfn.IFS(G107=1,"Before College",G107=2,"College",G107=3,"Bachelor",G107=4,"Master",G107=5,"Doctor")</f>
        <v>Master</v>
      </c>
      <c r="AF107" t="str" cm="1">
        <f t="array" ref="AF107">_xlfn.IFS(J107=1,"Low",J107=2,"Medium",J107=3,"High",J107=4,"Very High")</f>
        <v>High</v>
      </c>
      <c r="AG107" t="str" cm="1">
        <f t="array" ref="AG107">_xlfn.IFS(L107=1,"Low",L107=2,"Medium",L107=3,"High",L107=4,"Very High")</f>
        <v>Medium</v>
      </c>
      <c r="AH107" t="str" cm="1">
        <f t="array" ref="AH107">_xlfn.IFS(M107=1,"Junior employee",M107=2,"Mid-level",M107=3,"Senior",M107=4,"Manager",M107=5,"Executive")</f>
        <v>Executive</v>
      </c>
      <c r="AI107" t="str" cm="1">
        <f t="array" ref="AI107">_xlfn.IFS(O107=1,"Low",O107=2,"Medium",O107=3,"High",O107=4,"Very High")</f>
        <v>Very High</v>
      </c>
      <c r="AJ107" t="str" cm="1">
        <f t="array" ref="AJ107">_xlfn.IFS(U107=1,"Low",U107=2,"Good",U107=3,"Excellent",U107=4,"Outstanding")</f>
        <v>Outstanding</v>
      </c>
      <c r="AK107" t="str" cm="1">
        <f t="array" ref="AK107">_xlfn.IFS(V107=1,"Low",V107=2,"Medium",V107=3,"High",V107=4,"Very High")</f>
        <v>Very High</v>
      </c>
      <c r="AL107" t="str" cm="1">
        <f t="array" ref="AL107">_xlfn.IFS(Z107=1,"Bad",Z107=2,"Good",Z107=3,"Better",Z107=4,"Best")</f>
        <v>Better</v>
      </c>
      <c r="AM107" t="str" cm="1">
        <f t="array" ref="AM107">_xlfn.IFS(W107=0,"No_stock",W107=1,"Low",W107=2,"Medium",W107=3,"High")</f>
        <v>Low</v>
      </c>
      <c r="AN107" t="str">
        <f t="shared" si="1"/>
        <v>Near</v>
      </c>
    </row>
    <row r="108" spans="1:40" x14ac:dyDescent="0.45">
      <c r="A108">
        <v>50</v>
      </c>
      <c r="B108" t="s">
        <v>37</v>
      </c>
      <c r="C108" t="s">
        <v>38</v>
      </c>
      <c r="D108">
        <v>1115</v>
      </c>
      <c r="E108" t="s">
        <v>39</v>
      </c>
      <c r="F108">
        <v>1</v>
      </c>
      <c r="G108">
        <v>3</v>
      </c>
      <c r="H108" t="s">
        <v>33</v>
      </c>
      <c r="I108">
        <v>141</v>
      </c>
      <c r="J108">
        <v>1</v>
      </c>
      <c r="K108" t="s">
        <v>34</v>
      </c>
      <c r="L108">
        <v>3</v>
      </c>
      <c r="M108">
        <v>5</v>
      </c>
      <c r="N108" t="s">
        <v>52</v>
      </c>
      <c r="O108">
        <v>2</v>
      </c>
      <c r="P108" t="s">
        <v>42</v>
      </c>
      <c r="Q108">
        <v>18172</v>
      </c>
      <c r="R108">
        <v>3</v>
      </c>
      <c r="S108" t="s">
        <v>30</v>
      </c>
      <c r="T108">
        <v>19</v>
      </c>
      <c r="U108">
        <v>3</v>
      </c>
      <c r="V108">
        <v>1</v>
      </c>
      <c r="W108">
        <v>0</v>
      </c>
      <c r="X108">
        <v>28</v>
      </c>
      <c r="Y108">
        <v>1</v>
      </c>
      <c r="Z108">
        <v>2</v>
      </c>
      <c r="AA108">
        <v>8</v>
      </c>
      <c r="AB108">
        <v>3</v>
      </c>
      <c r="AC108">
        <v>0</v>
      </c>
      <c r="AD108">
        <v>7</v>
      </c>
      <c r="AE108" t="str" cm="1">
        <f t="array" ref="AE108">_xlfn.IFS(G108=1,"Before College",G108=2,"College",G108=3,"Bachelor",G108=4,"Master",G108=5,"Doctor")</f>
        <v>Bachelor</v>
      </c>
      <c r="AF108" t="str" cm="1">
        <f t="array" ref="AF108">_xlfn.IFS(J108=1,"Low",J108=2,"Medium",J108=3,"High",J108=4,"Very High")</f>
        <v>Low</v>
      </c>
      <c r="AG108" t="str" cm="1">
        <f t="array" ref="AG108">_xlfn.IFS(L108=1,"Low",L108=2,"Medium",L108=3,"High",L108=4,"Very High")</f>
        <v>High</v>
      </c>
      <c r="AH108" t="str" cm="1">
        <f t="array" ref="AH108">_xlfn.IFS(M108=1,"Junior employee",M108=2,"Mid-level",M108=3,"Senior",M108=4,"Manager",M108=5,"Executive")</f>
        <v>Executive</v>
      </c>
      <c r="AI108" t="str" cm="1">
        <f t="array" ref="AI108">_xlfn.IFS(O108=1,"Low",O108=2,"Medium",O108=3,"High",O108=4,"Very High")</f>
        <v>Medium</v>
      </c>
      <c r="AJ108" t="str" cm="1">
        <f t="array" ref="AJ108">_xlfn.IFS(U108=1,"Low",U108=2,"Good",U108=3,"Excellent",U108=4,"Outstanding")</f>
        <v>Excellent</v>
      </c>
      <c r="AK108" t="str" cm="1">
        <f t="array" ref="AK108">_xlfn.IFS(V108=1,"Low",V108=2,"Medium",V108=3,"High",V108=4,"Very High")</f>
        <v>Low</v>
      </c>
      <c r="AL108" t="str" cm="1">
        <f t="array" ref="AL108">_xlfn.IFS(Z108=1,"Bad",Z108=2,"Good",Z108=3,"Better",Z108=4,"Best")</f>
        <v>Good</v>
      </c>
      <c r="AM108" t="str" cm="1">
        <f t="array" ref="AM108">_xlfn.IFS(W108=0,"No_stock",W108=1,"Low",W108=2,"Medium",W108=3,"High")</f>
        <v>No_stock</v>
      </c>
      <c r="AN108" t="str">
        <f t="shared" si="1"/>
        <v>Near</v>
      </c>
    </row>
    <row r="109" spans="1:40" x14ac:dyDescent="0.45">
      <c r="A109">
        <v>25</v>
      </c>
      <c r="B109" t="s">
        <v>30</v>
      </c>
      <c r="C109" t="s">
        <v>31</v>
      </c>
      <c r="D109">
        <v>240</v>
      </c>
      <c r="E109" t="s">
        <v>32</v>
      </c>
      <c r="F109">
        <v>5</v>
      </c>
      <c r="G109">
        <v>3</v>
      </c>
      <c r="H109" t="s">
        <v>53</v>
      </c>
      <c r="I109">
        <v>142</v>
      </c>
      <c r="J109">
        <v>3</v>
      </c>
      <c r="K109" t="s">
        <v>40</v>
      </c>
      <c r="L109">
        <v>2</v>
      </c>
      <c r="M109">
        <v>2</v>
      </c>
      <c r="N109" t="s">
        <v>35</v>
      </c>
      <c r="O109">
        <v>3</v>
      </c>
      <c r="P109" t="s">
        <v>36</v>
      </c>
      <c r="Q109">
        <v>5744</v>
      </c>
      <c r="R109">
        <v>1</v>
      </c>
      <c r="S109" t="s">
        <v>30</v>
      </c>
      <c r="T109">
        <v>11</v>
      </c>
      <c r="U109">
        <v>3</v>
      </c>
      <c r="V109">
        <v>4</v>
      </c>
      <c r="W109">
        <v>0</v>
      </c>
      <c r="X109">
        <v>6</v>
      </c>
      <c r="Y109">
        <v>1</v>
      </c>
      <c r="Z109">
        <v>3</v>
      </c>
      <c r="AA109">
        <v>6</v>
      </c>
      <c r="AB109">
        <v>4</v>
      </c>
      <c r="AC109">
        <v>0</v>
      </c>
      <c r="AD109">
        <v>3</v>
      </c>
      <c r="AE109" t="str" cm="1">
        <f t="array" ref="AE109">_xlfn.IFS(G109=1,"Before College",G109=2,"College",G109=3,"Bachelor",G109=4,"Master",G109=5,"Doctor")</f>
        <v>Bachelor</v>
      </c>
      <c r="AF109" t="str" cm="1">
        <f t="array" ref="AF109">_xlfn.IFS(J109=1,"Low",J109=2,"Medium",J109=3,"High",J109=4,"Very High")</f>
        <v>High</v>
      </c>
      <c r="AG109" t="str" cm="1">
        <f t="array" ref="AG109">_xlfn.IFS(L109=1,"Low",L109=2,"Medium",L109=3,"High",L109=4,"Very High")</f>
        <v>Medium</v>
      </c>
      <c r="AH109" t="str" cm="1">
        <f t="array" ref="AH109">_xlfn.IFS(M109=1,"Junior employee",M109=2,"Mid-level",M109=3,"Senior",M109=4,"Manager",M109=5,"Executive")</f>
        <v>Mid-level</v>
      </c>
      <c r="AI109" t="str" cm="1">
        <f t="array" ref="AI109">_xlfn.IFS(O109=1,"Low",O109=2,"Medium",O109=3,"High",O109=4,"Very High")</f>
        <v>High</v>
      </c>
      <c r="AJ109" t="str" cm="1">
        <f t="array" ref="AJ109">_xlfn.IFS(U109=1,"Low",U109=2,"Good",U109=3,"Excellent",U109=4,"Outstanding")</f>
        <v>Excellent</v>
      </c>
      <c r="AK109" t="str" cm="1">
        <f t="array" ref="AK109">_xlfn.IFS(V109=1,"Low",V109=2,"Medium",V109=3,"High",V109=4,"Very High")</f>
        <v>Very High</v>
      </c>
      <c r="AL109" t="str" cm="1">
        <f t="array" ref="AL109">_xlfn.IFS(Z109=1,"Bad",Z109=2,"Good",Z109=3,"Better",Z109=4,"Best")</f>
        <v>Better</v>
      </c>
      <c r="AM109" t="str" cm="1">
        <f t="array" ref="AM109">_xlfn.IFS(W109=0,"No_stock",W109=1,"Low",W109=2,"Medium",W109=3,"High")</f>
        <v>No_stock</v>
      </c>
      <c r="AN109" t="str">
        <f t="shared" si="1"/>
        <v>Near</v>
      </c>
    </row>
    <row r="110" spans="1:40" x14ac:dyDescent="0.45">
      <c r="A110">
        <v>25</v>
      </c>
      <c r="B110" t="s">
        <v>37</v>
      </c>
      <c r="C110" t="s">
        <v>31</v>
      </c>
      <c r="D110">
        <v>1280</v>
      </c>
      <c r="E110" t="s">
        <v>39</v>
      </c>
      <c r="F110">
        <v>7</v>
      </c>
      <c r="G110">
        <v>1</v>
      </c>
      <c r="H110" t="s">
        <v>45</v>
      </c>
      <c r="I110">
        <v>143</v>
      </c>
      <c r="J110">
        <v>4</v>
      </c>
      <c r="K110" t="s">
        <v>40</v>
      </c>
      <c r="L110">
        <v>2</v>
      </c>
      <c r="M110">
        <v>1</v>
      </c>
      <c r="N110" t="s">
        <v>41</v>
      </c>
      <c r="O110">
        <v>4</v>
      </c>
      <c r="P110" t="s">
        <v>42</v>
      </c>
      <c r="Q110">
        <v>2889</v>
      </c>
      <c r="R110">
        <v>1</v>
      </c>
      <c r="S110" t="s">
        <v>37</v>
      </c>
      <c r="T110">
        <v>11</v>
      </c>
      <c r="U110">
        <v>3</v>
      </c>
      <c r="V110">
        <v>3</v>
      </c>
      <c r="W110">
        <v>2</v>
      </c>
      <c r="X110">
        <v>2</v>
      </c>
      <c r="Y110">
        <v>2</v>
      </c>
      <c r="Z110">
        <v>3</v>
      </c>
      <c r="AA110">
        <v>2</v>
      </c>
      <c r="AB110">
        <v>2</v>
      </c>
      <c r="AC110">
        <v>2</v>
      </c>
      <c r="AD110">
        <v>1</v>
      </c>
      <c r="AE110" t="str" cm="1">
        <f t="array" ref="AE110">_xlfn.IFS(G110=1,"Before College",G110=2,"College",G110=3,"Bachelor",G110=4,"Master",G110=5,"Doctor")</f>
        <v>Before College</v>
      </c>
      <c r="AF110" t="str" cm="1">
        <f t="array" ref="AF110">_xlfn.IFS(J110=1,"Low",J110=2,"Medium",J110=3,"High",J110=4,"Very High")</f>
        <v>Very High</v>
      </c>
      <c r="AG110" t="str" cm="1">
        <f t="array" ref="AG110">_xlfn.IFS(L110=1,"Low",L110=2,"Medium",L110=3,"High",L110=4,"Very High")</f>
        <v>Medium</v>
      </c>
      <c r="AH110" t="str" cm="1">
        <f t="array" ref="AH110">_xlfn.IFS(M110=1,"Junior employee",M110=2,"Mid-level",M110=3,"Senior",M110=4,"Manager",M110=5,"Executive")</f>
        <v>Junior employee</v>
      </c>
      <c r="AI110" t="str" cm="1">
        <f t="array" ref="AI110">_xlfn.IFS(O110=1,"Low",O110=2,"Medium",O110=3,"High",O110=4,"Very High")</f>
        <v>Very High</v>
      </c>
      <c r="AJ110" t="str" cm="1">
        <f t="array" ref="AJ110">_xlfn.IFS(U110=1,"Low",U110=2,"Good",U110=3,"Excellent",U110=4,"Outstanding")</f>
        <v>Excellent</v>
      </c>
      <c r="AK110" t="str" cm="1">
        <f t="array" ref="AK110">_xlfn.IFS(V110=1,"Low",V110=2,"Medium",V110=3,"High",V110=4,"Very High")</f>
        <v>High</v>
      </c>
      <c r="AL110" t="str" cm="1">
        <f t="array" ref="AL110">_xlfn.IFS(Z110=1,"Bad",Z110=2,"Good",Z110=3,"Better",Z110=4,"Best")</f>
        <v>Better</v>
      </c>
      <c r="AM110" t="str" cm="1">
        <f t="array" ref="AM110">_xlfn.IFS(W110=0,"No_stock",W110=1,"Low",W110=2,"Medium",W110=3,"High")</f>
        <v>Medium</v>
      </c>
      <c r="AN110" t="str">
        <f t="shared" si="1"/>
        <v>Medium</v>
      </c>
    </row>
    <row r="111" spans="1:40" x14ac:dyDescent="0.45">
      <c r="A111">
        <v>22</v>
      </c>
      <c r="B111" t="s">
        <v>37</v>
      </c>
      <c r="C111" t="s">
        <v>31</v>
      </c>
      <c r="D111">
        <v>534</v>
      </c>
      <c r="E111" t="s">
        <v>39</v>
      </c>
      <c r="F111">
        <v>15</v>
      </c>
      <c r="G111">
        <v>3</v>
      </c>
      <c r="H111" t="s">
        <v>45</v>
      </c>
      <c r="I111">
        <v>144</v>
      </c>
      <c r="J111">
        <v>2</v>
      </c>
      <c r="K111" t="s">
        <v>34</v>
      </c>
      <c r="L111">
        <v>3</v>
      </c>
      <c r="M111">
        <v>1</v>
      </c>
      <c r="N111" t="s">
        <v>44</v>
      </c>
      <c r="O111">
        <v>4</v>
      </c>
      <c r="P111" t="s">
        <v>36</v>
      </c>
      <c r="Q111">
        <v>2871</v>
      </c>
      <c r="R111">
        <v>1</v>
      </c>
      <c r="S111" t="s">
        <v>37</v>
      </c>
      <c r="T111">
        <v>15</v>
      </c>
      <c r="U111">
        <v>3</v>
      </c>
      <c r="V111">
        <v>3</v>
      </c>
      <c r="W111">
        <v>0</v>
      </c>
      <c r="X111">
        <v>1</v>
      </c>
      <c r="Y111">
        <v>5</v>
      </c>
      <c r="Z111">
        <v>3</v>
      </c>
      <c r="AA111">
        <v>0</v>
      </c>
      <c r="AB111">
        <v>0</v>
      </c>
      <c r="AC111">
        <v>0</v>
      </c>
      <c r="AD111">
        <v>0</v>
      </c>
      <c r="AE111" t="str" cm="1">
        <f t="array" ref="AE111">_xlfn.IFS(G111=1,"Before College",G111=2,"College",G111=3,"Bachelor",G111=4,"Master",G111=5,"Doctor")</f>
        <v>Bachelor</v>
      </c>
      <c r="AF111" t="str" cm="1">
        <f t="array" ref="AF111">_xlfn.IFS(J111=1,"Low",J111=2,"Medium",J111=3,"High",J111=4,"Very High")</f>
        <v>Medium</v>
      </c>
      <c r="AG111" t="str" cm="1">
        <f t="array" ref="AG111">_xlfn.IFS(L111=1,"Low",L111=2,"Medium",L111=3,"High",L111=4,"Very High")</f>
        <v>High</v>
      </c>
      <c r="AH111" t="str" cm="1">
        <f t="array" ref="AH111">_xlfn.IFS(M111=1,"Junior employee",M111=2,"Mid-level",M111=3,"Senior",M111=4,"Manager",M111=5,"Executive")</f>
        <v>Junior employee</v>
      </c>
      <c r="AI111" t="str" cm="1">
        <f t="array" ref="AI111">_xlfn.IFS(O111=1,"Low",O111=2,"Medium",O111=3,"High",O111=4,"Very High")</f>
        <v>Very High</v>
      </c>
      <c r="AJ111" t="str" cm="1">
        <f t="array" ref="AJ111">_xlfn.IFS(U111=1,"Low",U111=2,"Good",U111=3,"Excellent",U111=4,"Outstanding")</f>
        <v>Excellent</v>
      </c>
      <c r="AK111" t="str" cm="1">
        <f t="array" ref="AK111">_xlfn.IFS(V111=1,"Low",V111=2,"Medium",V111=3,"High",V111=4,"Very High")</f>
        <v>High</v>
      </c>
      <c r="AL111" t="str" cm="1">
        <f t="array" ref="AL111">_xlfn.IFS(Z111=1,"Bad",Z111=2,"Good",Z111=3,"Better",Z111=4,"Best")</f>
        <v>Better</v>
      </c>
      <c r="AM111" t="str" cm="1">
        <f t="array" ref="AM111">_xlfn.IFS(W111=0,"No_stock",W111=1,"Low",W111=2,"Medium",W111=3,"High")</f>
        <v>No_stock</v>
      </c>
      <c r="AN111" t="str">
        <f t="shared" si="1"/>
        <v>Medium</v>
      </c>
    </row>
    <row r="112" spans="1:40" x14ac:dyDescent="0.45">
      <c r="A112">
        <v>51</v>
      </c>
      <c r="B112" t="s">
        <v>37</v>
      </c>
      <c r="C112" t="s">
        <v>38</v>
      </c>
      <c r="D112">
        <v>1456</v>
      </c>
      <c r="E112" t="s">
        <v>39</v>
      </c>
      <c r="F112">
        <v>1</v>
      </c>
      <c r="G112">
        <v>4</v>
      </c>
      <c r="H112" t="s">
        <v>45</v>
      </c>
      <c r="I112">
        <v>145</v>
      </c>
      <c r="J112">
        <v>1</v>
      </c>
      <c r="K112" t="s">
        <v>34</v>
      </c>
      <c r="L112">
        <v>2</v>
      </c>
      <c r="M112">
        <v>3</v>
      </c>
      <c r="N112" t="s">
        <v>48</v>
      </c>
      <c r="O112">
        <v>1</v>
      </c>
      <c r="P112" t="s">
        <v>36</v>
      </c>
      <c r="Q112">
        <v>7484</v>
      </c>
      <c r="R112">
        <v>3</v>
      </c>
      <c r="S112" t="s">
        <v>37</v>
      </c>
      <c r="T112">
        <v>20</v>
      </c>
      <c r="U112">
        <v>4</v>
      </c>
      <c r="V112">
        <v>3</v>
      </c>
      <c r="W112">
        <v>0</v>
      </c>
      <c r="X112">
        <v>23</v>
      </c>
      <c r="Y112">
        <v>1</v>
      </c>
      <c r="Z112">
        <v>2</v>
      </c>
      <c r="AA112">
        <v>13</v>
      </c>
      <c r="AB112">
        <v>12</v>
      </c>
      <c r="AC112">
        <v>12</v>
      </c>
      <c r="AD112">
        <v>8</v>
      </c>
      <c r="AE112" t="str" cm="1">
        <f t="array" ref="AE112">_xlfn.IFS(G112=1,"Before College",G112=2,"College",G112=3,"Bachelor",G112=4,"Master",G112=5,"Doctor")</f>
        <v>Master</v>
      </c>
      <c r="AF112" t="str" cm="1">
        <f t="array" ref="AF112">_xlfn.IFS(J112=1,"Low",J112=2,"Medium",J112=3,"High",J112=4,"Very High")</f>
        <v>Low</v>
      </c>
      <c r="AG112" t="str" cm="1">
        <f t="array" ref="AG112">_xlfn.IFS(L112=1,"Low",L112=2,"Medium",L112=3,"High",L112=4,"Very High")</f>
        <v>Medium</v>
      </c>
      <c r="AH112" t="str" cm="1">
        <f t="array" ref="AH112">_xlfn.IFS(M112=1,"Junior employee",M112=2,"Mid-level",M112=3,"Senior",M112=4,"Manager",M112=5,"Executive")</f>
        <v>Senior</v>
      </c>
      <c r="AI112" t="str" cm="1">
        <f t="array" ref="AI112">_xlfn.IFS(O112=1,"Low",O112=2,"Medium",O112=3,"High",O112=4,"Very High")</f>
        <v>Low</v>
      </c>
      <c r="AJ112" t="str" cm="1">
        <f t="array" ref="AJ112">_xlfn.IFS(U112=1,"Low",U112=2,"Good",U112=3,"Excellent",U112=4,"Outstanding")</f>
        <v>Outstanding</v>
      </c>
      <c r="AK112" t="str" cm="1">
        <f t="array" ref="AK112">_xlfn.IFS(V112=1,"Low",V112=2,"Medium",V112=3,"High",V112=4,"Very High")</f>
        <v>High</v>
      </c>
      <c r="AL112" t="str" cm="1">
        <f t="array" ref="AL112">_xlfn.IFS(Z112=1,"Bad",Z112=2,"Good",Z112=3,"Better",Z112=4,"Best")</f>
        <v>Good</v>
      </c>
      <c r="AM112" t="str" cm="1">
        <f t="array" ref="AM112">_xlfn.IFS(W112=0,"No_stock",W112=1,"Low",W112=2,"Medium",W112=3,"High")</f>
        <v>No_stock</v>
      </c>
      <c r="AN112" t="str">
        <f t="shared" si="1"/>
        <v>Near</v>
      </c>
    </row>
    <row r="113" spans="1:40" x14ac:dyDescent="0.45">
      <c r="A113">
        <v>34</v>
      </c>
      <c r="B113" t="s">
        <v>30</v>
      </c>
      <c r="C113" t="s">
        <v>38</v>
      </c>
      <c r="D113">
        <v>658</v>
      </c>
      <c r="E113" t="s">
        <v>39</v>
      </c>
      <c r="F113">
        <v>7</v>
      </c>
      <c r="G113">
        <v>3</v>
      </c>
      <c r="H113" t="s">
        <v>33</v>
      </c>
      <c r="I113">
        <v>147</v>
      </c>
      <c r="J113">
        <v>1</v>
      </c>
      <c r="K113" t="s">
        <v>40</v>
      </c>
      <c r="L113">
        <v>1</v>
      </c>
      <c r="M113">
        <v>2</v>
      </c>
      <c r="N113" t="s">
        <v>44</v>
      </c>
      <c r="O113">
        <v>3</v>
      </c>
      <c r="P113" t="s">
        <v>36</v>
      </c>
      <c r="Q113">
        <v>6074</v>
      </c>
      <c r="R113">
        <v>1</v>
      </c>
      <c r="S113" t="s">
        <v>30</v>
      </c>
      <c r="T113">
        <v>24</v>
      </c>
      <c r="U113">
        <v>4</v>
      </c>
      <c r="V113">
        <v>4</v>
      </c>
      <c r="W113">
        <v>0</v>
      </c>
      <c r="X113">
        <v>9</v>
      </c>
      <c r="Y113">
        <v>3</v>
      </c>
      <c r="Z113">
        <v>3</v>
      </c>
      <c r="AA113">
        <v>9</v>
      </c>
      <c r="AB113">
        <v>7</v>
      </c>
      <c r="AC113">
        <v>0</v>
      </c>
      <c r="AD113">
        <v>6</v>
      </c>
      <c r="AE113" t="str" cm="1">
        <f t="array" ref="AE113">_xlfn.IFS(G113=1,"Before College",G113=2,"College",G113=3,"Bachelor",G113=4,"Master",G113=5,"Doctor")</f>
        <v>Bachelor</v>
      </c>
      <c r="AF113" t="str" cm="1">
        <f t="array" ref="AF113">_xlfn.IFS(J113=1,"Low",J113=2,"Medium",J113=3,"High",J113=4,"Very High")</f>
        <v>Low</v>
      </c>
      <c r="AG113" t="str" cm="1">
        <f t="array" ref="AG113">_xlfn.IFS(L113=1,"Low",L113=2,"Medium",L113=3,"High",L113=4,"Very High")</f>
        <v>Low</v>
      </c>
      <c r="AH113" t="str" cm="1">
        <f t="array" ref="AH113">_xlfn.IFS(M113=1,"Junior employee",M113=2,"Mid-level",M113=3,"Senior",M113=4,"Manager",M113=5,"Executive")</f>
        <v>Mid-level</v>
      </c>
      <c r="AI113" t="str" cm="1">
        <f t="array" ref="AI113">_xlfn.IFS(O113=1,"Low",O113=2,"Medium",O113=3,"High",O113=4,"Very High")</f>
        <v>High</v>
      </c>
      <c r="AJ113" t="str" cm="1">
        <f t="array" ref="AJ113">_xlfn.IFS(U113=1,"Low",U113=2,"Good",U113=3,"Excellent",U113=4,"Outstanding")</f>
        <v>Outstanding</v>
      </c>
      <c r="AK113" t="str" cm="1">
        <f t="array" ref="AK113">_xlfn.IFS(V113=1,"Low",V113=2,"Medium",V113=3,"High",V113=4,"Very High")</f>
        <v>Very High</v>
      </c>
      <c r="AL113" t="str" cm="1">
        <f t="array" ref="AL113">_xlfn.IFS(Z113=1,"Bad",Z113=2,"Good",Z113=3,"Better",Z113=4,"Best")</f>
        <v>Better</v>
      </c>
      <c r="AM113" t="str" cm="1">
        <f t="array" ref="AM113">_xlfn.IFS(W113=0,"No_stock",W113=1,"Low",W113=2,"Medium",W113=3,"High")</f>
        <v>No_stock</v>
      </c>
      <c r="AN113" t="str">
        <f t="shared" si="1"/>
        <v>Medium</v>
      </c>
    </row>
    <row r="114" spans="1:40" x14ac:dyDescent="0.45">
      <c r="A114">
        <v>54</v>
      </c>
      <c r="B114" t="s">
        <v>37</v>
      </c>
      <c r="C114" t="s">
        <v>49</v>
      </c>
      <c r="D114">
        <v>142</v>
      </c>
      <c r="E114" t="s">
        <v>55</v>
      </c>
      <c r="F114">
        <v>26</v>
      </c>
      <c r="G114">
        <v>3</v>
      </c>
      <c r="H114" t="s">
        <v>55</v>
      </c>
      <c r="I114">
        <v>148</v>
      </c>
      <c r="J114">
        <v>4</v>
      </c>
      <c r="K114" t="s">
        <v>34</v>
      </c>
      <c r="L114">
        <v>4</v>
      </c>
      <c r="M114">
        <v>4</v>
      </c>
      <c r="N114" t="s">
        <v>50</v>
      </c>
      <c r="O114">
        <v>4</v>
      </c>
      <c r="P114" t="s">
        <v>36</v>
      </c>
      <c r="Q114">
        <v>17328</v>
      </c>
      <c r="R114">
        <v>2</v>
      </c>
      <c r="S114" t="s">
        <v>30</v>
      </c>
      <c r="T114">
        <v>12</v>
      </c>
      <c r="U114">
        <v>3</v>
      </c>
      <c r="V114">
        <v>3</v>
      </c>
      <c r="W114">
        <v>0</v>
      </c>
      <c r="X114">
        <v>23</v>
      </c>
      <c r="Y114">
        <v>3</v>
      </c>
      <c r="Z114">
        <v>3</v>
      </c>
      <c r="AA114">
        <v>5</v>
      </c>
      <c r="AB114">
        <v>3</v>
      </c>
      <c r="AC114">
        <v>4</v>
      </c>
      <c r="AD114">
        <v>4</v>
      </c>
      <c r="AE114" t="str" cm="1">
        <f t="array" ref="AE114">_xlfn.IFS(G114=1,"Before College",G114=2,"College",G114=3,"Bachelor",G114=4,"Master",G114=5,"Doctor")</f>
        <v>Bachelor</v>
      </c>
      <c r="AF114" t="str" cm="1">
        <f t="array" ref="AF114">_xlfn.IFS(J114=1,"Low",J114=2,"Medium",J114=3,"High",J114=4,"Very High")</f>
        <v>Very High</v>
      </c>
      <c r="AG114" t="str" cm="1">
        <f t="array" ref="AG114">_xlfn.IFS(L114=1,"Low",L114=2,"Medium",L114=3,"High",L114=4,"Very High")</f>
        <v>Very High</v>
      </c>
      <c r="AH114" t="str" cm="1">
        <f t="array" ref="AH114">_xlfn.IFS(M114=1,"Junior employee",M114=2,"Mid-level",M114=3,"Senior",M114=4,"Manager",M114=5,"Executive")</f>
        <v>Manager</v>
      </c>
      <c r="AI114" t="str" cm="1">
        <f t="array" ref="AI114">_xlfn.IFS(O114=1,"Low",O114=2,"Medium",O114=3,"High",O114=4,"Very High")</f>
        <v>Very High</v>
      </c>
      <c r="AJ114" t="str" cm="1">
        <f t="array" ref="AJ114">_xlfn.IFS(U114=1,"Low",U114=2,"Good",U114=3,"Excellent",U114=4,"Outstanding")</f>
        <v>Excellent</v>
      </c>
      <c r="AK114" t="str" cm="1">
        <f t="array" ref="AK114">_xlfn.IFS(V114=1,"Low",V114=2,"Medium",V114=3,"High",V114=4,"Very High")</f>
        <v>High</v>
      </c>
      <c r="AL114" t="str" cm="1">
        <f t="array" ref="AL114">_xlfn.IFS(Z114=1,"Bad",Z114=2,"Good",Z114=3,"Better",Z114=4,"Best")</f>
        <v>Better</v>
      </c>
      <c r="AM114" t="str" cm="1">
        <f t="array" ref="AM114">_xlfn.IFS(W114=0,"No_stock",W114=1,"Low",W114=2,"Medium",W114=3,"High")</f>
        <v>No_stock</v>
      </c>
      <c r="AN114" t="str">
        <f t="shared" si="1"/>
        <v>Far</v>
      </c>
    </row>
    <row r="115" spans="1:40" x14ac:dyDescent="0.45">
      <c r="A115">
        <v>24</v>
      </c>
      <c r="B115" t="s">
        <v>37</v>
      </c>
      <c r="C115" t="s">
        <v>31</v>
      </c>
      <c r="D115">
        <v>1127</v>
      </c>
      <c r="E115" t="s">
        <v>39</v>
      </c>
      <c r="F115">
        <v>18</v>
      </c>
      <c r="G115">
        <v>1</v>
      </c>
      <c r="H115" t="s">
        <v>33</v>
      </c>
      <c r="I115">
        <v>150</v>
      </c>
      <c r="J115">
        <v>2</v>
      </c>
      <c r="K115" t="s">
        <v>40</v>
      </c>
      <c r="L115">
        <v>3</v>
      </c>
      <c r="M115">
        <v>1</v>
      </c>
      <c r="N115" t="s">
        <v>44</v>
      </c>
      <c r="O115">
        <v>3</v>
      </c>
      <c r="P115" t="s">
        <v>42</v>
      </c>
      <c r="Q115">
        <v>2774</v>
      </c>
      <c r="R115">
        <v>0</v>
      </c>
      <c r="S115" t="s">
        <v>37</v>
      </c>
      <c r="T115">
        <v>12</v>
      </c>
      <c r="U115">
        <v>3</v>
      </c>
      <c r="V115">
        <v>3</v>
      </c>
      <c r="W115">
        <v>1</v>
      </c>
      <c r="X115">
        <v>6</v>
      </c>
      <c r="Y115">
        <v>2</v>
      </c>
      <c r="Z115">
        <v>3</v>
      </c>
      <c r="AA115">
        <v>5</v>
      </c>
      <c r="AB115">
        <v>3</v>
      </c>
      <c r="AC115">
        <v>1</v>
      </c>
      <c r="AD115">
        <v>2</v>
      </c>
      <c r="AE115" t="str" cm="1">
        <f t="array" ref="AE115">_xlfn.IFS(G115=1,"Before College",G115=2,"College",G115=3,"Bachelor",G115=4,"Master",G115=5,"Doctor")</f>
        <v>Before College</v>
      </c>
      <c r="AF115" t="str" cm="1">
        <f t="array" ref="AF115">_xlfn.IFS(J115=1,"Low",J115=2,"Medium",J115=3,"High",J115=4,"Very High")</f>
        <v>Medium</v>
      </c>
      <c r="AG115" t="str" cm="1">
        <f t="array" ref="AG115">_xlfn.IFS(L115=1,"Low",L115=2,"Medium",L115=3,"High",L115=4,"Very High")</f>
        <v>High</v>
      </c>
      <c r="AH115" t="str" cm="1">
        <f t="array" ref="AH115">_xlfn.IFS(M115=1,"Junior employee",M115=2,"Mid-level",M115=3,"Senior",M115=4,"Manager",M115=5,"Executive")</f>
        <v>Junior employee</v>
      </c>
      <c r="AI115" t="str" cm="1">
        <f t="array" ref="AI115">_xlfn.IFS(O115=1,"Low",O115=2,"Medium",O115=3,"High",O115=4,"Very High")</f>
        <v>High</v>
      </c>
      <c r="AJ115" t="str" cm="1">
        <f t="array" ref="AJ115">_xlfn.IFS(U115=1,"Low",U115=2,"Good",U115=3,"Excellent",U115=4,"Outstanding")</f>
        <v>Excellent</v>
      </c>
      <c r="AK115" t="str" cm="1">
        <f t="array" ref="AK115">_xlfn.IFS(V115=1,"Low",V115=2,"Medium",V115=3,"High",V115=4,"Very High")</f>
        <v>High</v>
      </c>
      <c r="AL115" t="str" cm="1">
        <f t="array" ref="AL115">_xlfn.IFS(Z115=1,"Bad",Z115=2,"Good",Z115=3,"Better",Z115=4,"Best")</f>
        <v>Better</v>
      </c>
      <c r="AM115" t="str" cm="1">
        <f t="array" ref="AM115">_xlfn.IFS(W115=0,"No_stock",W115=1,"Low",W115=2,"Medium",W115=3,"High")</f>
        <v>Low</v>
      </c>
      <c r="AN115" t="str">
        <f t="shared" si="1"/>
        <v>Far</v>
      </c>
    </row>
    <row r="116" spans="1:40" x14ac:dyDescent="0.45">
      <c r="A116">
        <v>34</v>
      </c>
      <c r="B116" t="s">
        <v>37</v>
      </c>
      <c r="C116" t="s">
        <v>31</v>
      </c>
      <c r="D116">
        <v>1031</v>
      </c>
      <c r="E116" t="s">
        <v>39</v>
      </c>
      <c r="F116">
        <v>6</v>
      </c>
      <c r="G116">
        <v>4</v>
      </c>
      <c r="H116" t="s">
        <v>33</v>
      </c>
      <c r="I116">
        <v>151</v>
      </c>
      <c r="J116">
        <v>3</v>
      </c>
      <c r="K116" t="s">
        <v>34</v>
      </c>
      <c r="L116">
        <v>2</v>
      </c>
      <c r="M116">
        <v>2</v>
      </c>
      <c r="N116" t="s">
        <v>41</v>
      </c>
      <c r="O116">
        <v>2</v>
      </c>
      <c r="P116" t="s">
        <v>46</v>
      </c>
      <c r="Q116">
        <v>4505</v>
      </c>
      <c r="R116">
        <v>6</v>
      </c>
      <c r="S116" t="s">
        <v>37</v>
      </c>
      <c r="T116">
        <v>15</v>
      </c>
      <c r="U116">
        <v>3</v>
      </c>
      <c r="V116">
        <v>3</v>
      </c>
      <c r="W116">
        <v>1</v>
      </c>
      <c r="X116">
        <v>12</v>
      </c>
      <c r="Y116">
        <v>3</v>
      </c>
      <c r="Z116">
        <v>3</v>
      </c>
      <c r="AA116">
        <v>1</v>
      </c>
      <c r="AB116">
        <v>0</v>
      </c>
      <c r="AC116">
        <v>0</v>
      </c>
      <c r="AD116">
        <v>0</v>
      </c>
      <c r="AE116" t="str" cm="1">
        <f t="array" ref="AE116">_xlfn.IFS(G116=1,"Before College",G116=2,"College",G116=3,"Bachelor",G116=4,"Master",G116=5,"Doctor")</f>
        <v>Master</v>
      </c>
      <c r="AF116" t="str" cm="1">
        <f t="array" ref="AF116">_xlfn.IFS(J116=1,"Low",J116=2,"Medium",J116=3,"High",J116=4,"Very High")</f>
        <v>High</v>
      </c>
      <c r="AG116" t="str" cm="1">
        <f t="array" ref="AG116">_xlfn.IFS(L116=1,"Low",L116=2,"Medium",L116=3,"High",L116=4,"Very High")</f>
        <v>Medium</v>
      </c>
      <c r="AH116" t="str" cm="1">
        <f t="array" ref="AH116">_xlfn.IFS(M116=1,"Junior employee",M116=2,"Mid-level",M116=3,"Senior",M116=4,"Manager",M116=5,"Executive")</f>
        <v>Mid-level</v>
      </c>
      <c r="AI116" t="str" cm="1">
        <f t="array" ref="AI116">_xlfn.IFS(O116=1,"Low",O116=2,"Medium",O116=3,"High",O116=4,"Very High")</f>
        <v>Medium</v>
      </c>
      <c r="AJ116" t="str" cm="1">
        <f t="array" ref="AJ116">_xlfn.IFS(U116=1,"Low",U116=2,"Good",U116=3,"Excellent",U116=4,"Outstanding")</f>
        <v>Excellent</v>
      </c>
      <c r="AK116" t="str" cm="1">
        <f t="array" ref="AK116">_xlfn.IFS(V116=1,"Low",V116=2,"Medium",V116=3,"High",V116=4,"Very High")</f>
        <v>High</v>
      </c>
      <c r="AL116" t="str" cm="1">
        <f t="array" ref="AL116">_xlfn.IFS(Z116=1,"Bad",Z116=2,"Good",Z116=3,"Better",Z116=4,"Best")</f>
        <v>Better</v>
      </c>
      <c r="AM116" t="str" cm="1">
        <f t="array" ref="AM116">_xlfn.IFS(W116=0,"No_stock",W116=1,"Low",W116=2,"Medium",W116=3,"High")</f>
        <v>Low</v>
      </c>
      <c r="AN116" t="str">
        <f t="shared" si="1"/>
        <v>Medium</v>
      </c>
    </row>
    <row r="117" spans="1:40" x14ac:dyDescent="0.45">
      <c r="A117">
        <v>37</v>
      </c>
      <c r="B117" t="s">
        <v>37</v>
      </c>
      <c r="C117" t="s">
        <v>31</v>
      </c>
      <c r="D117">
        <v>1189</v>
      </c>
      <c r="E117" t="s">
        <v>32</v>
      </c>
      <c r="F117">
        <v>3</v>
      </c>
      <c r="G117">
        <v>3</v>
      </c>
      <c r="H117" t="s">
        <v>33</v>
      </c>
      <c r="I117">
        <v>152</v>
      </c>
      <c r="J117">
        <v>3</v>
      </c>
      <c r="K117" t="s">
        <v>40</v>
      </c>
      <c r="L117">
        <v>3</v>
      </c>
      <c r="M117">
        <v>3</v>
      </c>
      <c r="N117" t="s">
        <v>35</v>
      </c>
      <c r="O117">
        <v>4</v>
      </c>
      <c r="P117" t="s">
        <v>36</v>
      </c>
      <c r="Q117">
        <v>7428</v>
      </c>
      <c r="R117">
        <v>2</v>
      </c>
      <c r="S117" t="s">
        <v>37</v>
      </c>
      <c r="T117">
        <v>12</v>
      </c>
      <c r="U117">
        <v>3</v>
      </c>
      <c r="V117">
        <v>1</v>
      </c>
      <c r="W117">
        <v>0</v>
      </c>
      <c r="X117">
        <v>12</v>
      </c>
      <c r="Y117">
        <v>3</v>
      </c>
      <c r="Z117">
        <v>3</v>
      </c>
      <c r="AA117">
        <v>5</v>
      </c>
      <c r="AB117">
        <v>3</v>
      </c>
      <c r="AC117">
        <v>1</v>
      </c>
      <c r="AD117">
        <v>3</v>
      </c>
      <c r="AE117" t="str" cm="1">
        <f t="array" ref="AE117">_xlfn.IFS(G117=1,"Before College",G117=2,"College",G117=3,"Bachelor",G117=4,"Master",G117=5,"Doctor")</f>
        <v>Bachelor</v>
      </c>
      <c r="AF117" t="str" cm="1">
        <f t="array" ref="AF117">_xlfn.IFS(J117=1,"Low",J117=2,"Medium",J117=3,"High",J117=4,"Very High")</f>
        <v>High</v>
      </c>
      <c r="AG117" t="str" cm="1">
        <f t="array" ref="AG117">_xlfn.IFS(L117=1,"Low",L117=2,"Medium",L117=3,"High",L117=4,"Very High")</f>
        <v>High</v>
      </c>
      <c r="AH117" t="str" cm="1">
        <f t="array" ref="AH117">_xlfn.IFS(M117=1,"Junior employee",M117=2,"Mid-level",M117=3,"Senior",M117=4,"Manager",M117=5,"Executive")</f>
        <v>Senior</v>
      </c>
      <c r="AI117" t="str" cm="1">
        <f t="array" ref="AI117">_xlfn.IFS(O117=1,"Low",O117=2,"Medium",O117=3,"High",O117=4,"Very High")</f>
        <v>Very High</v>
      </c>
      <c r="AJ117" t="str" cm="1">
        <f t="array" ref="AJ117">_xlfn.IFS(U117=1,"Low",U117=2,"Good",U117=3,"Excellent",U117=4,"Outstanding")</f>
        <v>Excellent</v>
      </c>
      <c r="AK117" t="str" cm="1">
        <f t="array" ref="AK117">_xlfn.IFS(V117=1,"Low",V117=2,"Medium",V117=3,"High",V117=4,"Very High")</f>
        <v>Low</v>
      </c>
      <c r="AL117" t="str" cm="1">
        <f t="array" ref="AL117">_xlfn.IFS(Z117=1,"Bad",Z117=2,"Good",Z117=3,"Better",Z117=4,"Best")</f>
        <v>Better</v>
      </c>
      <c r="AM117" t="str" cm="1">
        <f t="array" ref="AM117">_xlfn.IFS(W117=0,"No_stock",W117=1,"Low",W117=2,"Medium",W117=3,"High")</f>
        <v>No_stock</v>
      </c>
      <c r="AN117" t="str">
        <f t="shared" si="1"/>
        <v>Near</v>
      </c>
    </row>
    <row r="118" spans="1:40" x14ac:dyDescent="0.45">
      <c r="A118">
        <v>34</v>
      </c>
      <c r="B118" t="s">
        <v>37</v>
      </c>
      <c r="C118" t="s">
        <v>31</v>
      </c>
      <c r="D118">
        <v>1354</v>
      </c>
      <c r="E118" t="s">
        <v>39</v>
      </c>
      <c r="F118">
        <v>5</v>
      </c>
      <c r="G118">
        <v>3</v>
      </c>
      <c r="H118" t="s">
        <v>45</v>
      </c>
      <c r="I118">
        <v>153</v>
      </c>
      <c r="J118">
        <v>3</v>
      </c>
      <c r="K118" t="s">
        <v>34</v>
      </c>
      <c r="L118">
        <v>2</v>
      </c>
      <c r="M118">
        <v>3</v>
      </c>
      <c r="N118" t="s">
        <v>50</v>
      </c>
      <c r="O118">
        <v>1</v>
      </c>
      <c r="P118" t="s">
        <v>36</v>
      </c>
      <c r="Q118">
        <v>11631</v>
      </c>
      <c r="R118">
        <v>2</v>
      </c>
      <c r="S118" t="s">
        <v>37</v>
      </c>
      <c r="T118">
        <v>12</v>
      </c>
      <c r="U118">
        <v>3</v>
      </c>
      <c r="V118">
        <v>4</v>
      </c>
      <c r="W118">
        <v>0</v>
      </c>
      <c r="X118">
        <v>14</v>
      </c>
      <c r="Y118">
        <v>6</v>
      </c>
      <c r="Z118">
        <v>3</v>
      </c>
      <c r="AA118">
        <v>11</v>
      </c>
      <c r="AB118">
        <v>10</v>
      </c>
      <c r="AC118">
        <v>5</v>
      </c>
      <c r="AD118">
        <v>8</v>
      </c>
      <c r="AE118" t="str" cm="1">
        <f t="array" ref="AE118">_xlfn.IFS(G118=1,"Before College",G118=2,"College",G118=3,"Bachelor",G118=4,"Master",G118=5,"Doctor")</f>
        <v>Bachelor</v>
      </c>
      <c r="AF118" t="str" cm="1">
        <f t="array" ref="AF118">_xlfn.IFS(J118=1,"Low",J118=2,"Medium",J118=3,"High",J118=4,"Very High")</f>
        <v>High</v>
      </c>
      <c r="AG118" t="str" cm="1">
        <f t="array" ref="AG118">_xlfn.IFS(L118=1,"Low",L118=2,"Medium",L118=3,"High",L118=4,"Very High")</f>
        <v>Medium</v>
      </c>
      <c r="AH118" t="str" cm="1">
        <f t="array" ref="AH118">_xlfn.IFS(M118=1,"Junior employee",M118=2,"Mid-level",M118=3,"Senior",M118=4,"Manager",M118=5,"Executive")</f>
        <v>Senior</v>
      </c>
      <c r="AI118" t="str" cm="1">
        <f t="array" ref="AI118">_xlfn.IFS(O118=1,"Low",O118=2,"Medium",O118=3,"High",O118=4,"Very High")</f>
        <v>Low</v>
      </c>
      <c r="AJ118" t="str" cm="1">
        <f t="array" ref="AJ118">_xlfn.IFS(U118=1,"Low",U118=2,"Good",U118=3,"Excellent",U118=4,"Outstanding")</f>
        <v>Excellent</v>
      </c>
      <c r="AK118" t="str" cm="1">
        <f t="array" ref="AK118">_xlfn.IFS(V118=1,"Low",V118=2,"Medium",V118=3,"High",V118=4,"Very High")</f>
        <v>Very High</v>
      </c>
      <c r="AL118" t="str" cm="1">
        <f t="array" ref="AL118">_xlfn.IFS(Z118=1,"Bad",Z118=2,"Good",Z118=3,"Better",Z118=4,"Best")</f>
        <v>Better</v>
      </c>
      <c r="AM118" t="str" cm="1">
        <f t="array" ref="AM118">_xlfn.IFS(W118=0,"No_stock",W118=1,"Low",W118=2,"Medium",W118=3,"High")</f>
        <v>No_stock</v>
      </c>
      <c r="AN118" t="str">
        <f t="shared" si="1"/>
        <v>Near</v>
      </c>
    </row>
    <row r="119" spans="1:40" x14ac:dyDescent="0.45">
      <c r="A119">
        <v>36</v>
      </c>
      <c r="B119" t="s">
        <v>37</v>
      </c>
      <c r="C119" t="s">
        <v>38</v>
      </c>
      <c r="D119">
        <v>1467</v>
      </c>
      <c r="E119" t="s">
        <v>32</v>
      </c>
      <c r="F119">
        <v>11</v>
      </c>
      <c r="G119">
        <v>2</v>
      </c>
      <c r="H119" t="s">
        <v>54</v>
      </c>
      <c r="I119">
        <v>154</v>
      </c>
      <c r="J119">
        <v>2</v>
      </c>
      <c r="K119" t="s">
        <v>34</v>
      </c>
      <c r="L119">
        <v>3</v>
      </c>
      <c r="M119">
        <v>3</v>
      </c>
      <c r="N119" t="s">
        <v>35</v>
      </c>
      <c r="O119">
        <v>4</v>
      </c>
      <c r="P119" t="s">
        <v>42</v>
      </c>
      <c r="Q119">
        <v>9738</v>
      </c>
      <c r="R119">
        <v>0</v>
      </c>
      <c r="S119" t="s">
        <v>37</v>
      </c>
      <c r="T119">
        <v>14</v>
      </c>
      <c r="U119">
        <v>3</v>
      </c>
      <c r="V119">
        <v>3</v>
      </c>
      <c r="W119">
        <v>1</v>
      </c>
      <c r="X119">
        <v>10</v>
      </c>
      <c r="Y119">
        <v>6</v>
      </c>
      <c r="Z119">
        <v>3</v>
      </c>
      <c r="AA119">
        <v>9</v>
      </c>
      <c r="AB119">
        <v>7</v>
      </c>
      <c r="AC119">
        <v>2</v>
      </c>
      <c r="AD119">
        <v>8</v>
      </c>
      <c r="AE119" t="str" cm="1">
        <f t="array" ref="AE119">_xlfn.IFS(G119=1,"Before College",G119=2,"College",G119=3,"Bachelor",G119=4,"Master",G119=5,"Doctor")</f>
        <v>College</v>
      </c>
      <c r="AF119" t="str" cm="1">
        <f t="array" ref="AF119">_xlfn.IFS(J119=1,"Low",J119=2,"Medium",J119=3,"High",J119=4,"Very High")</f>
        <v>Medium</v>
      </c>
      <c r="AG119" t="str" cm="1">
        <f t="array" ref="AG119">_xlfn.IFS(L119=1,"Low",L119=2,"Medium",L119=3,"High",L119=4,"Very High")</f>
        <v>High</v>
      </c>
      <c r="AH119" t="str" cm="1">
        <f t="array" ref="AH119">_xlfn.IFS(M119=1,"Junior employee",M119=2,"Mid-level",M119=3,"Senior",M119=4,"Manager",M119=5,"Executive")</f>
        <v>Senior</v>
      </c>
      <c r="AI119" t="str" cm="1">
        <f t="array" ref="AI119">_xlfn.IFS(O119=1,"Low",O119=2,"Medium",O119=3,"High",O119=4,"Very High")</f>
        <v>Very High</v>
      </c>
      <c r="AJ119" t="str" cm="1">
        <f t="array" ref="AJ119">_xlfn.IFS(U119=1,"Low",U119=2,"Good",U119=3,"Excellent",U119=4,"Outstanding")</f>
        <v>Excellent</v>
      </c>
      <c r="AK119" t="str" cm="1">
        <f t="array" ref="AK119">_xlfn.IFS(V119=1,"Low",V119=2,"Medium",V119=3,"High",V119=4,"Very High")</f>
        <v>High</v>
      </c>
      <c r="AL119" t="str" cm="1">
        <f t="array" ref="AL119">_xlfn.IFS(Z119=1,"Bad",Z119=2,"Good",Z119=3,"Better",Z119=4,"Best")</f>
        <v>Better</v>
      </c>
      <c r="AM119" t="str" cm="1">
        <f t="array" ref="AM119">_xlfn.IFS(W119=0,"No_stock",W119=1,"Low",W119=2,"Medium",W119=3,"High")</f>
        <v>Low</v>
      </c>
      <c r="AN119" t="str">
        <f t="shared" si="1"/>
        <v>Medium</v>
      </c>
    </row>
    <row r="120" spans="1:40" x14ac:dyDescent="0.45">
      <c r="A120">
        <v>36</v>
      </c>
      <c r="B120" t="s">
        <v>37</v>
      </c>
      <c r="C120" t="s">
        <v>31</v>
      </c>
      <c r="D120">
        <v>922</v>
      </c>
      <c r="E120" t="s">
        <v>39</v>
      </c>
      <c r="F120">
        <v>3</v>
      </c>
      <c r="G120">
        <v>2</v>
      </c>
      <c r="H120" t="s">
        <v>33</v>
      </c>
      <c r="I120">
        <v>155</v>
      </c>
      <c r="J120">
        <v>1</v>
      </c>
      <c r="K120" t="s">
        <v>34</v>
      </c>
      <c r="L120">
        <v>3</v>
      </c>
      <c r="M120">
        <v>1</v>
      </c>
      <c r="N120" t="s">
        <v>44</v>
      </c>
      <c r="O120">
        <v>4</v>
      </c>
      <c r="P120" t="s">
        <v>46</v>
      </c>
      <c r="Q120">
        <v>2835</v>
      </c>
      <c r="R120">
        <v>5</v>
      </c>
      <c r="S120" t="s">
        <v>37</v>
      </c>
      <c r="T120">
        <v>22</v>
      </c>
      <c r="U120">
        <v>4</v>
      </c>
      <c r="V120">
        <v>1</v>
      </c>
      <c r="W120">
        <v>1</v>
      </c>
      <c r="X120">
        <v>7</v>
      </c>
      <c r="Y120">
        <v>2</v>
      </c>
      <c r="Z120">
        <v>3</v>
      </c>
      <c r="AA120">
        <v>1</v>
      </c>
      <c r="AB120">
        <v>0</v>
      </c>
      <c r="AC120">
        <v>0</v>
      </c>
      <c r="AD120">
        <v>0</v>
      </c>
      <c r="AE120" t="str" cm="1">
        <f t="array" ref="AE120">_xlfn.IFS(G120=1,"Before College",G120=2,"College",G120=3,"Bachelor",G120=4,"Master",G120=5,"Doctor")</f>
        <v>College</v>
      </c>
      <c r="AF120" t="str" cm="1">
        <f t="array" ref="AF120">_xlfn.IFS(J120=1,"Low",J120=2,"Medium",J120=3,"High",J120=4,"Very High")</f>
        <v>Low</v>
      </c>
      <c r="AG120" t="str" cm="1">
        <f t="array" ref="AG120">_xlfn.IFS(L120=1,"Low",L120=2,"Medium",L120=3,"High",L120=4,"Very High")</f>
        <v>High</v>
      </c>
      <c r="AH120" t="str" cm="1">
        <f t="array" ref="AH120">_xlfn.IFS(M120=1,"Junior employee",M120=2,"Mid-level",M120=3,"Senior",M120=4,"Manager",M120=5,"Executive")</f>
        <v>Junior employee</v>
      </c>
      <c r="AI120" t="str" cm="1">
        <f t="array" ref="AI120">_xlfn.IFS(O120=1,"Low",O120=2,"Medium",O120=3,"High",O120=4,"Very High")</f>
        <v>Very High</v>
      </c>
      <c r="AJ120" t="str" cm="1">
        <f t="array" ref="AJ120">_xlfn.IFS(U120=1,"Low",U120=2,"Good",U120=3,"Excellent",U120=4,"Outstanding")</f>
        <v>Outstanding</v>
      </c>
      <c r="AK120" t="str" cm="1">
        <f t="array" ref="AK120">_xlfn.IFS(V120=1,"Low",V120=2,"Medium",V120=3,"High",V120=4,"Very High")</f>
        <v>Low</v>
      </c>
      <c r="AL120" t="str" cm="1">
        <f t="array" ref="AL120">_xlfn.IFS(Z120=1,"Bad",Z120=2,"Good",Z120=3,"Better",Z120=4,"Best")</f>
        <v>Better</v>
      </c>
      <c r="AM120" t="str" cm="1">
        <f t="array" ref="AM120">_xlfn.IFS(W120=0,"No_stock",W120=1,"Low",W120=2,"Medium",W120=3,"High")</f>
        <v>Low</v>
      </c>
      <c r="AN120" t="str">
        <f t="shared" si="1"/>
        <v>Near</v>
      </c>
    </row>
    <row r="121" spans="1:40" x14ac:dyDescent="0.45">
      <c r="A121">
        <v>43</v>
      </c>
      <c r="B121" t="s">
        <v>37</v>
      </c>
      <c r="C121" t="s">
        <v>38</v>
      </c>
      <c r="D121">
        <v>394</v>
      </c>
      <c r="E121" t="s">
        <v>32</v>
      </c>
      <c r="F121">
        <v>26</v>
      </c>
      <c r="G121">
        <v>2</v>
      </c>
      <c r="H121" t="s">
        <v>33</v>
      </c>
      <c r="I121">
        <v>158</v>
      </c>
      <c r="J121">
        <v>3</v>
      </c>
      <c r="K121" t="s">
        <v>40</v>
      </c>
      <c r="L121">
        <v>3</v>
      </c>
      <c r="M121">
        <v>4</v>
      </c>
      <c r="N121" t="s">
        <v>50</v>
      </c>
      <c r="O121">
        <v>4</v>
      </c>
      <c r="P121" t="s">
        <v>42</v>
      </c>
      <c r="Q121">
        <v>16959</v>
      </c>
      <c r="R121">
        <v>1</v>
      </c>
      <c r="S121" t="s">
        <v>30</v>
      </c>
      <c r="T121">
        <v>12</v>
      </c>
      <c r="U121">
        <v>3</v>
      </c>
      <c r="V121">
        <v>4</v>
      </c>
      <c r="W121">
        <v>2</v>
      </c>
      <c r="X121">
        <v>25</v>
      </c>
      <c r="Y121">
        <v>3</v>
      </c>
      <c r="Z121">
        <v>4</v>
      </c>
      <c r="AA121">
        <v>25</v>
      </c>
      <c r="AB121">
        <v>12</v>
      </c>
      <c r="AC121">
        <v>4</v>
      </c>
      <c r="AD121">
        <v>12</v>
      </c>
      <c r="AE121" t="str" cm="1">
        <f t="array" ref="AE121">_xlfn.IFS(G121=1,"Before College",G121=2,"College",G121=3,"Bachelor",G121=4,"Master",G121=5,"Doctor")</f>
        <v>College</v>
      </c>
      <c r="AF121" t="str" cm="1">
        <f t="array" ref="AF121">_xlfn.IFS(J121=1,"Low",J121=2,"Medium",J121=3,"High",J121=4,"Very High")</f>
        <v>High</v>
      </c>
      <c r="AG121" t="str" cm="1">
        <f t="array" ref="AG121">_xlfn.IFS(L121=1,"Low",L121=2,"Medium",L121=3,"High",L121=4,"Very High")</f>
        <v>High</v>
      </c>
      <c r="AH121" t="str" cm="1">
        <f t="array" ref="AH121">_xlfn.IFS(M121=1,"Junior employee",M121=2,"Mid-level",M121=3,"Senior",M121=4,"Manager",M121=5,"Executive")</f>
        <v>Manager</v>
      </c>
      <c r="AI121" t="str" cm="1">
        <f t="array" ref="AI121">_xlfn.IFS(O121=1,"Low",O121=2,"Medium",O121=3,"High",O121=4,"Very High")</f>
        <v>Very High</v>
      </c>
      <c r="AJ121" t="str" cm="1">
        <f t="array" ref="AJ121">_xlfn.IFS(U121=1,"Low",U121=2,"Good",U121=3,"Excellent",U121=4,"Outstanding")</f>
        <v>Excellent</v>
      </c>
      <c r="AK121" t="str" cm="1">
        <f t="array" ref="AK121">_xlfn.IFS(V121=1,"Low",V121=2,"Medium",V121=3,"High",V121=4,"Very High")</f>
        <v>Very High</v>
      </c>
      <c r="AL121" t="str" cm="1">
        <f t="array" ref="AL121">_xlfn.IFS(Z121=1,"Bad",Z121=2,"Good",Z121=3,"Better",Z121=4,"Best")</f>
        <v>Best</v>
      </c>
      <c r="AM121" t="str" cm="1">
        <f t="array" ref="AM121">_xlfn.IFS(W121=0,"No_stock",W121=1,"Low",W121=2,"Medium",W121=3,"High")</f>
        <v>Medium</v>
      </c>
      <c r="AN121" t="str">
        <f t="shared" si="1"/>
        <v>Far</v>
      </c>
    </row>
    <row r="122" spans="1:40" x14ac:dyDescent="0.45">
      <c r="A122">
        <v>30</v>
      </c>
      <c r="B122" t="s">
        <v>37</v>
      </c>
      <c r="C122" t="s">
        <v>38</v>
      </c>
      <c r="D122">
        <v>1312</v>
      </c>
      <c r="E122" t="s">
        <v>39</v>
      </c>
      <c r="F122">
        <v>23</v>
      </c>
      <c r="G122">
        <v>3</v>
      </c>
      <c r="H122" t="s">
        <v>33</v>
      </c>
      <c r="I122">
        <v>159</v>
      </c>
      <c r="J122">
        <v>1</v>
      </c>
      <c r="K122" t="s">
        <v>40</v>
      </c>
      <c r="L122">
        <v>1</v>
      </c>
      <c r="M122">
        <v>1</v>
      </c>
      <c r="N122" t="s">
        <v>41</v>
      </c>
      <c r="O122">
        <v>3</v>
      </c>
      <c r="P122" t="s">
        <v>46</v>
      </c>
      <c r="Q122">
        <v>2613</v>
      </c>
      <c r="R122">
        <v>1</v>
      </c>
      <c r="S122" t="s">
        <v>37</v>
      </c>
      <c r="T122">
        <v>25</v>
      </c>
      <c r="U122">
        <v>4</v>
      </c>
      <c r="V122">
        <v>3</v>
      </c>
      <c r="W122">
        <v>3</v>
      </c>
      <c r="X122">
        <v>10</v>
      </c>
      <c r="Y122">
        <v>2</v>
      </c>
      <c r="Z122">
        <v>2</v>
      </c>
      <c r="AA122">
        <v>10</v>
      </c>
      <c r="AB122">
        <v>7</v>
      </c>
      <c r="AC122">
        <v>0</v>
      </c>
      <c r="AD122">
        <v>9</v>
      </c>
      <c r="AE122" t="str" cm="1">
        <f t="array" ref="AE122">_xlfn.IFS(G122=1,"Before College",G122=2,"College",G122=3,"Bachelor",G122=4,"Master",G122=5,"Doctor")</f>
        <v>Bachelor</v>
      </c>
      <c r="AF122" t="str" cm="1">
        <f t="array" ref="AF122">_xlfn.IFS(J122=1,"Low",J122=2,"Medium",J122=3,"High",J122=4,"Very High")</f>
        <v>Low</v>
      </c>
      <c r="AG122" t="str" cm="1">
        <f t="array" ref="AG122">_xlfn.IFS(L122=1,"Low",L122=2,"Medium",L122=3,"High",L122=4,"Very High")</f>
        <v>Low</v>
      </c>
      <c r="AH122" t="str" cm="1">
        <f t="array" ref="AH122">_xlfn.IFS(M122=1,"Junior employee",M122=2,"Mid-level",M122=3,"Senior",M122=4,"Manager",M122=5,"Executive")</f>
        <v>Junior employee</v>
      </c>
      <c r="AI122" t="str" cm="1">
        <f t="array" ref="AI122">_xlfn.IFS(O122=1,"Low",O122=2,"Medium",O122=3,"High",O122=4,"Very High")</f>
        <v>High</v>
      </c>
      <c r="AJ122" t="str" cm="1">
        <f t="array" ref="AJ122">_xlfn.IFS(U122=1,"Low",U122=2,"Good",U122=3,"Excellent",U122=4,"Outstanding")</f>
        <v>Outstanding</v>
      </c>
      <c r="AK122" t="str" cm="1">
        <f t="array" ref="AK122">_xlfn.IFS(V122=1,"Low",V122=2,"Medium",V122=3,"High",V122=4,"Very High")</f>
        <v>High</v>
      </c>
      <c r="AL122" t="str" cm="1">
        <f t="array" ref="AL122">_xlfn.IFS(Z122=1,"Bad",Z122=2,"Good",Z122=3,"Better",Z122=4,"Best")</f>
        <v>Good</v>
      </c>
      <c r="AM122" t="str" cm="1">
        <f t="array" ref="AM122">_xlfn.IFS(W122=0,"No_stock",W122=1,"Low",W122=2,"Medium",W122=3,"High")</f>
        <v>High</v>
      </c>
      <c r="AN122" t="str">
        <f t="shared" si="1"/>
        <v>Far</v>
      </c>
    </row>
    <row r="123" spans="1:40" x14ac:dyDescent="0.45">
      <c r="A123">
        <v>33</v>
      </c>
      <c r="B123" t="s">
        <v>37</v>
      </c>
      <c r="C123" t="s">
        <v>49</v>
      </c>
      <c r="D123">
        <v>750</v>
      </c>
      <c r="E123" t="s">
        <v>32</v>
      </c>
      <c r="F123">
        <v>22</v>
      </c>
      <c r="G123">
        <v>2</v>
      </c>
      <c r="H123" t="s">
        <v>53</v>
      </c>
      <c r="I123">
        <v>160</v>
      </c>
      <c r="J123">
        <v>3</v>
      </c>
      <c r="K123" t="s">
        <v>40</v>
      </c>
      <c r="L123">
        <v>3</v>
      </c>
      <c r="M123">
        <v>2</v>
      </c>
      <c r="N123" t="s">
        <v>35</v>
      </c>
      <c r="O123">
        <v>2</v>
      </c>
      <c r="P123" t="s">
        <v>42</v>
      </c>
      <c r="Q123">
        <v>6146</v>
      </c>
      <c r="R123">
        <v>0</v>
      </c>
      <c r="S123" t="s">
        <v>37</v>
      </c>
      <c r="T123">
        <v>13</v>
      </c>
      <c r="U123">
        <v>3</v>
      </c>
      <c r="V123">
        <v>1</v>
      </c>
      <c r="W123">
        <v>1</v>
      </c>
      <c r="X123">
        <v>8</v>
      </c>
      <c r="Y123">
        <v>2</v>
      </c>
      <c r="Z123">
        <v>4</v>
      </c>
      <c r="AA123">
        <v>7</v>
      </c>
      <c r="AB123">
        <v>7</v>
      </c>
      <c r="AC123">
        <v>0</v>
      </c>
      <c r="AD123">
        <v>7</v>
      </c>
      <c r="AE123" t="str" cm="1">
        <f t="array" ref="AE123">_xlfn.IFS(G123=1,"Before College",G123=2,"College",G123=3,"Bachelor",G123=4,"Master",G123=5,"Doctor")</f>
        <v>College</v>
      </c>
      <c r="AF123" t="str" cm="1">
        <f t="array" ref="AF123">_xlfn.IFS(J123=1,"Low",J123=2,"Medium",J123=3,"High",J123=4,"Very High")</f>
        <v>High</v>
      </c>
      <c r="AG123" t="str" cm="1">
        <f t="array" ref="AG123">_xlfn.IFS(L123=1,"Low",L123=2,"Medium",L123=3,"High",L123=4,"Very High")</f>
        <v>High</v>
      </c>
      <c r="AH123" t="str" cm="1">
        <f t="array" ref="AH123">_xlfn.IFS(M123=1,"Junior employee",M123=2,"Mid-level",M123=3,"Senior",M123=4,"Manager",M123=5,"Executive")</f>
        <v>Mid-level</v>
      </c>
      <c r="AI123" t="str" cm="1">
        <f t="array" ref="AI123">_xlfn.IFS(O123=1,"Low",O123=2,"Medium",O123=3,"High",O123=4,"Very High")</f>
        <v>Medium</v>
      </c>
      <c r="AJ123" t="str" cm="1">
        <f t="array" ref="AJ123">_xlfn.IFS(U123=1,"Low",U123=2,"Good",U123=3,"Excellent",U123=4,"Outstanding")</f>
        <v>Excellent</v>
      </c>
      <c r="AK123" t="str" cm="1">
        <f t="array" ref="AK123">_xlfn.IFS(V123=1,"Low",V123=2,"Medium",V123=3,"High",V123=4,"Very High")</f>
        <v>Low</v>
      </c>
      <c r="AL123" t="str" cm="1">
        <f t="array" ref="AL123">_xlfn.IFS(Z123=1,"Bad",Z123=2,"Good",Z123=3,"Better",Z123=4,"Best")</f>
        <v>Best</v>
      </c>
      <c r="AM123" t="str" cm="1">
        <f t="array" ref="AM123">_xlfn.IFS(W123=0,"No_stock",W123=1,"Low",W123=2,"Medium",W123=3,"High")</f>
        <v>Low</v>
      </c>
      <c r="AN123" t="str">
        <f t="shared" si="1"/>
        <v>Far</v>
      </c>
    </row>
    <row r="124" spans="1:40" x14ac:dyDescent="0.45">
      <c r="A124">
        <v>56</v>
      </c>
      <c r="B124" t="s">
        <v>30</v>
      </c>
      <c r="C124" t="s">
        <v>31</v>
      </c>
      <c r="D124">
        <v>441</v>
      </c>
      <c r="E124" t="s">
        <v>39</v>
      </c>
      <c r="F124">
        <v>14</v>
      </c>
      <c r="G124">
        <v>4</v>
      </c>
      <c r="H124" t="s">
        <v>33</v>
      </c>
      <c r="I124">
        <v>161</v>
      </c>
      <c r="J124">
        <v>2</v>
      </c>
      <c r="K124" t="s">
        <v>34</v>
      </c>
      <c r="L124">
        <v>3</v>
      </c>
      <c r="M124">
        <v>1</v>
      </c>
      <c r="N124" t="s">
        <v>41</v>
      </c>
      <c r="O124">
        <v>2</v>
      </c>
      <c r="P124" t="s">
        <v>42</v>
      </c>
      <c r="Q124">
        <v>4963</v>
      </c>
      <c r="R124">
        <v>9</v>
      </c>
      <c r="S124" t="s">
        <v>30</v>
      </c>
      <c r="T124">
        <v>18</v>
      </c>
      <c r="U124">
        <v>3</v>
      </c>
      <c r="V124">
        <v>1</v>
      </c>
      <c r="W124">
        <v>3</v>
      </c>
      <c r="X124">
        <v>7</v>
      </c>
      <c r="Y124">
        <v>2</v>
      </c>
      <c r="Z124">
        <v>3</v>
      </c>
      <c r="AA124">
        <v>5</v>
      </c>
      <c r="AB124">
        <v>4</v>
      </c>
      <c r="AC124">
        <v>4</v>
      </c>
      <c r="AD124">
        <v>3</v>
      </c>
      <c r="AE124" t="str" cm="1">
        <f t="array" ref="AE124">_xlfn.IFS(G124=1,"Before College",G124=2,"College",G124=3,"Bachelor",G124=4,"Master",G124=5,"Doctor")</f>
        <v>Master</v>
      </c>
      <c r="AF124" t="str" cm="1">
        <f t="array" ref="AF124">_xlfn.IFS(J124=1,"Low",J124=2,"Medium",J124=3,"High",J124=4,"Very High")</f>
        <v>Medium</v>
      </c>
      <c r="AG124" t="str" cm="1">
        <f t="array" ref="AG124">_xlfn.IFS(L124=1,"Low",L124=2,"Medium",L124=3,"High",L124=4,"Very High")</f>
        <v>High</v>
      </c>
      <c r="AH124" t="str" cm="1">
        <f t="array" ref="AH124">_xlfn.IFS(M124=1,"Junior employee",M124=2,"Mid-level",M124=3,"Senior",M124=4,"Manager",M124=5,"Executive")</f>
        <v>Junior employee</v>
      </c>
      <c r="AI124" t="str" cm="1">
        <f t="array" ref="AI124">_xlfn.IFS(O124=1,"Low",O124=2,"Medium",O124=3,"High",O124=4,"Very High")</f>
        <v>Medium</v>
      </c>
      <c r="AJ124" t="str" cm="1">
        <f t="array" ref="AJ124">_xlfn.IFS(U124=1,"Low",U124=2,"Good",U124=3,"Excellent",U124=4,"Outstanding")</f>
        <v>Excellent</v>
      </c>
      <c r="AK124" t="str" cm="1">
        <f t="array" ref="AK124">_xlfn.IFS(V124=1,"Low",V124=2,"Medium",V124=3,"High",V124=4,"Very High")</f>
        <v>Low</v>
      </c>
      <c r="AL124" t="str" cm="1">
        <f t="array" ref="AL124">_xlfn.IFS(Z124=1,"Bad",Z124=2,"Good",Z124=3,"Better",Z124=4,"Best")</f>
        <v>Better</v>
      </c>
      <c r="AM124" t="str" cm="1">
        <f t="array" ref="AM124">_xlfn.IFS(W124=0,"No_stock",W124=1,"Low",W124=2,"Medium",W124=3,"High")</f>
        <v>High</v>
      </c>
      <c r="AN124" t="str">
        <f t="shared" si="1"/>
        <v>Medium</v>
      </c>
    </row>
    <row r="125" spans="1:40" x14ac:dyDescent="0.45">
      <c r="A125">
        <v>51</v>
      </c>
      <c r="B125" t="s">
        <v>37</v>
      </c>
      <c r="C125" t="s">
        <v>31</v>
      </c>
      <c r="D125">
        <v>684</v>
      </c>
      <c r="E125" t="s">
        <v>39</v>
      </c>
      <c r="F125">
        <v>6</v>
      </c>
      <c r="G125">
        <v>3</v>
      </c>
      <c r="H125" t="s">
        <v>33</v>
      </c>
      <c r="I125">
        <v>162</v>
      </c>
      <c r="J125">
        <v>1</v>
      </c>
      <c r="K125" t="s">
        <v>40</v>
      </c>
      <c r="L125">
        <v>3</v>
      </c>
      <c r="M125">
        <v>5</v>
      </c>
      <c r="N125" t="s">
        <v>52</v>
      </c>
      <c r="O125">
        <v>3</v>
      </c>
      <c r="P125" t="s">
        <v>36</v>
      </c>
      <c r="Q125">
        <v>19537</v>
      </c>
      <c r="R125">
        <v>7</v>
      </c>
      <c r="S125" t="s">
        <v>37</v>
      </c>
      <c r="T125">
        <v>13</v>
      </c>
      <c r="U125">
        <v>3</v>
      </c>
      <c r="V125">
        <v>3</v>
      </c>
      <c r="W125">
        <v>0</v>
      </c>
      <c r="X125">
        <v>23</v>
      </c>
      <c r="Y125">
        <v>5</v>
      </c>
      <c r="Z125">
        <v>3</v>
      </c>
      <c r="AA125">
        <v>20</v>
      </c>
      <c r="AB125">
        <v>18</v>
      </c>
      <c r="AC125">
        <v>15</v>
      </c>
      <c r="AD125">
        <v>15</v>
      </c>
      <c r="AE125" t="str" cm="1">
        <f t="array" ref="AE125">_xlfn.IFS(G125=1,"Before College",G125=2,"College",G125=3,"Bachelor",G125=4,"Master",G125=5,"Doctor")</f>
        <v>Bachelor</v>
      </c>
      <c r="AF125" t="str" cm="1">
        <f t="array" ref="AF125">_xlfn.IFS(J125=1,"Low",J125=2,"Medium",J125=3,"High",J125=4,"Very High")</f>
        <v>Low</v>
      </c>
      <c r="AG125" t="str" cm="1">
        <f t="array" ref="AG125">_xlfn.IFS(L125=1,"Low",L125=2,"Medium",L125=3,"High",L125=4,"Very High")</f>
        <v>High</v>
      </c>
      <c r="AH125" t="str" cm="1">
        <f t="array" ref="AH125">_xlfn.IFS(M125=1,"Junior employee",M125=2,"Mid-level",M125=3,"Senior",M125=4,"Manager",M125=5,"Executive")</f>
        <v>Executive</v>
      </c>
      <c r="AI125" t="str" cm="1">
        <f t="array" ref="AI125">_xlfn.IFS(O125=1,"Low",O125=2,"Medium",O125=3,"High",O125=4,"Very High")</f>
        <v>High</v>
      </c>
      <c r="AJ125" t="str" cm="1">
        <f t="array" ref="AJ125">_xlfn.IFS(U125=1,"Low",U125=2,"Good",U125=3,"Excellent",U125=4,"Outstanding")</f>
        <v>Excellent</v>
      </c>
      <c r="AK125" t="str" cm="1">
        <f t="array" ref="AK125">_xlfn.IFS(V125=1,"Low",V125=2,"Medium",V125=3,"High",V125=4,"Very High")</f>
        <v>High</v>
      </c>
      <c r="AL125" t="str" cm="1">
        <f t="array" ref="AL125">_xlfn.IFS(Z125=1,"Bad",Z125=2,"Good",Z125=3,"Better",Z125=4,"Best")</f>
        <v>Better</v>
      </c>
      <c r="AM125" t="str" cm="1">
        <f t="array" ref="AM125">_xlfn.IFS(W125=0,"No_stock",W125=1,"Low",W125=2,"Medium",W125=3,"High")</f>
        <v>No_stock</v>
      </c>
      <c r="AN125" t="str">
        <f t="shared" si="1"/>
        <v>Medium</v>
      </c>
    </row>
    <row r="126" spans="1:40" x14ac:dyDescent="0.45">
      <c r="A126">
        <v>31</v>
      </c>
      <c r="B126" t="s">
        <v>30</v>
      </c>
      <c r="C126" t="s">
        <v>31</v>
      </c>
      <c r="D126">
        <v>249</v>
      </c>
      <c r="E126" t="s">
        <v>32</v>
      </c>
      <c r="F126">
        <v>6</v>
      </c>
      <c r="G126">
        <v>4</v>
      </c>
      <c r="H126" t="s">
        <v>33</v>
      </c>
      <c r="I126">
        <v>163</v>
      </c>
      <c r="J126">
        <v>2</v>
      </c>
      <c r="K126" t="s">
        <v>40</v>
      </c>
      <c r="L126">
        <v>1</v>
      </c>
      <c r="M126">
        <v>2</v>
      </c>
      <c r="N126" t="s">
        <v>35</v>
      </c>
      <c r="O126">
        <v>3</v>
      </c>
      <c r="P126" t="s">
        <v>42</v>
      </c>
      <c r="Q126">
        <v>6172</v>
      </c>
      <c r="R126">
        <v>4</v>
      </c>
      <c r="S126" t="s">
        <v>30</v>
      </c>
      <c r="T126">
        <v>18</v>
      </c>
      <c r="U126">
        <v>3</v>
      </c>
      <c r="V126">
        <v>2</v>
      </c>
      <c r="W126">
        <v>0</v>
      </c>
      <c r="X126">
        <v>12</v>
      </c>
      <c r="Y126">
        <v>3</v>
      </c>
      <c r="Z126">
        <v>2</v>
      </c>
      <c r="AA126">
        <v>7</v>
      </c>
      <c r="AB126">
        <v>7</v>
      </c>
      <c r="AC126">
        <v>7</v>
      </c>
      <c r="AD126">
        <v>7</v>
      </c>
      <c r="AE126" t="str" cm="1">
        <f t="array" ref="AE126">_xlfn.IFS(G126=1,"Before College",G126=2,"College",G126=3,"Bachelor",G126=4,"Master",G126=5,"Doctor")</f>
        <v>Master</v>
      </c>
      <c r="AF126" t="str" cm="1">
        <f t="array" ref="AF126">_xlfn.IFS(J126=1,"Low",J126=2,"Medium",J126=3,"High",J126=4,"Very High")</f>
        <v>Medium</v>
      </c>
      <c r="AG126" t="str" cm="1">
        <f t="array" ref="AG126">_xlfn.IFS(L126=1,"Low",L126=2,"Medium",L126=3,"High",L126=4,"Very High")</f>
        <v>Low</v>
      </c>
      <c r="AH126" t="str" cm="1">
        <f t="array" ref="AH126">_xlfn.IFS(M126=1,"Junior employee",M126=2,"Mid-level",M126=3,"Senior",M126=4,"Manager",M126=5,"Executive")</f>
        <v>Mid-level</v>
      </c>
      <c r="AI126" t="str" cm="1">
        <f t="array" ref="AI126">_xlfn.IFS(O126=1,"Low",O126=2,"Medium",O126=3,"High",O126=4,"Very High")</f>
        <v>High</v>
      </c>
      <c r="AJ126" t="str" cm="1">
        <f t="array" ref="AJ126">_xlfn.IFS(U126=1,"Low",U126=2,"Good",U126=3,"Excellent",U126=4,"Outstanding")</f>
        <v>Excellent</v>
      </c>
      <c r="AK126" t="str" cm="1">
        <f t="array" ref="AK126">_xlfn.IFS(V126=1,"Low",V126=2,"Medium",V126=3,"High",V126=4,"Very High")</f>
        <v>Medium</v>
      </c>
      <c r="AL126" t="str" cm="1">
        <f t="array" ref="AL126">_xlfn.IFS(Z126=1,"Bad",Z126=2,"Good",Z126=3,"Better",Z126=4,"Best")</f>
        <v>Good</v>
      </c>
      <c r="AM126" t="str" cm="1">
        <f t="array" ref="AM126">_xlfn.IFS(W126=0,"No_stock",W126=1,"Low",W126=2,"Medium",W126=3,"High")</f>
        <v>No_stock</v>
      </c>
      <c r="AN126" t="str">
        <f t="shared" si="1"/>
        <v>Medium</v>
      </c>
    </row>
    <row r="127" spans="1:40" x14ac:dyDescent="0.45">
      <c r="A127">
        <v>26</v>
      </c>
      <c r="B127" t="s">
        <v>37</v>
      </c>
      <c r="C127" t="s">
        <v>31</v>
      </c>
      <c r="D127">
        <v>841</v>
      </c>
      <c r="E127" t="s">
        <v>39</v>
      </c>
      <c r="F127">
        <v>6</v>
      </c>
      <c r="G127">
        <v>3</v>
      </c>
      <c r="H127" t="s">
        <v>43</v>
      </c>
      <c r="I127">
        <v>164</v>
      </c>
      <c r="J127">
        <v>3</v>
      </c>
      <c r="K127" t="s">
        <v>34</v>
      </c>
      <c r="L127">
        <v>2</v>
      </c>
      <c r="M127">
        <v>1</v>
      </c>
      <c r="N127" t="s">
        <v>41</v>
      </c>
      <c r="O127">
        <v>2</v>
      </c>
      <c r="P127" t="s">
        <v>42</v>
      </c>
      <c r="Q127">
        <v>2368</v>
      </c>
      <c r="R127">
        <v>1</v>
      </c>
      <c r="S127" t="s">
        <v>37</v>
      </c>
      <c r="T127">
        <v>19</v>
      </c>
      <c r="U127">
        <v>3</v>
      </c>
      <c r="V127">
        <v>3</v>
      </c>
      <c r="W127">
        <v>0</v>
      </c>
      <c r="X127">
        <v>5</v>
      </c>
      <c r="Y127">
        <v>3</v>
      </c>
      <c r="Z127">
        <v>2</v>
      </c>
      <c r="AA127">
        <v>5</v>
      </c>
      <c r="AB127">
        <v>4</v>
      </c>
      <c r="AC127">
        <v>4</v>
      </c>
      <c r="AD127">
        <v>3</v>
      </c>
      <c r="AE127" t="str" cm="1">
        <f t="array" ref="AE127">_xlfn.IFS(G127=1,"Before College",G127=2,"College",G127=3,"Bachelor",G127=4,"Master",G127=5,"Doctor")</f>
        <v>Bachelor</v>
      </c>
      <c r="AF127" t="str" cm="1">
        <f t="array" ref="AF127">_xlfn.IFS(J127=1,"Low",J127=2,"Medium",J127=3,"High",J127=4,"Very High")</f>
        <v>High</v>
      </c>
      <c r="AG127" t="str" cm="1">
        <f t="array" ref="AG127">_xlfn.IFS(L127=1,"Low",L127=2,"Medium",L127=3,"High",L127=4,"Very High")</f>
        <v>Medium</v>
      </c>
      <c r="AH127" t="str" cm="1">
        <f t="array" ref="AH127">_xlfn.IFS(M127=1,"Junior employee",M127=2,"Mid-level",M127=3,"Senior",M127=4,"Manager",M127=5,"Executive")</f>
        <v>Junior employee</v>
      </c>
      <c r="AI127" t="str" cm="1">
        <f t="array" ref="AI127">_xlfn.IFS(O127=1,"Low",O127=2,"Medium",O127=3,"High",O127=4,"Very High")</f>
        <v>Medium</v>
      </c>
      <c r="AJ127" t="str" cm="1">
        <f t="array" ref="AJ127">_xlfn.IFS(U127=1,"Low",U127=2,"Good",U127=3,"Excellent",U127=4,"Outstanding")</f>
        <v>Excellent</v>
      </c>
      <c r="AK127" t="str" cm="1">
        <f t="array" ref="AK127">_xlfn.IFS(V127=1,"Low",V127=2,"Medium",V127=3,"High",V127=4,"Very High")</f>
        <v>High</v>
      </c>
      <c r="AL127" t="str" cm="1">
        <f t="array" ref="AL127">_xlfn.IFS(Z127=1,"Bad",Z127=2,"Good",Z127=3,"Better",Z127=4,"Best")</f>
        <v>Good</v>
      </c>
      <c r="AM127" t="str" cm="1">
        <f t="array" ref="AM127">_xlfn.IFS(W127=0,"No_stock",W127=1,"Low",W127=2,"Medium",W127=3,"High")</f>
        <v>No_stock</v>
      </c>
      <c r="AN127" t="str">
        <f t="shared" si="1"/>
        <v>Medium</v>
      </c>
    </row>
    <row r="128" spans="1:40" x14ac:dyDescent="0.45">
      <c r="A128">
        <v>58</v>
      </c>
      <c r="B128" t="s">
        <v>30</v>
      </c>
      <c r="C128" t="s">
        <v>31</v>
      </c>
      <c r="D128">
        <v>147</v>
      </c>
      <c r="E128" t="s">
        <v>39</v>
      </c>
      <c r="F128">
        <v>23</v>
      </c>
      <c r="G128">
        <v>4</v>
      </c>
      <c r="H128" t="s">
        <v>45</v>
      </c>
      <c r="I128">
        <v>165</v>
      </c>
      <c r="J128">
        <v>4</v>
      </c>
      <c r="K128" t="s">
        <v>34</v>
      </c>
      <c r="L128">
        <v>3</v>
      </c>
      <c r="M128">
        <v>3</v>
      </c>
      <c r="N128" t="s">
        <v>48</v>
      </c>
      <c r="O128">
        <v>4</v>
      </c>
      <c r="P128" t="s">
        <v>42</v>
      </c>
      <c r="Q128">
        <v>10312</v>
      </c>
      <c r="R128">
        <v>1</v>
      </c>
      <c r="S128" t="s">
        <v>37</v>
      </c>
      <c r="T128">
        <v>12</v>
      </c>
      <c r="U128">
        <v>3</v>
      </c>
      <c r="V128">
        <v>4</v>
      </c>
      <c r="W128">
        <v>1</v>
      </c>
      <c r="X128">
        <v>40</v>
      </c>
      <c r="Y128">
        <v>3</v>
      </c>
      <c r="Z128">
        <v>2</v>
      </c>
      <c r="AA128">
        <v>40</v>
      </c>
      <c r="AB128">
        <v>10</v>
      </c>
      <c r="AC128">
        <v>15</v>
      </c>
      <c r="AD128">
        <v>6</v>
      </c>
      <c r="AE128" t="str" cm="1">
        <f t="array" ref="AE128">_xlfn.IFS(G128=1,"Before College",G128=2,"College",G128=3,"Bachelor",G128=4,"Master",G128=5,"Doctor")</f>
        <v>Master</v>
      </c>
      <c r="AF128" t="str" cm="1">
        <f t="array" ref="AF128">_xlfn.IFS(J128=1,"Low",J128=2,"Medium",J128=3,"High",J128=4,"Very High")</f>
        <v>Very High</v>
      </c>
      <c r="AG128" t="str" cm="1">
        <f t="array" ref="AG128">_xlfn.IFS(L128=1,"Low",L128=2,"Medium",L128=3,"High",L128=4,"Very High")</f>
        <v>High</v>
      </c>
      <c r="AH128" t="str" cm="1">
        <f t="array" ref="AH128">_xlfn.IFS(M128=1,"Junior employee",M128=2,"Mid-level",M128=3,"Senior",M128=4,"Manager",M128=5,"Executive")</f>
        <v>Senior</v>
      </c>
      <c r="AI128" t="str" cm="1">
        <f t="array" ref="AI128">_xlfn.IFS(O128=1,"Low",O128=2,"Medium",O128=3,"High",O128=4,"Very High")</f>
        <v>Very High</v>
      </c>
      <c r="AJ128" t="str" cm="1">
        <f t="array" ref="AJ128">_xlfn.IFS(U128=1,"Low",U128=2,"Good",U128=3,"Excellent",U128=4,"Outstanding")</f>
        <v>Excellent</v>
      </c>
      <c r="AK128" t="str" cm="1">
        <f t="array" ref="AK128">_xlfn.IFS(V128=1,"Low",V128=2,"Medium",V128=3,"High",V128=4,"Very High")</f>
        <v>Very High</v>
      </c>
      <c r="AL128" t="str" cm="1">
        <f t="array" ref="AL128">_xlfn.IFS(Z128=1,"Bad",Z128=2,"Good",Z128=3,"Better",Z128=4,"Best")</f>
        <v>Good</v>
      </c>
      <c r="AM128" t="str" cm="1">
        <f t="array" ref="AM128">_xlfn.IFS(W128=0,"No_stock",W128=1,"Low",W128=2,"Medium",W128=3,"High")</f>
        <v>Low</v>
      </c>
      <c r="AN128" t="str">
        <f t="shared" si="1"/>
        <v>Far</v>
      </c>
    </row>
    <row r="129" spans="1:40" x14ac:dyDescent="0.45">
      <c r="A129">
        <v>19</v>
      </c>
      <c r="B129" t="s">
        <v>30</v>
      </c>
      <c r="C129" t="s">
        <v>31</v>
      </c>
      <c r="D129">
        <v>528</v>
      </c>
      <c r="E129" t="s">
        <v>32</v>
      </c>
      <c r="F129">
        <v>22</v>
      </c>
      <c r="G129">
        <v>1</v>
      </c>
      <c r="H129" t="s">
        <v>53</v>
      </c>
      <c r="I129">
        <v>167</v>
      </c>
      <c r="J129">
        <v>4</v>
      </c>
      <c r="K129" t="s">
        <v>40</v>
      </c>
      <c r="L129">
        <v>3</v>
      </c>
      <c r="M129">
        <v>1</v>
      </c>
      <c r="N129" t="s">
        <v>51</v>
      </c>
      <c r="O129">
        <v>3</v>
      </c>
      <c r="P129" t="s">
        <v>36</v>
      </c>
      <c r="Q129">
        <v>1675</v>
      </c>
      <c r="R129">
        <v>1</v>
      </c>
      <c r="S129" t="s">
        <v>30</v>
      </c>
      <c r="T129">
        <v>19</v>
      </c>
      <c r="U129">
        <v>3</v>
      </c>
      <c r="V129">
        <v>4</v>
      </c>
      <c r="W129">
        <v>0</v>
      </c>
      <c r="X129">
        <v>0</v>
      </c>
      <c r="Y129">
        <v>2</v>
      </c>
      <c r="Z129">
        <v>2</v>
      </c>
      <c r="AA129">
        <v>0</v>
      </c>
      <c r="AB129">
        <v>0</v>
      </c>
      <c r="AC129">
        <v>0</v>
      </c>
      <c r="AD129">
        <v>0</v>
      </c>
      <c r="AE129" t="str" cm="1">
        <f t="array" ref="AE129">_xlfn.IFS(G129=1,"Before College",G129=2,"College",G129=3,"Bachelor",G129=4,"Master",G129=5,"Doctor")</f>
        <v>Before College</v>
      </c>
      <c r="AF129" t="str" cm="1">
        <f t="array" ref="AF129">_xlfn.IFS(J129=1,"Low",J129=2,"Medium",J129=3,"High",J129=4,"Very High")</f>
        <v>Very High</v>
      </c>
      <c r="AG129" t="str" cm="1">
        <f t="array" ref="AG129">_xlfn.IFS(L129=1,"Low",L129=2,"Medium",L129=3,"High",L129=4,"Very High")</f>
        <v>High</v>
      </c>
      <c r="AH129" t="str" cm="1">
        <f t="array" ref="AH129">_xlfn.IFS(M129=1,"Junior employee",M129=2,"Mid-level",M129=3,"Senior",M129=4,"Manager",M129=5,"Executive")</f>
        <v>Junior employee</v>
      </c>
      <c r="AI129" t="str" cm="1">
        <f t="array" ref="AI129">_xlfn.IFS(O129=1,"Low",O129=2,"Medium",O129=3,"High",O129=4,"Very High")</f>
        <v>High</v>
      </c>
      <c r="AJ129" t="str" cm="1">
        <f t="array" ref="AJ129">_xlfn.IFS(U129=1,"Low",U129=2,"Good",U129=3,"Excellent",U129=4,"Outstanding")</f>
        <v>Excellent</v>
      </c>
      <c r="AK129" t="str" cm="1">
        <f t="array" ref="AK129">_xlfn.IFS(V129=1,"Low",V129=2,"Medium",V129=3,"High",V129=4,"Very High")</f>
        <v>Very High</v>
      </c>
      <c r="AL129" t="str" cm="1">
        <f t="array" ref="AL129">_xlfn.IFS(Z129=1,"Bad",Z129=2,"Good",Z129=3,"Better",Z129=4,"Best")</f>
        <v>Good</v>
      </c>
      <c r="AM129" t="str" cm="1">
        <f t="array" ref="AM129">_xlfn.IFS(W129=0,"No_stock",W129=1,"Low",W129=2,"Medium",W129=3,"High")</f>
        <v>No_stock</v>
      </c>
      <c r="AN129" t="str">
        <f t="shared" si="1"/>
        <v>Far</v>
      </c>
    </row>
    <row r="130" spans="1:40" x14ac:dyDescent="0.45">
      <c r="A130">
        <v>22</v>
      </c>
      <c r="B130" t="s">
        <v>37</v>
      </c>
      <c r="C130" t="s">
        <v>31</v>
      </c>
      <c r="D130">
        <v>594</v>
      </c>
      <c r="E130" t="s">
        <v>39</v>
      </c>
      <c r="F130">
        <v>2</v>
      </c>
      <c r="G130">
        <v>1</v>
      </c>
      <c r="H130" t="s">
        <v>54</v>
      </c>
      <c r="I130">
        <v>169</v>
      </c>
      <c r="J130">
        <v>3</v>
      </c>
      <c r="K130" t="s">
        <v>40</v>
      </c>
      <c r="L130">
        <v>3</v>
      </c>
      <c r="M130">
        <v>1</v>
      </c>
      <c r="N130" t="s">
        <v>44</v>
      </c>
      <c r="O130">
        <v>4</v>
      </c>
      <c r="P130" t="s">
        <v>42</v>
      </c>
      <c r="Q130">
        <v>2523</v>
      </c>
      <c r="R130">
        <v>0</v>
      </c>
      <c r="S130" t="s">
        <v>37</v>
      </c>
      <c r="T130">
        <v>14</v>
      </c>
      <c r="U130">
        <v>3</v>
      </c>
      <c r="V130">
        <v>3</v>
      </c>
      <c r="W130">
        <v>1</v>
      </c>
      <c r="X130">
        <v>3</v>
      </c>
      <c r="Y130">
        <v>2</v>
      </c>
      <c r="Z130">
        <v>3</v>
      </c>
      <c r="AA130">
        <v>2</v>
      </c>
      <c r="AB130">
        <v>1</v>
      </c>
      <c r="AC130">
        <v>2</v>
      </c>
      <c r="AD130">
        <v>1</v>
      </c>
      <c r="AE130" t="str" cm="1">
        <f t="array" ref="AE130">_xlfn.IFS(G130=1,"Before College",G130=2,"College",G130=3,"Bachelor",G130=4,"Master",G130=5,"Doctor")</f>
        <v>Before College</v>
      </c>
      <c r="AF130" t="str" cm="1">
        <f t="array" ref="AF130">_xlfn.IFS(J130=1,"Low",J130=2,"Medium",J130=3,"High",J130=4,"Very High")</f>
        <v>High</v>
      </c>
      <c r="AG130" t="str" cm="1">
        <f t="array" ref="AG130">_xlfn.IFS(L130=1,"Low",L130=2,"Medium",L130=3,"High",L130=4,"Very High")</f>
        <v>High</v>
      </c>
      <c r="AH130" t="str" cm="1">
        <f t="array" ref="AH130">_xlfn.IFS(M130=1,"Junior employee",M130=2,"Mid-level",M130=3,"Senior",M130=4,"Manager",M130=5,"Executive")</f>
        <v>Junior employee</v>
      </c>
      <c r="AI130" t="str" cm="1">
        <f t="array" ref="AI130">_xlfn.IFS(O130=1,"Low",O130=2,"Medium",O130=3,"High",O130=4,"Very High")</f>
        <v>Very High</v>
      </c>
      <c r="AJ130" t="str" cm="1">
        <f t="array" ref="AJ130">_xlfn.IFS(U130=1,"Low",U130=2,"Good",U130=3,"Excellent",U130=4,"Outstanding")</f>
        <v>Excellent</v>
      </c>
      <c r="AK130" t="str" cm="1">
        <f t="array" ref="AK130">_xlfn.IFS(V130=1,"Low",V130=2,"Medium",V130=3,"High",V130=4,"Very High")</f>
        <v>High</v>
      </c>
      <c r="AL130" t="str" cm="1">
        <f t="array" ref="AL130">_xlfn.IFS(Z130=1,"Bad",Z130=2,"Good",Z130=3,"Better",Z130=4,"Best")</f>
        <v>Better</v>
      </c>
      <c r="AM130" t="str" cm="1">
        <f t="array" ref="AM130">_xlfn.IFS(W130=0,"No_stock",W130=1,"Low",W130=2,"Medium",W130=3,"High")</f>
        <v>Low</v>
      </c>
      <c r="AN130" t="str">
        <f t="shared" ref="AN130:AN193" si="2">IF(F130&lt;=5,"Near",IF(F130&lt;=15,"Medium","Far"))</f>
        <v>Near</v>
      </c>
    </row>
    <row r="131" spans="1:40" x14ac:dyDescent="0.45">
      <c r="A131">
        <v>49</v>
      </c>
      <c r="B131" t="s">
        <v>37</v>
      </c>
      <c r="C131" t="s">
        <v>31</v>
      </c>
      <c r="D131">
        <v>470</v>
      </c>
      <c r="E131" t="s">
        <v>39</v>
      </c>
      <c r="F131">
        <v>20</v>
      </c>
      <c r="G131">
        <v>4</v>
      </c>
      <c r="H131" t="s">
        <v>45</v>
      </c>
      <c r="I131">
        <v>170</v>
      </c>
      <c r="J131">
        <v>3</v>
      </c>
      <c r="K131" t="s">
        <v>34</v>
      </c>
      <c r="L131">
        <v>3</v>
      </c>
      <c r="M131">
        <v>2</v>
      </c>
      <c r="N131" t="s">
        <v>47</v>
      </c>
      <c r="O131">
        <v>1</v>
      </c>
      <c r="P131" t="s">
        <v>42</v>
      </c>
      <c r="Q131">
        <v>6567</v>
      </c>
      <c r="R131">
        <v>1</v>
      </c>
      <c r="S131" t="s">
        <v>37</v>
      </c>
      <c r="T131">
        <v>14</v>
      </c>
      <c r="U131">
        <v>3</v>
      </c>
      <c r="V131">
        <v>3</v>
      </c>
      <c r="W131">
        <v>0</v>
      </c>
      <c r="X131">
        <v>16</v>
      </c>
      <c r="Y131">
        <v>2</v>
      </c>
      <c r="Z131">
        <v>2</v>
      </c>
      <c r="AA131">
        <v>15</v>
      </c>
      <c r="AB131">
        <v>11</v>
      </c>
      <c r="AC131">
        <v>5</v>
      </c>
      <c r="AD131">
        <v>11</v>
      </c>
      <c r="AE131" t="str" cm="1">
        <f t="array" ref="AE131">_xlfn.IFS(G131=1,"Before College",G131=2,"College",G131=3,"Bachelor",G131=4,"Master",G131=5,"Doctor")</f>
        <v>Master</v>
      </c>
      <c r="AF131" t="str" cm="1">
        <f t="array" ref="AF131">_xlfn.IFS(J131=1,"Low",J131=2,"Medium",J131=3,"High",J131=4,"Very High")</f>
        <v>High</v>
      </c>
      <c r="AG131" t="str" cm="1">
        <f t="array" ref="AG131">_xlfn.IFS(L131=1,"Low",L131=2,"Medium",L131=3,"High",L131=4,"Very High")</f>
        <v>High</v>
      </c>
      <c r="AH131" t="str" cm="1">
        <f t="array" ref="AH131">_xlfn.IFS(M131=1,"Junior employee",M131=2,"Mid-level",M131=3,"Senior",M131=4,"Manager",M131=5,"Executive")</f>
        <v>Mid-level</v>
      </c>
      <c r="AI131" t="str" cm="1">
        <f t="array" ref="AI131">_xlfn.IFS(O131=1,"Low",O131=2,"Medium",O131=3,"High",O131=4,"Very High")</f>
        <v>Low</v>
      </c>
      <c r="AJ131" t="str" cm="1">
        <f t="array" ref="AJ131">_xlfn.IFS(U131=1,"Low",U131=2,"Good",U131=3,"Excellent",U131=4,"Outstanding")</f>
        <v>Excellent</v>
      </c>
      <c r="AK131" t="str" cm="1">
        <f t="array" ref="AK131">_xlfn.IFS(V131=1,"Low",V131=2,"Medium",V131=3,"High",V131=4,"Very High")</f>
        <v>High</v>
      </c>
      <c r="AL131" t="str" cm="1">
        <f t="array" ref="AL131">_xlfn.IFS(Z131=1,"Bad",Z131=2,"Good",Z131=3,"Better",Z131=4,"Best")</f>
        <v>Good</v>
      </c>
      <c r="AM131" t="str" cm="1">
        <f t="array" ref="AM131">_xlfn.IFS(W131=0,"No_stock",W131=1,"Low",W131=2,"Medium",W131=3,"High")</f>
        <v>No_stock</v>
      </c>
      <c r="AN131" t="str">
        <f t="shared" si="2"/>
        <v>Far</v>
      </c>
    </row>
    <row r="132" spans="1:40" x14ac:dyDescent="0.45">
      <c r="A132">
        <v>43</v>
      </c>
      <c r="B132" t="s">
        <v>37</v>
      </c>
      <c r="C132" t="s">
        <v>38</v>
      </c>
      <c r="D132">
        <v>957</v>
      </c>
      <c r="E132" t="s">
        <v>39</v>
      </c>
      <c r="F132">
        <v>28</v>
      </c>
      <c r="G132">
        <v>3</v>
      </c>
      <c r="H132" t="s">
        <v>45</v>
      </c>
      <c r="I132">
        <v>171</v>
      </c>
      <c r="J132">
        <v>2</v>
      </c>
      <c r="K132" t="s">
        <v>34</v>
      </c>
      <c r="L132">
        <v>4</v>
      </c>
      <c r="M132">
        <v>1</v>
      </c>
      <c r="N132" t="s">
        <v>41</v>
      </c>
      <c r="O132">
        <v>3</v>
      </c>
      <c r="P132" t="s">
        <v>36</v>
      </c>
      <c r="Q132">
        <v>4739</v>
      </c>
      <c r="R132">
        <v>4</v>
      </c>
      <c r="S132" t="s">
        <v>37</v>
      </c>
      <c r="T132">
        <v>12</v>
      </c>
      <c r="U132">
        <v>3</v>
      </c>
      <c r="V132">
        <v>4</v>
      </c>
      <c r="W132">
        <v>0</v>
      </c>
      <c r="X132">
        <v>18</v>
      </c>
      <c r="Y132">
        <v>2</v>
      </c>
      <c r="Z132">
        <v>3</v>
      </c>
      <c r="AA132">
        <v>3</v>
      </c>
      <c r="AB132">
        <v>2</v>
      </c>
      <c r="AC132">
        <v>1</v>
      </c>
      <c r="AD132">
        <v>2</v>
      </c>
      <c r="AE132" t="str" cm="1">
        <f t="array" ref="AE132">_xlfn.IFS(G132=1,"Before College",G132=2,"College",G132=3,"Bachelor",G132=4,"Master",G132=5,"Doctor")</f>
        <v>Bachelor</v>
      </c>
      <c r="AF132" t="str" cm="1">
        <f t="array" ref="AF132">_xlfn.IFS(J132=1,"Low",J132=2,"Medium",J132=3,"High",J132=4,"Very High")</f>
        <v>Medium</v>
      </c>
      <c r="AG132" t="str" cm="1">
        <f t="array" ref="AG132">_xlfn.IFS(L132=1,"Low",L132=2,"Medium",L132=3,"High",L132=4,"Very High")</f>
        <v>Very High</v>
      </c>
      <c r="AH132" t="str" cm="1">
        <f t="array" ref="AH132">_xlfn.IFS(M132=1,"Junior employee",M132=2,"Mid-level",M132=3,"Senior",M132=4,"Manager",M132=5,"Executive")</f>
        <v>Junior employee</v>
      </c>
      <c r="AI132" t="str" cm="1">
        <f t="array" ref="AI132">_xlfn.IFS(O132=1,"Low",O132=2,"Medium",O132=3,"High",O132=4,"Very High")</f>
        <v>High</v>
      </c>
      <c r="AJ132" t="str" cm="1">
        <f t="array" ref="AJ132">_xlfn.IFS(U132=1,"Low",U132=2,"Good",U132=3,"Excellent",U132=4,"Outstanding")</f>
        <v>Excellent</v>
      </c>
      <c r="AK132" t="str" cm="1">
        <f t="array" ref="AK132">_xlfn.IFS(V132=1,"Low",V132=2,"Medium",V132=3,"High",V132=4,"Very High")</f>
        <v>Very High</v>
      </c>
      <c r="AL132" t="str" cm="1">
        <f t="array" ref="AL132">_xlfn.IFS(Z132=1,"Bad",Z132=2,"Good",Z132=3,"Better",Z132=4,"Best")</f>
        <v>Better</v>
      </c>
      <c r="AM132" t="str" cm="1">
        <f t="array" ref="AM132">_xlfn.IFS(W132=0,"No_stock",W132=1,"Low",W132=2,"Medium",W132=3,"High")</f>
        <v>No_stock</v>
      </c>
      <c r="AN132" t="str">
        <f t="shared" si="2"/>
        <v>Far</v>
      </c>
    </row>
    <row r="133" spans="1:40" x14ac:dyDescent="0.45">
      <c r="A133">
        <v>50</v>
      </c>
      <c r="B133" t="s">
        <v>37</v>
      </c>
      <c r="C133" t="s">
        <v>38</v>
      </c>
      <c r="D133">
        <v>809</v>
      </c>
      <c r="E133" t="s">
        <v>32</v>
      </c>
      <c r="F133">
        <v>12</v>
      </c>
      <c r="G133">
        <v>3</v>
      </c>
      <c r="H133" t="s">
        <v>53</v>
      </c>
      <c r="I133">
        <v>174</v>
      </c>
      <c r="J133">
        <v>3</v>
      </c>
      <c r="K133" t="s">
        <v>34</v>
      </c>
      <c r="L133">
        <v>3</v>
      </c>
      <c r="M133">
        <v>3</v>
      </c>
      <c r="N133" t="s">
        <v>35</v>
      </c>
      <c r="O133">
        <v>4</v>
      </c>
      <c r="P133" t="s">
        <v>36</v>
      </c>
      <c r="Q133">
        <v>9208</v>
      </c>
      <c r="R133">
        <v>4</v>
      </c>
      <c r="S133" t="s">
        <v>37</v>
      </c>
      <c r="T133">
        <v>11</v>
      </c>
      <c r="U133">
        <v>3</v>
      </c>
      <c r="V133">
        <v>4</v>
      </c>
      <c r="W133">
        <v>0</v>
      </c>
      <c r="X133">
        <v>16</v>
      </c>
      <c r="Y133">
        <v>3</v>
      </c>
      <c r="Z133">
        <v>3</v>
      </c>
      <c r="AA133">
        <v>2</v>
      </c>
      <c r="AB133">
        <v>2</v>
      </c>
      <c r="AC133">
        <v>2</v>
      </c>
      <c r="AD133">
        <v>1</v>
      </c>
      <c r="AE133" t="str" cm="1">
        <f t="array" ref="AE133">_xlfn.IFS(G133=1,"Before College",G133=2,"College",G133=3,"Bachelor",G133=4,"Master",G133=5,"Doctor")</f>
        <v>Bachelor</v>
      </c>
      <c r="AF133" t="str" cm="1">
        <f t="array" ref="AF133">_xlfn.IFS(J133=1,"Low",J133=2,"Medium",J133=3,"High",J133=4,"Very High")</f>
        <v>High</v>
      </c>
      <c r="AG133" t="str" cm="1">
        <f t="array" ref="AG133">_xlfn.IFS(L133=1,"Low",L133=2,"Medium",L133=3,"High",L133=4,"Very High")</f>
        <v>High</v>
      </c>
      <c r="AH133" t="str" cm="1">
        <f t="array" ref="AH133">_xlfn.IFS(M133=1,"Junior employee",M133=2,"Mid-level",M133=3,"Senior",M133=4,"Manager",M133=5,"Executive")</f>
        <v>Senior</v>
      </c>
      <c r="AI133" t="str" cm="1">
        <f t="array" ref="AI133">_xlfn.IFS(O133=1,"Low",O133=2,"Medium",O133=3,"High",O133=4,"Very High")</f>
        <v>Very High</v>
      </c>
      <c r="AJ133" t="str" cm="1">
        <f t="array" ref="AJ133">_xlfn.IFS(U133=1,"Low",U133=2,"Good",U133=3,"Excellent",U133=4,"Outstanding")</f>
        <v>Excellent</v>
      </c>
      <c r="AK133" t="str" cm="1">
        <f t="array" ref="AK133">_xlfn.IFS(V133=1,"Low",V133=2,"Medium",V133=3,"High",V133=4,"Very High")</f>
        <v>Very High</v>
      </c>
      <c r="AL133" t="str" cm="1">
        <f t="array" ref="AL133">_xlfn.IFS(Z133=1,"Bad",Z133=2,"Good",Z133=3,"Better",Z133=4,"Best")</f>
        <v>Better</v>
      </c>
      <c r="AM133" t="str" cm="1">
        <f t="array" ref="AM133">_xlfn.IFS(W133=0,"No_stock",W133=1,"Low",W133=2,"Medium",W133=3,"High")</f>
        <v>No_stock</v>
      </c>
      <c r="AN133" t="str">
        <f t="shared" si="2"/>
        <v>Medium</v>
      </c>
    </row>
    <row r="134" spans="1:40" x14ac:dyDescent="0.45">
      <c r="A134">
        <v>31</v>
      </c>
      <c r="B134" t="s">
        <v>30</v>
      </c>
      <c r="C134" t="s">
        <v>31</v>
      </c>
      <c r="D134">
        <v>542</v>
      </c>
      <c r="E134" t="s">
        <v>32</v>
      </c>
      <c r="F134">
        <v>20</v>
      </c>
      <c r="G134">
        <v>3</v>
      </c>
      <c r="H134" t="s">
        <v>33</v>
      </c>
      <c r="I134">
        <v>175</v>
      </c>
      <c r="J134">
        <v>2</v>
      </c>
      <c r="K134" t="s">
        <v>34</v>
      </c>
      <c r="L134">
        <v>1</v>
      </c>
      <c r="M134">
        <v>2</v>
      </c>
      <c r="N134" t="s">
        <v>35</v>
      </c>
      <c r="O134">
        <v>3</v>
      </c>
      <c r="P134" t="s">
        <v>42</v>
      </c>
      <c r="Q134">
        <v>4559</v>
      </c>
      <c r="R134">
        <v>3</v>
      </c>
      <c r="S134" t="s">
        <v>30</v>
      </c>
      <c r="T134">
        <v>11</v>
      </c>
      <c r="U134">
        <v>3</v>
      </c>
      <c r="V134">
        <v>3</v>
      </c>
      <c r="W134">
        <v>1</v>
      </c>
      <c r="X134">
        <v>4</v>
      </c>
      <c r="Y134">
        <v>2</v>
      </c>
      <c r="Z134">
        <v>3</v>
      </c>
      <c r="AA134">
        <v>2</v>
      </c>
      <c r="AB134">
        <v>2</v>
      </c>
      <c r="AC134">
        <v>2</v>
      </c>
      <c r="AD134">
        <v>2</v>
      </c>
      <c r="AE134" t="str" cm="1">
        <f t="array" ref="AE134">_xlfn.IFS(G134=1,"Before College",G134=2,"College",G134=3,"Bachelor",G134=4,"Master",G134=5,"Doctor")</f>
        <v>Bachelor</v>
      </c>
      <c r="AF134" t="str" cm="1">
        <f t="array" ref="AF134">_xlfn.IFS(J134=1,"Low",J134=2,"Medium",J134=3,"High",J134=4,"Very High")</f>
        <v>Medium</v>
      </c>
      <c r="AG134" t="str" cm="1">
        <f t="array" ref="AG134">_xlfn.IFS(L134=1,"Low",L134=2,"Medium",L134=3,"High",L134=4,"Very High")</f>
        <v>Low</v>
      </c>
      <c r="AH134" t="str" cm="1">
        <f t="array" ref="AH134">_xlfn.IFS(M134=1,"Junior employee",M134=2,"Mid-level",M134=3,"Senior",M134=4,"Manager",M134=5,"Executive")</f>
        <v>Mid-level</v>
      </c>
      <c r="AI134" t="str" cm="1">
        <f t="array" ref="AI134">_xlfn.IFS(O134=1,"Low",O134=2,"Medium",O134=3,"High",O134=4,"Very High")</f>
        <v>High</v>
      </c>
      <c r="AJ134" t="str" cm="1">
        <f t="array" ref="AJ134">_xlfn.IFS(U134=1,"Low",U134=2,"Good",U134=3,"Excellent",U134=4,"Outstanding")</f>
        <v>Excellent</v>
      </c>
      <c r="AK134" t="str" cm="1">
        <f t="array" ref="AK134">_xlfn.IFS(V134=1,"Low",V134=2,"Medium",V134=3,"High",V134=4,"Very High")</f>
        <v>High</v>
      </c>
      <c r="AL134" t="str" cm="1">
        <f t="array" ref="AL134">_xlfn.IFS(Z134=1,"Bad",Z134=2,"Good",Z134=3,"Better",Z134=4,"Best")</f>
        <v>Better</v>
      </c>
      <c r="AM134" t="str" cm="1">
        <f t="array" ref="AM134">_xlfn.IFS(W134=0,"No_stock",W134=1,"Low",W134=2,"Medium",W134=3,"High")</f>
        <v>Low</v>
      </c>
      <c r="AN134" t="str">
        <f t="shared" si="2"/>
        <v>Far</v>
      </c>
    </row>
    <row r="135" spans="1:40" x14ac:dyDescent="0.45">
      <c r="A135">
        <v>41</v>
      </c>
      <c r="B135" t="s">
        <v>37</v>
      </c>
      <c r="C135" t="s">
        <v>31</v>
      </c>
      <c r="D135">
        <v>802</v>
      </c>
      <c r="E135" t="s">
        <v>32</v>
      </c>
      <c r="F135">
        <v>9</v>
      </c>
      <c r="G135">
        <v>1</v>
      </c>
      <c r="H135" t="s">
        <v>33</v>
      </c>
      <c r="I135">
        <v>176</v>
      </c>
      <c r="J135">
        <v>3</v>
      </c>
      <c r="K135" t="s">
        <v>40</v>
      </c>
      <c r="L135">
        <v>3</v>
      </c>
      <c r="M135">
        <v>3</v>
      </c>
      <c r="N135" t="s">
        <v>35</v>
      </c>
      <c r="O135">
        <v>3</v>
      </c>
      <c r="P135" t="s">
        <v>46</v>
      </c>
      <c r="Q135">
        <v>8189</v>
      </c>
      <c r="R135">
        <v>3</v>
      </c>
      <c r="S135" t="s">
        <v>30</v>
      </c>
      <c r="T135">
        <v>13</v>
      </c>
      <c r="U135">
        <v>3</v>
      </c>
      <c r="V135">
        <v>3</v>
      </c>
      <c r="W135">
        <v>1</v>
      </c>
      <c r="X135">
        <v>12</v>
      </c>
      <c r="Y135">
        <v>2</v>
      </c>
      <c r="Z135">
        <v>3</v>
      </c>
      <c r="AA135">
        <v>9</v>
      </c>
      <c r="AB135">
        <v>7</v>
      </c>
      <c r="AC135">
        <v>0</v>
      </c>
      <c r="AD135">
        <v>7</v>
      </c>
      <c r="AE135" t="str" cm="1">
        <f t="array" ref="AE135">_xlfn.IFS(G135=1,"Before College",G135=2,"College",G135=3,"Bachelor",G135=4,"Master",G135=5,"Doctor")</f>
        <v>Before College</v>
      </c>
      <c r="AF135" t="str" cm="1">
        <f t="array" ref="AF135">_xlfn.IFS(J135=1,"Low",J135=2,"Medium",J135=3,"High",J135=4,"Very High")</f>
        <v>High</v>
      </c>
      <c r="AG135" t="str" cm="1">
        <f t="array" ref="AG135">_xlfn.IFS(L135=1,"Low",L135=2,"Medium",L135=3,"High",L135=4,"Very High")</f>
        <v>High</v>
      </c>
      <c r="AH135" t="str" cm="1">
        <f t="array" ref="AH135">_xlfn.IFS(M135=1,"Junior employee",M135=2,"Mid-level",M135=3,"Senior",M135=4,"Manager",M135=5,"Executive")</f>
        <v>Senior</v>
      </c>
      <c r="AI135" t="str" cm="1">
        <f t="array" ref="AI135">_xlfn.IFS(O135=1,"Low",O135=2,"Medium",O135=3,"High",O135=4,"Very High")</f>
        <v>High</v>
      </c>
      <c r="AJ135" t="str" cm="1">
        <f t="array" ref="AJ135">_xlfn.IFS(U135=1,"Low",U135=2,"Good",U135=3,"Excellent",U135=4,"Outstanding")</f>
        <v>Excellent</v>
      </c>
      <c r="AK135" t="str" cm="1">
        <f t="array" ref="AK135">_xlfn.IFS(V135=1,"Low",V135=2,"Medium",V135=3,"High",V135=4,"Very High")</f>
        <v>High</v>
      </c>
      <c r="AL135" t="str" cm="1">
        <f t="array" ref="AL135">_xlfn.IFS(Z135=1,"Bad",Z135=2,"Good",Z135=3,"Better",Z135=4,"Best")</f>
        <v>Better</v>
      </c>
      <c r="AM135" t="str" cm="1">
        <f t="array" ref="AM135">_xlfn.IFS(W135=0,"No_stock",W135=1,"Low",W135=2,"Medium",W135=3,"High")</f>
        <v>Low</v>
      </c>
      <c r="AN135" t="str">
        <f t="shared" si="2"/>
        <v>Medium</v>
      </c>
    </row>
    <row r="136" spans="1:40" x14ac:dyDescent="0.45">
      <c r="A136">
        <v>26</v>
      </c>
      <c r="B136" t="s">
        <v>37</v>
      </c>
      <c r="C136" t="s">
        <v>31</v>
      </c>
      <c r="D136">
        <v>1355</v>
      </c>
      <c r="E136" t="s">
        <v>55</v>
      </c>
      <c r="F136">
        <v>25</v>
      </c>
      <c r="G136">
        <v>1</v>
      </c>
      <c r="H136" t="s">
        <v>33</v>
      </c>
      <c r="I136">
        <v>177</v>
      </c>
      <c r="J136">
        <v>3</v>
      </c>
      <c r="K136" t="s">
        <v>34</v>
      </c>
      <c r="L136">
        <v>3</v>
      </c>
      <c r="M136">
        <v>1</v>
      </c>
      <c r="N136" t="s">
        <v>55</v>
      </c>
      <c r="O136">
        <v>3</v>
      </c>
      <c r="P136" t="s">
        <v>42</v>
      </c>
      <c r="Q136">
        <v>2942</v>
      </c>
      <c r="R136">
        <v>1</v>
      </c>
      <c r="S136" t="s">
        <v>37</v>
      </c>
      <c r="T136">
        <v>23</v>
      </c>
      <c r="U136">
        <v>4</v>
      </c>
      <c r="V136">
        <v>4</v>
      </c>
      <c r="W136">
        <v>1</v>
      </c>
      <c r="X136">
        <v>8</v>
      </c>
      <c r="Y136">
        <v>3</v>
      </c>
      <c r="Z136">
        <v>3</v>
      </c>
      <c r="AA136">
        <v>8</v>
      </c>
      <c r="AB136">
        <v>7</v>
      </c>
      <c r="AC136">
        <v>5</v>
      </c>
      <c r="AD136">
        <v>7</v>
      </c>
      <c r="AE136" t="str" cm="1">
        <f t="array" ref="AE136">_xlfn.IFS(G136=1,"Before College",G136=2,"College",G136=3,"Bachelor",G136=4,"Master",G136=5,"Doctor")</f>
        <v>Before College</v>
      </c>
      <c r="AF136" t="str" cm="1">
        <f t="array" ref="AF136">_xlfn.IFS(J136=1,"Low",J136=2,"Medium",J136=3,"High",J136=4,"Very High")</f>
        <v>High</v>
      </c>
      <c r="AG136" t="str" cm="1">
        <f t="array" ref="AG136">_xlfn.IFS(L136=1,"Low",L136=2,"Medium",L136=3,"High",L136=4,"Very High")</f>
        <v>High</v>
      </c>
      <c r="AH136" t="str" cm="1">
        <f t="array" ref="AH136">_xlfn.IFS(M136=1,"Junior employee",M136=2,"Mid-level",M136=3,"Senior",M136=4,"Manager",M136=5,"Executive")</f>
        <v>Junior employee</v>
      </c>
      <c r="AI136" t="str" cm="1">
        <f t="array" ref="AI136">_xlfn.IFS(O136=1,"Low",O136=2,"Medium",O136=3,"High",O136=4,"Very High")</f>
        <v>High</v>
      </c>
      <c r="AJ136" t="str" cm="1">
        <f t="array" ref="AJ136">_xlfn.IFS(U136=1,"Low",U136=2,"Good",U136=3,"Excellent",U136=4,"Outstanding")</f>
        <v>Outstanding</v>
      </c>
      <c r="AK136" t="str" cm="1">
        <f t="array" ref="AK136">_xlfn.IFS(V136=1,"Low",V136=2,"Medium",V136=3,"High",V136=4,"Very High")</f>
        <v>Very High</v>
      </c>
      <c r="AL136" t="str" cm="1">
        <f t="array" ref="AL136">_xlfn.IFS(Z136=1,"Bad",Z136=2,"Good",Z136=3,"Better",Z136=4,"Best")</f>
        <v>Better</v>
      </c>
      <c r="AM136" t="str" cm="1">
        <f t="array" ref="AM136">_xlfn.IFS(W136=0,"No_stock",W136=1,"Low",W136=2,"Medium",W136=3,"High")</f>
        <v>Low</v>
      </c>
      <c r="AN136" t="str">
        <f t="shared" si="2"/>
        <v>Far</v>
      </c>
    </row>
    <row r="137" spans="1:40" x14ac:dyDescent="0.45">
      <c r="A137">
        <v>36</v>
      </c>
      <c r="B137" t="s">
        <v>37</v>
      </c>
      <c r="C137" t="s">
        <v>31</v>
      </c>
      <c r="D137">
        <v>216</v>
      </c>
      <c r="E137" t="s">
        <v>39</v>
      </c>
      <c r="F137">
        <v>6</v>
      </c>
      <c r="G137">
        <v>2</v>
      </c>
      <c r="H137" t="s">
        <v>45</v>
      </c>
      <c r="I137">
        <v>178</v>
      </c>
      <c r="J137">
        <v>2</v>
      </c>
      <c r="K137" t="s">
        <v>40</v>
      </c>
      <c r="L137">
        <v>3</v>
      </c>
      <c r="M137">
        <v>2</v>
      </c>
      <c r="N137" t="s">
        <v>47</v>
      </c>
      <c r="O137">
        <v>2</v>
      </c>
      <c r="P137" t="s">
        <v>46</v>
      </c>
      <c r="Q137">
        <v>4941</v>
      </c>
      <c r="R137">
        <v>6</v>
      </c>
      <c r="S137" t="s">
        <v>37</v>
      </c>
      <c r="T137">
        <v>20</v>
      </c>
      <c r="U137">
        <v>4</v>
      </c>
      <c r="V137">
        <v>4</v>
      </c>
      <c r="W137">
        <v>2</v>
      </c>
      <c r="X137">
        <v>7</v>
      </c>
      <c r="Y137">
        <v>0</v>
      </c>
      <c r="Z137">
        <v>3</v>
      </c>
      <c r="AA137">
        <v>3</v>
      </c>
      <c r="AB137">
        <v>2</v>
      </c>
      <c r="AC137">
        <v>0</v>
      </c>
      <c r="AD137">
        <v>1</v>
      </c>
      <c r="AE137" t="str" cm="1">
        <f t="array" ref="AE137">_xlfn.IFS(G137=1,"Before College",G137=2,"College",G137=3,"Bachelor",G137=4,"Master",G137=5,"Doctor")</f>
        <v>College</v>
      </c>
      <c r="AF137" t="str" cm="1">
        <f t="array" ref="AF137">_xlfn.IFS(J137=1,"Low",J137=2,"Medium",J137=3,"High",J137=4,"Very High")</f>
        <v>Medium</v>
      </c>
      <c r="AG137" t="str" cm="1">
        <f t="array" ref="AG137">_xlfn.IFS(L137=1,"Low",L137=2,"Medium",L137=3,"High",L137=4,"Very High")</f>
        <v>High</v>
      </c>
      <c r="AH137" t="str" cm="1">
        <f t="array" ref="AH137">_xlfn.IFS(M137=1,"Junior employee",M137=2,"Mid-level",M137=3,"Senior",M137=4,"Manager",M137=5,"Executive")</f>
        <v>Mid-level</v>
      </c>
      <c r="AI137" t="str" cm="1">
        <f t="array" ref="AI137">_xlfn.IFS(O137=1,"Low",O137=2,"Medium",O137=3,"High",O137=4,"Very High")</f>
        <v>Medium</v>
      </c>
      <c r="AJ137" t="str" cm="1">
        <f t="array" ref="AJ137">_xlfn.IFS(U137=1,"Low",U137=2,"Good",U137=3,"Excellent",U137=4,"Outstanding")</f>
        <v>Outstanding</v>
      </c>
      <c r="AK137" t="str" cm="1">
        <f t="array" ref="AK137">_xlfn.IFS(V137=1,"Low",V137=2,"Medium",V137=3,"High",V137=4,"Very High")</f>
        <v>Very High</v>
      </c>
      <c r="AL137" t="str" cm="1">
        <f t="array" ref="AL137">_xlfn.IFS(Z137=1,"Bad",Z137=2,"Good",Z137=3,"Better",Z137=4,"Best")</f>
        <v>Better</v>
      </c>
      <c r="AM137" t="str" cm="1">
        <f t="array" ref="AM137">_xlfn.IFS(W137=0,"No_stock",W137=1,"Low",W137=2,"Medium",W137=3,"High")</f>
        <v>Medium</v>
      </c>
      <c r="AN137" t="str">
        <f t="shared" si="2"/>
        <v>Medium</v>
      </c>
    </row>
    <row r="138" spans="1:40" x14ac:dyDescent="0.45">
      <c r="A138">
        <v>51</v>
      </c>
      <c r="B138" t="s">
        <v>30</v>
      </c>
      <c r="C138" t="s">
        <v>38</v>
      </c>
      <c r="D138">
        <v>1150</v>
      </c>
      <c r="E138" t="s">
        <v>39</v>
      </c>
      <c r="F138">
        <v>8</v>
      </c>
      <c r="G138">
        <v>4</v>
      </c>
      <c r="H138" t="s">
        <v>33</v>
      </c>
      <c r="I138">
        <v>179</v>
      </c>
      <c r="J138">
        <v>1</v>
      </c>
      <c r="K138" t="s">
        <v>40</v>
      </c>
      <c r="L138">
        <v>1</v>
      </c>
      <c r="M138">
        <v>3</v>
      </c>
      <c r="N138" t="s">
        <v>47</v>
      </c>
      <c r="O138">
        <v>4</v>
      </c>
      <c r="P138" t="s">
        <v>36</v>
      </c>
      <c r="Q138">
        <v>10650</v>
      </c>
      <c r="R138">
        <v>2</v>
      </c>
      <c r="S138" t="s">
        <v>37</v>
      </c>
      <c r="T138">
        <v>15</v>
      </c>
      <c r="U138">
        <v>3</v>
      </c>
      <c r="V138">
        <v>4</v>
      </c>
      <c r="W138">
        <v>0</v>
      </c>
      <c r="X138">
        <v>18</v>
      </c>
      <c r="Y138">
        <v>2</v>
      </c>
      <c r="Z138">
        <v>3</v>
      </c>
      <c r="AA138">
        <v>4</v>
      </c>
      <c r="AB138">
        <v>2</v>
      </c>
      <c r="AC138">
        <v>0</v>
      </c>
      <c r="AD138">
        <v>3</v>
      </c>
      <c r="AE138" t="str" cm="1">
        <f t="array" ref="AE138">_xlfn.IFS(G138=1,"Before College",G138=2,"College",G138=3,"Bachelor",G138=4,"Master",G138=5,"Doctor")</f>
        <v>Master</v>
      </c>
      <c r="AF138" t="str" cm="1">
        <f t="array" ref="AF138">_xlfn.IFS(J138=1,"Low",J138=2,"Medium",J138=3,"High",J138=4,"Very High")</f>
        <v>Low</v>
      </c>
      <c r="AG138" t="str" cm="1">
        <f t="array" ref="AG138">_xlfn.IFS(L138=1,"Low",L138=2,"Medium",L138=3,"High",L138=4,"Very High")</f>
        <v>Low</v>
      </c>
      <c r="AH138" t="str" cm="1">
        <f t="array" ref="AH138">_xlfn.IFS(M138=1,"Junior employee",M138=2,"Mid-level",M138=3,"Senior",M138=4,"Manager",M138=5,"Executive")</f>
        <v>Senior</v>
      </c>
      <c r="AI138" t="str" cm="1">
        <f t="array" ref="AI138">_xlfn.IFS(O138=1,"Low",O138=2,"Medium",O138=3,"High",O138=4,"Very High")</f>
        <v>Very High</v>
      </c>
      <c r="AJ138" t="str" cm="1">
        <f t="array" ref="AJ138">_xlfn.IFS(U138=1,"Low",U138=2,"Good",U138=3,"Excellent",U138=4,"Outstanding")</f>
        <v>Excellent</v>
      </c>
      <c r="AK138" t="str" cm="1">
        <f t="array" ref="AK138">_xlfn.IFS(V138=1,"Low",V138=2,"Medium",V138=3,"High",V138=4,"Very High")</f>
        <v>Very High</v>
      </c>
      <c r="AL138" t="str" cm="1">
        <f t="array" ref="AL138">_xlfn.IFS(Z138=1,"Bad",Z138=2,"Good",Z138=3,"Better",Z138=4,"Best")</f>
        <v>Better</v>
      </c>
      <c r="AM138" t="str" cm="1">
        <f t="array" ref="AM138">_xlfn.IFS(W138=0,"No_stock",W138=1,"Low",W138=2,"Medium",W138=3,"High")</f>
        <v>No_stock</v>
      </c>
      <c r="AN138" t="str">
        <f t="shared" si="2"/>
        <v>Medium</v>
      </c>
    </row>
    <row r="139" spans="1:40" x14ac:dyDescent="0.45">
      <c r="A139">
        <v>39</v>
      </c>
      <c r="B139" t="s">
        <v>37</v>
      </c>
      <c r="C139" t="s">
        <v>31</v>
      </c>
      <c r="D139">
        <v>1329</v>
      </c>
      <c r="E139" t="s">
        <v>32</v>
      </c>
      <c r="F139">
        <v>4</v>
      </c>
      <c r="G139">
        <v>4</v>
      </c>
      <c r="H139" t="s">
        <v>33</v>
      </c>
      <c r="I139">
        <v>182</v>
      </c>
      <c r="J139">
        <v>4</v>
      </c>
      <c r="K139" t="s">
        <v>34</v>
      </c>
      <c r="L139">
        <v>2</v>
      </c>
      <c r="M139">
        <v>2</v>
      </c>
      <c r="N139" t="s">
        <v>35</v>
      </c>
      <c r="O139">
        <v>3</v>
      </c>
      <c r="P139" t="s">
        <v>42</v>
      </c>
      <c r="Q139">
        <v>5902</v>
      </c>
      <c r="R139">
        <v>4</v>
      </c>
      <c r="S139" t="s">
        <v>37</v>
      </c>
      <c r="T139">
        <v>14</v>
      </c>
      <c r="U139">
        <v>3</v>
      </c>
      <c r="V139">
        <v>3</v>
      </c>
      <c r="W139">
        <v>1</v>
      </c>
      <c r="X139">
        <v>17</v>
      </c>
      <c r="Y139">
        <v>1</v>
      </c>
      <c r="Z139">
        <v>4</v>
      </c>
      <c r="AA139">
        <v>15</v>
      </c>
      <c r="AB139">
        <v>11</v>
      </c>
      <c r="AC139">
        <v>5</v>
      </c>
      <c r="AD139">
        <v>9</v>
      </c>
      <c r="AE139" t="str" cm="1">
        <f t="array" ref="AE139">_xlfn.IFS(G139=1,"Before College",G139=2,"College",G139=3,"Bachelor",G139=4,"Master",G139=5,"Doctor")</f>
        <v>Master</v>
      </c>
      <c r="AF139" t="str" cm="1">
        <f t="array" ref="AF139">_xlfn.IFS(J139=1,"Low",J139=2,"Medium",J139=3,"High",J139=4,"Very High")</f>
        <v>Very High</v>
      </c>
      <c r="AG139" t="str" cm="1">
        <f t="array" ref="AG139">_xlfn.IFS(L139=1,"Low",L139=2,"Medium",L139=3,"High",L139=4,"Very High")</f>
        <v>Medium</v>
      </c>
      <c r="AH139" t="str" cm="1">
        <f t="array" ref="AH139">_xlfn.IFS(M139=1,"Junior employee",M139=2,"Mid-level",M139=3,"Senior",M139=4,"Manager",M139=5,"Executive")</f>
        <v>Mid-level</v>
      </c>
      <c r="AI139" t="str" cm="1">
        <f t="array" ref="AI139">_xlfn.IFS(O139=1,"Low",O139=2,"Medium",O139=3,"High",O139=4,"Very High")</f>
        <v>High</v>
      </c>
      <c r="AJ139" t="str" cm="1">
        <f t="array" ref="AJ139">_xlfn.IFS(U139=1,"Low",U139=2,"Good",U139=3,"Excellent",U139=4,"Outstanding")</f>
        <v>Excellent</v>
      </c>
      <c r="AK139" t="str" cm="1">
        <f t="array" ref="AK139">_xlfn.IFS(V139=1,"Low",V139=2,"Medium",V139=3,"High",V139=4,"Very High")</f>
        <v>High</v>
      </c>
      <c r="AL139" t="str" cm="1">
        <f t="array" ref="AL139">_xlfn.IFS(Z139=1,"Bad",Z139=2,"Good",Z139=3,"Better",Z139=4,"Best")</f>
        <v>Best</v>
      </c>
      <c r="AM139" t="str" cm="1">
        <f t="array" ref="AM139">_xlfn.IFS(W139=0,"No_stock",W139=1,"Low",W139=2,"Medium",W139=3,"High")</f>
        <v>Low</v>
      </c>
      <c r="AN139" t="str">
        <f t="shared" si="2"/>
        <v>Near</v>
      </c>
    </row>
    <row r="140" spans="1:40" x14ac:dyDescent="0.45">
      <c r="A140">
        <v>25</v>
      </c>
      <c r="B140" t="s">
        <v>37</v>
      </c>
      <c r="C140" t="s">
        <v>31</v>
      </c>
      <c r="D140">
        <v>959</v>
      </c>
      <c r="E140" t="s">
        <v>32</v>
      </c>
      <c r="F140">
        <v>28</v>
      </c>
      <c r="G140">
        <v>3</v>
      </c>
      <c r="H140" t="s">
        <v>33</v>
      </c>
      <c r="I140">
        <v>183</v>
      </c>
      <c r="J140">
        <v>1</v>
      </c>
      <c r="K140" t="s">
        <v>40</v>
      </c>
      <c r="L140">
        <v>2</v>
      </c>
      <c r="M140">
        <v>2</v>
      </c>
      <c r="N140" t="s">
        <v>35</v>
      </c>
      <c r="O140">
        <v>3</v>
      </c>
      <c r="P140" t="s">
        <v>42</v>
      </c>
      <c r="Q140">
        <v>8639</v>
      </c>
      <c r="R140">
        <v>2</v>
      </c>
      <c r="S140" t="s">
        <v>37</v>
      </c>
      <c r="T140">
        <v>18</v>
      </c>
      <c r="U140">
        <v>3</v>
      </c>
      <c r="V140">
        <v>4</v>
      </c>
      <c r="W140">
        <v>0</v>
      </c>
      <c r="X140">
        <v>6</v>
      </c>
      <c r="Y140">
        <v>3</v>
      </c>
      <c r="Z140">
        <v>3</v>
      </c>
      <c r="AA140">
        <v>2</v>
      </c>
      <c r="AB140">
        <v>2</v>
      </c>
      <c r="AC140">
        <v>2</v>
      </c>
      <c r="AD140">
        <v>2</v>
      </c>
      <c r="AE140" t="str" cm="1">
        <f t="array" ref="AE140">_xlfn.IFS(G140=1,"Before College",G140=2,"College",G140=3,"Bachelor",G140=4,"Master",G140=5,"Doctor")</f>
        <v>Bachelor</v>
      </c>
      <c r="AF140" t="str" cm="1">
        <f t="array" ref="AF140">_xlfn.IFS(J140=1,"Low",J140=2,"Medium",J140=3,"High",J140=4,"Very High")</f>
        <v>Low</v>
      </c>
      <c r="AG140" t="str" cm="1">
        <f t="array" ref="AG140">_xlfn.IFS(L140=1,"Low",L140=2,"Medium",L140=3,"High",L140=4,"Very High")</f>
        <v>Medium</v>
      </c>
      <c r="AH140" t="str" cm="1">
        <f t="array" ref="AH140">_xlfn.IFS(M140=1,"Junior employee",M140=2,"Mid-level",M140=3,"Senior",M140=4,"Manager",M140=5,"Executive")</f>
        <v>Mid-level</v>
      </c>
      <c r="AI140" t="str" cm="1">
        <f t="array" ref="AI140">_xlfn.IFS(O140=1,"Low",O140=2,"Medium",O140=3,"High",O140=4,"Very High")</f>
        <v>High</v>
      </c>
      <c r="AJ140" t="str" cm="1">
        <f t="array" ref="AJ140">_xlfn.IFS(U140=1,"Low",U140=2,"Good",U140=3,"Excellent",U140=4,"Outstanding")</f>
        <v>Excellent</v>
      </c>
      <c r="AK140" t="str" cm="1">
        <f t="array" ref="AK140">_xlfn.IFS(V140=1,"Low",V140=2,"Medium",V140=3,"High",V140=4,"Very High")</f>
        <v>Very High</v>
      </c>
      <c r="AL140" t="str" cm="1">
        <f t="array" ref="AL140">_xlfn.IFS(Z140=1,"Bad",Z140=2,"Good",Z140=3,"Better",Z140=4,"Best")</f>
        <v>Better</v>
      </c>
      <c r="AM140" t="str" cm="1">
        <f t="array" ref="AM140">_xlfn.IFS(W140=0,"No_stock",W140=1,"Low",W140=2,"Medium",W140=3,"High")</f>
        <v>No_stock</v>
      </c>
      <c r="AN140" t="str">
        <f t="shared" si="2"/>
        <v>Far</v>
      </c>
    </row>
    <row r="141" spans="1:40" x14ac:dyDescent="0.45">
      <c r="A141">
        <v>30</v>
      </c>
      <c r="B141" t="s">
        <v>37</v>
      </c>
      <c r="C141" t="s">
        <v>31</v>
      </c>
      <c r="D141">
        <v>1240</v>
      </c>
      <c r="E141" t="s">
        <v>55</v>
      </c>
      <c r="F141">
        <v>9</v>
      </c>
      <c r="G141">
        <v>3</v>
      </c>
      <c r="H141" t="s">
        <v>55</v>
      </c>
      <c r="I141">
        <v>184</v>
      </c>
      <c r="J141">
        <v>3</v>
      </c>
      <c r="K141" t="s">
        <v>40</v>
      </c>
      <c r="L141">
        <v>3</v>
      </c>
      <c r="M141">
        <v>2</v>
      </c>
      <c r="N141" t="s">
        <v>55</v>
      </c>
      <c r="O141">
        <v>4</v>
      </c>
      <c r="P141" t="s">
        <v>42</v>
      </c>
      <c r="Q141">
        <v>6347</v>
      </c>
      <c r="R141">
        <v>0</v>
      </c>
      <c r="S141" t="s">
        <v>30</v>
      </c>
      <c r="T141">
        <v>19</v>
      </c>
      <c r="U141">
        <v>3</v>
      </c>
      <c r="V141">
        <v>4</v>
      </c>
      <c r="W141">
        <v>0</v>
      </c>
      <c r="X141">
        <v>12</v>
      </c>
      <c r="Y141">
        <v>2</v>
      </c>
      <c r="Z141">
        <v>1</v>
      </c>
      <c r="AA141">
        <v>11</v>
      </c>
      <c r="AB141">
        <v>9</v>
      </c>
      <c r="AC141">
        <v>4</v>
      </c>
      <c r="AD141">
        <v>7</v>
      </c>
      <c r="AE141" t="str" cm="1">
        <f t="array" ref="AE141">_xlfn.IFS(G141=1,"Before College",G141=2,"College",G141=3,"Bachelor",G141=4,"Master",G141=5,"Doctor")</f>
        <v>Bachelor</v>
      </c>
      <c r="AF141" t="str" cm="1">
        <f t="array" ref="AF141">_xlfn.IFS(J141=1,"Low",J141=2,"Medium",J141=3,"High",J141=4,"Very High")</f>
        <v>High</v>
      </c>
      <c r="AG141" t="str" cm="1">
        <f t="array" ref="AG141">_xlfn.IFS(L141=1,"Low",L141=2,"Medium",L141=3,"High",L141=4,"Very High")</f>
        <v>High</v>
      </c>
      <c r="AH141" t="str" cm="1">
        <f t="array" ref="AH141">_xlfn.IFS(M141=1,"Junior employee",M141=2,"Mid-level",M141=3,"Senior",M141=4,"Manager",M141=5,"Executive")</f>
        <v>Mid-level</v>
      </c>
      <c r="AI141" t="str" cm="1">
        <f t="array" ref="AI141">_xlfn.IFS(O141=1,"Low",O141=2,"Medium",O141=3,"High",O141=4,"Very High")</f>
        <v>Very High</v>
      </c>
      <c r="AJ141" t="str" cm="1">
        <f t="array" ref="AJ141">_xlfn.IFS(U141=1,"Low",U141=2,"Good",U141=3,"Excellent",U141=4,"Outstanding")</f>
        <v>Excellent</v>
      </c>
      <c r="AK141" t="str" cm="1">
        <f t="array" ref="AK141">_xlfn.IFS(V141=1,"Low",V141=2,"Medium",V141=3,"High",V141=4,"Very High")</f>
        <v>Very High</v>
      </c>
      <c r="AL141" t="str" cm="1">
        <f t="array" ref="AL141">_xlfn.IFS(Z141=1,"Bad",Z141=2,"Good",Z141=3,"Better",Z141=4,"Best")</f>
        <v>Bad</v>
      </c>
      <c r="AM141" t="str" cm="1">
        <f t="array" ref="AM141">_xlfn.IFS(W141=0,"No_stock",W141=1,"Low",W141=2,"Medium",W141=3,"High")</f>
        <v>No_stock</v>
      </c>
      <c r="AN141" t="str">
        <f t="shared" si="2"/>
        <v>Medium</v>
      </c>
    </row>
    <row r="142" spans="1:40" x14ac:dyDescent="0.45">
      <c r="A142">
        <v>32</v>
      </c>
      <c r="B142" t="s">
        <v>30</v>
      </c>
      <c r="C142" t="s">
        <v>31</v>
      </c>
      <c r="D142">
        <v>1033</v>
      </c>
      <c r="E142" t="s">
        <v>39</v>
      </c>
      <c r="F142">
        <v>9</v>
      </c>
      <c r="G142">
        <v>3</v>
      </c>
      <c r="H142" t="s">
        <v>45</v>
      </c>
      <c r="I142">
        <v>190</v>
      </c>
      <c r="J142">
        <v>1</v>
      </c>
      <c r="K142" t="s">
        <v>34</v>
      </c>
      <c r="L142">
        <v>3</v>
      </c>
      <c r="M142">
        <v>1</v>
      </c>
      <c r="N142" t="s">
        <v>44</v>
      </c>
      <c r="O142">
        <v>1</v>
      </c>
      <c r="P142" t="s">
        <v>36</v>
      </c>
      <c r="Q142">
        <v>4200</v>
      </c>
      <c r="R142">
        <v>7</v>
      </c>
      <c r="S142" t="s">
        <v>37</v>
      </c>
      <c r="T142">
        <v>22</v>
      </c>
      <c r="U142">
        <v>4</v>
      </c>
      <c r="V142">
        <v>1</v>
      </c>
      <c r="W142">
        <v>0</v>
      </c>
      <c r="X142">
        <v>10</v>
      </c>
      <c r="Y142">
        <v>2</v>
      </c>
      <c r="Z142">
        <v>4</v>
      </c>
      <c r="AA142">
        <v>5</v>
      </c>
      <c r="AB142">
        <v>4</v>
      </c>
      <c r="AC142">
        <v>0</v>
      </c>
      <c r="AD142">
        <v>4</v>
      </c>
      <c r="AE142" t="str" cm="1">
        <f t="array" ref="AE142">_xlfn.IFS(G142=1,"Before College",G142=2,"College",G142=3,"Bachelor",G142=4,"Master",G142=5,"Doctor")</f>
        <v>Bachelor</v>
      </c>
      <c r="AF142" t="str" cm="1">
        <f t="array" ref="AF142">_xlfn.IFS(J142=1,"Low",J142=2,"Medium",J142=3,"High",J142=4,"Very High")</f>
        <v>Low</v>
      </c>
      <c r="AG142" t="str" cm="1">
        <f t="array" ref="AG142">_xlfn.IFS(L142=1,"Low",L142=2,"Medium",L142=3,"High",L142=4,"Very High")</f>
        <v>High</v>
      </c>
      <c r="AH142" t="str" cm="1">
        <f t="array" ref="AH142">_xlfn.IFS(M142=1,"Junior employee",M142=2,"Mid-level",M142=3,"Senior",M142=4,"Manager",M142=5,"Executive")</f>
        <v>Junior employee</v>
      </c>
      <c r="AI142" t="str" cm="1">
        <f t="array" ref="AI142">_xlfn.IFS(O142=1,"Low",O142=2,"Medium",O142=3,"High",O142=4,"Very High")</f>
        <v>Low</v>
      </c>
      <c r="AJ142" t="str" cm="1">
        <f t="array" ref="AJ142">_xlfn.IFS(U142=1,"Low",U142=2,"Good",U142=3,"Excellent",U142=4,"Outstanding")</f>
        <v>Outstanding</v>
      </c>
      <c r="AK142" t="str" cm="1">
        <f t="array" ref="AK142">_xlfn.IFS(V142=1,"Low",V142=2,"Medium",V142=3,"High",V142=4,"Very High")</f>
        <v>Low</v>
      </c>
      <c r="AL142" t="str" cm="1">
        <f t="array" ref="AL142">_xlfn.IFS(Z142=1,"Bad",Z142=2,"Good",Z142=3,"Better",Z142=4,"Best")</f>
        <v>Best</v>
      </c>
      <c r="AM142" t="str" cm="1">
        <f t="array" ref="AM142">_xlfn.IFS(W142=0,"No_stock",W142=1,"Low",W142=2,"Medium",W142=3,"High")</f>
        <v>No_stock</v>
      </c>
      <c r="AN142" t="str">
        <f t="shared" si="2"/>
        <v>Medium</v>
      </c>
    </row>
    <row r="143" spans="1:40" x14ac:dyDescent="0.45">
      <c r="A143">
        <v>45</v>
      </c>
      <c r="B143" t="s">
        <v>37</v>
      </c>
      <c r="C143" t="s">
        <v>31</v>
      </c>
      <c r="D143">
        <v>1316</v>
      </c>
      <c r="E143" t="s">
        <v>39</v>
      </c>
      <c r="F143">
        <v>29</v>
      </c>
      <c r="G143">
        <v>3</v>
      </c>
      <c r="H143" t="s">
        <v>45</v>
      </c>
      <c r="I143">
        <v>192</v>
      </c>
      <c r="J143">
        <v>3</v>
      </c>
      <c r="K143" t="s">
        <v>40</v>
      </c>
      <c r="L143">
        <v>3</v>
      </c>
      <c r="M143">
        <v>1</v>
      </c>
      <c r="N143" t="s">
        <v>41</v>
      </c>
      <c r="O143">
        <v>4</v>
      </c>
      <c r="P143" t="s">
        <v>36</v>
      </c>
      <c r="Q143">
        <v>3452</v>
      </c>
      <c r="R143">
        <v>5</v>
      </c>
      <c r="S143" t="s">
        <v>37</v>
      </c>
      <c r="T143">
        <v>13</v>
      </c>
      <c r="U143">
        <v>3</v>
      </c>
      <c r="V143">
        <v>2</v>
      </c>
      <c r="W143">
        <v>0</v>
      </c>
      <c r="X143">
        <v>9</v>
      </c>
      <c r="Y143">
        <v>2</v>
      </c>
      <c r="Z143">
        <v>2</v>
      </c>
      <c r="AA143">
        <v>6</v>
      </c>
      <c r="AB143">
        <v>5</v>
      </c>
      <c r="AC143">
        <v>0</v>
      </c>
      <c r="AD143">
        <v>3</v>
      </c>
      <c r="AE143" t="str" cm="1">
        <f t="array" ref="AE143">_xlfn.IFS(G143=1,"Before College",G143=2,"College",G143=3,"Bachelor",G143=4,"Master",G143=5,"Doctor")</f>
        <v>Bachelor</v>
      </c>
      <c r="AF143" t="str" cm="1">
        <f t="array" ref="AF143">_xlfn.IFS(J143=1,"Low",J143=2,"Medium",J143=3,"High",J143=4,"Very High")</f>
        <v>High</v>
      </c>
      <c r="AG143" t="str" cm="1">
        <f t="array" ref="AG143">_xlfn.IFS(L143=1,"Low",L143=2,"Medium",L143=3,"High",L143=4,"Very High")</f>
        <v>High</v>
      </c>
      <c r="AH143" t="str" cm="1">
        <f t="array" ref="AH143">_xlfn.IFS(M143=1,"Junior employee",M143=2,"Mid-level",M143=3,"Senior",M143=4,"Manager",M143=5,"Executive")</f>
        <v>Junior employee</v>
      </c>
      <c r="AI143" t="str" cm="1">
        <f t="array" ref="AI143">_xlfn.IFS(O143=1,"Low",O143=2,"Medium",O143=3,"High",O143=4,"Very High")</f>
        <v>Very High</v>
      </c>
      <c r="AJ143" t="str" cm="1">
        <f t="array" ref="AJ143">_xlfn.IFS(U143=1,"Low",U143=2,"Good",U143=3,"Excellent",U143=4,"Outstanding")</f>
        <v>Excellent</v>
      </c>
      <c r="AK143" t="str" cm="1">
        <f t="array" ref="AK143">_xlfn.IFS(V143=1,"Low",V143=2,"Medium",V143=3,"High",V143=4,"Very High")</f>
        <v>Medium</v>
      </c>
      <c r="AL143" t="str" cm="1">
        <f t="array" ref="AL143">_xlfn.IFS(Z143=1,"Bad",Z143=2,"Good",Z143=3,"Better",Z143=4,"Best")</f>
        <v>Good</v>
      </c>
      <c r="AM143" t="str" cm="1">
        <f t="array" ref="AM143">_xlfn.IFS(W143=0,"No_stock",W143=1,"Low",W143=2,"Medium",W143=3,"High")</f>
        <v>No_stock</v>
      </c>
      <c r="AN143" t="str">
        <f t="shared" si="2"/>
        <v>Far</v>
      </c>
    </row>
    <row r="144" spans="1:40" x14ac:dyDescent="0.45">
      <c r="A144">
        <v>38</v>
      </c>
      <c r="B144" t="s">
        <v>37</v>
      </c>
      <c r="C144" t="s">
        <v>31</v>
      </c>
      <c r="D144">
        <v>364</v>
      </c>
      <c r="E144" t="s">
        <v>39</v>
      </c>
      <c r="F144">
        <v>3</v>
      </c>
      <c r="G144">
        <v>5</v>
      </c>
      <c r="H144" t="s">
        <v>54</v>
      </c>
      <c r="I144">
        <v>193</v>
      </c>
      <c r="J144">
        <v>4</v>
      </c>
      <c r="K144" t="s">
        <v>34</v>
      </c>
      <c r="L144">
        <v>3</v>
      </c>
      <c r="M144">
        <v>2</v>
      </c>
      <c r="N144" t="s">
        <v>41</v>
      </c>
      <c r="O144">
        <v>3</v>
      </c>
      <c r="P144" t="s">
        <v>36</v>
      </c>
      <c r="Q144">
        <v>4317</v>
      </c>
      <c r="R144">
        <v>3</v>
      </c>
      <c r="S144" t="s">
        <v>30</v>
      </c>
      <c r="T144">
        <v>20</v>
      </c>
      <c r="U144">
        <v>4</v>
      </c>
      <c r="V144">
        <v>2</v>
      </c>
      <c r="W144">
        <v>0</v>
      </c>
      <c r="X144">
        <v>19</v>
      </c>
      <c r="Y144">
        <v>2</v>
      </c>
      <c r="Z144">
        <v>3</v>
      </c>
      <c r="AA144">
        <v>3</v>
      </c>
      <c r="AB144">
        <v>2</v>
      </c>
      <c r="AC144">
        <v>2</v>
      </c>
      <c r="AD144">
        <v>2</v>
      </c>
      <c r="AE144" t="str" cm="1">
        <f t="array" ref="AE144">_xlfn.IFS(G144=1,"Before College",G144=2,"College",G144=3,"Bachelor",G144=4,"Master",G144=5,"Doctor")</f>
        <v>Doctor</v>
      </c>
      <c r="AF144" t="str" cm="1">
        <f t="array" ref="AF144">_xlfn.IFS(J144=1,"Low",J144=2,"Medium",J144=3,"High",J144=4,"Very High")</f>
        <v>Very High</v>
      </c>
      <c r="AG144" t="str" cm="1">
        <f t="array" ref="AG144">_xlfn.IFS(L144=1,"Low",L144=2,"Medium",L144=3,"High",L144=4,"Very High")</f>
        <v>High</v>
      </c>
      <c r="AH144" t="str" cm="1">
        <f t="array" ref="AH144">_xlfn.IFS(M144=1,"Junior employee",M144=2,"Mid-level",M144=3,"Senior",M144=4,"Manager",M144=5,"Executive")</f>
        <v>Mid-level</v>
      </c>
      <c r="AI144" t="str" cm="1">
        <f t="array" ref="AI144">_xlfn.IFS(O144=1,"Low",O144=2,"Medium",O144=3,"High",O144=4,"Very High")</f>
        <v>High</v>
      </c>
      <c r="AJ144" t="str" cm="1">
        <f t="array" ref="AJ144">_xlfn.IFS(U144=1,"Low",U144=2,"Good",U144=3,"Excellent",U144=4,"Outstanding")</f>
        <v>Outstanding</v>
      </c>
      <c r="AK144" t="str" cm="1">
        <f t="array" ref="AK144">_xlfn.IFS(V144=1,"Low",V144=2,"Medium",V144=3,"High",V144=4,"Very High")</f>
        <v>Medium</v>
      </c>
      <c r="AL144" t="str" cm="1">
        <f t="array" ref="AL144">_xlfn.IFS(Z144=1,"Bad",Z144=2,"Good",Z144=3,"Better",Z144=4,"Best")</f>
        <v>Better</v>
      </c>
      <c r="AM144" t="str" cm="1">
        <f t="array" ref="AM144">_xlfn.IFS(W144=0,"No_stock",W144=1,"Low",W144=2,"Medium",W144=3,"High")</f>
        <v>No_stock</v>
      </c>
      <c r="AN144" t="str">
        <f t="shared" si="2"/>
        <v>Near</v>
      </c>
    </row>
    <row r="145" spans="1:40" x14ac:dyDescent="0.45">
      <c r="A145">
        <v>30</v>
      </c>
      <c r="B145" t="s">
        <v>37</v>
      </c>
      <c r="C145" t="s">
        <v>31</v>
      </c>
      <c r="D145">
        <v>438</v>
      </c>
      <c r="E145" t="s">
        <v>39</v>
      </c>
      <c r="F145">
        <v>18</v>
      </c>
      <c r="G145">
        <v>3</v>
      </c>
      <c r="H145" t="s">
        <v>33</v>
      </c>
      <c r="I145">
        <v>194</v>
      </c>
      <c r="J145">
        <v>1</v>
      </c>
      <c r="K145" t="s">
        <v>34</v>
      </c>
      <c r="L145">
        <v>3</v>
      </c>
      <c r="M145">
        <v>1</v>
      </c>
      <c r="N145" t="s">
        <v>41</v>
      </c>
      <c r="O145">
        <v>3</v>
      </c>
      <c r="P145" t="s">
        <v>36</v>
      </c>
      <c r="Q145">
        <v>2632</v>
      </c>
      <c r="R145">
        <v>1</v>
      </c>
      <c r="S145" t="s">
        <v>37</v>
      </c>
      <c r="T145">
        <v>14</v>
      </c>
      <c r="U145">
        <v>3</v>
      </c>
      <c r="V145">
        <v>3</v>
      </c>
      <c r="W145">
        <v>0</v>
      </c>
      <c r="X145">
        <v>5</v>
      </c>
      <c r="Y145">
        <v>4</v>
      </c>
      <c r="Z145">
        <v>2</v>
      </c>
      <c r="AA145">
        <v>5</v>
      </c>
      <c r="AB145">
        <v>4</v>
      </c>
      <c r="AC145">
        <v>0</v>
      </c>
      <c r="AD145">
        <v>4</v>
      </c>
      <c r="AE145" t="str" cm="1">
        <f t="array" ref="AE145">_xlfn.IFS(G145=1,"Before College",G145=2,"College",G145=3,"Bachelor",G145=4,"Master",G145=5,"Doctor")</f>
        <v>Bachelor</v>
      </c>
      <c r="AF145" t="str" cm="1">
        <f t="array" ref="AF145">_xlfn.IFS(J145=1,"Low",J145=2,"Medium",J145=3,"High",J145=4,"Very High")</f>
        <v>Low</v>
      </c>
      <c r="AG145" t="str" cm="1">
        <f t="array" ref="AG145">_xlfn.IFS(L145=1,"Low",L145=2,"Medium",L145=3,"High",L145=4,"Very High")</f>
        <v>High</v>
      </c>
      <c r="AH145" t="str" cm="1">
        <f t="array" ref="AH145">_xlfn.IFS(M145=1,"Junior employee",M145=2,"Mid-level",M145=3,"Senior",M145=4,"Manager",M145=5,"Executive")</f>
        <v>Junior employee</v>
      </c>
      <c r="AI145" t="str" cm="1">
        <f t="array" ref="AI145">_xlfn.IFS(O145=1,"Low",O145=2,"Medium",O145=3,"High",O145=4,"Very High")</f>
        <v>High</v>
      </c>
      <c r="AJ145" t="str" cm="1">
        <f t="array" ref="AJ145">_xlfn.IFS(U145=1,"Low",U145=2,"Good",U145=3,"Excellent",U145=4,"Outstanding")</f>
        <v>Excellent</v>
      </c>
      <c r="AK145" t="str" cm="1">
        <f t="array" ref="AK145">_xlfn.IFS(V145=1,"Low",V145=2,"Medium",V145=3,"High",V145=4,"Very High")</f>
        <v>High</v>
      </c>
      <c r="AL145" t="str" cm="1">
        <f t="array" ref="AL145">_xlfn.IFS(Z145=1,"Bad",Z145=2,"Good",Z145=3,"Better",Z145=4,"Best")</f>
        <v>Good</v>
      </c>
      <c r="AM145" t="str" cm="1">
        <f t="array" ref="AM145">_xlfn.IFS(W145=0,"No_stock",W145=1,"Low",W145=2,"Medium",W145=3,"High")</f>
        <v>No_stock</v>
      </c>
      <c r="AN145" t="str">
        <f t="shared" si="2"/>
        <v>Far</v>
      </c>
    </row>
    <row r="146" spans="1:40" x14ac:dyDescent="0.45">
      <c r="A146">
        <v>32</v>
      </c>
      <c r="B146" t="s">
        <v>37</v>
      </c>
      <c r="C146" t="s">
        <v>38</v>
      </c>
      <c r="D146">
        <v>689</v>
      </c>
      <c r="E146" t="s">
        <v>32</v>
      </c>
      <c r="F146">
        <v>9</v>
      </c>
      <c r="G146">
        <v>2</v>
      </c>
      <c r="H146" t="s">
        <v>45</v>
      </c>
      <c r="I146">
        <v>195</v>
      </c>
      <c r="J146">
        <v>4</v>
      </c>
      <c r="K146" t="s">
        <v>40</v>
      </c>
      <c r="L146">
        <v>1</v>
      </c>
      <c r="M146">
        <v>2</v>
      </c>
      <c r="N146" t="s">
        <v>35</v>
      </c>
      <c r="O146">
        <v>4</v>
      </c>
      <c r="P146" t="s">
        <v>46</v>
      </c>
      <c r="Q146">
        <v>4668</v>
      </c>
      <c r="R146">
        <v>0</v>
      </c>
      <c r="S146" t="s">
        <v>37</v>
      </c>
      <c r="T146">
        <v>17</v>
      </c>
      <c r="U146">
        <v>3</v>
      </c>
      <c r="V146">
        <v>4</v>
      </c>
      <c r="W146">
        <v>3</v>
      </c>
      <c r="X146">
        <v>9</v>
      </c>
      <c r="Y146">
        <v>2</v>
      </c>
      <c r="Z146">
        <v>4</v>
      </c>
      <c r="AA146">
        <v>8</v>
      </c>
      <c r="AB146">
        <v>7</v>
      </c>
      <c r="AC146">
        <v>0</v>
      </c>
      <c r="AD146">
        <v>7</v>
      </c>
      <c r="AE146" t="str" cm="1">
        <f t="array" ref="AE146">_xlfn.IFS(G146=1,"Before College",G146=2,"College",G146=3,"Bachelor",G146=4,"Master",G146=5,"Doctor")</f>
        <v>College</v>
      </c>
      <c r="AF146" t="str" cm="1">
        <f t="array" ref="AF146">_xlfn.IFS(J146=1,"Low",J146=2,"Medium",J146=3,"High",J146=4,"Very High")</f>
        <v>Very High</v>
      </c>
      <c r="AG146" t="str" cm="1">
        <f t="array" ref="AG146">_xlfn.IFS(L146=1,"Low",L146=2,"Medium",L146=3,"High",L146=4,"Very High")</f>
        <v>Low</v>
      </c>
      <c r="AH146" t="str" cm="1">
        <f t="array" ref="AH146">_xlfn.IFS(M146=1,"Junior employee",M146=2,"Mid-level",M146=3,"Senior",M146=4,"Manager",M146=5,"Executive")</f>
        <v>Mid-level</v>
      </c>
      <c r="AI146" t="str" cm="1">
        <f t="array" ref="AI146">_xlfn.IFS(O146=1,"Low",O146=2,"Medium",O146=3,"High",O146=4,"Very High")</f>
        <v>Very High</v>
      </c>
      <c r="AJ146" t="str" cm="1">
        <f t="array" ref="AJ146">_xlfn.IFS(U146=1,"Low",U146=2,"Good",U146=3,"Excellent",U146=4,"Outstanding")</f>
        <v>Excellent</v>
      </c>
      <c r="AK146" t="str" cm="1">
        <f t="array" ref="AK146">_xlfn.IFS(V146=1,"Low",V146=2,"Medium",V146=3,"High",V146=4,"Very High")</f>
        <v>Very High</v>
      </c>
      <c r="AL146" t="str" cm="1">
        <f t="array" ref="AL146">_xlfn.IFS(Z146=1,"Bad",Z146=2,"Good",Z146=3,"Better",Z146=4,"Best")</f>
        <v>Best</v>
      </c>
      <c r="AM146" t="str" cm="1">
        <f t="array" ref="AM146">_xlfn.IFS(W146=0,"No_stock",W146=1,"Low",W146=2,"Medium",W146=3,"High")</f>
        <v>High</v>
      </c>
      <c r="AN146" t="str">
        <f t="shared" si="2"/>
        <v>Medium</v>
      </c>
    </row>
    <row r="147" spans="1:40" x14ac:dyDescent="0.45">
      <c r="A147">
        <v>30</v>
      </c>
      <c r="B147" t="s">
        <v>37</v>
      </c>
      <c r="C147" t="s">
        <v>31</v>
      </c>
      <c r="D147">
        <v>201</v>
      </c>
      <c r="E147" t="s">
        <v>39</v>
      </c>
      <c r="F147">
        <v>5</v>
      </c>
      <c r="G147">
        <v>3</v>
      </c>
      <c r="H147" t="s">
        <v>54</v>
      </c>
      <c r="I147">
        <v>197</v>
      </c>
      <c r="J147">
        <v>4</v>
      </c>
      <c r="K147" t="s">
        <v>34</v>
      </c>
      <c r="L147">
        <v>3</v>
      </c>
      <c r="M147">
        <v>1</v>
      </c>
      <c r="N147" t="s">
        <v>41</v>
      </c>
      <c r="O147">
        <v>1</v>
      </c>
      <c r="P147" t="s">
        <v>46</v>
      </c>
      <c r="Q147">
        <v>3204</v>
      </c>
      <c r="R147">
        <v>5</v>
      </c>
      <c r="S147" t="s">
        <v>37</v>
      </c>
      <c r="T147">
        <v>14</v>
      </c>
      <c r="U147">
        <v>3</v>
      </c>
      <c r="V147">
        <v>4</v>
      </c>
      <c r="W147">
        <v>1</v>
      </c>
      <c r="X147">
        <v>8</v>
      </c>
      <c r="Y147">
        <v>3</v>
      </c>
      <c r="Z147">
        <v>3</v>
      </c>
      <c r="AA147">
        <v>3</v>
      </c>
      <c r="AB147">
        <v>2</v>
      </c>
      <c r="AC147">
        <v>2</v>
      </c>
      <c r="AD147">
        <v>2</v>
      </c>
      <c r="AE147" t="str" cm="1">
        <f t="array" ref="AE147">_xlfn.IFS(G147=1,"Before College",G147=2,"College",G147=3,"Bachelor",G147=4,"Master",G147=5,"Doctor")</f>
        <v>Bachelor</v>
      </c>
      <c r="AF147" t="str" cm="1">
        <f t="array" ref="AF147">_xlfn.IFS(J147=1,"Low",J147=2,"Medium",J147=3,"High",J147=4,"Very High")</f>
        <v>Very High</v>
      </c>
      <c r="AG147" t="str" cm="1">
        <f t="array" ref="AG147">_xlfn.IFS(L147=1,"Low",L147=2,"Medium",L147=3,"High",L147=4,"Very High")</f>
        <v>High</v>
      </c>
      <c r="AH147" t="str" cm="1">
        <f t="array" ref="AH147">_xlfn.IFS(M147=1,"Junior employee",M147=2,"Mid-level",M147=3,"Senior",M147=4,"Manager",M147=5,"Executive")</f>
        <v>Junior employee</v>
      </c>
      <c r="AI147" t="str" cm="1">
        <f t="array" ref="AI147">_xlfn.IFS(O147=1,"Low",O147=2,"Medium",O147=3,"High",O147=4,"Very High")</f>
        <v>Low</v>
      </c>
      <c r="AJ147" t="str" cm="1">
        <f t="array" ref="AJ147">_xlfn.IFS(U147=1,"Low",U147=2,"Good",U147=3,"Excellent",U147=4,"Outstanding")</f>
        <v>Excellent</v>
      </c>
      <c r="AK147" t="str" cm="1">
        <f t="array" ref="AK147">_xlfn.IFS(V147=1,"Low",V147=2,"Medium",V147=3,"High",V147=4,"Very High")</f>
        <v>Very High</v>
      </c>
      <c r="AL147" t="str" cm="1">
        <f t="array" ref="AL147">_xlfn.IFS(Z147=1,"Bad",Z147=2,"Good",Z147=3,"Better",Z147=4,"Best")</f>
        <v>Better</v>
      </c>
      <c r="AM147" t="str" cm="1">
        <f t="array" ref="AM147">_xlfn.IFS(W147=0,"No_stock",W147=1,"Low",W147=2,"Medium",W147=3,"High")</f>
        <v>Low</v>
      </c>
      <c r="AN147" t="str">
        <f t="shared" si="2"/>
        <v>Near</v>
      </c>
    </row>
    <row r="148" spans="1:40" x14ac:dyDescent="0.45">
      <c r="A148">
        <v>30</v>
      </c>
      <c r="B148" t="s">
        <v>37</v>
      </c>
      <c r="C148" t="s">
        <v>31</v>
      </c>
      <c r="D148">
        <v>1427</v>
      </c>
      <c r="E148" t="s">
        <v>39</v>
      </c>
      <c r="F148">
        <v>2</v>
      </c>
      <c r="G148">
        <v>1</v>
      </c>
      <c r="H148" t="s">
        <v>45</v>
      </c>
      <c r="I148">
        <v>198</v>
      </c>
      <c r="J148">
        <v>2</v>
      </c>
      <c r="K148" t="s">
        <v>40</v>
      </c>
      <c r="L148">
        <v>2</v>
      </c>
      <c r="M148">
        <v>1</v>
      </c>
      <c r="N148" t="s">
        <v>44</v>
      </c>
      <c r="O148">
        <v>4</v>
      </c>
      <c r="P148" t="s">
        <v>36</v>
      </c>
      <c r="Q148">
        <v>2720</v>
      </c>
      <c r="R148">
        <v>0</v>
      </c>
      <c r="S148" t="s">
        <v>37</v>
      </c>
      <c r="T148">
        <v>13</v>
      </c>
      <c r="U148">
        <v>3</v>
      </c>
      <c r="V148">
        <v>4</v>
      </c>
      <c r="W148">
        <v>0</v>
      </c>
      <c r="X148">
        <v>6</v>
      </c>
      <c r="Y148">
        <v>3</v>
      </c>
      <c r="Z148">
        <v>3</v>
      </c>
      <c r="AA148">
        <v>5</v>
      </c>
      <c r="AB148">
        <v>3</v>
      </c>
      <c r="AC148">
        <v>1</v>
      </c>
      <c r="AD148">
        <v>2</v>
      </c>
      <c r="AE148" t="str" cm="1">
        <f t="array" ref="AE148">_xlfn.IFS(G148=1,"Before College",G148=2,"College",G148=3,"Bachelor",G148=4,"Master",G148=5,"Doctor")</f>
        <v>Before College</v>
      </c>
      <c r="AF148" t="str" cm="1">
        <f t="array" ref="AF148">_xlfn.IFS(J148=1,"Low",J148=2,"Medium",J148=3,"High",J148=4,"Very High")</f>
        <v>Medium</v>
      </c>
      <c r="AG148" t="str" cm="1">
        <f t="array" ref="AG148">_xlfn.IFS(L148=1,"Low",L148=2,"Medium",L148=3,"High",L148=4,"Very High")</f>
        <v>Medium</v>
      </c>
      <c r="AH148" t="str" cm="1">
        <f t="array" ref="AH148">_xlfn.IFS(M148=1,"Junior employee",M148=2,"Mid-level",M148=3,"Senior",M148=4,"Manager",M148=5,"Executive")</f>
        <v>Junior employee</v>
      </c>
      <c r="AI148" t="str" cm="1">
        <f t="array" ref="AI148">_xlfn.IFS(O148=1,"Low",O148=2,"Medium",O148=3,"High",O148=4,"Very High")</f>
        <v>Very High</v>
      </c>
      <c r="AJ148" t="str" cm="1">
        <f t="array" ref="AJ148">_xlfn.IFS(U148=1,"Low",U148=2,"Good",U148=3,"Excellent",U148=4,"Outstanding")</f>
        <v>Excellent</v>
      </c>
      <c r="AK148" t="str" cm="1">
        <f t="array" ref="AK148">_xlfn.IFS(V148=1,"Low",V148=2,"Medium",V148=3,"High",V148=4,"Very High")</f>
        <v>Very High</v>
      </c>
      <c r="AL148" t="str" cm="1">
        <f t="array" ref="AL148">_xlfn.IFS(Z148=1,"Bad",Z148=2,"Good",Z148=3,"Better",Z148=4,"Best")</f>
        <v>Better</v>
      </c>
      <c r="AM148" t="str" cm="1">
        <f t="array" ref="AM148">_xlfn.IFS(W148=0,"No_stock",W148=1,"Low",W148=2,"Medium",W148=3,"High")</f>
        <v>No_stock</v>
      </c>
      <c r="AN148" t="str">
        <f t="shared" si="2"/>
        <v>Near</v>
      </c>
    </row>
    <row r="149" spans="1:40" x14ac:dyDescent="0.45">
      <c r="A149">
        <v>41</v>
      </c>
      <c r="B149" t="s">
        <v>37</v>
      </c>
      <c r="C149" t="s">
        <v>38</v>
      </c>
      <c r="D149">
        <v>857</v>
      </c>
      <c r="E149" t="s">
        <v>39</v>
      </c>
      <c r="F149">
        <v>10</v>
      </c>
      <c r="G149">
        <v>3</v>
      </c>
      <c r="H149" t="s">
        <v>33</v>
      </c>
      <c r="I149">
        <v>199</v>
      </c>
      <c r="J149">
        <v>4</v>
      </c>
      <c r="K149" t="s">
        <v>40</v>
      </c>
      <c r="L149">
        <v>2</v>
      </c>
      <c r="M149">
        <v>4</v>
      </c>
      <c r="N149" t="s">
        <v>50</v>
      </c>
      <c r="O149">
        <v>1</v>
      </c>
      <c r="P149" t="s">
        <v>46</v>
      </c>
      <c r="Q149">
        <v>17181</v>
      </c>
      <c r="R149">
        <v>4</v>
      </c>
      <c r="S149" t="s">
        <v>37</v>
      </c>
      <c r="T149">
        <v>13</v>
      </c>
      <c r="U149">
        <v>3</v>
      </c>
      <c r="V149">
        <v>2</v>
      </c>
      <c r="W149">
        <v>1</v>
      </c>
      <c r="X149">
        <v>21</v>
      </c>
      <c r="Y149">
        <v>2</v>
      </c>
      <c r="Z149">
        <v>2</v>
      </c>
      <c r="AA149">
        <v>7</v>
      </c>
      <c r="AB149">
        <v>6</v>
      </c>
      <c r="AC149">
        <v>7</v>
      </c>
      <c r="AD149">
        <v>7</v>
      </c>
      <c r="AE149" t="str" cm="1">
        <f t="array" ref="AE149">_xlfn.IFS(G149=1,"Before College",G149=2,"College",G149=3,"Bachelor",G149=4,"Master",G149=5,"Doctor")</f>
        <v>Bachelor</v>
      </c>
      <c r="AF149" t="str" cm="1">
        <f t="array" ref="AF149">_xlfn.IFS(J149=1,"Low",J149=2,"Medium",J149=3,"High",J149=4,"Very High")</f>
        <v>Very High</v>
      </c>
      <c r="AG149" t="str" cm="1">
        <f t="array" ref="AG149">_xlfn.IFS(L149=1,"Low",L149=2,"Medium",L149=3,"High",L149=4,"Very High")</f>
        <v>Medium</v>
      </c>
      <c r="AH149" t="str" cm="1">
        <f t="array" ref="AH149">_xlfn.IFS(M149=1,"Junior employee",M149=2,"Mid-level",M149=3,"Senior",M149=4,"Manager",M149=5,"Executive")</f>
        <v>Manager</v>
      </c>
      <c r="AI149" t="str" cm="1">
        <f t="array" ref="AI149">_xlfn.IFS(O149=1,"Low",O149=2,"Medium",O149=3,"High",O149=4,"Very High")</f>
        <v>Low</v>
      </c>
      <c r="AJ149" t="str" cm="1">
        <f t="array" ref="AJ149">_xlfn.IFS(U149=1,"Low",U149=2,"Good",U149=3,"Excellent",U149=4,"Outstanding")</f>
        <v>Excellent</v>
      </c>
      <c r="AK149" t="str" cm="1">
        <f t="array" ref="AK149">_xlfn.IFS(V149=1,"Low",V149=2,"Medium",V149=3,"High",V149=4,"Very High")</f>
        <v>Medium</v>
      </c>
      <c r="AL149" t="str" cm="1">
        <f t="array" ref="AL149">_xlfn.IFS(Z149=1,"Bad",Z149=2,"Good",Z149=3,"Better",Z149=4,"Best")</f>
        <v>Good</v>
      </c>
      <c r="AM149" t="str" cm="1">
        <f t="array" ref="AM149">_xlfn.IFS(W149=0,"No_stock",W149=1,"Low",W149=2,"Medium",W149=3,"High")</f>
        <v>Low</v>
      </c>
      <c r="AN149" t="str">
        <f t="shared" si="2"/>
        <v>Medium</v>
      </c>
    </row>
    <row r="150" spans="1:40" x14ac:dyDescent="0.45">
      <c r="A150">
        <v>41</v>
      </c>
      <c r="B150" t="s">
        <v>37</v>
      </c>
      <c r="C150" t="s">
        <v>31</v>
      </c>
      <c r="D150">
        <v>933</v>
      </c>
      <c r="E150" t="s">
        <v>39</v>
      </c>
      <c r="F150">
        <v>9</v>
      </c>
      <c r="G150">
        <v>4</v>
      </c>
      <c r="H150" t="s">
        <v>33</v>
      </c>
      <c r="I150">
        <v>200</v>
      </c>
      <c r="J150">
        <v>3</v>
      </c>
      <c r="K150" t="s">
        <v>40</v>
      </c>
      <c r="L150">
        <v>3</v>
      </c>
      <c r="M150">
        <v>1</v>
      </c>
      <c r="N150" t="s">
        <v>44</v>
      </c>
      <c r="O150">
        <v>1</v>
      </c>
      <c r="P150" t="s">
        <v>42</v>
      </c>
      <c r="Q150">
        <v>2238</v>
      </c>
      <c r="R150">
        <v>2</v>
      </c>
      <c r="S150" t="s">
        <v>37</v>
      </c>
      <c r="T150">
        <v>21</v>
      </c>
      <c r="U150">
        <v>4</v>
      </c>
      <c r="V150">
        <v>4</v>
      </c>
      <c r="W150">
        <v>1</v>
      </c>
      <c r="X150">
        <v>7</v>
      </c>
      <c r="Y150">
        <v>2</v>
      </c>
      <c r="Z150">
        <v>3</v>
      </c>
      <c r="AA150">
        <v>5</v>
      </c>
      <c r="AB150">
        <v>0</v>
      </c>
      <c r="AC150">
        <v>1</v>
      </c>
      <c r="AD150">
        <v>4</v>
      </c>
      <c r="AE150" t="str" cm="1">
        <f t="array" ref="AE150">_xlfn.IFS(G150=1,"Before College",G150=2,"College",G150=3,"Bachelor",G150=4,"Master",G150=5,"Doctor")</f>
        <v>Master</v>
      </c>
      <c r="AF150" t="str" cm="1">
        <f t="array" ref="AF150">_xlfn.IFS(J150=1,"Low",J150=2,"Medium",J150=3,"High",J150=4,"Very High")</f>
        <v>High</v>
      </c>
      <c r="AG150" t="str" cm="1">
        <f t="array" ref="AG150">_xlfn.IFS(L150=1,"Low",L150=2,"Medium",L150=3,"High",L150=4,"Very High")</f>
        <v>High</v>
      </c>
      <c r="AH150" t="str" cm="1">
        <f t="array" ref="AH150">_xlfn.IFS(M150=1,"Junior employee",M150=2,"Mid-level",M150=3,"Senior",M150=4,"Manager",M150=5,"Executive")</f>
        <v>Junior employee</v>
      </c>
      <c r="AI150" t="str" cm="1">
        <f t="array" ref="AI150">_xlfn.IFS(O150=1,"Low",O150=2,"Medium",O150=3,"High",O150=4,"Very High")</f>
        <v>Low</v>
      </c>
      <c r="AJ150" t="str" cm="1">
        <f t="array" ref="AJ150">_xlfn.IFS(U150=1,"Low",U150=2,"Good",U150=3,"Excellent",U150=4,"Outstanding")</f>
        <v>Outstanding</v>
      </c>
      <c r="AK150" t="str" cm="1">
        <f t="array" ref="AK150">_xlfn.IFS(V150=1,"Low",V150=2,"Medium",V150=3,"High",V150=4,"Very High")</f>
        <v>Very High</v>
      </c>
      <c r="AL150" t="str" cm="1">
        <f t="array" ref="AL150">_xlfn.IFS(Z150=1,"Bad",Z150=2,"Good",Z150=3,"Better",Z150=4,"Best")</f>
        <v>Better</v>
      </c>
      <c r="AM150" t="str" cm="1">
        <f t="array" ref="AM150">_xlfn.IFS(W150=0,"No_stock",W150=1,"Low",W150=2,"Medium",W150=3,"High")</f>
        <v>Low</v>
      </c>
      <c r="AN150" t="str">
        <f t="shared" si="2"/>
        <v>Medium</v>
      </c>
    </row>
    <row r="151" spans="1:40" x14ac:dyDescent="0.45">
      <c r="A151">
        <v>19</v>
      </c>
      <c r="B151" t="s">
        <v>37</v>
      </c>
      <c r="C151" t="s">
        <v>31</v>
      </c>
      <c r="D151">
        <v>1181</v>
      </c>
      <c r="E151" t="s">
        <v>39</v>
      </c>
      <c r="F151">
        <v>3</v>
      </c>
      <c r="G151">
        <v>1</v>
      </c>
      <c r="H151" t="s">
        <v>45</v>
      </c>
      <c r="I151">
        <v>201</v>
      </c>
      <c r="J151">
        <v>2</v>
      </c>
      <c r="K151" t="s">
        <v>34</v>
      </c>
      <c r="L151">
        <v>3</v>
      </c>
      <c r="M151">
        <v>1</v>
      </c>
      <c r="N151" t="s">
        <v>44</v>
      </c>
      <c r="O151">
        <v>2</v>
      </c>
      <c r="P151" t="s">
        <v>36</v>
      </c>
      <c r="Q151">
        <v>1483</v>
      </c>
      <c r="R151">
        <v>1</v>
      </c>
      <c r="S151" t="s">
        <v>37</v>
      </c>
      <c r="T151">
        <v>14</v>
      </c>
      <c r="U151">
        <v>3</v>
      </c>
      <c r="V151">
        <v>4</v>
      </c>
      <c r="W151">
        <v>0</v>
      </c>
      <c r="X151">
        <v>1</v>
      </c>
      <c r="Y151">
        <v>3</v>
      </c>
      <c r="Z151">
        <v>3</v>
      </c>
      <c r="AA151">
        <v>1</v>
      </c>
      <c r="AB151">
        <v>0</v>
      </c>
      <c r="AC151">
        <v>0</v>
      </c>
      <c r="AD151">
        <v>0</v>
      </c>
      <c r="AE151" t="str" cm="1">
        <f t="array" ref="AE151">_xlfn.IFS(G151=1,"Before College",G151=2,"College",G151=3,"Bachelor",G151=4,"Master",G151=5,"Doctor")</f>
        <v>Before College</v>
      </c>
      <c r="AF151" t="str" cm="1">
        <f t="array" ref="AF151">_xlfn.IFS(J151=1,"Low",J151=2,"Medium",J151=3,"High",J151=4,"Very High")</f>
        <v>Medium</v>
      </c>
      <c r="AG151" t="str" cm="1">
        <f t="array" ref="AG151">_xlfn.IFS(L151=1,"Low",L151=2,"Medium",L151=3,"High",L151=4,"Very High")</f>
        <v>High</v>
      </c>
      <c r="AH151" t="str" cm="1">
        <f t="array" ref="AH151">_xlfn.IFS(M151=1,"Junior employee",M151=2,"Mid-level",M151=3,"Senior",M151=4,"Manager",M151=5,"Executive")</f>
        <v>Junior employee</v>
      </c>
      <c r="AI151" t="str" cm="1">
        <f t="array" ref="AI151">_xlfn.IFS(O151=1,"Low",O151=2,"Medium",O151=3,"High",O151=4,"Very High")</f>
        <v>Medium</v>
      </c>
      <c r="AJ151" t="str" cm="1">
        <f t="array" ref="AJ151">_xlfn.IFS(U151=1,"Low",U151=2,"Good",U151=3,"Excellent",U151=4,"Outstanding")</f>
        <v>Excellent</v>
      </c>
      <c r="AK151" t="str" cm="1">
        <f t="array" ref="AK151">_xlfn.IFS(V151=1,"Low",V151=2,"Medium",V151=3,"High",V151=4,"Very High")</f>
        <v>Very High</v>
      </c>
      <c r="AL151" t="str" cm="1">
        <f t="array" ref="AL151">_xlfn.IFS(Z151=1,"Bad",Z151=2,"Good",Z151=3,"Better",Z151=4,"Best")</f>
        <v>Better</v>
      </c>
      <c r="AM151" t="str" cm="1">
        <f t="array" ref="AM151">_xlfn.IFS(W151=0,"No_stock",W151=1,"Low",W151=2,"Medium",W151=3,"High")</f>
        <v>No_stock</v>
      </c>
      <c r="AN151" t="str">
        <f t="shared" si="2"/>
        <v>Near</v>
      </c>
    </row>
    <row r="152" spans="1:40" x14ac:dyDescent="0.45">
      <c r="A152">
        <v>40</v>
      </c>
      <c r="B152" t="s">
        <v>37</v>
      </c>
      <c r="C152" t="s">
        <v>38</v>
      </c>
      <c r="D152">
        <v>1395</v>
      </c>
      <c r="E152" t="s">
        <v>39</v>
      </c>
      <c r="F152">
        <v>26</v>
      </c>
      <c r="G152">
        <v>3</v>
      </c>
      <c r="H152" t="s">
        <v>45</v>
      </c>
      <c r="I152">
        <v>202</v>
      </c>
      <c r="J152">
        <v>2</v>
      </c>
      <c r="K152" t="s">
        <v>34</v>
      </c>
      <c r="L152">
        <v>3</v>
      </c>
      <c r="M152">
        <v>2</v>
      </c>
      <c r="N152" t="s">
        <v>41</v>
      </c>
      <c r="O152">
        <v>2</v>
      </c>
      <c r="P152" t="s">
        <v>46</v>
      </c>
      <c r="Q152">
        <v>5605</v>
      </c>
      <c r="R152">
        <v>1</v>
      </c>
      <c r="S152" t="s">
        <v>37</v>
      </c>
      <c r="T152">
        <v>11</v>
      </c>
      <c r="U152">
        <v>3</v>
      </c>
      <c r="V152">
        <v>1</v>
      </c>
      <c r="W152">
        <v>1</v>
      </c>
      <c r="X152">
        <v>20</v>
      </c>
      <c r="Y152">
        <v>2</v>
      </c>
      <c r="Z152">
        <v>3</v>
      </c>
      <c r="AA152">
        <v>20</v>
      </c>
      <c r="AB152">
        <v>7</v>
      </c>
      <c r="AC152">
        <v>2</v>
      </c>
      <c r="AD152">
        <v>13</v>
      </c>
      <c r="AE152" t="str" cm="1">
        <f t="array" ref="AE152">_xlfn.IFS(G152=1,"Before College",G152=2,"College",G152=3,"Bachelor",G152=4,"Master",G152=5,"Doctor")</f>
        <v>Bachelor</v>
      </c>
      <c r="AF152" t="str" cm="1">
        <f t="array" ref="AF152">_xlfn.IFS(J152=1,"Low",J152=2,"Medium",J152=3,"High",J152=4,"Very High")</f>
        <v>Medium</v>
      </c>
      <c r="AG152" t="str" cm="1">
        <f t="array" ref="AG152">_xlfn.IFS(L152=1,"Low",L152=2,"Medium",L152=3,"High",L152=4,"Very High")</f>
        <v>High</v>
      </c>
      <c r="AH152" t="str" cm="1">
        <f t="array" ref="AH152">_xlfn.IFS(M152=1,"Junior employee",M152=2,"Mid-level",M152=3,"Senior",M152=4,"Manager",M152=5,"Executive")</f>
        <v>Mid-level</v>
      </c>
      <c r="AI152" t="str" cm="1">
        <f t="array" ref="AI152">_xlfn.IFS(O152=1,"Low",O152=2,"Medium",O152=3,"High",O152=4,"Very High")</f>
        <v>Medium</v>
      </c>
      <c r="AJ152" t="str" cm="1">
        <f t="array" ref="AJ152">_xlfn.IFS(U152=1,"Low",U152=2,"Good",U152=3,"Excellent",U152=4,"Outstanding")</f>
        <v>Excellent</v>
      </c>
      <c r="AK152" t="str" cm="1">
        <f t="array" ref="AK152">_xlfn.IFS(V152=1,"Low",V152=2,"Medium",V152=3,"High",V152=4,"Very High")</f>
        <v>Low</v>
      </c>
      <c r="AL152" t="str" cm="1">
        <f t="array" ref="AL152">_xlfn.IFS(Z152=1,"Bad",Z152=2,"Good",Z152=3,"Better",Z152=4,"Best")</f>
        <v>Better</v>
      </c>
      <c r="AM152" t="str" cm="1">
        <f t="array" ref="AM152">_xlfn.IFS(W152=0,"No_stock",W152=1,"Low",W152=2,"Medium",W152=3,"High")</f>
        <v>Low</v>
      </c>
      <c r="AN152" t="str">
        <f t="shared" si="2"/>
        <v>Far</v>
      </c>
    </row>
    <row r="153" spans="1:40" x14ac:dyDescent="0.45">
      <c r="A153">
        <v>35</v>
      </c>
      <c r="B153" t="s">
        <v>37</v>
      </c>
      <c r="C153" t="s">
        <v>31</v>
      </c>
      <c r="D153">
        <v>662</v>
      </c>
      <c r="E153" t="s">
        <v>32</v>
      </c>
      <c r="F153">
        <v>1</v>
      </c>
      <c r="G153">
        <v>5</v>
      </c>
      <c r="H153" t="s">
        <v>53</v>
      </c>
      <c r="I153">
        <v>204</v>
      </c>
      <c r="J153">
        <v>3</v>
      </c>
      <c r="K153" t="s">
        <v>40</v>
      </c>
      <c r="L153">
        <v>3</v>
      </c>
      <c r="M153">
        <v>3</v>
      </c>
      <c r="N153" t="s">
        <v>35</v>
      </c>
      <c r="O153">
        <v>2</v>
      </c>
      <c r="P153" t="s">
        <v>42</v>
      </c>
      <c r="Q153">
        <v>7295</v>
      </c>
      <c r="R153">
        <v>1</v>
      </c>
      <c r="S153" t="s">
        <v>37</v>
      </c>
      <c r="T153">
        <v>13</v>
      </c>
      <c r="U153">
        <v>3</v>
      </c>
      <c r="V153">
        <v>1</v>
      </c>
      <c r="W153">
        <v>2</v>
      </c>
      <c r="X153">
        <v>10</v>
      </c>
      <c r="Y153">
        <v>3</v>
      </c>
      <c r="Z153">
        <v>3</v>
      </c>
      <c r="AA153">
        <v>10</v>
      </c>
      <c r="AB153">
        <v>8</v>
      </c>
      <c r="AC153">
        <v>0</v>
      </c>
      <c r="AD153">
        <v>6</v>
      </c>
      <c r="AE153" t="str" cm="1">
        <f t="array" ref="AE153">_xlfn.IFS(G153=1,"Before College",G153=2,"College",G153=3,"Bachelor",G153=4,"Master",G153=5,"Doctor")</f>
        <v>Doctor</v>
      </c>
      <c r="AF153" t="str" cm="1">
        <f t="array" ref="AF153">_xlfn.IFS(J153=1,"Low",J153=2,"Medium",J153=3,"High",J153=4,"Very High")</f>
        <v>High</v>
      </c>
      <c r="AG153" t="str" cm="1">
        <f t="array" ref="AG153">_xlfn.IFS(L153=1,"Low",L153=2,"Medium",L153=3,"High",L153=4,"Very High")</f>
        <v>High</v>
      </c>
      <c r="AH153" t="str" cm="1">
        <f t="array" ref="AH153">_xlfn.IFS(M153=1,"Junior employee",M153=2,"Mid-level",M153=3,"Senior",M153=4,"Manager",M153=5,"Executive")</f>
        <v>Senior</v>
      </c>
      <c r="AI153" t="str" cm="1">
        <f t="array" ref="AI153">_xlfn.IFS(O153=1,"Low",O153=2,"Medium",O153=3,"High",O153=4,"Very High")</f>
        <v>Medium</v>
      </c>
      <c r="AJ153" t="str" cm="1">
        <f t="array" ref="AJ153">_xlfn.IFS(U153=1,"Low",U153=2,"Good",U153=3,"Excellent",U153=4,"Outstanding")</f>
        <v>Excellent</v>
      </c>
      <c r="AK153" t="str" cm="1">
        <f t="array" ref="AK153">_xlfn.IFS(V153=1,"Low",V153=2,"Medium",V153=3,"High",V153=4,"Very High")</f>
        <v>Low</v>
      </c>
      <c r="AL153" t="str" cm="1">
        <f t="array" ref="AL153">_xlfn.IFS(Z153=1,"Bad",Z153=2,"Good",Z153=3,"Better",Z153=4,"Best")</f>
        <v>Better</v>
      </c>
      <c r="AM153" t="str" cm="1">
        <f t="array" ref="AM153">_xlfn.IFS(W153=0,"No_stock",W153=1,"Low",W153=2,"Medium",W153=3,"High")</f>
        <v>Medium</v>
      </c>
      <c r="AN153" t="str">
        <f t="shared" si="2"/>
        <v>Near</v>
      </c>
    </row>
    <row r="154" spans="1:40" x14ac:dyDescent="0.45">
      <c r="A154">
        <v>53</v>
      </c>
      <c r="B154" t="s">
        <v>37</v>
      </c>
      <c r="C154" t="s">
        <v>31</v>
      </c>
      <c r="D154">
        <v>1436</v>
      </c>
      <c r="E154" t="s">
        <v>32</v>
      </c>
      <c r="F154">
        <v>6</v>
      </c>
      <c r="G154">
        <v>2</v>
      </c>
      <c r="H154" t="s">
        <v>53</v>
      </c>
      <c r="I154">
        <v>205</v>
      </c>
      <c r="J154">
        <v>2</v>
      </c>
      <c r="K154" t="s">
        <v>40</v>
      </c>
      <c r="L154">
        <v>3</v>
      </c>
      <c r="M154">
        <v>2</v>
      </c>
      <c r="N154" t="s">
        <v>51</v>
      </c>
      <c r="O154">
        <v>3</v>
      </c>
      <c r="P154" t="s">
        <v>42</v>
      </c>
      <c r="Q154">
        <v>2306</v>
      </c>
      <c r="R154">
        <v>2</v>
      </c>
      <c r="S154" t="s">
        <v>30</v>
      </c>
      <c r="T154">
        <v>20</v>
      </c>
      <c r="U154">
        <v>4</v>
      </c>
      <c r="V154">
        <v>4</v>
      </c>
      <c r="W154">
        <v>1</v>
      </c>
      <c r="X154">
        <v>13</v>
      </c>
      <c r="Y154">
        <v>3</v>
      </c>
      <c r="Z154">
        <v>1</v>
      </c>
      <c r="AA154">
        <v>7</v>
      </c>
      <c r="AB154">
        <v>7</v>
      </c>
      <c r="AC154">
        <v>4</v>
      </c>
      <c r="AD154">
        <v>5</v>
      </c>
      <c r="AE154" t="str" cm="1">
        <f t="array" ref="AE154">_xlfn.IFS(G154=1,"Before College",G154=2,"College",G154=3,"Bachelor",G154=4,"Master",G154=5,"Doctor")</f>
        <v>College</v>
      </c>
      <c r="AF154" t="str" cm="1">
        <f t="array" ref="AF154">_xlfn.IFS(J154=1,"Low",J154=2,"Medium",J154=3,"High",J154=4,"Very High")</f>
        <v>Medium</v>
      </c>
      <c r="AG154" t="str" cm="1">
        <f t="array" ref="AG154">_xlfn.IFS(L154=1,"Low",L154=2,"Medium",L154=3,"High",L154=4,"Very High")</f>
        <v>High</v>
      </c>
      <c r="AH154" t="str" cm="1">
        <f t="array" ref="AH154">_xlfn.IFS(M154=1,"Junior employee",M154=2,"Mid-level",M154=3,"Senior",M154=4,"Manager",M154=5,"Executive")</f>
        <v>Mid-level</v>
      </c>
      <c r="AI154" t="str" cm="1">
        <f t="array" ref="AI154">_xlfn.IFS(O154=1,"Low",O154=2,"Medium",O154=3,"High",O154=4,"Very High")</f>
        <v>High</v>
      </c>
      <c r="AJ154" t="str" cm="1">
        <f t="array" ref="AJ154">_xlfn.IFS(U154=1,"Low",U154=2,"Good",U154=3,"Excellent",U154=4,"Outstanding")</f>
        <v>Outstanding</v>
      </c>
      <c r="AK154" t="str" cm="1">
        <f t="array" ref="AK154">_xlfn.IFS(V154=1,"Low",V154=2,"Medium",V154=3,"High",V154=4,"Very High")</f>
        <v>Very High</v>
      </c>
      <c r="AL154" t="str" cm="1">
        <f t="array" ref="AL154">_xlfn.IFS(Z154=1,"Bad",Z154=2,"Good",Z154=3,"Better",Z154=4,"Best")</f>
        <v>Bad</v>
      </c>
      <c r="AM154" t="str" cm="1">
        <f t="array" ref="AM154">_xlfn.IFS(W154=0,"No_stock",W154=1,"Low",W154=2,"Medium",W154=3,"High")</f>
        <v>Low</v>
      </c>
      <c r="AN154" t="str">
        <f t="shared" si="2"/>
        <v>Medium</v>
      </c>
    </row>
    <row r="155" spans="1:40" x14ac:dyDescent="0.45">
      <c r="A155">
        <v>45</v>
      </c>
      <c r="B155" t="s">
        <v>37</v>
      </c>
      <c r="C155" t="s">
        <v>31</v>
      </c>
      <c r="D155">
        <v>194</v>
      </c>
      <c r="E155" t="s">
        <v>39</v>
      </c>
      <c r="F155">
        <v>9</v>
      </c>
      <c r="G155">
        <v>3</v>
      </c>
      <c r="H155" t="s">
        <v>33</v>
      </c>
      <c r="I155">
        <v>206</v>
      </c>
      <c r="J155">
        <v>2</v>
      </c>
      <c r="K155" t="s">
        <v>40</v>
      </c>
      <c r="L155">
        <v>3</v>
      </c>
      <c r="M155">
        <v>2</v>
      </c>
      <c r="N155" t="s">
        <v>44</v>
      </c>
      <c r="O155">
        <v>2</v>
      </c>
      <c r="P155" t="s">
        <v>46</v>
      </c>
      <c r="Q155">
        <v>2348</v>
      </c>
      <c r="R155">
        <v>8</v>
      </c>
      <c r="S155" t="s">
        <v>37</v>
      </c>
      <c r="T155">
        <v>18</v>
      </c>
      <c r="U155">
        <v>3</v>
      </c>
      <c r="V155">
        <v>3</v>
      </c>
      <c r="W155">
        <v>1</v>
      </c>
      <c r="X155">
        <v>20</v>
      </c>
      <c r="Y155">
        <v>2</v>
      </c>
      <c r="Z155">
        <v>1</v>
      </c>
      <c r="AA155">
        <v>17</v>
      </c>
      <c r="AB155">
        <v>9</v>
      </c>
      <c r="AC155">
        <v>0</v>
      </c>
      <c r="AD155">
        <v>15</v>
      </c>
      <c r="AE155" t="str" cm="1">
        <f t="array" ref="AE155">_xlfn.IFS(G155=1,"Before College",G155=2,"College",G155=3,"Bachelor",G155=4,"Master",G155=5,"Doctor")</f>
        <v>Bachelor</v>
      </c>
      <c r="AF155" t="str" cm="1">
        <f t="array" ref="AF155">_xlfn.IFS(J155=1,"Low",J155=2,"Medium",J155=3,"High",J155=4,"Very High")</f>
        <v>Medium</v>
      </c>
      <c r="AG155" t="str" cm="1">
        <f t="array" ref="AG155">_xlfn.IFS(L155=1,"Low",L155=2,"Medium",L155=3,"High",L155=4,"Very High")</f>
        <v>High</v>
      </c>
      <c r="AH155" t="str" cm="1">
        <f t="array" ref="AH155">_xlfn.IFS(M155=1,"Junior employee",M155=2,"Mid-level",M155=3,"Senior",M155=4,"Manager",M155=5,"Executive")</f>
        <v>Mid-level</v>
      </c>
      <c r="AI155" t="str" cm="1">
        <f t="array" ref="AI155">_xlfn.IFS(O155=1,"Low",O155=2,"Medium",O155=3,"High",O155=4,"Very High")</f>
        <v>Medium</v>
      </c>
      <c r="AJ155" t="str" cm="1">
        <f t="array" ref="AJ155">_xlfn.IFS(U155=1,"Low",U155=2,"Good",U155=3,"Excellent",U155=4,"Outstanding")</f>
        <v>Excellent</v>
      </c>
      <c r="AK155" t="str" cm="1">
        <f t="array" ref="AK155">_xlfn.IFS(V155=1,"Low",V155=2,"Medium",V155=3,"High",V155=4,"Very High")</f>
        <v>High</v>
      </c>
      <c r="AL155" t="str" cm="1">
        <f t="array" ref="AL155">_xlfn.IFS(Z155=1,"Bad",Z155=2,"Good",Z155=3,"Better",Z155=4,"Best")</f>
        <v>Bad</v>
      </c>
      <c r="AM155" t="str" cm="1">
        <f t="array" ref="AM155">_xlfn.IFS(W155=0,"No_stock",W155=1,"Low",W155=2,"Medium",W155=3,"High")</f>
        <v>Low</v>
      </c>
      <c r="AN155" t="str">
        <f t="shared" si="2"/>
        <v>Medium</v>
      </c>
    </row>
    <row r="156" spans="1:40" x14ac:dyDescent="0.45">
      <c r="A156">
        <v>32</v>
      </c>
      <c r="B156" t="s">
        <v>37</v>
      </c>
      <c r="C156" t="s">
        <v>38</v>
      </c>
      <c r="D156">
        <v>967</v>
      </c>
      <c r="E156" t="s">
        <v>32</v>
      </c>
      <c r="F156">
        <v>8</v>
      </c>
      <c r="G156">
        <v>3</v>
      </c>
      <c r="H156" t="s">
        <v>53</v>
      </c>
      <c r="I156">
        <v>207</v>
      </c>
      <c r="J156">
        <v>2</v>
      </c>
      <c r="K156" t="s">
        <v>34</v>
      </c>
      <c r="L156">
        <v>3</v>
      </c>
      <c r="M156">
        <v>3</v>
      </c>
      <c r="N156" t="s">
        <v>35</v>
      </c>
      <c r="O156">
        <v>4</v>
      </c>
      <c r="P156" t="s">
        <v>36</v>
      </c>
      <c r="Q156">
        <v>8998</v>
      </c>
      <c r="R156">
        <v>1</v>
      </c>
      <c r="S156" t="s">
        <v>37</v>
      </c>
      <c r="T156">
        <v>14</v>
      </c>
      <c r="U156">
        <v>3</v>
      </c>
      <c r="V156">
        <v>4</v>
      </c>
      <c r="W156">
        <v>0</v>
      </c>
      <c r="X156">
        <v>9</v>
      </c>
      <c r="Y156">
        <v>2</v>
      </c>
      <c r="Z156">
        <v>3</v>
      </c>
      <c r="AA156">
        <v>9</v>
      </c>
      <c r="AB156">
        <v>8</v>
      </c>
      <c r="AC156">
        <v>3</v>
      </c>
      <c r="AD156">
        <v>7</v>
      </c>
      <c r="AE156" t="str" cm="1">
        <f t="array" ref="AE156">_xlfn.IFS(G156=1,"Before College",G156=2,"College",G156=3,"Bachelor",G156=4,"Master",G156=5,"Doctor")</f>
        <v>Bachelor</v>
      </c>
      <c r="AF156" t="str" cm="1">
        <f t="array" ref="AF156">_xlfn.IFS(J156=1,"Low",J156=2,"Medium",J156=3,"High",J156=4,"Very High")</f>
        <v>Medium</v>
      </c>
      <c r="AG156" t="str" cm="1">
        <f t="array" ref="AG156">_xlfn.IFS(L156=1,"Low",L156=2,"Medium",L156=3,"High",L156=4,"Very High")</f>
        <v>High</v>
      </c>
      <c r="AH156" t="str" cm="1">
        <f t="array" ref="AH156">_xlfn.IFS(M156=1,"Junior employee",M156=2,"Mid-level",M156=3,"Senior",M156=4,"Manager",M156=5,"Executive")</f>
        <v>Senior</v>
      </c>
      <c r="AI156" t="str" cm="1">
        <f t="array" ref="AI156">_xlfn.IFS(O156=1,"Low",O156=2,"Medium",O156=3,"High",O156=4,"Very High")</f>
        <v>Very High</v>
      </c>
      <c r="AJ156" t="str" cm="1">
        <f t="array" ref="AJ156">_xlfn.IFS(U156=1,"Low",U156=2,"Good",U156=3,"Excellent",U156=4,"Outstanding")</f>
        <v>Excellent</v>
      </c>
      <c r="AK156" t="str" cm="1">
        <f t="array" ref="AK156">_xlfn.IFS(V156=1,"Low",V156=2,"Medium",V156=3,"High",V156=4,"Very High")</f>
        <v>Very High</v>
      </c>
      <c r="AL156" t="str" cm="1">
        <f t="array" ref="AL156">_xlfn.IFS(Z156=1,"Bad",Z156=2,"Good",Z156=3,"Better",Z156=4,"Best")</f>
        <v>Better</v>
      </c>
      <c r="AM156" t="str" cm="1">
        <f t="array" ref="AM156">_xlfn.IFS(W156=0,"No_stock",W156=1,"Low",W156=2,"Medium",W156=3,"High")</f>
        <v>No_stock</v>
      </c>
      <c r="AN156" t="str">
        <f t="shared" si="2"/>
        <v>Medium</v>
      </c>
    </row>
    <row r="157" spans="1:40" x14ac:dyDescent="0.45">
      <c r="A157">
        <v>29</v>
      </c>
      <c r="B157" t="s">
        <v>37</v>
      </c>
      <c r="C157" t="s">
        <v>49</v>
      </c>
      <c r="D157">
        <v>1496</v>
      </c>
      <c r="E157" t="s">
        <v>39</v>
      </c>
      <c r="F157">
        <v>1</v>
      </c>
      <c r="G157">
        <v>1</v>
      </c>
      <c r="H157" t="s">
        <v>54</v>
      </c>
      <c r="I157">
        <v>208</v>
      </c>
      <c r="J157">
        <v>4</v>
      </c>
      <c r="K157" t="s">
        <v>40</v>
      </c>
      <c r="L157">
        <v>3</v>
      </c>
      <c r="M157">
        <v>2</v>
      </c>
      <c r="N157" t="s">
        <v>47</v>
      </c>
      <c r="O157">
        <v>3</v>
      </c>
      <c r="P157" t="s">
        <v>42</v>
      </c>
      <c r="Q157">
        <v>4319</v>
      </c>
      <c r="R157">
        <v>1</v>
      </c>
      <c r="S157" t="s">
        <v>37</v>
      </c>
      <c r="T157">
        <v>13</v>
      </c>
      <c r="U157">
        <v>3</v>
      </c>
      <c r="V157">
        <v>1</v>
      </c>
      <c r="W157">
        <v>1</v>
      </c>
      <c r="X157">
        <v>10</v>
      </c>
      <c r="Y157">
        <v>1</v>
      </c>
      <c r="Z157">
        <v>3</v>
      </c>
      <c r="AA157">
        <v>10</v>
      </c>
      <c r="AB157">
        <v>7</v>
      </c>
      <c r="AC157">
        <v>0</v>
      </c>
      <c r="AD157">
        <v>9</v>
      </c>
      <c r="AE157" t="str" cm="1">
        <f t="array" ref="AE157">_xlfn.IFS(G157=1,"Before College",G157=2,"College",G157=3,"Bachelor",G157=4,"Master",G157=5,"Doctor")</f>
        <v>Before College</v>
      </c>
      <c r="AF157" t="str" cm="1">
        <f t="array" ref="AF157">_xlfn.IFS(J157=1,"Low",J157=2,"Medium",J157=3,"High",J157=4,"Very High")</f>
        <v>Very High</v>
      </c>
      <c r="AG157" t="str" cm="1">
        <f t="array" ref="AG157">_xlfn.IFS(L157=1,"Low",L157=2,"Medium",L157=3,"High",L157=4,"Very High")</f>
        <v>High</v>
      </c>
      <c r="AH157" t="str" cm="1">
        <f t="array" ref="AH157">_xlfn.IFS(M157=1,"Junior employee",M157=2,"Mid-level",M157=3,"Senior",M157=4,"Manager",M157=5,"Executive")</f>
        <v>Mid-level</v>
      </c>
      <c r="AI157" t="str" cm="1">
        <f t="array" ref="AI157">_xlfn.IFS(O157=1,"Low",O157=2,"Medium",O157=3,"High",O157=4,"Very High")</f>
        <v>High</v>
      </c>
      <c r="AJ157" t="str" cm="1">
        <f t="array" ref="AJ157">_xlfn.IFS(U157=1,"Low",U157=2,"Good",U157=3,"Excellent",U157=4,"Outstanding")</f>
        <v>Excellent</v>
      </c>
      <c r="AK157" t="str" cm="1">
        <f t="array" ref="AK157">_xlfn.IFS(V157=1,"Low",V157=2,"Medium",V157=3,"High",V157=4,"Very High")</f>
        <v>Low</v>
      </c>
      <c r="AL157" t="str" cm="1">
        <f t="array" ref="AL157">_xlfn.IFS(Z157=1,"Bad",Z157=2,"Good",Z157=3,"Better",Z157=4,"Best")</f>
        <v>Better</v>
      </c>
      <c r="AM157" t="str" cm="1">
        <f t="array" ref="AM157">_xlfn.IFS(W157=0,"No_stock",W157=1,"Low",W157=2,"Medium",W157=3,"High")</f>
        <v>Low</v>
      </c>
      <c r="AN157" t="str">
        <f t="shared" si="2"/>
        <v>Near</v>
      </c>
    </row>
    <row r="158" spans="1:40" x14ac:dyDescent="0.45">
      <c r="A158">
        <v>51</v>
      </c>
      <c r="B158" t="s">
        <v>37</v>
      </c>
      <c r="C158" t="s">
        <v>31</v>
      </c>
      <c r="D158">
        <v>1169</v>
      </c>
      <c r="E158" t="s">
        <v>39</v>
      </c>
      <c r="F158">
        <v>7</v>
      </c>
      <c r="G158">
        <v>4</v>
      </c>
      <c r="H158" t="s">
        <v>45</v>
      </c>
      <c r="I158">
        <v>211</v>
      </c>
      <c r="J158">
        <v>2</v>
      </c>
      <c r="K158" t="s">
        <v>40</v>
      </c>
      <c r="L158">
        <v>2</v>
      </c>
      <c r="M158">
        <v>2</v>
      </c>
      <c r="N158" t="s">
        <v>47</v>
      </c>
      <c r="O158">
        <v>3</v>
      </c>
      <c r="P158" t="s">
        <v>42</v>
      </c>
      <c r="Q158">
        <v>6132</v>
      </c>
      <c r="R158">
        <v>2</v>
      </c>
      <c r="S158" t="s">
        <v>37</v>
      </c>
      <c r="T158">
        <v>17</v>
      </c>
      <c r="U158">
        <v>3</v>
      </c>
      <c r="V158">
        <v>3</v>
      </c>
      <c r="W158">
        <v>0</v>
      </c>
      <c r="X158">
        <v>10</v>
      </c>
      <c r="Y158">
        <v>2</v>
      </c>
      <c r="Z158">
        <v>3</v>
      </c>
      <c r="AA158">
        <v>1</v>
      </c>
      <c r="AB158">
        <v>0</v>
      </c>
      <c r="AC158">
        <v>0</v>
      </c>
      <c r="AD158">
        <v>0</v>
      </c>
      <c r="AE158" t="str" cm="1">
        <f t="array" ref="AE158">_xlfn.IFS(G158=1,"Before College",G158=2,"College",G158=3,"Bachelor",G158=4,"Master",G158=5,"Doctor")</f>
        <v>Master</v>
      </c>
      <c r="AF158" t="str" cm="1">
        <f t="array" ref="AF158">_xlfn.IFS(J158=1,"Low",J158=2,"Medium",J158=3,"High",J158=4,"Very High")</f>
        <v>Medium</v>
      </c>
      <c r="AG158" t="str" cm="1">
        <f t="array" ref="AG158">_xlfn.IFS(L158=1,"Low",L158=2,"Medium",L158=3,"High",L158=4,"Very High")</f>
        <v>Medium</v>
      </c>
      <c r="AH158" t="str" cm="1">
        <f t="array" ref="AH158">_xlfn.IFS(M158=1,"Junior employee",M158=2,"Mid-level",M158=3,"Senior",M158=4,"Manager",M158=5,"Executive")</f>
        <v>Mid-level</v>
      </c>
      <c r="AI158" t="str" cm="1">
        <f t="array" ref="AI158">_xlfn.IFS(O158=1,"Low",O158=2,"Medium",O158=3,"High",O158=4,"Very High")</f>
        <v>High</v>
      </c>
      <c r="AJ158" t="str" cm="1">
        <f t="array" ref="AJ158">_xlfn.IFS(U158=1,"Low",U158=2,"Good",U158=3,"Excellent",U158=4,"Outstanding")</f>
        <v>Excellent</v>
      </c>
      <c r="AK158" t="str" cm="1">
        <f t="array" ref="AK158">_xlfn.IFS(V158=1,"Low",V158=2,"Medium",V158=3,"High",V158=4,"Very High")</f>
        <v>High</v>
      </c>
      <c r="AL158" t="str" cm="1">
        <f t="array" ref="AL158">_xlfn.IFS(Z158=1,"Bad",Z158=2,"Good",Z158=3,"Better",Z158=4,"Best")</f>
        <v>Better</v>
      </c>
      <c r="AM158" t="str" cm="1">
        <f t="array" ref="AM158">_xlfn.IFS(W158=0,"No_stock",W158=1,"Low",W158=2,"Medium",W158=3,"High")</f>
        <v>No_stock</v>
      </c>
      <c r="AN158" t="str">
        <f t="shared" si="2"/>
        <v>Medium</v>
      </c>
    </row>
    <row r="159" spans="1:40" x14ac:dyDescent="0.45">
      <c r="A159">
        <v>58</v>
      </c>
      <c r="B159" t="s">
        <v>37</v>
      </c>
      <c r="C159" t="s">
        <v>31</v>
      </c>
      <c r="D159">
        <v>1145</v>
      </c>
      <c r="E159" t="s">
        <v>39</v>
      </c>
      <c r="F159">
        <v>9</v>
      </c>
      <c r="G159">
        <v>3</v>
      </c>
      <c r="H159" t="s">
        <v>45</v>
      </c>
      <c r="I159">
        <v>214</v>
      </c>
      <c r="J159">
        <v>2</v>
      </c>
      <c r="K159" t="s">
        <v>34</v>
      </c>
      <c r="L159">
        <v>2</v>
      </c>
      <c r="M159">
        <v>1</v>
      </c>
      <c r="N159" t="s">
        <v>41</v>
      </c>
      <c r="O159">
        <v>2</v>
      </c>
      <c r="P159" t="s">
        <v>42</v>
      </c>
      <c r="Q159">
        <v>3346</v>
      </c>
      <c r="R159">
        <v>4</v>
      </c>
      <c r="S159" t="s">
        <v>30</v>
      </c>
      <c r="T159">
        <v>20</v>
      </c>
      <c r="U159">
        <v>4</v>
      </c>
      <c r="V159">
        <v>2</v>
      </c>
      <c r="W159">
        <v>1</v>
      </c>
      <c r="X159">
        <v>9</v>
      </c>
      <c r="Y159">
        <v>3</v>
      </c>
      <c r="Z159">
        <v>2</v>
      </c>
      <c r="AA159">
        <v>1</v>
      </c>
      <c r="AB159">
        <v>0</v>
      </c>
      <c r="AC159">
        <v>0</v>
      </c>
      <c r="AD159">
        <v>0</v>
      </c>
      <c r="AE159" t="str" cm="1">
        <f t="array" ref="AE159">_xlfn.IFS(G159=1,"Before College",G159=2,"College",G159=3,"Bachelor",G159=4,"Master",G159=5,"Doctor")</f>
        <v>Bachelor</v>
      </c>
      <c r="AF159" t="str" cm="1">
        <f t="array" ref="AF159">_xlfn.IFS(J159=1,"Low",J159=2,"Medium",J159=3,"High",J159=4,"Very High")</f>
        <v>Medium</v>
      </c>
      <c r="AG159" t="str" cm="1">
        <f t="array" ref="AG159">_xlfn.IFS(L159=1,"Low",L159=2,"Medium",L159=3,"High",L159=4,"Very High")</f>
        <v>Medium</v>
      </c>
      <c r="AH159" t="str" cm="1">
        <f t="array" ref="AH159">_xlfn.IFS(M159=1,"Junior employee",M159=2,"Mid-level",M159=3,"Senior",M159=4,"Manager",M159=5,"Executive")</f>
        <v>Junior employee</v>
      </c>
      <c r="AI159" t="str" cm="1">
        <f t="array" ref="AI159">_xlfn.IFS(O159=1,"Low",O159=2,"Medium",O159=3,"High",O159=4,"Very High")</f>
        <v>Medium</v>
      </c>
      <c r="AJ159" t="str" cm="1">
        <f t="array" ref="AJ159">_xlfn.IFS(U159=1,"Low",U159=2,"Good",U159=3,"Excellent",U159=4,"Outstanding")</f>
        <v>Outstanding</v>
      </c>
      <c r="AK159" t="str" cm="1">
        <f t="array" ref="AK159">_xlfn.IFS(V159=1,"Low",V159=2,"Medium",V159=3,"High",V159=4,"Very High")</f>
        <v>Medium</v>
      </c>
      <c r="AL159" t="str" cm="1">
        <f t="array" ref="AL159">_xlfn.IFS(Z159=1,"Bad",Z159=2,"Good",Z159=3,"Better",Z159=4,"Best")</f>
        <v>Good</v>
      </c>
      <c r="AM159" t="str" cm="1">
        <f t="array" ref="AM159">_xlfn.IFS(W159=0,"No_stock",W159=1,"Low",W159=2,"Medium",W159=3,"High")</f>
        <v>Low</v>
      </c>
      <c r="AN159" t="str">
        <f t="shared" si="2"/>
        <v>Medium</v>
      </c>
    </row>
    <row r="160" spans="1:40" x14ac:dyDescent="0.45">
      <c r="A160">
        <v>40</v>
      </c>
      <c r="B160" t="s">
        <v>37</v>
      </c>
      <c r="C160" t="s">
        <v>31</v>
      </c>
      <c r="D160">
        <v>630</v>
      </c>
      <c r="E160" t="s">
        <v>32</v>
      </c>
      <c r="F160">
        <v>4</v>
      </c>
      <c r="G160">
        <v>4</v>
      </c>
      <c r="H160" t="s">
        <v>53</v>
      </c>
      <c r="I160">
        <v>215</v>
      </c>
      <c r="J160">
        <v>3</v>
      </c>
      <c r="K160" t="s">
        <v>40</v>
      </c>
      <c r="L160">
        <v>2</v>
      </c>
      <c r="M160">
        <v>3</v>
      </c>
      <c r="N160" t="s">
        <v>35</v>
      </c>
      <c r="O160">
        <v>4</v>
      </c>
      <c r="P160" t="s">
        <v>42</v>
      </c>
      <c r="Q160">
        <v>10855</v>
      </c>
      <c r="R160">
        <v>7</v>
      </c>
      <c r="S160" t="s">
        <v>37</v>
      </c>
      <c r="T160">
        <v>11</v>
      </c>
      <c r="U160">
        <v>3</v>
      </c>
      <c r="V160">
        <v>1</v>
      </c>
      <c r="W160">
        <v>1</v>
      </c>
      <c r="X160">
        <v>15</v>
      </c>
      <c r="Y160">
        <v>2</v>
      </c>
      <c r="Z160">
        <v>2</v>
      </c>
      <c r="AA160">
        <v>12</v>
      </c>
      <c r="AB160">
        <v>11</v>
      </c>
      <c r="AC160">
        <v>2</v>
      </c>
      <c r="AD160">
        <v>11</v>
      </c>
      <c r="AE160" t="str" cm="1">
        <f t="array" ref="AE160">_xlfn.IFS(G160=1,"Before College",G160=2,"College",G160=3,"Bachelor",G160=4,"Master",G160=5,"Doctor")</f>
        <v>Master</v>
      </c>
      <c r="AF160" t="str" cm="1">
        <f t="array" ref="AF160">_xlfn.IFS(J160=1,"Low",J160=2,"Medium",J160=3,"High",J160=4,"Very High")</f>
        <v>High</v>
      </c>
      <c r="AG160" t="str" cm="1">
        <f t="array" ref="AG160">_xlfn.IFS(L160=1,"Low",L160=2,"Medium",L160=3,"High",L160=4,"Very High")</f>
        <v>Medium</v>
      </c>
      <c r="AH160" t="str" cm="1">
        <f t="array" ref="AH160">_xlfn.IFS(M160=1,"Junior employee",M160=2,"Mid-level",M160=3,"Senior",M160=4,"Manager",M160=5,"Executive")</f>
        <v>Senior</v>
      </c>
      <c r="AI160" t="str" cm="1">
        <f t="array" ref="AI160">_xlfn.IFS(O160=1,"Low",O160=2,"Medium",O160=3,"High",O160=4,"Very High")</f>
        <v>Very High</v>
      </c>
      <c r="AJ160" t="str" cm="1">
        <f t="array" ref="AJ160">_xlfn.IFS(U160=1,"Low",U160=2,"Good",U160=3,"Excellent",U160=4,"Outstanding")</f>
        <v>Excellent</v>
      </c>
      <c r="AK160" t="str" cm="1">
        <f t="array" ref="AK160">_xlfn.IFS(V160=1,"Low",V160=2,"Medium",V160=3,"High",V160=4,"Very High")</f>
        <v>Low</v>
      </c>
      <c r="AL160" t="str" cm="1">
        <f t="array" ref="AL160">_xlfn.IFS(Z160=1,"Bad",Z160=2,"Good",Z160=3,"Better",Z160=4,"Best")</f>
        <v>Good</v>
      </c>
      <c r="AM160" t="str" cm="1">
        <f t="array" ref="AM160">_xlfn.IFS(W160=0,"No_stock",W160=1,"Low",W160=2,"Medium",W160=3,"High")</f>
        <v>Low</v>
      </c>
      <c r="AN160" t="str">
        <f t="shared" si="2"/>
        <v>Near</v>
      </c>
    </row>
    <row r="161" spans="1:40" x14ac:dyDescent="0.45">
      <c r="A161">
        <v>34</v>
      </c>
      <c r="B161" t="s">
        <v>37</v>
      </c>
      <c r="C161" t="s">
        <v>38</v>
      </c>
      <c r="D161">
        <v>303</v>
      </c>
      <c r="E161" t="s">
        <v>32</v>
      </c>
      <c r="F161">
        <v>2</v>
      </c>
      <c r="G161">
        <v>4</v>
      </c>
      <c r="H161" t="s">
        <v>53</v>
      </c>
      <c r="I161">
        <v>216</v>
      </c>
      <c r="J161">
        <v>3</v>
      </c>
      <c r="K161" t="s">
        <v>34</v>
      </c>
      <c r="L161">
        <v>3</v>
      </c>
      <c r="M161">
        <v>1</v>
      </c>
      <c r="N161" t="s">
        <v>51</v>
      </c>
      <c r="O161">
        <v>3</v>
      </c>
      <c r="P161" t="s">
        <v>42</v>
      </c>
      <c r="Q161">
        <v>2231</v>
      </c>
      <c r="R161">
        <v>6</v>
      </c>
      <c r="S161" t="s">
        <v>37</v>
      </c>
      <c r="T161">
        <v>18</v>
      </c>
      <c r="U161">
        <v>3</v>
      </c>
      <c r="V161">
        <v>4</v>
      </c>
      <c r="W161">
        <v>1</v>
      </c>
      <c r="X161">
        <v>6</v>
      </c>
      <c r="Y161">
        <v>3</v>
      </c>
      <c r="Z161">
        <v>3</v>
      </c>
      <c r="AA161">
        <v>4</v>
      </c>
      <c r="AB161">
        <v>3</v>
      </c>
      <c r="AC161">
        <v>1</v>
      </c>
      <c r="AD161">
        <v>2</v>
      </c>
      <c r="AE161" t="str" cm="1">
        <f t="array" ref="AE161">_xlfn.IFS(G161=1,"Before College",G161=2,"College",G161=3,"Bachelor",G161=4,"Master",G161=5,"Doctor")</f>
        <v>Master</v>
      </c>
      <c r="AF161" t="str" cm="1">
        <f t="array" ref="AF161">_xlfn.IFS(J161=1,"Low",J161=2,"Medium",J161=3,"High",J161=4,"Very High")</f>
        <v>High</v>
      </c>
      <c r="AG161" t="str" cm="1">
        <f t="array" ref="AG161">_xlfn.IFS(L161=1,"Low",L161=2,"Medium",L161=3,"High",L161=4,"Very High")</f>
        <v>High</v>
      </c>
      <c r="AH161" t="str" cm="1">
        <f t="array" ref="AH161">_xlfn.IFS(M161=1,"Junior employee",M161=2,"Mid-level",M161=3,"Senior",M161=4,"Manager",M161=5,"Executive")</f>
        <v>Junior employee</v>
      </c>
      <c r="AI161" t="str" cm="1">
        <f t="array" ref="AI161">_xlfn.IFS(O161=1,"Low",O161=2,"Medium",O161=3,"High",O161=4,"Very High")</f>
        <v>High</v>
      </c>
      <c r="AJ161" t="str" cm="1">
        <f t="array" ref="AJ161">_xlfn.IFS(U161=1,"Low",U161=2,"Good",U161=3,"Excellent",U161=4,"Outstanding")</f>
        <v>Excellent</v>
      </c>
      <c r="AK161" t="str" cm="1">
        <f t="array" ref="AK161">_xlfn.IFS(V161=1,"Low",V161=2,"Medium",V161=3,"High",V161=4,"Very High")</f>
        <v>Very High</v>
      </c>
      <c r="AL161" t="str" cm="1">
        <f t="array" ref="AL161">_xlfn.IFS(Z161=1,"Bad",Z161=2,"Good",Z161=3,"Better",Z161=4,"Best")</f>
        <v>Better</v>
      </c>
      <c r="AM161" t="str" cm="1">
        <f t="array" ref="AM161">_xlfn.IFS(W161=0,"No_stock",W161=1,"Low",W161=2,"Medium",W161=3,"High")</f>
        <v>Low</v>
      </c>
      <c r="AN161" t="str">
        <f t="shared" si="2"/>
        <v>Near</v>
      </c>
    </row>
    <row r="162" spans="1:40" x14ac:dyDescent="0.45">
      <c r="A162">
        <v>22</v>
      </c>
      <c r="B162" t="s">
        <v>37</v>
      </c>
      <c r="C162" t="s">
        <v>31</v>
      </c>
      <c r="D162">
        <v>1256</v>
      </c>
      <c r="E162" t="s">
        <v>39</v>
      </c>
      <c r="F162">
        <v>19</v>
      </c>
      <c r="G162">
        <v>1</v>
      </c>
      <c r="H162" t="s">
        <v>45</v>
      </c>
      <c r="I162">
        <v>217</v>
      </c>
      <c r="J162">
        <v>3</v>
      </c>
      <c r="K162" t="s">
        <v>40</v>
      </c>
      <c r="L162">
        <v>3</v>
      </c>
      <c r="M162">
        <v>1</v>
      </c>
      <c r="N162" t="s">
        <v>41</v>
      </c>
      <c r="O162">
        <v>4</v>
      </c>
      <c r="P162" t="s">
        <v>42</v>
      </c>
      <c r="Q162">
        <v>2323</v>
      </c>
      <c r="R162">
        <v>1</v>
      </c>
      <c r="S162" t="s">
        <v>37</v>
      </c>
      <c r="T162">
        <v>24</v>
      </c>
      <c r="U162">
        <v>4</v>
      </c>
      <c r="V162">
        <v>1</v>
      </c>
      <c r="W162">
        <v>2</v>
      </c>
      <c r="X162">
        <v>2</v>
      </c>
      <c r="Y162">
        <v>6</v>
      </c>
      <c r="Z162">
        <v>3</v>
      </c>
      <c r="AA162">
        <v>2</v>
      </c>
      <c r="AB162">
        <v>2</v>
      </c>
      <c r="AC162">
        <v>2</v>
      </c>
      <c r="AD162">
        <v>2</v>
      </c>
      <c r="AE162" t="str" cm="1">
        <f t="array" ref="AE162">_xlfn.IFS(G162=1,"Before College",G162=2,"College",G162=3,"Bachelor",G162=4,"Master",G162=5,"Doctor")</f>
        <v>Before College</v>
      </c>
      <c r="AF162" t="str" cm="1">
        <f t="array" ref="AF162">_xlfn.IFS(J162=1,"Low",J162=2,"Medium",J162=3,"High",J162=4,"Very High")</f>
        <v>High</v>
      </c>
      <c r="AG162" t="str" cm="1">
        <f t="array" ref="AG162">_xlfn.IFS(L162=1,"Low",L162=2,"Medium",L162=3,"High",L162=4,"Very High")</f>
        <v>High</v>
      </c>
      <c r="AH162" t="str" cm="1">
        <f t="array" ref="AH162">_xlfn.IFS(M162=1,"Junior employee",M162=2,"Mid-level",M162=3,"Senior",M162=4,"Manager",M162=5,"Executive")</f>
        <v>Junior employee</v>
      </c>
      <c r="AI162" t="str" cm="1">
        <f t="array" ref="AI162">_xlfn.IFS(O162=1,"Low",O162=2,"Medium",O162=3,"High",O162=4,"Very High")</f>
        <v>Very High</v>
      </c>
      <c r="AJ162" t="str" cm="1">
        <f t="array" ref="AJ162">_xlfn.IFS(U162=1,"Low",U162=2,"Good",U162=3,"Excellent",U162=4,"Outstanding")</f>
        <v>Outstanding</v>
      </c>
      <c r="AK162" t="str" cm="1">
        <f t="array" ref="AK162">_xlfn.IFS(V162=1,"Low",V162=2,"Medium",V162=3,"High",V162=4,"Very High")</f>
        <v>Low</v>
      </c>
      <c r="AL162" t="str" cm="1">
        <f t="array" ref="AL162">_xlfn.IFS(Z162=1,"Bad",Z162=2,"Good",Z162=3,"Better",Z162=4,"Best")</f>
        <v>Better</v>
      </c>
      <c r="AM162" t="str" cm="1">
        <f t="array" ref="AM162">_xlfn.IFS(W162=0,"No_stock",W162=1,"Low",W162=2,"Medium",W162=3,"High")</f>
        <v>Medium</v>
      </c>
      <c r="AN162" t="str">
        <f t="shared" si="2"/>
        <v>Far</v>
      </c>
    </row>
    <row r="163" spans="1:40" x14ac:dyDescent="0.45">
      <c r="A163">
        <v>27</v>
      </c>
      <c r="B163" t="s">
        <v>37</v>
      </c>
      <c r="C163" t="s">
        <v>49</v>
      </c>
      <c r="D163">
        <v>691</v>
      </c>
      <c r="E163" t="s">
        <v>39</v>
      </c>
      <c r="F163">
        <v>9</v>
      </c>
      <c r="G163">
        <v>3</v>
      </c>
      <c r="H163" t="s">
        <v>45</v>
      </c>
      <c r="I163">
        <v>218</v>
      </c>
      <c r="J163">
        <v>4</v>
      </c>
      <c r="K163" t="s">
        <v>40</v>
      </c>
      <c r="L163">
        <v>3</v>
      </c>
      <c r="M163">
        <v>1</v>
      </c>
      <c r="N163" t="s">
        <v>41</v>
      </c>
      <c r="O163">
        <v>2</v>
      </c>
      <c r="P163" t="s">
        <v>46</v>
      </c>
      <c r="Q163">
        <v>2024</v>
      </c>
      <c r="R163">
        <v>6</v>
      </c>
      <c r="S163" t="s">
        <v>37</v>
      </c>
      <c r="T163">
        <v>18</v>
      </c>
      <c r="U163">
        <v>3</v>
      </c>
      <c r="V163">
        <v>4</v>
      </c>
      <c r="W163">
        <v>1</v>
      </c>
      <c r="X163">
        <v>6</v>
      </c>
      <c r="Y163">
        <v>1</v>
      </c>
      <c r="Z163">
        <v>1</v>
      </c>
      <c r="AA163">
        <v>2</v>
      </c>
      <c r="AB163">
        <v>2</v>
      </c>
      <c r="AC163">
        <v>2</v>
      </c>
      <c r="AD163">
        <v>2</v>
      </c>
      <c r="AE163" t="str" cm="1">
        <f t="array" ref="AE163">_xlfn.IFS(G163=1,"Before College",G163=2,"College",G163=3,"Bachelor",G163=4,"Master",G163=5,"Doctor")</f>
        <v>Bachelor</v>
      </c>
      <c r="AF163" t="str" cm="1">
        <f t="array" ref="AF163">_xlfn.IFS(J163=1,"Low",J163=2,"Medium",J163=3,"High",J163=4,"Very High")</f>
        <v>Very High</v>
      </c>
      <c r="AG163" t="str" cm="1">
        <f t="array" ref="AG163">_xlfn.IFS(L163=1,"Low",L163=2,"Medium",L163=3,"High",L163=4,"Very High")</f>
        <v>High</v>
      </c>
      <c r="AH163" t="str" cm="1">
        <f t="array" ref="AH163">_xlfn.IFS(M163=1,"Junior employee",M163=2,"Mid-level",M163=3,"Senior",M163=4,"Manager",M163=5,"Executive")</f>
        <v>Junior employee</v>
      </c>
      <c r="AI163" t="str" cm="1">
        <f t="array" ref="AI163">_xlfn.IFS(O163=1,"Low",O163=2,"Medium",O163=3,"High",O163=4,"Very High")</f>
        <v>Medium</v>
      </c>
      <c r="AJ163" t="str" cm="1">
        <f t="array" ref="AJ163">_xlfn.IFS(U163=1,"Low",U163=2,"Good",U163=3,"Excellent",U163=4,"Outstanding")</f>
        <v>Excellent</v>
      </c>
      <c r="AK163" t="str" cm="1">
        <f t="array" ref="AK163">_xlfn.IFS(V163=1,"Low",V163=2,"Medium",V163=3,"High",V163=4,"Very High")</f>
        <v>Very High</v>
      </c>
      <c r="AL163" t="str" cm="1">
        <f t="array" ref="AL163">_xlfn.IFS(Z163=1,"Bad",Z163=2,"Good",Z163=3,"Better",Z163=4,"Best")</f>
        <v>Bad</v>
      </c>
      <c r="AM163" t="str" cm="1">
        <f t="array" ref="AM163">_xlfn.IFS(W163=0,"No_stock",W163=1,"Low",W163=2,"Medium",W163=3,"High")</f>
        <v>Low</v>
      </c>
      <c r="AN163" t="str">
        <f t="shared" si="2"/>
        <v>Medium</v>
      </c>
    </row>
    <row r="164" spans="1:40" x14ac:dyDescent="0.45">
      <c r="A164">
        <v>28</v>
      </c>
      <c r="B164" t="s">
        <v>37</v>
      </c>
      <c r="C164" t="s">
        <v>31</v>
      </c>
      <c r="D164">
        <v>440</v>
      </c>
      <c r="E164" t="s">
        <v>39</v>
      </c>
      <c r="F164">
        <v>21</v>
      </c>
      <c r="G164">
        <v>3</v>
      </c>
      <c r="H164" t="s">
        <v>45</v>
      </c>
      <c r="I164">
        <v>221</v>
      </c>
      <c r="J164">
        <v>3</v>
      </c>
      <c r="K164" t="s">
        <v>40</v>
      </c>
      <c r="L164">
        <v>3</v>
      </c>
      <c r="M164">
        <v>1</v>
      </c>
      <c r="N164" t="s">
        <v>41</v>
      </c>
      <c r="O164">
        <v>4</v>
      </c>
      <c r="P164" t="s">
        <v>42</v>
      </c>
      <c r="Q164">
        <v>2713</v>
      </c>
      <c r="R164">
        <v>1</v>
      </c>
      <c r="S164" t="s">
        <v>37</v>
      </c>
      <c r="T164">
        <v>11</v>
      </c>
      <c r="U164">
        <v>3</v>
      </c>
      <c r="V164">
        <v>3</v>
      </c>
      <c r="W164">
        <v>1</v>
      </c>
      <c r="X164">
        <v>5</v>
      </c>
      <c r="Y164">
        <v>2</v>
      </c>
      <c r="Z164">
        <v>1</v>
      </c>
      <c r="AA164">
        <v>5</v>
      </c>
      <c r="AB164">
        <v>2</v>
      </c>
      <c r="AC164">
        <v>0</v>
      </c>
      <c r="AD164">
        <v>2</v>
      </c>
      <c r="AE164" t="str" cm="1">
        <f t="array" ref="AE164">_xlfn.IFS(G164=1,"Before College",G164=2,"College",G164=3,"Bachelor",G164=4,"Master",G164=5,"Doctor")</f>
        <v>Bachelor</v>
      </c>
      <c r="AF164" t="str" cm="1">
        <f t="array" ref="AF164">_xlfn.IFS(J164=1,"Low",J164=2,"Medium",J164=3,"High",J164=4,"Very High")</f>
        <v>High</v>
      </c>
      <c r="AG164" t="str" cm="1">
        <f t="array" ref="AG164">_xlfn.IFS(L164=1,"Low",L164=2,"Medium",L164=3,"High",L164=4,"Very High")</f>
        <v>High</v>
      </c>
      <c r="AH164" t="str" cm="1">
        <f t="array" ref="AH164">_xlfn.IFS(M164=1,"Junior employee",M164=2,"Mid-level",M164=3,"Senior",M164=4,"Manager",M164=5,"Executive")</f>
        <v>Junior employee</v>
      </c>
      <c r="AI164" t="str" cm="1">
        <f t="array" ref="AI164">_xlfn.IFS(O164=1,"Low",O164=2,"Medium",O164=3,"High",O164=4,"Very High")</f>
        <v>Very High</v>
      </c>
      <c r="AJ164" t="str" cm="1">
        <f t="array" ref="AJ164">_xlfn.IFS(U164=1,"Low",U164=2,"Good",U164=3,"Excellent",U164=4,"Outstanding")</f>
        <v>Excellent</v>
      </c>
      <c r="AK164" t="str" cm="1">
        <f t="array" ref="AK164">_xlfn.IFS(V164=1,"Low",V164=2,"Medium",V164=3,"High",V164=4,"Very High")</f>
        <v>High</v>
      </c>
      <c r="AL164" t="str" cm="1">
        <f t="array" ref="AL164">_xlfn.IFS(Z164=1,"Bad",Z164=2,"Good",Z164=3,"Better",Z164=4,"Best")</f>
        <v>Bad</v>
      </c>
      <c r="AM164" t="str" cm="1">
        <f t="array" ref="AM164">_xlfn.IFS(W164=0,"No_stock",W164=1,"Low",W164=2,"Medium",W164=3,"High")</f>
        <v>Low</v>
      </c>
      <c r="AN164" t="str">
        <f t="shared" si="2"/>
        <v>Far</v>
      </c>
    </row>
    <row r="165" spans="1:40" x14ac:dyDescent="0.45">
      <c r="A165">
        <v>57</v>
      </c>
      <c r="B165" t="s">
        <v>37</v>
      </c>
      <c r="C165" t="s">
        <v>31</v>
      </c>
      <c r="D165">
        <v>334</v>
      </c>
      <c r="E165" t="s">
        <v>39</v>
      </c>
      <c r="F165">
        <v>24</v>
      </c>
      <c r="G165">
        <v>2</v>
      </c>
      <c r="H165" t="s">
        <v>33</v>
      </c>
      <c r="I165">
        <v>223</v>
      </c>
      <c r="J165">
        <v>3</v>
      </c>
      <c r="K165" t="s">
        <v>40</v>
      </c>
      <c r="L165">
        <v>4</v>
      </c>
      <c r="M165">
        <v>3</v>
      </c>
      <c r="N165" t="s">
        <v>48</v>
      </c>
      <c r="O165">
        <v>4</v>
      </c>
      <c r="P165" t="s">
        <v>46</v>
      </c>
      <c r="Q165">
        <v>9439</v>
      </c>
      <c r="R165">
        <v>3</v>
      </c>
      <c r="S165" t="s">
        <v>30</v>
      </c>
      <c r="T165">
        <v>16</v>
      </c>
      <c r="U165">
        <v>3</v>
      </c>
      <c r="V165">
        <v>2</v>
      </c>
      <c r="W165">
        <v>1</v>
      </c>
      <c r="X165">
        <v>12</v>
      </c>
      <c r="Y165">
        <v>2</v>
      </c>
      <c r="Z165">
        <v>1</v>
      </c>
      <c r="AA165">
        <v>5</v>
      </c>
      <c r="AB165">
        <v>3</v>
      </c>
      <c r="AC165">
        <v>1</v>
      </c>
      <c r="AD165">
        <v>4</v>
      </c>
      <c r="AE165" t="str" cm="1">
        <f t="array" ref="AE165">_xlfn.IFS(G165=1,"Before College",G165=2,"College",G165=3,"Bachelor",G165=4,"Master",G165=5,"Doctor")</f>
        <v>College</v>
      </c>
      <c r="AF165" t="str" cm="1">
        <f t="array" ref="AF165">_xlfn.IFS(J165=1,"Low",J165=2,"Medium",J165=3,"High",J165=4,"Very High")</f>
        <v>High</v>
      </c>
      <c r="AG165" t="str" cm="1">
        <f t="array" ref="AG165">_xlfn.IFS(L165=1,"Low",L165=2,"Medium",L165=3,"High",L165=4,"Very High")</f>
        <v>Very High</v>
      </c>
      <c r="AH165" t="str" cm="1">
        <f t="array" ref="AH165">_xlfn.IFS(M165=1,"Junior employee",M165=2,"Mid-level",M165=3,"Senior",M165=4,"Manager",M165=5,"Executive")</f>
        <v>Senior</v>
      </c>
      <c r="AI165" t="str" cm="1">
        <f t="array" ref="AI165">_xlfn.IFS(O165=1,"Low",O165=2,"Medium",O165=3,"High",O165=4,"Very High")</f>
        <v>Very High</v>
      </c>
      <c r="AJ165" t="str" cm="1">
        <f t="array" ref="AJ165">_xlfn.IFS(U165=1,"Low",U165=2,"Good",U165=3,"Excellent",U165=4,"Outstanding")</f>
        <v>Excellent</v>
      </c>
      <c r="AK165" t="str" cm="1">
        <f t="array" ref="AK165">_xlfn.IFS(V165=1,"Low",V165=2,"Medium",V165=3,"High",V165=4,"Very High")</f>
        <v>Medium</v>
      </c>
      <c r="AL165" t="str" cm="1">
        <f t="array" ref="AL165">_xlfn.IFS(Z165=1,"Bad",Z165=2,"Good",Z165=3,"Better",Z165=4,"Best")</f>
        <v>Bad</v>
      </c>
      <c r="AM165" t="str" cm="1">
        <f t="array" ref="AM165">_xlfn.IFS(W165=0,"No_stock",W165=1,"Low",W165=2,"Medium",W165=3,"High")</f>
        <v>Low</v>
      </c>
      <c r="AN165" t="str">
        <f t="shared" si="2"/>
        <v>Far</v>
      </c>
    </row>
    <row r="166" spans="1:40" x14ac:dyDescent="0.45">
      <c r="A166">
        <v>27</v>
      </c>
      <c r="B166" t="s">
        <v>37</v>
      </c>
      <c r="C166" t="s">
        <v>49</v>
      </c>
      <c r="D166">
        <v>1450</v>
      </c>
      <c r="E166" t="s">
        <v>39</v>
      </c>
      <c r="F166">
        <v>3</v>
      </c>
      <c r="G166">
        <v>3</v>
      </c>
      <c r="H166" t="s">
        <v>45</v>
      </c>
      <c r="I166">
        <v>224</v>
      </c>
      <c r="J166">
        <v>3</v>
      </c>
      <c r="K166" t="s">
        <v>40</v>
      </c>
      <c r="L166">
        <v>2</v>
      </c>
      <c r="M166">
        <v>1</v>
      </c>
      <c r="N166" t="s">
        <v>41</v>
      </c>
      <c r="O166">
        <v>3</v>
      </c>
      <c r="P166" t="s">
        <v>46</v>
      </c>
      <c r="Q166">
        <v>2566</v>
      </c>
      <c r="R166">
        <v>1</v>
      </c>
      <c r="S166" t="s">
        <v>30</v>
      </c>
      <c r="T166">
        <v>15</v>
      </c>
      <c r="U166">
        <v>3</v>
      </c>
      <c r="V166">
        <v>4</v>
      </c>
      <c r="W166">
        <v>1</v>
      </c>
      <c r="X166">
        <v>1</v>
      </c>
      <c r="Y166">
        <v>2</v>
      </c>
      <c r="Z166">
        <v>2</v>
      </c>
      <c r="AA166">
        <v>1</v>
      </c>
      <c r="AB166">
        <v>1</v>
      </c>
      <c r="AC166">
        <v>0</v>
      </c>
      <c r="AD166">
        <v>1</v>
      </c>
      <c r="AE166" t="str" cm="1">
        <f t="array" ref="AE166">_xlfn.IFS(G166=1,"Before College",G166=2,"College",G166=3,"Bachelor",G166=4,"Master",G166=5,"Doctor")</f>
        <v>Bachelor</v>
      </c>
      <c r="AF166" t="str" cm="1">
        <f t="array" ref="AF166">_xlfn.IFS(J166=1,"Low",J166=2,"Medium",J166=3,"High",J166=4,"Very High")</f>
        <v>High</v>
      </c>
      <c r="AG166" t="str" cm="1">
        <f t="array" ref="AG166">_xlfn.IFS(L166=1,"Low",L166=2,"Medium",L166=3,"High",L166=4,"Very High")</f>
        <v>Medium</v>
      </c>
      <c r="AH166" t="str" cm="1">
        <f t="array" ref="AH166">_xlfn.IFS(M166=1,"Junior employee",M166=2,"Mid-level",M166=3,"Senior",M166=4,"Manager",M166=5,"Executive")</f>
        <v>Junior employee</v>
      </c>
      <c r="AI166" t="str" cm="1">
        <f t="array" ref="AI166">_xlfn.IFS(O166=1,"Low",O166=2,"Medium",O166=3,"High",O166=4,"Very High")</f>
        <v>High</v>
      </c>
      <c r="AJ166" t="str" cm="1">
        <f t="array" ref="AJ166">_xlfn.IFS(U166=1,"Low",U166=2,"Good",U166=3,"Excellent",U166=4,"Outstanding")</f>
        <v>Excellent</v>
      </c>
      <c r="AK166" t="str" cm="1">
        <f t="array" ref="AK166">_xlfn.IFS(V166=1,"Low",V166=2,"Medium",V166=3,"High",V166=4,"Very High")</f>
        <v>Very High</v>
      </c>
      <c r="AL166" t="str" cm="1">
        <f t="array" ref="AL166">_xlfn.IFS(Z166=1,"Bad",Z166=2,"Good",Z166=3,"Better",Z166=4,"Best")</f>
        <v>Good</v>
      </c>
      <c r="AM166" t="str" cm="1">
        <f t="array" ref="AM166">_xlfn.IFS(W166=0,"No_stock",W166=1,"Low",W166=2,"Medium",W166=3,"High")</f>
        <v>Low</v>
      </c>
      <c r="AN166" t="str">
        <f t="shared" si="2"/>
        <v>Near</v>
      </c>
    </row>
    <row r="167" spans="1:40" x14ac:dyDescent="0.45">
      <c r="A167">
        <v>50</v>
      </c>
      <c r="B167" t="s">
        <v>37</v>
      </c>
      <c r="C167" t="s">
        <v>31</v>
      </c>
      <c r="D167">
        <v>1452</v>
      </c>
      <c r="E167" t="s">
        <v>39</v>
      </c>
      <c r="F167">
        <v>11</v>
      </c>
      <c r="G167">
        <v>3</v>
      </c>
      <c r="H167" t="s">
        <v>33</v>
      </c>
      <c r="I167">
        <v>226</v>
      </c>
      <c r="J167">
        <v>3</v>
      </c>
      <c r="K167" t="s">
        <v>34</v>
      </c>
      <c r="L167">
        <v>3</v>
      </c>
      <c r="M167">
        <v>5</v>
      </c>
      <c r="N167" t="s">
        <v>50</v>
      </c>
      <c r="O167">
        <v>2</v>
      </c>
      <c r="P167" t="s">
        <v>36</v>
      </c>
      <c r="Q167">
        <v>19926</v>
      </c>
      <c r="R167">
        <v>3</v>
      </c>
      <c r="S167" t="s">
        <v>37</v>
      </c>
      <c r="T167">
        <v>15</v>
      </c>
      <c r="U167">
        <v>3</v>
      </c>
      <c r="V167">
        <v>2</v>
      </c>
      <c r="W167">
        <v>0</v>
      </c>
      <c r="X167">
        <v>21</v>
      </c>
      <c r="Y167">
        <v>5</v>
      </c>
      <c r="Z167">
        <v>3</v>
      </c>
      <c r="AA167">
        <v>5</v>
      </c>
      <c r="AB167">
        <v>4</v>
      </c>
      <c r="AC167">
        <v>4</v>
      </c>
      <c r="AD167">
        <v>4</v>
      </c>
      <c r="AE167" t="str" cm="1">
        <f t="array" ref="AE167">_xlfn.IFS(G167=1,"Before College",G167=2,"College",G167=3,"Bachelor",G167=4,"Master",G167=5,"Doctor")</f>
        <v>Bachelor</v>
      </c>
      <c r="AF167" t="str" cm="1">
        <f t="array" ref="AF167">_xlfn.IFS(J167=1,"Low",J167=2,"Medium",J167=3,"High",J167=4,"Very High")</f>
        <v>High</v>
      </c>
      <c r="AG167" t="str" cm="1">
        <f t="array" ref="AG167">_xlfn.IFS(L167=1,"Low",L167=2,"Medium",L167=3,"High",L167=4,"Very High")</f>
        <v>High</v>
      </c>
      <c r="AH167" t="str" cm="1">
        <f t="array" ref="AH167">_xlfn.IFS(M167=1,"Junior employee",M167=2,"Mid-level",M167=3,"Senior",M167=4,"Manager",M167=5,"Executive")</f>
        <v>Executive</v>
      </c>
      <c r="AI167" t="str" cm="1">
        <f t="array" ref="AI167">_xlfn.IFS(O167=1,"Low",O167=2,"Medium",O167=3,"High",O167=4,"Very High")</f>
        <v>Medium</v>
      </c>
      <c r="AJ167" t="str" cm="1">
        <f t="array" ref="AJ167">_xlfn.IFS(U167=1,"Low",U167=2,"Good",U167=3,"Excellent",U167=4,"Outstanding")</f>
        <v>Excellent</v>
      </c>
      <c r="AK167" t="str" cm="1">
        <f t="array" ref="AK167">_xlfn.IFS(V167=1,"Low",V167=2,"Medium",V167=3,"High",V167=4,"Very High")</f>
        <v>Medium</v>
      </c>
      <c r="AL167" t="str" cm="1">
        <f t="array" ref="AL167">_xlfn.IFS(Z167=1,"Bad",Z167=2,"Good",Z167=3,"Better",Z167=4,"Best")</f>
        <v>Better</v>
      </c>
      <c r="AM167" t="str" cm="1">
        <f t="array" ref="AM167">_xlfn.IFS(W167=0,"No_stock",W167=1,"Low",W167=2,"Medium",W167=3,"High")</f>
        <v>No_stock</v>
      </c>
      <c r="AN167" t="str">
        <f t="shared" si="2"/>
        <v>Medium</v>
      </c>
    </row>
    <row r="168" spans="1:40" x14ac:dyDescent="0.45">
      <c r="A168">
        <v>41</v>
      </c>
      <c r="B168" t="s">
        <v>37</v>
      </c>
      <c r="C168" t="s">
        <v>31</v>
      </c>
      <c r="D168">
        <v>465</v>
      </c>
      <c r="E168" t="s">
        <v>39</v>
      </c>
      <c r="F168">
        <v>14</v>
      </c>
      <c r="G168">
        <v>3</v>
      </c>
      <c r="H168" t="s">
        <v>33</v>
      </c>
      <c r="I168">
        <v>227</v>
      </c>
      <c r="J168">
        <v>1</v>
      </c>
      <c r="K168" t="s">
        <v>40</v>
      </c>
      <c r="L168">
        <v>3</v>
      </c>
      <c r="M168">
        <v>1</v>
      </c>
      <c r="N168" t="s">
        <v>41</v>
      </c>
      <c r="O168">
        <v>3</v>
      </c>
      <c r="P168" t="s">
        <v>46</v>
      </c>
      <c r="Q168">
        <v>2451</v>
      </c>
      <c r="R168">
        <v>4</v>
      </c>
      <c r="S168" t="s">
        <v>37</v>
      </c>
      <c r="T168">
        <v>12</v>
      </c>
      <c r="U168">
        <v>3</v>
      </c>
      <c r="V168">
        <v>1</v>
      </c>
      <c r="W168">
        <v>1</v>
      </c>
      <c r="X168">
        <v>13</v>
      </c>
      <c r="Y168">
        <v>2</v>
      </c>
      <c r="Z168">
        <v>3</v>
      </c>
      <c r="AA168">
        <v>9</v>
      </c>
      <c r="AB168">
        <v>8</v>
      </c>
      <c r="AC168">
        <v>1</v>
      </c>
      <c r="AD168">
        <v>8</v>
      </c>
      <c r="AE168" t="str" cm="1">
        <f t="array" ref="AE168">_xlfn.IFS(G168=1,"Before College",G168=2,"College",G168=3,"Bachelor",G168=4,"Master",G168=5,"Doctor")</f>
        <v>Bachelor</v>
      </c>
      <c r="AF168" t="str" cm="1">
        <f t="array" ref="AF168">_xlfn.IFS(J168=1,"Low",J168=2,"Medium",J168=3,"High",J168=4,"Very High")</f>
        <v>Low</v>
      </c>
      <c r="AG168" t="str" cm="1">
        <f t="array" ref="AG168">_xlfn.IFS(L168=1,"Low",L168=2,"Medium",L168=3,"High",L168=4,"Very High")</f>
        <v>High</v>
      </c>
      <c r="AH168" t="str" cm="1">
        <f t="array" ref="AH168">_xlfn.IFS(M168=1,"Junior employee",M168=2,"Mid-level",M168=3,"Senior",M168=4,"Manager",M168=5,"Executive")</f>
        <v>Junior employee</v>
      </c>
      <c r="AI168" t="str" cm="1">
        <f t="array" ref="AI168">_xlfn.IFS(O168=1,"Low",O168=2,"Medium",O168=3,"High",O168=4,"Very High")</f>
        <v>High</v>
      </c>
      <c r="AJ168" t="str" cm="1">
        <f t="array" ref="AJ168">_xlfn.IFS(U168=1,"Low",U168=2,"Good",U168=3,"Excellent",U168=4,"Outstanding")</f>
        <v>Excellent</v>
      </c>
      <c r="AK168" t="str" cm="1">
        <f t="array" ref="AK168">_xlfn.IFS(V168=1,"Low",V168=2,"Medium",V168=3,"High",V168=4,"Very High")</f>
        <v>Low</v>
      </c>
      <c r="AL168" t="str" cm="1">
        <f t="array" ref="AL168">_xlfn.IFS(Z168=1,"Bad",Z168=2,"Good",Z168=3,"Better",Z168=4,"Best")</f>
        <v>Better</v>
      </c>
      <c r="AM168" t="str" cm="1">
        <f t="array" ref="AM168">_xlfn.IFS(W168=0,"No_stock",W168=1,"Low",W168=2,"Medium",W168=3,"High")</f>
        <v>Low</v>
      </c>
      <c r="AN168" t="str">
        <f t="shared" si="2"/>
        <v>Medium</v>
      </c>
    </row>
    <row r="169" spans="1:40" x14ac:dyDescent="0.45">
      <c r="A169">
        <v>30</v>
      </c>
      <c r="B169" t="s">
        <v>37</v>
      </c>
      <c r="C169" t="s">
        <v>31</v>
      </c>
      <c r="D169">
        <v>1339</v>
      </c>
      <c r="E169" t="s">
        <v>32</v>
      </c>
      <c r="F169">
        <v>5</v>
      </c>
      <c r="G169">
        <v>3</v>
      </c>
      <c r="H169" t="s">
        <v>33</v>
      </c>
      <c r="I169">
        <v>228</v>
      </c>
      <c r="J169">
        <v>2</v>
      </c>
      <c r="K169" t="s">
        <v>34</v>
      </c>
      <c r="L169">
        <v>3</v>
      </c>
      <c r="M169">
        <v>3</v>
      </c>
      <c r="N169" t="s">
        <v>35</v>
      </c>
      <c r="O169">
        <v>4</v>
      </c>
      <c r="P169" t="s">
        <v>42</v>
      </c>
      <c r="Q169">
        <v>9419</v>
      </c>
      <c r="R169">
        <v>2</v>
      </c>
      <c r="S169" t="s">
        <v>37</v>
      </c>
      <c r="T169">
        <v>12</v>
      </c>
      <c r="U169">
        <v>3</v>
      </c>
      <c r="V169">
        <v>3</v>
      </c>
      <c r="W169">
        <v>1</v>
      </c>
      <c r="X169">
        <v>12</v>
      </c>
      <c r="Y169">
        <v>2</v>
      </c>
      <c r="Z169">
        <v>3</v>
      </c>
      <c r="AA169">
        <v>10</v>
      </c>
      <c r="AB169">
        <v>9</v>
      </c>
      <c r="AC169">
        <v>7</v>
      </c>
      <c r="AD169">
        <v>4</v>
      </c>
      <c r="AE169" t="str" cm="1">
        <f t="array" ref="AE169">_xlfn.IFS(G169=1,"Before College",G169=2,"College",G169=3,"Bachelor",G169=4,"Master",G169=5,"Doctor")</f>
        <v>Bachelor</v>
      </c>
      <c r="AF169" t="str" cm="1">
        <f t="array" ref="AF169">_xlfn.IFS(J169=1,"Low",J169=2,"Medium",J169=3,"High",J169=4,"Very High")</f>
        <v>Medium</v>
      </c>
      <c r="AG169" t="str" cm="1">
        <f t="array" ref="AG169">_xlfn.IFS(L169=1,"Low",L169=2,"Medium",L169=3,"High",L169=4,"Very High")</f>
        <v>High</v>
      </c>
      <c r="AH169" t="str" cm="1">
        <f t="array" ref="AH169">_xlfn.IFS(M169=1,"Junior employee",M169=2,"Mid-level",M169=3,"Senior",M169=4,"Manager",M169=5,"Executive")</f>
        <v>Senior</v>
      </c>
      <c r="AI169" t="str" cm="1">
        <f t="array" ref="AI169">_xlfn.IFS(O169=1,"Low",O169=2,"Medium",O169=3,"High",O169=4,"Very High")</f>
        <v>Very High</v>
      </c>
      <c r="AJ169" t="str" cm="1">
        <f t="array" ref="AJ169">_xlfn.IFS(U169=1,"Low",U169=2,"Good",U169=3,"Excellent",U169=4,"Outstanding")</f>
        <v>Excellent</v>
      </c>
      <c r="AK169" t="str" cm="1">
        <f t="array" ref="AK169">_xlfn.IFS(V169=1,"Low",V169=2,"Medium",V169=3,"High",V169=4,"Very High")</f>
        <v>High</v>
      </c>
      <c r="AL169" t="str" cm="1">
        <f t="array" ref="AL169">_xlfn.IFS(Z169=1,"Bad",Z169=2,"Good",Z169=3,"Better",Z169=4,"Best")</f>
        <v>Better</v>
      </c>
      <c r="AM169" t="str" cm="1">
        <f t="array" ref="AM169">_xlfn.IFS(W169=0,"No_stock",W169=1,"Low",W169=2,"Medium",W169=3,"High")</f>
        <v>Low</v>
      </c>
      <c r="AN169" t="str">
        <f t="shared" si="2"/>
        <v>Near</v>
      </c>
    </row>
    <row r="170" spans="1:40" x14ac:dyDescent="0.45">
      <c r="A170">
        <v>38</v>
      </c>
      <c r="B170" t="s">
        <v>37</v>
      </c>
      <c r="C170" t="s">
        <v>31</v>
      </c>
      <c r="D170">
        <v>702</v>
      </c>
      <c r="E170" t="s">
        <v>32</v>
      </c>
      <c r="F170">
        <v>1</v>
      </c>
      <c r="G170">
        <v>4</v>
      </c>
      <c r="H170" t="s">
        <v>33</v>
      </c>
      <c r="I170">
        <v>230</v>
      </c>
      <c r="J170">
        <v>1</v>
      </c>
      <c r="K170" t="s">
        <v>34</v>
      </c>
      <c r="L170">
        <v>2</v>
      </c>
      <c r="M170">
        <v>2</v>
      </c>
      <c r="N170" t="s">
        <v>35</v>
      </c>
      <c r="O170">
        <v>4</v>
      </c>
      <c r="P170" t="s">
        <v>36</v>
      </c>
      <c r="Q170">
        <v>8686</v>
      </c>
      <c r="R170">
        <v>4</v>
      </c>
      <c r="S170" t="s">
        <v>37</v>
      </c>
      <c r="T170">
        <v>22</v>
      </c>
      <c r="U170">
        <v>4</v>
      </c>
      <c r="V170">
        <v>3</v>
      </c>
      <c r="W170">
        <v>0</v>
      </c>
      <c r="X170">
        <v>12</v>
      </c>
      <c r="Y170">
        <v>2</v>
      </c>
      <c r="Z170">
        <v>4</v>
      </c>
      <c r="AA170">
        <v>8</v>
      </c>
      <c r="AB170">
        <v>3</v>
      </c>
      <c r="AC170">
        <v>0</v>
      </c>
      <c r="AD170">
        <v>7</v>
      </c>
      <c r="AE170" t="str" cm="1">
        <f t="array" ref="AE170">_xlfn.IFS(G170=1,"Before College",G170=2,"College",G170=3,"Bachelor",G170=4,"Master",G170=5,"Doctor")</f>
        <v>Master</v>
      </c>
      <c r="AF170" t="str" cm="1">
        <f t="array" ref="AF170">_xlfn.IFS(J170=1,"Low",J170=2,"Medium",J170=3,"High",J170=4,"Very High")</f>
        <v>Low</v>
      </c>
      <c r="AG170" t="str" cm="1">
        <f t="array" ref="AG170">_xlfn.IFS(L170=1,"Low",L170=2,"Medium",L170=3,"High",L170=4,"Very High")</f>
        <v>Medium</v>
      </c>
      <c r="AH170" t="str" cm="1">
        <f t="array" ref="AH170">_xlfn.IFS(M170=1,"Junior employee",M170=2,"Mid-level",M170=3,"Senior",M170=4,"Manager",M170=5,"Executive")</f>
        <v>Mid-level</v>
      </c>
      <c r="AI170" t="str" cm="1">
        <f t="array" ref="AI170">_xlfn.IFS(O170=1,"Low",O170=2,"Medium",O170=3,"High",O170=4,"Very High")</f>
        <v>Very High</v>
      </c>
      <c r="AJ170" t="str" cm="1">
        <f t="array" ref="AJ170">_xlfn.IFS(U170=1,"Low",U170=2,"Good",U170=3,"Excellent",U170=4,"Outstanding")</f>
        <v>Outstanding</v>
      </c>
      <c r="AK170" t="str" cm="1">
        <f t="array" ref="AK170">_xlfn.IFS(V170=1,"Low",V170=2,"Medium",V170=3,"High",V170=4,"Very High")</f>
        <v>High</v>
      </c>
      <c r="AL170" t="str" cm="1">
        <f t="array" ref="AL170">_xlfn.IFS(Z170=1,"Bad",Z170=2,"Good",Z170=3,"Better",Z170=4,"Best")</f>
        <v>Best</v>
      </c>
      <c r="AM170" t="str" cm="1">
        <f t="array" ref="AM170">_xlfn.IFS(W170=0,"No_stock",W170=1,"Low",W170=2,"Medium",W170=3,"High")</f>
        <v>No_stock</v>
      </c>
      <c r="AN170" t="str">
        <f t="shared" si="2"/>
        <v>Near</v>
      </c>
    </row>
    <row r="171" spans="1:40" x14ac:dyDescent="0.45">
      <c r="A171">
        <v>32</v>
      </c>
      <c r="B171" t="s">
        <v>37</v>
      </c>
      <c r="C171" t="s">
        <v>31</v>
      </c>
      <c r="D171">
        <v>120</v>
      </c>
      <c r="E171" t="s">
        <v>39</v>
      </c>
      <c r="F171">
        <v>6</v>
      </c>
      <c r="G171">
        <v>5</v>
      </c>
      <c r="H171" t="s">
        <v>33</v>
      </c>
      <c r="I171">
        <v>231</v>
      </c>
      <c r="J171">
        <v>3</v>
      </c>
      <c r="K171" t="s">
        <v>40</v>
      </c>
      <c r="L171">
        <v>3</v>
      </c>
      <c r="M171">
        <v>1</v>
      </c>
      <c r="N171" t="s">
        <v>41</v>
      </c>
      <c r="O171">
        <v>3</v>
      </c>
      <c r="P171" t="s">
        <v>36</v>
      </c>
      <c r="Q171">
        <v>3038</v>
      </c>
      <c r="R171">
        <v>3</v>
      </c>
      <c r="S171" t="s">
        <v>37</v>
      </c>
      <c r="T171">
        <v>20</v>
      </c>
      <c r="U171">
        <v>4</v>
      </c>
      <c r="V171">
        <v>1</v>
      </c>
      <c r="W171">
        <v>0</v>
      </c>
      <c r="X171">
        <v>8</v>
      </c>
      <c r="Y171">
        <v>2</v>
      </c>
      <c r="Z171">
        <v>3</v>
      </c>
      <c r="AA171">
        <v>5</v>
      </c>
      <c r="AB171">
        <v>4</v>
      </c>
      <c r="AC171">
        <v>1</v>
      </c>
      <c r="AD171">
        <v>4</v>
      </c>
      <c r="AE171" t="str" cm="1">
        <f t="array" ref="AE171">_xlfn.IFS(G171=1,"Before College",G171=2,"College",G171=3,"Bachelor",G171=4,"Master",G171=5,"Doctor")</f>
        <v>Doctor</v>
      </c>
      <c r="AF171" t="str" cm="1">
        <f t="array" ref="AF171">_xlfn.IFS(J171=1,"Low",J171=2,"Medium",J171=3,"High",J171=4,"Very High")</f>
        <v>High</v>
      </c>
      <c r="AG171" t="str" cm="1">
        <f t="array" ref="AG171">_xlfn.IFS(L171=1,"Low",L171=2,"Medium",L171=3,"High",L171=4,"Very High")</f>
        <v>High</v>
      </c>
      <c r="AH171" t="str" cm="1">
        <f t="array" ref="AH171">_xlfn.IFS(M171=1,"Junior employee",M171=2,"Mid-level",M171=3,"Senior",M171=4,"Manager",M171=5,"Executive")</f>
        <v>Junior employee</v>
      </c>
      <c r="AI171" t="str" cm="1">
        <f t="array" ref="AI171">_xlfn.IFS(O171=1,"Low",O171=2,"Medium",O171=3,"High",O171=4,"Very High")</f>
        <v>High</v>
      </c>
      <c r="AJ171" t="str" cm="1">
        <f t="array" ref="AJ171">_xlfn.IFS(U171=1,"Low",U171=2,"Good",U171=3,"Excellent",U171=4,"Outstanding")</f>
        <v>Outstanding</v>
      </c>
      <c r="AK171" t="str" cm="1">
        <f t="array" ref="AK171">_xlfn.IFS(V171=1,"Low",V171=2,"Medium",V171=3,"High",V171=4,"Very High")</f>
        <v>Low</v>
      </c>
      <c r="AL171" t="str" cm="1">
        <f t="array" ref="AL171">_xlfn.IFS(Z171=1,"Bad",Z171=2,"Good",Z171=3,"Better",Z171=4,"Best")</f>
        <v>Better</v>
      </c>
      <c r="AM171" t="str" cm="1">
        <f t="array" ref="AM171">_xlfn.IFS(W171=0,"No_stock",W171=1,"Low",W171=2,"Medium",W171=3,"High")</f>
        <v>No_stock</v>
      </c>
      <c r="AN171" t="str">
        <f t="shared" si="2"/>
        <v>Medium</v>
      </c>
    </row>
    <row r="172" spans="1:40" x14ac:dyDescent="0.45">
      <c r="A172">
        <v>27</v>
      </c>
      <c r="B172" t="s">
        <v>37</v>
      </c>
      <c r="C172" t="s">
        <v>31</v>
      </c>
      <c r="D172">
        <v>1157</v>
      </c>
      <c r="E172" t="s">
        <v>39</v>
      </c>
      <c r="F172">
        <v>17</v>
      </c>
      <c r="G172">
        <v>3</v>
      </c>
      <c r="H172" t="s">
        <v>54</v>
      </c>
      <c r="I172">
        <v>233</v>
      </c>
      <c r="J172">
        <v>3</v>
      </c>
      <c r="K172" t="s">
        <v>40</v>
      </c>
      <c r="L172">
        <v>3</v>
      </c>
      <c r="M172">
        <v>1</v>
      </c>
      <c r="N172" t="s">
        <v>41</v>
      </c>
      <c r="O172">
        <v>2</v>
      </c>
      <c r="P172" t="s">
        <v>42</v>
      </c>
      <c r="Q172">
        <v>3058</v>
      </c>
      <c r="R172">
        <v>0</v>
      </c>
      <c r="S172" t="s">
        <v>30</v>
      </c>
      <c r="T172">
        <v>16</v>
      </c>
      <c r="U172">
        <v>3</v>
      </c>
      <c r="V172">
        <v>4</v>
      </c>
      <c r="W172">
        <v>1</v>
      </c>
      <c r="X172">
        <v>6</v>
      </c>
      <c r="Y172">
        <v>3</v>
      </c>
      <c r="Z172">
        <v>2</v>
      </c>
      <c r="AA172">
        <v>5</v>
      </c>
      <c r="AB172">
        <v>2</v>
      </c>
      <c r="AC172">
        <v>1</v>
      </c>
      <c r="AD172">
        <v>1</v>
      </c>
      <c r="AE172" t="str" cm="1">
        <f t="array" ref="AE172">_xlfn.IFS(G172=1,"Before College",G172=2,"College",G172=3,"Bachelor",G172=4,"Master",G172=5,"Doctor")</f>
        <v>Bachelor</v>
      </c>
      <c r="AF172" t="str" cm="1">
        <f t="array" ref="AF172">_xlfn.IFS(J172=1,"Low",J172=2,"Medium",J172=3,"High",J172=4,"Very High")</f>
        <v>High</v>
      </c>
      <c r="AG172" t="str" cm="1">
        <f t="array" ref="AG172">_xlfn.IFS(L172=1,"Low",L172=2,"Medium",L172=3,"High",L172=4,"Very High")</f>
        <v>High</v>
      </c>
      <c r="AH172" t="str" cm="1">
        <f t="array" ref="AH172">_xlfn.IFS(M172=1,"Junior employee",M172=2,"Mid-level",M172=3,"Senior",M172=4,"Manager",M172=5,"Executive")</f>
        <v>Junior employee</v>
      </c>
      <c r="AI172" t="str" cm="1">
        <f t="array" ref="AI172">_xlfn.IFS(O172=1,"Low",O172=2,"Medium",O172=3,"High",O172=4,"Very High")</f>
        <v>Medium</v>
      </c>
      <c r="AJ172" t="str" cm="1">
        <f t="array" ref="AJ172">_xlfn.IFS(U172=1,"Low",U172=2,"Good",U172=3,"Excellent",U172=4,"Outstanding")</f>
        <v>Excellent</v>
      </c>
      <c r="AK172" t="str" cm="1">
        <f t="array" ref="AK172">_xlfn.IFS(V172=1,"Low",V172=2,"Medium",V172=3,"High",V172=4,"Very High")</f>
        <v>Very High</v>
      </c>
      <c r="AL172" t="str" cm="1">
        <f t="array" ref="AL172">_xlfn.IFS(Z172=1,"Bad",Z172=2,"Good",Z172=3,"Better",Z172=4,"Best")</f>
        <v>Good</v>
      </c>
      <c r="AM172" t="str" cm="1">
        <f t="array" ref="AM172">_xlfn.IFS(W172=0,"No_stock",W172=1,"Low",W172=2,"Medium",W172=3,"High")</f>
        <v>Low</v>
      </c>
      <c r="AN172" t="str">
        <f t="shared" si="2"/>
        <v>Far</v>
      </c>
    </row>
    <row r="173" spans="1:40" x14ac:dyDescent="0.45">
      <c r="A173">
        <v>19</v>
      </c>
      <c r="B173" t="s">
        <v>30</v>
      </c>
      <c r="C173" t="s">
        <v>38</v>
      </c>
      <c r="D173">
        <v>602</v>
      </c>
      <c r="E173" t="s">
        <v>32</v>
      </c>
      <c r="F173">
        <v>1</v>
      </c>
      <c r="G173">
        <v>1</v>
      </c>
      <c r="H173" t="s">
        <v>54</v>
      </c>
      <c r="I173">
        <v>235</v>
      </c>
      <c r="J173">
        <v>3</v>
      </c>
      <c r="K173" t="s">
        <v>34</v>
      </c>
      <c r="L173">
        <v>1</v>
      </c>
      <c r="M173">
        <v>1</v>
      </c>
      <c r="N173" t="s">
        <v>51</v>
      </c>
      <c r="O173">
        <v>1</v>
      </c>
      <c r="P173" t="s">
        <v>36</v>
      </c>
      <c r="Q173">
        <v>2325</v>
      </c>
      <c r="R173">
        <v>0</v>
      </c>
      <c r="S173" t="s">
        <v>37</v>
      </c>
      <c r="T173">
        <v>21</v>
      </c>
      <c r="U173">
        <v>4</v>
      </c>
      <c r="V173">
        <v>1</v>
      </c>
      <c r="W173">
        <v>0</v>
      </c>
      <c r="X173">
        <v>1</v>
      </c>
      <c r="Y173">
        <v>5</v>
      </c>
      <c r="Z173">
        <v>4</v>
      </c>
      <c r="AA173">
        <v>0</v>
      </c>
      <c r="AB173">
        <v>0</v>
      </c>
      <c r="AC173">
        <v>0</v>
      </c>
      <c r="AD173">
        <v>0</v>
      </c>
      <c r="AE173" t="str" cm="1">
        <f t="array" ref="AE173">_xlfn.IFS(G173=1,"Before College",G173=2,"College",G173=3,"Bachelor",G173=4,"Master",G173=5,"Doctor")</f>
        <v>Before College</v>
      </c>
      <c r="AF173" t="str" cm="1">
        <f t="array" ref="AF173">_xlfn.IFS(J173=1,"Low",J173=2,"Medium",J173=3,"High",J173=4,"Very High")</f>
        <v>High</v>
      </c>
      <c r="AG173" t="str" cm="1">
        <f t="array" ref="AG173">_xlfn.IFS(L173=1,"Low",L173=2,"Medium",L173=3,"High",L173=4,"Very High")</f>
        <v>Low</v>
      </c>
      <c r="AH173" t="str" cm="1">
        <f t="array" ref="AH173">_xlfn.IFS(M173=1,"Junior employee",M173=2,"Mid-level",M173=3,"Senior",M173=4,"Manager",M173=5,"Executive")</f>
        <v>Junior employee</v>
      </c>
      <c r="AI173" t="str" cm="1">
        <f t="array" ref="AI173">_xlfn.IFS(O173=1,"Low",O173=2,"Medium",O173=3,"High",O173=4,"Very High")</f>
        <v>Low</v>
      </c>
      <c r="AJ173" t="str" cm="1">
        <f t="array" ref="AJ173">_xlfn.IFS(U173=1,"Low",U173=2,"Good",U173=3,"Excellent",U173=4,"Outstanding")</f>
        <v>Outstanding</v>
      </c>
      <c r="AK173" t="str" cm="1">
        <f t="array" ref="AK173">_xlfn.IFS(V173=1,"Low",V173=2,"Medium",V173=3,"High",V173=4,"Very High")</f>
        <v>Low</v>
      </c>
      <c r="AL173" t="str" cm="1">
        <f t="array" ref="AL173">_xlfn.IFS(Z173=1,"Bad",Z173=2,"Good",Z173=3,"Better",Z173=4,"Best")</f>
        <v>Best</v>
      </c>
      <c r="AM173" t="str" cm="1">
        <f t="array" ref="AM173">_xlfn.IFS(W173=0,"No_stock",W173=1,"Low",W173=2,"Medium",W173=3,"High")</f>
        <v>No_stock</v>
      </c>
      <c r="AN173" t="str">
        <f t="shared" si="2"/>
        <v>Near</v>
      </c>
    </row>
    <row r="174" spans="1:40" x14ac:dyDescent="0.45">
      <c r="A174">
        <v>36</v>
      </c>
      <c r="B174" t="s">
        <v>37</v>
      </c>
      <c r="C174" t="s">
        <v>38</v>
      </c>
      <c r="D174">
        <v>1480</v>
      </c>
      <c r="E174" t="s">
        <v>39</v>
      </c>
      <c r="F174">
        <v>3</v>
      </c>
      <c r="G174">
        <v>2</v>
      </c>
      <c r="H174" t="s">
        <v>45</v>
      </c>
      <c r="I174">
        <v>238</v>
      </c>
      <c r="J174">
        <v>4</v>
      </c>
      <c r="K174" t="s">
        <v>40</v>
      </c>
      <c r="L174">
        <v>3</v>
      </c>
      <c r="M174">
        <v>1</v>
      </c>
      <c r="N174" t="s">
        <v>44</v>
      </c>
      <c r="O174">
        <v>2</v>
      </c>
      <c r="P174" t="s">
        <v>36</v>
      </c>
      <c r="Q174">
        <v>2088</v>
      </c>
      <c r="R174">
        <v>4</v>
      </c>
      <c r="S174" t="s">
        <v>37</v>
      </c>
      <c r="T174">
        <v>12</v>
      </c>
      <c r="U174">
        <v>3</v>
      </c>
      <c r="V174">
        <v>3</v>
      </c>
      <c r="W174">
        <v>0</v>
      </c>
      <c r="X174">
        <v>13</v>
      </c>
      <c r="Y174">
        <v>3</v>
      </c>
      <c r="Z174">
        <v>2</v>
      </c>
      <c r="AA174">
        <v>8</v>
      </c>
      <c r="AB174">
        <v>7</v>
      </c>
      <c r="AC174">
        <v>7</v>
      </c>
      <c r="AD174">
        <v>2</v>
      </c>
      <c r="AE174" t="str" cm="1">
        <f t="array" ref="AE174">_xlfn.IFS(G174=1,"Before College",G174=2,"College",G174=3,"Bachelor",G174=4,"Master",G174=5,"Doctor")</f>
        <v>College</v>
      </c>
      <c r="AF174" t="str" cm="1">
        <f t="array" ref="AF174">_xlfn.IFS(J174=1,"Low",J174=2,"Medium",J174=3,"High",J174=4,"Very High")</f>
        <v>Very High</v>
      </c>
      <c r="AG174" t="str" cm="1">
        <f t="array" ref="AG174">_xlfn.IFS(L174=1,"Low",L174=2,"Medium",L174=3,"High",L174=4,"Very High")</f>
        <v>High</v>
      </c>
      <c r="AH174" t="str" cm="1">
        <f t="array" ref="AH174">_xlfn.IFS(M174=1,"Junior employee",M174=2,"Mid-level",M174=3,"Senior",M174=4,"Manager",M174=5,"Executive")</f>
        <v>Junior employee</v>
      </c>
      <c r="AI174" t="str" cm="1">
        <f t="array" ref="AI174">_xlfn.IFS(O174=1,"Low",O174=2,"Medium",O174=3,"High",O174=4,"Very High")</f>
        <v>Medium</v>
      </c>
      <c r="AJ174" t="str" cm="1">
        <f t="array" ref="AJ174">_xlfn.IFS(U174=1,"Low",U174=2,"Good",U174=3,"Excellent",U174=4,"Outstanding")</f>
        <v>Excellent</v>
      </c>
      <c r="AK174" t="str" cm="1">
        <f t="array" ref="AK174">_xlfn.IFS(V174=1,"Low",V174=2,"Medium",V174=3,"High",V174=4,"Very High")</f>
        <v>High</v>
      </c>
      <c r="AL174" t="str" cm="1">
        <f t="array" ref="AL174">_xlfn.IFS(Z174=1,"Bad",Z174=2,"Good",Z174=3,"Better",Z174=4,"Best")</f>
        <v>Good</v>
      </c>
      <c r="AM174" t="str" cm="1">
        <f t="array" ref="AM174">_xlfn.IFS(W174=0,"No_stock",W174=1,"Low",W174=2,"Medium",W174=3,"High")</f>
        <v>No_stock</v>
      </c>
      <c r="AN174" t="str">
        <f t="shared" si="2"/>
        <v>Near</v>
      </c>
    </row>
    <row r="175" spans="1:40" x14ac:dyDescent="0.45">
      <c r="A175">
        <v>30</v>
      </c>
      <c r="B175" t="s">
        <v>37</v>
      </c>
      <c r="C175" t="s">
        <v>49</v>
      </c>
      <c r="D175">
        <v>111</v>
      </c>
      <c r="E175" t="s">
        <v>39</v>
      </c>
      <c r="F175">
        <v>9</v>
      </c>
      <c r="G175">
        <v>3</v>
      </c>
      <c r="H175" t="s">
        <v>45</v>
      </c>
      <c r="I175">
        <v>239</v>
      </c>
      <c r="J175">
        <v>3</v>
      </c>
      <c r="K175" t="s">
        <v>40</v>
      </c>
      <c r="L175">
        <v>3</v>
      </c>
      <c r="M175">
        <v>2</v>
      </c>
      <c r="N175" t="s">
        <v>44</v>
      </c>
      <c r="O175">
        <v>1</v>
      </c>
      <c r="P175" t="s">
        <v>46</v>
      </c>
      <c r="Q175">
        <v>3072</v>
      </c>
      <c r="R175">
        <v>1</v>
      </c>
      <c r="S175" t="s">
        <v>37</v>
      </c>
      <c r="T175">
        <v>11</v>
      </c>
      <c r="U175">
        <v>3</v>
      </c>
      <c r="V175">
        <v>3</v>
      </c>
      <c r="W175">
        <v>2</v>
      </c>
      <c r="X175">
        <v>12</v>
      </c>
      <c r="Y175">
        <v>4</v>
      </c>
      <c r="Z175">
        <v>3</v>
      </c>
      <c r="AA175">
        <v>12</v>
      </c>
      <c r="AB175">
        <v>9</v>
      </c>
      <c r="AC175">
        <v>6</v>
      </c>
      <c r="AD175">
        <v>10</v>
      </c>
      <c r="AE175" t="str" cm="1">
        <f t="array" ref="AE175">_xlfn.IFS(G175=1,"Before College",G175=2,"College",G175=3,"Bachelor",G175=4,"Master",G175=5,"Doctor")</f>
        <v>Bachelor</v>
      </c>
      <c r="AF175" t="str" cm="1">
        <f t="array" ref="AF175">_xlfn.IFS(J175=1,"Low",J175=2,"Medium",J175=3,"High",J175=4,"Very High")</f>
        <v>High</v>
      </c>
      <c r="AG175" t="str" cm="1">
        <f t="array" ref="AG175">_xlfn.IFS(L175=1,"Low",L175=2,"Medium",L175=3,"High",L175=4,"Very High")</f>
        <v>High</v>
      </c>
      <c r="AH175" t="str" cm="1">
        <f t="array" ref="AH175">_xlfn.IFS(M175=1,"Junior employee",M175=2,"Mid-level",M175=3,"Senior",M175=4,"Manager",M175=5,"Executive")</f>
        <v>Mid-level</v>
      </c>
      <c r="AI175" t="str" cm="1">
        <f t="array" ref="AI175">_xlfn.IFS(O175=1,"Low",O175=2,"Medium",O175=3,"High",O175=4,"Very High")</f>
        <v>Low</v>
      </c>
      <c r="AJ175" t="str" cm="1">
        <f t="array" ref="AJ175">_xlfn.IFS(U175=1,"Low",U175=2,"Good",U175=3,"Excellent",U175=4,"Outstanding")</f>
        <v>Excellent</v>
      </c>
      <c r="AK175" t="str" cm="1">
        <f t="array" ref="AK175">_xlfn.IFS(V175=1,"Low",V175=2,"Medium",V175=3,"High",V175=4,"Very High")</f>
        <v>High</v>
      </c>
      <c r="AL175" t="str" cm="1">
        <f t="array" ref="AL175">_xlfn.IFS(Z175=1,"Bad",Z175=2,"Good",Z175=3,"Better",Z175=4,"Best")</f>
        <v>Better</v>
      </c>
      <c r="AM175" t="str" cm="1">
        <f t="array" ref="AM175">_xlfn.IFS(W175=0,"No_stock",W175=1,"Low",W175=2,"Medium",W175=3,"High")</f>
        <v>Medium</v>
      </c>
      <c r="AN175" t="str">
        <f t="shared" si="2"/>
        <v>Medium</v>
      </c>
    </row>
    <row r="176" spans="1:40" x14ac:dyDescent="0.45">
      <c r="A176">
        <v>45</v>
      </c>
      <c r="B176" t="s">
        <v>37</v>
      </c>
      <c r="C176" t="s">
        <v>31</v>
      </c>
      <c r="D176">
        <v>1268</v>
      </c>
      <c r="E176" t="s">
        <v>32</v>
      </c>
      <c r="F176">
        <v>4</v>
      </c>
      <c r="G176">
        <v>2</v>
      </c>
      <c r="H176" t="s">
        <v>33</v>
      </c>
      <c r="I176">
        <v>240</v>
      </c>
      <c r="J176">
        <v>3</v>
      </c>
      <c r="K176" t="s">
        <v>34</v>
      </c>
      <c r="L176">
        <v>3</v>
      </c>
      <c r="M176">
        <v>2</v>
      </c>
      <c r="N176" t="s">
        <v>35</v>
      </c>
      <c r="O176">
        <v>1</v>
      </c>
      <c r="P176" t="s">
        <v>46</v>
      </c>
      <c r="Q176">
        <v>5006</v>
      </c>
      <c r="R176">
        <v>4</v>
      </c>
      <c r="S176" t="s">
        <v>30</v>
      </c>
      <c r="T176">
        <v>11</v>
      </c>
      <c r="U176">
        <v>3</v>
      </c>
      <c r="V176">
        <v>1</v>
      </c>
      <c r="W176">
        <v>1</v>
      </c>
      <c r="X176">
        <v>9</v>
      </c>
      <c r="Y176">
        <v>3</v>
      </c>
      <c r="Z176">
        <v>4</v>
      </c>
      <c r="AA176">
        <v>5</v>
      </c>
      <c r="AB176">
        <v>4</v>
      </c>
      <c r="AC176">
        <v>0</v>
      </c>
      <c r="AD176">
        <v>3</v>
      </c>
      <c r="AE176" t="str" cm="1">
        <f t="array" ref="AE176">_xlfn.IFS(G176=1,"Before College",G176=2,"College",G176=3,"Bachelor",G176=4,"Master",G176=5,"Doctor")</f>
        <v>College</v>
      </c>
      <c r="AF176" t="str" cm="1">
        <f t="array" ref="AF176">_xlfn.IFS(J176=1,"Low",J176=2,"Medium",J176=3,"High",J176=4,"Very High")</f>
        <v>High</v>
      </c>
      <c r="AG176" t="str" cm="1">
        <f t="array" ref="AG176">_xlfn.IFS(L176=1,"Low",L176=2,"Medium",L176=3,"High",L176=4,"Very High")</f>
        <v>High</v>
      </c>
      <c r="AH176" t="str" cm="1">
        <f t="array" ref="AH176">_xlfn.IFS(M176=1,"Junior employee",M176=2,"Mid-level",M176=3,"Senior",M176=4,"Manager",M176=5,"Executive")</f>
        <v>Mid-level</v>
      </c>
      <c r="AI176" t="str" cm="1">
        <f t="array" ref="AI176">_xlfn.IFS(O176=1,"Low",O176=2,"Medium",O176=3,"High",O176=4,"Very High")</f>
        <v>Low</v>
      </c>
      <c r="AJ176" t="str" cm="1">
        <f t="array" ref="AJ176">_xlfn.IFS(U176=1,"Low",U176=2,"Good",U176=3,"Excellent",U176=4,"Outstanding")</f>
        <v>Excellent</v>
      </c>
      <c r="AK176" t="str" cm="1">
        <f t="array" ref="AK176">_xlfn.IFS(V176=1,"Low",V176=2,"Medium",V176=3,"High",V176=4,"Very High")</f>
        <v>Low</v>
      </c>
      <c r="AL176" t="str" cm="1">
        <f t="array" ref="AL176">_xlfn.IFS(Z176=1,"Bad",Z176=2,"Good",Z176=3,"Better",Z176=4,"Best")</f>
        <v>Best</v>
      </c>
      <c r="AM176" t="str" cm="1">
        <f t="array" ref="AM176">_xlfn.IFS(W176=0,"No_stock",W176=1,"Low",W176=2,"Medium",W176=3,"High")</f>
        <v>Low</v>
      </c>
      <c r="AN176" t="str">
        <f t="shared" si="2"/>
        <v>Near</v>
      </c>
    </row>
    <row r="177" spans="1:40" x14ac:dyDescent="0.45">
      <c r="A177">
        <v>56</v>
      </c>
      <c r="B177" t="s">
        <v>37</v>
      </c>
      <c r="C177" t="s">
        <v>31</v>
      </c>
      <c r="D177">
        <v>713</v>
      </c>
      <c r="E177" t="s">
        <v>39</v>
      </c>
      <c r="F177">
        <v>8</v>
      </c>
      <c r="G177">
        <v>3</v>
      </c>
      <c r="H177" t="s">
        <v>33</v>
      </c>
      <c r="I177">
        <v>241</v>
      </c>
      <c r="J177">
        <v>3</v>
      </c>
      <c r="K177" t="s">
        <v>34</v>
      </c>
      <c r="L177">
        <v>3</v>
      </c>
      <c r="M177">
        <v>1</v>
      </c>
      <c r="N177" t="s">
        <v>41</v>
      </c>
      <c r="O177">
        <v>1</v>
      </c>
      <c r="P177" t="s">
        <v>46</v>
      </c>
      <c r="Q177">
        <v>4257</v>
      </c>
      <c r="R177">
        <v>4</v>
      </c>
      <c r="S177" t="s">
        <v>30</v>
      </c>
      <c r="T177">
        <v>18</v>
      </c>
      <c r="U177">
        <v>3</v>
      </c>
      <c r="V177">
        <v>3</v>
      </c>
      <c r="W177">
        <v>1</v>
      </c>
      <c r="X177">
        <v>19</v>
      </c>
      <c r="Y177">
        <v>3</v>
      </c>
      <c r="Z177">
        <v>3</v>
      </c>
      <c r="AA177">
        <v>2</v>
      </c>
      <c r="AB177">
        <v>2</v>
      </c>
      <c r="AC177">
        <v>2</v>
      </c>
      <c r="AD177">
        <v>2</v>
      </c>
      <c r="AE177" t="str" cm="1">
        <f t="array" ref="AE177">_xlfn.IFS(G177=1,"Before College",G177=2,"College",G177=3,"Bachelor",G177=4,"Master",G177=5,"Doctor")</f>
        <v>Bachelor</v>
      </c>
      <c r="AF177" t="str" cm="1">
        <f t="array" ref="AF177">_xlfn.IFS(J177=1,"Low",J177=2,"Medium",J177=3,"High",J177=4,"Very High")</f>
        <v>High</v>
      </c>
      <c r="AG177" t="str" cm="1">
        <f t="array" ref="AG177">_xlfn.IFS(L177=1,"Low",L177=2,"Medium",L177=3,"High",L177=4,"Very High")</f>
        <v>High</v>
      </c>
      <c r="AH177" t="str" cm="1">
        <f t="array" ref="AH177">_xlfn.IFS(M177=1,"Junior employee",M177=2,"Mid-level",M177=3,"Senior",M177=4,"Manager",M177=5,"Executive")</f>
        <v>Junior employee</v>
      </c>
      <c r="AI177" t="str" cm="1">
        <f t="array" ref="AI177">_xlfn.IFS(O177=1,"Low",O177=2,"Medium",O177=3,"High",O177=4,"Very High")</f>
        <v>Low</v>
      </c>
      <c r="AJ177" t="str" cm="1">
        <f t="array" ref="AJ177">_xlfn.IFS(U177=1,"Low",U177=2,"Good",U177=3,"Excellent",U177=4,"Outstanding")</f>
        <v>Excellent</v>
      </c>
      <c r="AK177" t="str" cm="1">
        <f t="array" ref="AK177">_xlfn.IFS(V177=1,"Low",V177=2,"Medium",V177=3,"High",V177=4,"Very High")</f>
        <v>High</v>
      </c>
      <c r="AL177" t="str" cm="1">
        <f t="array" ref="AL177">_xlfn.IFS(Z177=1,"Bad",Z177=2,"Good",Z177=3,"Better",Z177=4,"Best")</f>
        <v>Better</v>
      </c>
      <c r="AM177" t="str" cm="1">
        <f t="array" ref="AM177">_xlfn.IFS(W177=0,"No_stock",W177=1,"Low",W177=2,"Medium",W177=3,"High")</f>
        <v>Low</v>
      </c>
      <c r="AN177" t="str">
        <f t="shared" si="2"/>
        <v>Medium</v>
      </c>
    </row>
    <row r="178" spans="1:40" x14ac:dyDescent="0.45">
      <c r="A178">
        <v>33</v>
      </c>
      <c r="B178" t="s">
        <v>37</v>
      </c>
      <c r="C178" t="s">
        <v>31</v>
      </c>
      <c r="D178">
        <v>134</v>
      </c>
      <c r="E178" t="s">
        <v>39</v>
      </c>
      <c r="F178">
        <v>2</v>
      </c>
      <c r="G178">
        <v>3</v>
      </c>
      <c r="H178" t="s">
        <v>33</v>
      </c>
      <c r="I178">
        <v>242</v>
      </c>
      <c r="J178">
        <v>3</v>
      </c>
      <c r="K178" t="s">
        <v>40</v>
      </c>
      <c r="L178">
        <v>3</v>
      </c>
      <c r="M178">
        <v>1</v>
      </c>
      <c r="N178" t="s">
        <v>41</v>
      </c>
      <c r="O178">
        <v>4</v>
      </c>
      <c r="P178" t="s">
        <v>36</v>
      </c>
      <c r="Q178">
        <v>2500</v>
      </c>
      <c r="R178">
        <v>0</v>
      </c>
      <c r="S178" t="s">
        <v>37</v>
      </c>
      <c r="T178">
        <v>14</v>
      </c>
      <c r="U178">
        <v>3</v>
      </c>
      <c r="V178">
        <v>1</v>
      </c>
      <c r="W178">
        <v>0</v>
      </c>
      <c r="X178">
        <v>4</v>
      </c>
      <c r="Y178">
        <v>2</v>
      </c>
      <c r="Z178">
        <v>4</v>
      </c>
      <c r="AA178">
        <v>3</v>
      </c>
      <c r="AB178">
        <v>1</v>
      </c>
      <c r="AC178">
        <v>0</v>
      </c>
      <c r="AD178">
        <v>2</v>
      </c>
      <c r="AE178" t="str" cm="1">
        <f t="array" ref="AE178">_xlfn.IFS(G178=1,"Before College",G178=2,"College",G178=3,"Bachelor",G178=4,"Master",G178=5,"Doctor")</f>
        <v>Bachelor</v>
      </c>
      <c r="AF178" t="str" cm="1">
        <f t="array" ref="AF178">_xlfn.IFS(J178=1,"Low",J178=2,"Medium",J178=3,"High",J178=4,"Very High")</f>
        <v>High</v>
      </c>
      <c r="AG178" t="str" cm="1">
        <f t="array" ref="AG178">_xlfn.IFS(L178=1,"Low",L178=2,"Medium",L178=3,"High",L178=4,"Very High")</f>
        <v>High</v>
      </c>
      <c r="AH178" t="str" cm="1">
        <f t="array" ref="AH178">_xlfn.IFS(M178=1,"Junior employee",M178=2,"Mid-level",M178=3,"Senior",M178=4,"Manager",M178=5,"Executive")</f>
        <v>Junior employee</v>
      </c>
      <c r="AI178" t="str" cm="1">
        <f t="array" ref="AI178">_xlfn.IFS(O178=1,"Low",O178=2,"Medium",O178=3,"High",O178=4,"Very High")</f>
        <v>Very High</v>
      </c>
      <c r="AJ178" t="str" cm="1">
        <f t="array" ref="AJ178">_xlfn.IFS(U178=1,"Low",U178=2,"Good",U178=3,"Excellent",U178=4,"Outstanding")</f>
        <v>Excellent</v>
      </c>
      <c r="AK178" t="str" cm="1">
        <f t="array" ref="AK178">_xlfn.IFS(V178=1,"Low",V178=2,"Medium",V178=3,"High",V178=4,"Very High")</f>
        <v>Low</v>
      </c>
      <c r="AL178" t="str" cm="1">
        <f t="array" ref="AL178">_xlfn.IFS(Z178=1,"Bad",Z178=2,"Good",Z178=3,"Better",Z178=4,"Best")</f>
        <v>Best</v>
      </c>
      <c r="AM178" t="str" cm="1">
        <f t="array" ref="AM178">_xlfn.IFS(W178=0,"No_stock",W178=1,"Low",W178=2,"Medium",W178=3,"High")</f>
        <v>No_stock</v>
      </c>
      <c r="AN178" t="str">
        <f t="shared" si="2"/>
        <v>Near</v>
      </c>
    </row>
    <row r="179" spans="1:40" x14ac:dyDescent="0.45">
      <c r="A179">
        <v>19</v>
      </c>
      <c r="B179" t="s">
        <v>30</v>
      </c>
      <c r="C179" t="s">
        <v>31</v>
      </c>
      <c r="D179">
        <v>303</v>
      </c>
      <c r="E179" t="s">
        <v>39</v>
      </c>
      <c r="F179">
        <v>2</v>
      </c>
      <c r="G179">
        <v>3</v>
      </c>
      <c r="H179" t="s">
        <v>33</v>
      </c>
      <c r="I179">
        <v>243</v>
      </c>
      <c r="J179">
        <v>2</v>
      </c>
      <c r="K179" t="s">
        <v>40</v>
      </c>
      <c r="L179">
        <v>2</v>
      </c>
      <c r="M179">
        <v>1</v>
      </c>
      <c r="N179" t="s">
        <v>44</v>
      </c>
      <c r="O179">
        <v>4</v>
      </c>
      <c r="P179" t="s">
        <v>36</v>
      </c>
      <c r="Q179">
        <v>1102</v>
      </c>
      <c r="R179">
        <v>1</v>
      </c>
      <c r="S179" t="s">
        <v>37</v>
      </c>
      <c r="T179">
        <v>22</v>
      </c>
      <c r="U179">
        <v>4</v>
      </c>
      <c r="V179">
        <v>3</v>
      </c>
      <c r="W179">
        <v>0</v>
      </c>
      <c r="X179">
        <v>1</v>
      </c>
      <c r="Y179">
        <v>3</v>
      </c>
      <c r="Z179">
        <v>2</v>
      </c>
      <c r="AA179">
        <v>1</v>
      </c>
      <c r="AB179">
        <v>0</v>
      </c>
      <c r="AC179">
        <v>1</v>
      </c>
      <c r="AD179">
        <v>0</v>
      </c>
      <c r="AE179" t="str" cm="1">
        <f t="array" ref="AE179">_xlfn.IFS(G179=1,"Before College",G179=2,"College",G179=3,"Bachelor",G179=4,"Master",G179=5,"Doctor")</f>
        <v>Bachelor</v>
      </c>
      <c r="AF179" t="str" cm="1">
        <f t="array" ref="AF179">_xlfn.IFS(J179=1,"Low",J179=2,"Medium",J179=3,"High",J179=4,"Very High")</f>
        <v>Medium</v>
      </c>
      <c r="AG179" t="str" cm="1">
        <f t="array" ref="AG179">_xlfn.IFS(L179=1,"Low",L179=2,"Medium",L179=3,"High",L179=4,"Very High")</f>
        <v>Medium</v>
      </c>
      <c r="AH179" t="str" cm="1">
        <f t="array" ref="AH179">_xlfn.IFS(M179=1,"Junior employee",M179=2,"Mid-level",M179=3,"Senior",M179=4,"Manager",M179=5,"Executive")</f>
        <v>Junior employee</v>
      </c>
      <c r="AI179" t="str" cm="1">
        <f t="array" ref="AI179">_xlfn.IFS(O179=1,"Low",O179=2,"Medium",O179=3,"High",O179=4,"Very High")</f>
        <v>Very High</v>
      </c>
      <c r="AJ179" t="str" cm="1">
        <f t="array" ref="AJ179">_xlfn.IFS(U179=1,"Low",U179=2,"Good",U179=3,"Excellent",U179=4,"Outstanding")</f>
        <v>Outstanding</v>
      </c>
      <c r="AK179" t="str" cm="1">
        <f t="array" ref="AK179">_xlfn.IFS(V179=1,"Low",V179=2,"Medium",V179=3,"High",V179=4,"Very High")</f>
        <v>High</v>
      </c>
      <c r="AL179" t="str" cm="1">
        <f t="array" ref="AL179">_xlfn.IFS(Z179=1,"Bad",Z179=2,"Good",Z179=3,"Better",Z179=4,"Best")</f>
        <v>Good</v>
      </c>
      <c r="AM179" t="str" cm="1">
        <f t="array" ref="AM179">_xlfn.IFS(W179=0,"No_stock",W179=1,"Low",W179=2,"Medium",W179=3,"High")</f>
        <v>No_stock</v>
      </c>
      <c r="AN179" t="str">
        <f t="shared" si="2"/>
        <v>Near</v>
      </c>
    </row>
    <row r="180" spans="1:40" x14ac:dyDescent="0.45">
      <c r="A180">
        <v>46</v>
      </c>
      <c r="B180" t="s">
        <v>37</v>
      </c>
      <c r="C180" t="s">
        <v>31</v>
      </c>
      <c r="D180">
        <v>526</v>
      </c>
      <c r="E180" t="s">
        <v>32</v>
      </c>
      <c r="F180">
        <v>1</v>
      </c>
      <c r="G180">
        <v>2</v>
      </c>
      <c r="H180" t="s">
        <v>53</v>
      </c>
      <c r="I180">
        <v>244</v>
      </c>
      <c r="J180">
        <v>2</v>
      </c>
      <c r="K180" t="s">
        <v>34</v>
      </c>
      <c r="L180">
        <v>3</v>
      </c>
      <c r="M180">
        <v>3</v>
      </c>
      <c r="N180" t="s">
        <v>35</v>
      </c>
      <c r="O180">
        <v>1</v>
      </c>
      <c r="P180" t="s">
        <v>46</v>
      </c>
      <c r="Q180">
        <v>10453</v>
      </c>
      <c r="R180">
        <v>1</v>
      </c>
      <c r="S180" t="s">
        <v>37</v>
      </c>
      <c r="T180">
        <v>25</v>
      </c>
      <c r="U180">
        <v>4</v>
      </c>
      <c r="V180">
        <v>3</v>
      </c>
      <c r="W180">
        <v>3</v>
      </c>
      <c r="X180">
        <v>24</v>
      </c>
      <c r="Y180">
        <v>2</v>
      </c>
      <c r="Z180">
        <v>3</v>
      </c>
      <c r="AA180">
        <v>24</v>
      </c>
      <c r="AB180">
        <v>13</v>
      </c>
      <c r="AC180">
        <v>15</v>
      </c>
      <c r="AD180">
        <v>7</v>
      </c>
      <c r="AE180" t="str" cm="1">
        <f t="array" ref="AE180">_xlfn.IFS(G180=1,"Before College",G180=2,"College",G180=3,"Bachelor",G180=4,"Master",G180=5,"Doctor")</f>
        <v>College</v>
      </c>
      <c r="AF180" t="str" cm="1">
        <f t="array" ref="AF180">_xlfn.IFS(J180=1,"Low",J180=2,"Medium",J180=3,"High",J180=4,"Very High")</f>
        <v>Medium</v>
      </c>
      <c r="AG180" t="str" cm="1">
        <f t="array" ref="AG180">_xlfn.IFS(L180=1,"Low",L180=2,"Medium",L180=3,"High",L180=4,"Very High")</f>
        <v>High</v>
      </c>
      <c r="AH180" t="str" cm="1">
        <f t="array" ref="AH180">_xlfn.IFS(M180=1,"Junior employee",M180=2,"Mid-level",M180=3,"Senior",M180=4,"Manager",M180=5,"Executive")</f>
        <v>Senior</v>
      </c>
      <c r="AI180" t="str" cm="1">
        <f t="array" ref="AI180">_xlfn.IFS(O180=1,"Low",O180=2,"Medium",O180=3,"High",O180=4,"Very High")</f>
        <v>Low</v>
      </c>
      <c r="AJ180" t="str" cm="1">
        <f t="array" ref="AJ180">_xlfn.IFS(U180=1,"Low",U180=2,"Good",U180=3,"Excellent",U180=4,"Outstanding")</f>
        <v>Outstanding</v>
      </c>
      <c r="AK180" t="str" cm="1">
        <f t="array" ref="AK180">_xlfn.IFS(V180=1,"Low",V180=2,"Medium",V180=3,"High",V180=4,"Very High")</f>
        <v>High</v>
      </c>
      <c r="AL180" t="str" cm="1">
        <f t="array" ref="AL180">_xlfn.IFS(Z180=1,"Bad",Z180=2,"Good",Z180=3,"Better",Z180=4,"Best")</f>
        <v>Better</v>
      </c>
      <c r="AM180" t="str" cm="1">
        <f t="array" ref="AM180">_xlfn.IFS(W180=0,"No_stock",W180=1,"Low",W180=2,"Medium",W180=3,"High")</f>
        <v>High</v>
      </c>
      <c r="AN180" t="str">
        <f t="shared" si="2"/>
        <v>Near</v>
      </c>
    </row>
    <row r="181" spans="1:40" x14ac:dyDescent="0.45">
      <c r="A181">
        <v>38</v>
      </c>
      <c r="B181" t="s">
        <v>37</v>
      </c>
      <c r="C181" t="s">
        <v>31</v>
      </c>
      <c r="D181">
        <v>1380</v>
      </c>
      <c r="E181" t="s">
        <v>39</v>
      </c>
      <c r="F181">
        <v>9</v>
      </c>
      <c r="G181">
        <v>2</v>
      </c>
      <c r="H181" t="s">
        <v>33</v>
      </c>
      <c r="I181">
        <v>245</v>
      </c>
      <c r="J181">
        <v>3</v>
      </c>
      <c r="K181" t="s">
        <v>34</v>
      </c>
      <c r="L181">
        <v>3</v>
      </c>
      <c r="M181">
        <v>1</v>
      </c>
      <c r="N181" t="s">
        <v>44</v>
      </c>
      <c r="O181">
        <v>4</v>
      </c>
      <c r="P181" t="s">
        <v>36</v>
      </c>
      <c r="Q181">
        <v>2288</v>
      </c>
      <c r="R181">
        <v>1</v>
      </c>
      <c r="S181" t="s">
        <v>37</v>
      </c>
      <c r="T181">
        <v>12</v>
      </c>
      <c r="U181">
        <v>3</v>
      </c>
      <c r="V181">
        <v>3</v>
      </c>
      <c r="W181">
        <v>0</v>
      </c>
      <c r="X181">
        <v>2</v>
      </c>
      <c r="Y181">
        <v>3</v>
      </c>
      <c r="Z181">
        <v>3</v>
      </c>
      <c r="AA181">
        <v>2</v>
      </c>
      <c r="AB181">
        <v>2</v>
      </c>
      <c r="AC181">
        <v>2</v>
      </c>
      <c r="AD181">
        <v>1</v>
      </c>
      <c r="AE181" t="str" cm="1">
        <f t="array" ref="AE181">_xlfn.IFS(G181=1,"Before College",G181=2,"College",G181=3,"Bachelor",G181=4,"Master",G181=5,"Doctor")</f>
        <v>College</v>
      </c>
      <c r="AF181" t="str" cm="1">
        <f t="array" ref="AF181">_xlfn.IFS(J181=1,"Low",J181=2,"Medium",J181=3,"High",J181=4,"Very High")</f>
        <v>High</v>
      </c>
      <c r="AG181" t="str" cm="1">
        <f t="array" ref="AG181">_xlfn.IFS(L181=1,"Low",L181=2,"Medium",L181=3,"High",L181=4,"Very High")</f>
        <v>High</v>
      </c>
      <c r="AH181" t="str" cm="1">
        <f t="array" ref="AH181">_xlfn.IFS(M181=1,"Junior employee",M181=2,"Mid-level",M181=3,"Senior",M181=4,"Manager",M181=5,"Executive")</f>
        <v>Junior employee</v>
      </c>
      <c r="AI181" t="str" cm="1">
        <f t="array" ref="AI181">_xlfn.IFS(O181=1,"Low",O181=2,"Medium",O181=3,"High",O181=4,"Very High")</f>
        <v>Very High</v>
      </c>
      <c r="AJ181" t="str" cm="1">
        <f t="array" ref="AJ181">_xlfn.IFS(U181=1,"Low",U181=2,"Good",U181=3,"Excellent",U181=4,"Outstanding")</f>
        <v>Excellent</v>
      </c>
      <c r="AK181" t="str" cm="1">
        <f t="array" ref="AK181">_xlfn.IFS(V181=1,"Low",V181=2,"Medium",V181=3,"High",V181=4,"Very High")</f>
        <v>High</v>
      </c>
      <c r="AL181" t="str" cm="1">
        <f t="array" ref="AL181">_xlfn.IFS(Z181=1,"Bad",Z181=2,"Good",Z181=3,"Better",Z181=4,"Best")</f>
        <v>Better</v>
      </c>
      <c r="AM181" t="str" cm="1">
        <f t="array" ref="AM181">_xlfn.IFS(W181=0,"No_stock",W181=1,"Low",W181=2,"Medium",W181=3,"High")</f>
        <v>No_stock</v>
      </c>
      <c r="AN181" t="str">
        <f t="shared" si="2"/>
        <v>Medium</v>
      </c>
    </row>
    <row r="182" spans="1:40" x14ac:dyDescent="0.45">
      <c r="A182">
        <v>31</v>
      </c>
      <c r="B182" t="s">
        <v>37</v>
      </c>
      <c r="C182" t="s">
        <v>31</v>
      </c>
      <c r="D182">
        <v>140</v>
      </c>
      <c r="E182" t="s">
        <v>39</v>
      </c>
      <c r="F182">
        <v>12</v>
      </c>
      <c r="G182">
        <v>1</v>
      </c>
      <c r="H182" t="s">
        <v>45</v>
      </c>
      <c r="I182">
        <v>246</v>
      </c>
      <c r="J182">
        <v>3</v>
      </c>
      <c r="K182" t="s">
        <v>34</v>
      </c>
      <c r="L182">
        <v>3</v>
      </c>
      <c r="M182">
        <v>1</v>
      </c>
      <c r="N182" t="s">
        <v>41</v>
      </c>
      <c r="O182">
        <v>4</v>
      </c>
      <c r="P182" t="s">
        <v>42</v>
      </c>
      <c r="Q182">
        <v>3929</v>
      </c>
      <c r="R182">
        <v>8</v>
      </c>
      <c r="S182" t="s">
        <v>30</v>
      </c>
      <c r="T182">
        <v>23</v>
      </c>
      <c r="U182">
        <v>4</v>
      </c>
      <c r="V182">
        <v>3</v>
      </c>
      <c r="W182">
        <v>1</v>
      </c>
      <c r="X182">
        <v>7</v>
      </c>
      <c r="Y182">
        <v>0</v>
      </c>
      <c r="Z182">
        <v>3</v>
      </c>
      <c r="AA182">
        <v>4</v>
      </c>
      <c r="AB182">
        <v>2</v>
      </c>
      <c r="AC182">
        <v>0</v>
      </c>
      <c r="AD182">
        <v>2</v>
      </c>
      <c r="AE182" t="str" cm="1">
        <f t="array" ref="AE182">_xlfn.IFS(G182=1,"Before College",G182=2,"College",G182=3,"Bachelor",G182=4,"Master",G182=5,"Doctor")</f>
        <v>Before College</v>
      </c>
      <c r="AF182" t="str" cm="1">
        <f t="array" ref="AF182">_xlfn.IFS(J182=1,"Low",J182=2,"Medium",J182=3,"High",J182=4,"Very High")</f>
        <v>High</v>
      </c>
      <c r="AG182" t="str" cm="1">
        <f t="array" ref="AG182">_xlfn.IFS(L182=1,"Low",L182=2,"Medium",L182=3,"High",L182=4,"Very High")</f>
        <v>High</v>
      </c>
      <c r="AH182" t="str" cm="1">
        <f t="array" ref="AH182">_xlfn.IFS(M182=1,"Junior employee",M182=2,"Mid-level",M182=3,"Senior",M182=4,"Manager",M182=5,"Executive")</f>
        <v>Junior employee</v>
      </c>
      <c r="AI182" t="str" cm="1">
        <f t="array" ref="AI182">_xlfn.IFS(O182=1,"Low",O182=2,"Medium",O182=3,"High",O182=4,"Very High")</f>
        <v>Very High</v>
      </c>
      <c r="AJ182" t="str" cm="1">
        <f t="array" ref="AJ182">_xlfn.IFS(U182=1,"Low",U182=2,"Good",U182=3,"Excellent",U182=4,"Outstanding")</f>
        <v>Outstanding</v>
      </c>
      <c r="AK182" t="str" cm="1">
        <f t="array" ref="AK182">_xlfn.IFS(V182=1,"Low",V182=2,"Medium",V182=3,"High",V182=4,"Very High")</f>
        <v>High</v>
      </c>
      <c r="AL182" t="str" cm="1">
        <f t="array" ref="AL182">_xlfn.IFS(Z182=1,"Bad",Z182=2,"Good",Z182=3,"Better",Z182=4,"Best")</f>
        <v>Better</v>
      </c>
      <c r="AM182" t="str" cm="1">
        <f t="array" ref="AM182">_xlfn.IFS(W182=0,"No_stock",W182=1,"Low",W182=2,"Medium",W182=3,"High")</f>
        <v>Low</v>
      </c>
      <c r="AN182" t="str">
        <f t="shared" si="2"/>
        <v>Medium</v>
      </c>
    </row>
    <row r="183" spans="1:40" x14ac:dyDescent="0.45">
      <c r="A183">
        <v>34</v>
      </c>
      <c r="B183" t="s">
        <v>37</v>
      </c>
      <c r="C183" t="s">
        <v>31</v>
      </c>
      <c r="D183">
        <v>629</v>
      </c>
      <c r="E183" t="s">
        <v>39</v>
      </c>
      <c r="F183">
        <v>27</v>
      </c>
      <c r="G183">
        <v>2</v>
      </c>
      <c r="H183" t="s">
        <v>45</v>
      </c>
      <c r="I183">
        <v>247</v>
      </c>
      <c r="J183">
        <v>4</v>
      </c>
      <c r="K183" t="s">
        <v>34</v>
      </c>
      <c r="L183">
        <v>3</v>
      </c>
      <c r="M183">
        <v>1</v>
      </c>
      <c r="N183" t="s">
        <v>41</v>
      </c>
      <c r="O183">
        <v>2</v>
      </c>
      <c r="P183" t="s">
        <v>36</v>
      </c>
      <c r="Q183">
        <v>2311</v>
      </c>
      <c r="R183">
        <v>2</v>
      </c>
      <c r="S183" t="s">
        <v>37</v>
      </c>
      <c r="T183">
        <v>15</v>
      </c>
      <c r="U183">
        <v>3</v>
      </c>
      <c r="V183">
        <v>4</v>
      </c>
      <c r="W183">
        <v>0</v>
      </c>
      <c r="X183">
        <v>9</v>
      </c>
      <c r="Y183">
        <v>3</v>
      </c>
      <c r="Z183">
        <v>3</v>
      </c>
      <c r="AA183">
        <v>3</v>
      </c>
      <c r="AB183">
        <v>2</v>
      </c>
      <c r="AC183">
        <v>1</v>
      </c>
      <c r="AD183">
        <v>2</v>
      </c>
      <c r="AE183" t="str" cm="1">
        <f t="array" ref="AE183">_xlfn.IFS(G183=1,"Before College",G183=2,"College",G183=3,"Bachelor",G183=4,"Master",G183=5,"Doctor")</f>
        <v>College</v>
      </c>
      <c r="AF183" t="str" cm="1">
        <f t="array" ref="AF183">_xlfn.IFS(J183=1,"Low",J183=2,"Medium",J183=3,"High",J183=4,"Very High")</f>
        <v>Very High</v>
      </c>
      <c r="AG183" t="str" cm="1">
        <f t="array" ref="AG183">_xlfn.IFS(L183=1,"Low",L183=2,"Medium",L183=3,"High",L183=4,"Very High")</f>
        <v>High</v>
      </c>
      <c r="AH183" t="str" cm="1">
        <f t="array" ref="AH183">_xlfn.IFS(M183=1,"Junior employee",M183=2,"Mid-level",M183=3,"Senior",M183=4,"Manager",M183=5,"Executive")</f>
        <v>Junior employee</v>
      </c>
      <c r="AI183" t="str" cm="1">
        <f t="array" ref="AI183">_xlfn.IFS(O183=1,"Low",O183=2,"Medium",O183=3,"High",O183=4,"Very High")</f>
        <v>Medium</v>
      </c>
      <c r="AJ183" t="str" cm="1">
        <f t="array" ref="AJ183">_xlfn.IFS(U183=1,"Low",U183=2,"Good",U183=3,"Excellent",U183=4,"Outstanding")</f>
        <v>Excellent</v>
      </c>
      <c r="AK183" t="str" cm="1">
        <f t="array" ref="AK183">_xlfn.IFS(V183=1,"Low",V183=2,"Medium",V183=3,"High",V183=4,"Very High")</f>
        <v>Very High</v>
      </c>
      <c r="AL183" t="str" cm="1">
        <f t="array" ref="AL183">_xlfn.IFS(Z183=1,"Bad",Z183=2,"Good",Z183=3,"Better",Z183=4,"Best")</f>
        <v>Better</v>
      </c>
      <c r="AM183" t="str" cm="1">
        <f t="array" ref="AM183">_xlfn.IFS(W183=0,"No_stock",W183=1,"Low",W183=2,"Medium",W183=3,"High")</f>
        <v>No_stock</v>
      </c>
      <c r="AN183" t="str">
        <f t="shared" si="2"/>
        <v>Far</v>
      </c>
    </row>
    <row r="184" spans="1:40" x14ac:dyDescent="0.45">
      <c r="A184">
        <v>41</v>
      </c>
      <c r="B184" t="s">
        <v>30</v>
      </c>
      <c r="C184" t="s">
        <v>31</v>
      </c>
      <c r="D184">
        <v>1356</v>
      </c>
      <c r="E184" t="s">
        <v>32</v>
      </c>
      <c r="F184">
        <v>20</v>
      </c>
      <c r="G184">
        <v>2</v>
      </c>
      <c r="H184" t="s">
        <v>53</v>
      </c>
      <c r="I184">
        <v>248</v>
      </c>
      <c r="J184">
        <v>2</v>
      </c>
      <c r="K184" t="s">
        <v>34</v>
      </c>
      <c r="L184">
        <v>3</v>
      </c>
      <c r="M184">
        <v>1</v>
      </c>
      <c r="N184" t="s">
        <v>51</v>
      </c>
      <c r="O184">
        <v>2</v>
      </c>
      <c r="P184" t="s">
        <v>36</v>
      </c>
      <c r="Q184">
        <v>3140</v>
      </c>
      <c r="R184">
        <v>1</v>
      </c>
      <c r="S184" t="s">
        <v>30</v>
      </c>
      <c r="T184">
        <v>22</v>
      </c>
      <c r="U184">
        <v>4</v>
      </c>
      <c r="V184">
        <v>4</v>
      </c>
      <c r="W184">
        <v>0</v>
      </c>
      <c r="X184">
        <v>4</v>
      </c>
      <c r="Y184">
        <v>5</v>
      </c>
      <c r="Z184">
        <v>2</v>
      </c>
      <c r="AA184">
        <v>4</v>
      </c>
      <c r="AB184">
        <v>3</v>
      </c>
      <c r="AC184">
        <v>0</v>
      </c>
      <c r="AD184">
        <v>2</v>
      </c>
      <c r="AE184" t="str" cm="1">
        <f t="array" ref="AE184">_xlfn.IFS(G184=1,"Before College",G184=2,"College",G184=3,"Bachelor",G184=4,"Master",G184=5,"Doctor")</f>
        <v>College</v>
      </c>
      <c r="AF184" t="str" cm="1">
        <f t="array" ref="AF184">_xlfn.IFS(J184=1,"Low",J184=2,"Medium",J184=3,"High",J184=4,"Very High")</f>
        <v>Medium</v>
      </c>
      <c r="AG184" t="str" cm="1">
        <f t="array" ref="AG184">_xlfn.IFS(L184=1,"Low",L184=2,"Medium",L184=3,"High",L184=4,"Very High")</f>
        <v>High</v>
      </c>
      <c r="AH184" t="str" cm="1">
        <f t="array" ref="AH184">_xlfn.IFS(M184=1,"Junior employee",M184=2,"Mid-level",M184=3,"Senior",M184=4,"Manager",M184=5,"Executive")</f>
        <v>Junior employee</v>
      </c>
      <c r="AI184" t="str" cm="1">
        <f t="array" ref="AI184">_xlfn.IFS(O184=1,"Low",O184=2,"Medium",O184=3,"High",O184=4,"Very High")</f>
        <v>Medium</v>
      </c>
      <c r="AJ184" t="str" cm="1">
        <f t="array" ref="AJ184">_xlfn.IFS(U184=1,"Low",U184=2,"Good",U184=3,"Excellent",U184=4,"Outstanding")</f>
        <v>Outstanding</v>
      </c>
      <c r="AK184" t="str" cm="1">
        <f t="array" ref="AK184">_xlfn.IFS(V184=1,"Low",V184=2,"Medium",V184=3,"High",V184=4,"Very High")</f>
        <v>Very High</v>
      </c>
      <c r="AL184" t="str" cm="1">
        <f t="array" ref="AL184">_xlfn.IFS(Z184=1,"Bad",Z184=2,"Good",Z184=3,"Better",Z184=4,"Best")</f>
        <v>Good</v>
      </c>
      <c r="AM184" t="str" cm="1">
        <f t="array" ref="AM184">_xlfn.IFS(W184=0,"No_stock",W184=1,"Low",W184=2,"Medium",W184=3,"High")</f>
        <v>No_stock</v>
      </c>
      <c r="AN184" t="str">
        <f t="shared" si="2"/>
        <v>Far</v>
      </c>
    </row>
    <row r="185" spans="1:40" x14ac:dyDescent="0.45">
      <c r="A185">
        <v>50</v>
      </c>
      <c r="B185" t="s">
        <v>37</v>
      </c>
      <c r="C185" t="s">
        <v>31</v>
      </c>
      <c r="D185">
        <v>328</v>
      </c>
      <c r="E185" t="s">
        <v>39</v>
      </c>
      <c r="F185">
        <v>1</v>
      </c>
      <c r="G185">
        <v>3</v>
      </c>
      <c r="H185" t="s">
        <v>45</v>
      </c>
      <c r="I185">
        <v>249</v>
      </c>
      <c r="J185">
        <v>3</v>
      </c>
      <c r="K185" t="s">
        <v>40</v>
      </c>
      <c r="L185">
        <v>2</v>
      </c>
      <c r="M185">
        <v>1</v>
      </c>
      <c r="N185" t="s">
        <v>44</v>
      </c>
      <c r="O185">
        <v>3</v>
      </c>
      <c r="P185" t="s">
        <v>42</v>
      </c>
      <c r="Q185">
        <v>3690</v>
      </c>
      <c r="R185">
        <v>2</v>
      </c>
      <c r="S185" t="s">
        <v>37</v>
      </c>
      <c r="T185">
        <v>15</v>
      </c>
      <c r="U185">
        <v>3</v>
      </c>
      <c r="V185">
        <v>4</v>
      </c>
      <c r="W185">
        <v>1</v>
      </c>
      <c r="X185">
        <v>5</v>
      </c>
      <c r="Y185">
        <v>2</v>
      </c>
      <c r="Z185">
        <v>2</v>
      </c>
      <c r="AA185">
        <v>3</v>
      </c>
      <c r="AB185">
        <v>2</v>
      </c>
      <c r="AC185">
        <v>0</v>
      </c>
      <c r="AD185">
        <v>2</v>
      </c>
      <c r="AE185" t="str" cm="1">
        <f t="array" ref="AE185">_xlfn.IFS(G185=1,"Before College",G185=2,"College",G185=3,"Bachelor",G185=4,"Master",G185=5,"Doctor")</f>
        <v>Bachelor</v>
      </c>
      <c r="AF185" t="str" cm="1">
        <f t="array" ref="AF185">_xlfn.IFS(J185=1,"Low",J185=2,"Medium",J185=3,"High",J185=4,"Very High")</f>
        <v>High</v>
      </c>
      <c r="AG185" t="str" cm="1">
        <f t="array" ref="AG185">_xlfn.IFS(L185=1,"Low",L185=2,"Medium",L185=3,"High",L185=4,"Very High")</f>
        <v>Medium</v>
      </c>
      <c r="AH185" t="str" cm="1">
        <f t="array" ref="AH185">_xlfn.IFS(M185=1,"Junior employee",M185=2,"Mid-level",M185=3,"Senior",M185=4,"Manager",M185=5,"Executive")</f>
        <v>Junior employee</v>
      </c>
      <c r="AI185" t="str" cm="1">
        <f t="array" ref="AI185">_xlfn.IFS(O185=1,"Low",O185=2,"Medium",O185=3,"High",O185=4,"Very High")</f>
        <v>High</v>
      </c>
      <c r="AJ185" t="str" cm="1">
        <f t="array" ref="AJ185">_xlfn.IFS(U185=1,"Low",U185=2,"Good",U185=3,"Excellent",U185=4,"Outstanding")</f>
        <v>Excellent</v>
      </c>
      <c r="AK185" t="str" cm="1">
        <f t="array" ref="AK185">_xlfn.IFS(V185=1,"Low",V185=2,"Medium",V185=3,"High",V185=4,"Very High")</f>
        <v>Very High</v>
      </c>
      <c r="AL185" t="str" cm="1">
        <f t="array" ref="AL185">_xlfn.IFS(Z185=1,"Bad",Z185=2,"Good",Z185=3,"Better",Z185=4,"Best")</f>
        <v>Good</v>
      </c>
      <c r="AM185" t="str" cm="1">
        <f t="array" ref="AM185">_xlfn.IFS(W185=0,"No_stock",W185=1,"Low",W185=2,"Medium",W185=3,"High")</f>
        <v>Low</v>
      </c>
      <c r="AN185" t="str">
        <f t="shared" si="2"/>
        <v>Near</v>
      </c>
    </row>
    <row r="186" spans="1:40" x14ac:dyDescent="0.45">
      <c r="A186">
        <v>53</v>
      </c>
      <c r="B186" t="s">
        <v>37</v>
      </c>
      <c r="C186" t="s">
        <v>31</v>
      </c>
      <c r="D186">
        <v>1084</v>
      </c>
      <c r="E186" t="s">
        <v>39</v>
      </c>
      <c r="F186">
        <v>13</v>
      </c>
      <c r="G186">
        <v>2</v>
      </c>
      <c r="H186" t="s">
        <v>45</v>
      </c>
      <c r="I186">
        <v>250</v>
      </c>
      <c r="J186">
        <v>4</v>
      </c>
      <c r="K186" t="s">
        <v>34</v>
      </c>
      <c r="L186">
        <v>4</v>
      </c>
      <c r="M186">
        <v>2</v>
      </c>
      <c r="N186" t="s">
        <v>47</v>
      </c>
      <c r="O186">
        <v>1</v>
      </c>
      <c r="P186" t="s">
        <v>46</v>
      </c>
      <c r="Q186">
        <v>4450</v>
      </c>
      <c r="R186">
        <v>1</v>
      </c>
      <c r="S186" t="s">
        <v>37</v>
      </c>
      <c r="T186">
        <v>11</v>
      </c>
      <c r="U186">
        <v>3</v>
      </c>
      <c r="V186">
        <v>3</v>
      </c>
      <c r="W186">
        <v>2</v>
      </c>
      <c r="X186">
        <v>5</v>
      </c>
      <c r="Y186">
        <v>3</v>
      </c>
      <c r="Z186">
        <v>3</v>
      </c>
      <c r="AA186">
        <v>4</v>
      </c>
      <c r="AB186">
        <v>2</v>
      </c>
      <c r="AC186">
        <v>1</v>
      </c>
      <c r="AD186">
        <v>3</v>
      </c>
      <c r="AE186" t="str" cm="1">
        <f t="array" ref="AE186">_xlfn.IFS(G186=1,"Before College",G186=2,"College",G186=3,"Bachelor",G186=4,"Master",G186=5,"Doctor")</f>
        <v>College</v>
      </c>
      <c r="AF186" t="str" cm="1">
        <f t="array" ref="AF186">_xlfn.IFS(J186=1,"Low",J186=2,"Medium",J186=3,"High",J186=4,"Very High")</f>
        <v>Very High</v>
      </c>
      <c r="AG186" t="str" cm="1">
        <f t="array" ref="AG186">_xlfn.IFS(L186=1,"Low",L186=2,"Medium",L186=3,"High",L186=4,"Very High")</f>
        <v>Very High</v>
      </c>
      <c r="AH186" t="str" cm="1">
        <f t="array" ref="AH186">_xlfn.IFS(M186=1,"Junior employee",M186=2,"Mid-level",M186=3,"Senior",M186=4,"Manager",M186=5,"Executive")</f>
        <v>Mid-level</v>
      </c>
      <c r="AI186" t="str" cm="1">
        <f t="array" ref="AI186">_xlfn.IFS(O186=1,"Low",O186=2,"Medium",O186=3,"High",O186=4,"Very High")</f>
        <v>Low</v>
      </c>
      <c r="AJ186" t="str" cm="1">
        <f t="array" ref="AJ186">_xlfn.IFS(U186=1,"Low",U186=2,"Good",U186=3,"Excellent",U186=4,"Outstanding")</f>
        <v>Excellent</v>
      </c>
      <c r="AK186" t="str" cm="1">
        <f t="array" ref="AK186">_xlfn.IFS(V186=1,"Low",V186=2,"Medium",V186=3,"High",V186=4,"Very High")</f>
        <v>High</v>
      </c>
      <c r="AL186" t="str" cm="1">
        <f t="array" ref="AL186">_xlfn.IFS(Z186=1,"Bad",Z186=2,"Good",Z186=3,"Better",Z186=4,"Best")</f>
        <v>Better</v>
      </c>
      <c r="AM186" t="str" cm="1">
        <f t="array" ref="AM186">_xlfn.IFS(W186=0,"No_stock",W186=1,"Low",W186=2,"Medium",W186=3,"High")</f>
        <v>Medium</v>
      </c>
      <c r="AN186" t="str">
        <f t="shared" si="2"/>
        <v>Medium</v>
      </c>
    </row>
    <row r="187" spans="1:40" x14ac:dyDescent="0.45">
      <c r="A187">
        <v>33</v>
      </c>
      <c r="B187" t="s">
        <v>37</v>
      </c>
      <c r="C187" t="s">
        <v>31</v>
      </c>
      <c r="D187">
        <v>931</v>
      </c>
      <c r="E187" t="s">
        <v>39</v>
      </c>
      <c r="F187">
        <v>14</v>
      </c>
      <c r="G187">
        <v>3</v>
      </c>
      <c r="H187" t="s">
        <v>45</v>
      </c>
      <c r="I187">
        <v>252</v>
      </c>
      <c r="J187">
        <v>4</v>
      </c>
      <c r="K187" t="s">
        <v>34</v>
      </c>
      <c r="L187">
        <v>3</v>
      </c>
      <c r="M187">
        <v>1</v>
      </c>
      <c r="N187" t="s">
        <v>41</v>
      </c>
      <c r="O187">
        <v>2</v>
      </c>
      <c r="P187" t="s">
        <v>42</v>
      </c>
      <c r="Q187">
        <v>2756</v>
      </c>
      <c r="R187">
        <v>1</v>
      </c>
      <c r="S187" t="s">
        <v>37</v>
      </c>
      <c r="T187">
        <v>13</v>
      </c>
      <c r="U187">
        <v>3</v>
      </c>
      <c r="V187">
        <v>4</v>
      </c>
      <c r="W187">
        <v>1</v>
      </c>
      <c r="X187">
        <v>8</v>
      </c>
      <c r="Y187">
        <v>5</v>
      </c>
      <c r="Z187">
        <v>3</v>
      </c>
      <c r="AA187">
        <v>8</v>
      </c>
      <c r="AB187">
        <v>7</v>
      </c>
      <c r="AC187">
        <v>1</v>
      </c>
      <c r="AD187">
        <v>6</v>
      </c>
      <c r="AE187" t="str" cm="1">
        <f t="array" ref="AE187">_xlfn.IFS(G187=1,"Before College",G187=2,"College",G187=3,"Bachelor",G187=4,"Master",G187=5,"Doctor")</f>
        <v>Bachelor</v>
      </c>
      <c r="AF187" t="str" cm="1">
        <f t="array" ref="AF187">_xlfn.IFS(J187=1,"Low",J187=2,"Medium",J187=3,"High",J187=4,"Very High")</f>
        <v>Very High</v>
      </c>
      <c r="AG187" t="str" cm="1">
        <f t="array" ref="AG187">_xlfn.IFS(L187=1,"Low",L187=2,"Medium",L187=3,"High",L187=4,"Very High")</f>
        <v>High</v>
      </c>
      <c r="AH187" t="str" cm="1">
        <f t="array" ref="AH187">_xlfn.IFS(M187=1,"Junior employee",M187=2,"Mid-level",M187=3,"Senior",M187=4,"Manager",M187=5,"Executive")</f>
        <v>Junior employee</v>
      </c>
      <c r="AI187" t="str" cm="1">
        <f t="array" ref="AI187">_xlfn.IFS(O187=1,"Low",O187=2,"Medium",O187=3,"High",O187=4,"Very High")</f>
        <v>Medium</v>
      </c>
      <c r="AJ187" t="str" cm="1">
        <f t="array" ref="AJ187">_xlfn.IFS(U187=1,"Low",U187=2,"Good",U187=3,"Excellent",U187=4,"Outstanding")</f>
        <v>Excellent</v>
      </c>
      <c r="AK187" t="str" cm="1">
        <f t="array" ref="AK187">_xlfn.IFS(V187=1,"Low",V187=2,"Medium",V187=3,"High",V187=4,"Very High")</f>
        <v>Very High</v>
      </c>
      <c r="AL187" t="str" cm="1">
        <f t="array" ref="AL187">_xlfn.IFS(Z187=1,"Bad",Z187=2,"Good",Z187=3,"Better",Z187=4,"Best")</f>
        <v>Better</v>
      </c>
      <c r="AM187" t="str" cm="1">
        <f t="array" ref="AM187">_xlfn.IFS(W187=0,"No_stock",W187=1,"Low",W187=2,"Medium",W187=3,"High")</f>
        <v>Low</v>
      </c>
      <c r="AN187" t="str">
        <f t="shared" si="2"/>
        <v>Medium</v>
      </c>
    </row>
    <row r="188" spans="1:40" x14ac:dyDescent="0.45">
      <c r="A188">
        <v>40</v>
      </c>
      <c r="B188" t="s">
        <v>37</v>
      </c>
      <c r="C188" t="s">
        <v>31</v>
      </c>
      <c r="D188">
        <v>989</v>
      </c>
      <c r="E188" t="s">
        <v>39</v>
      </c>
      <c r="F188">
        <v>4</v>
      </c>
      <c r="G188">
        <v>1</v>
      </c>
      <c r="H188" t="s">
        <v>45</v>
      </c>
      <c r="I188">
        <v>253</v>
      </c>
      <c r="J188">
        <v>4</v>
      </c>
      <c r="K188" t="s">
        <v>34</v>
      </c>
      <c r="L188">
        <v>3</v>
      </c>
      <c r="M188">
        <v>5</v>
      </c>
      <c r="N188" t="s">
        <v>50</v>
      </c>
      <c r="O188">
        <v>3</v>
      </c>
      <c r="P188" t="s">
        <v>42</v>
      </c>
      <c r="Q188">
        <v>19033</v>
      </c>
      <c r="R188">
        <v>1</v>
      </c>
      <c r="S188" t="s">
        <v>37</v>
      </c>
      <c r="T188">
        <v>14</v>
      </c>
      <c r="U188">
        <v>3</v>
      </c>
      <c r="V188">
        <v>2</v>
      </c>
      <c r="W188">
        <v>1</v>
      </c>
      <c r="X188">
        <v>21</v>
      </c>
      <c r="Y188">
        <v>2</v>
      </c>
      <c r="Z188">
        <v>3</v>
      </c>
      <c r="AA188">
        <v>20</v>
      </c>
      <c r="AB188">
        <v>8</v>
      </c>
      <c r="AC188">
        <v>9</v>
      </c>
      <c r="AD188">
        <v>9</v>
      </c>
      <c r="AE188" t="str" cm="1">
        <f t="array" ref="AE188">_xlfn.IFS(G188=1,"Before College",G188=2,"College",G188=3,"Bachelor",G188=4,"Master",G188=5,"Doctor")</f>
        <v>Before College</v>
      </c>
      <c r="AF188" t="str" cm="1">
        <f t="array" ref="AF188">_xlfn.IFS(J188=1,"Low",J188=2,"Medium",J188=3,"High",J188=4,"Very High")</f>
        <v>Very High</v>
      </c>
      <c r="AG188" t="str" cm="1">
        <f t="array" ref="AG188">_xlfn.IFS(L188=1,"Low",L188=2,"Medium",L188=3,"High",L188=4,"Very High")</f>
        <v>High</v>
      </c>
      <c r="AH188" t="str" cm="1">
        <f t="array" ref="AH188">_xlfn.IFS(M188=1,"Junior employee",M188=2,"Mid-level",M188=3,"Senior",M188=4,"Manager",M188=5,"Executive")</f>
        <v>Executive</v>
      </c>
      <c r="AI188" t="str" cm="1">
        <f t="array" ref="AI188">_xlfn.IFS(O188=1,"Low",O188=2,"Medium",O188=3,"High",O188=4,"Very High")</f>
        <v>High</v>
      </c>
      <c r="AJ188" t="str" cm="1">
        <f t="array" ref="AJ188">_xlfn.IFS(U188=1,"Low",U188=2,"Good",U188=3,"Excellent",U188=4,"Outstanding")</f>
        <v>Excellent</v>
      </c>
      <c r="AK188" t="str" cm="1">
        <f t="array" ref="AK188">_xlfn.IFS(V188=1,"Low",V188=2,"Medium",V188=3,"High",V188=4,"Very High")</f>
        <v>Medium</v>
      </c>
      <c r="AL188" t="str" cm="1">
        <f t="array" ref="AL188">_xlfn.IFS(Z188=1,"Bad",Z188=2,"Good",Z188=3,"Better",Z188=4,"Best")</f>
        <v>Better</v>
      </c>
      <c r="AM188" t="str" cm="1">
        <f t="array" ref="AM188">_xlfn.IFS(W188=0,"No_stock",W188=1,"Low",W188=2,"Medium",W188=3,"High")</f>
        <v>Low</v>
      </c>
      <c r="AN188" t="str">
        <f t="shared" si="2"/>
        <v>Near</v>
      </c>
    </row>
    <row r="189" spans="1:40" x14ac:dyDescent="0.45">
      <c r="A189">
        <v>55</v>
      </c>
      <c r="B189" t="s">
        <v>37</v>
      </c>
      <c r="C189" t="s">
        <v>31</v>
      </c>
      <c r="D189">
        <v>692</v>
      </c>
      <c r="E189" t="s">
        <v>39</v>
      </c>
      <c r="F189">
        <v>14</v>
      </c>
      <c r="G189">
        <v>4</v>
      </c>
      <c r="H189" t="s">
        <v>45</v>
      </c>
      <c r="I189">
        <v>254</v>
      </c>
      <c r="J189">
        <v>3</v>
      </c>
      <c r="K189" t="s">
        <v>40</v>
      </c>
      <c r="L189">
        <v>4</v>
      </c>
      <c r="M189">
        <v>5</v>
      </c>
      <c r="N189" t="s">
        <v>52</v>
      </c>
      <c r="O189">
        <v>2</v>
      </c>
      <c r="P189" t="s">
        <v>36</v>
      </c>
      <c r="Q189">
        <v>18722</v>
      </c>
      <c r="R189">
        <v>8</v>
      </c>
      <c r="S189" t="s">
        <v>37</v>
      </c>
      <c r="T189">
        <v>11</v>
      </c>
      <c r="U189">
        <v>3</v>
      </c>
      <c r="V189">
        <v>4</v>
      </c>
      <c r="W189">
        <v>0</v>
      </c>
      <c r="X189">
        <v>36</v>
      </c>
      <c r="Y189">
        <v>3</v>
      </c>
      <c r="Z189">
        <v>3</v>
      </c>
      <c r="AA189">
        <v>24</v>
      </c>
      <c r="AB189">
        <v>15</v>
      </c>
      <c r="AC189">
        <v>2</v>
      </c>
      <c r="AD189">
        <v>15</v>
      </c>
      <c r="AE189" t="str" cm="1">
        <f t="array" ref="AE189">_xlfn.IFS(G189=1,"Before College",G189=2,"College",G189=3,"Bachelor",G189=4,"Master",G189=5,"Doctor")</f>
        <v>Master</v>
      </c>
      <c r="AF189" t="str" cm="1">
        <f t="array" ref="AF189">_xlfn.IFS(J189=1,"Low",J189=2,"Medium",J189=3,"High",J189=4,"Very High")</f>
        <v>High</v>
      </c>
      <c r="AG189" t="str" cm="1">
        <f t="array" ref="AG189">_xlfn.IFS(L189=1,"Low",L189=2,"Medium",L189=3,"High",L189=4,"Very High")</f>
        <v>Very High</v>
      </c>
      <c r="AH189" t="str" cm="1">
        <f t="array" ref="AH189">_xlfn.IFS(M189=1,"Junior employee",M189=2,"Mid-level",M189=3,"Senior",M189=4,"Manager",M189=5,"Executive")</f>
        <v>Executive</v>
      </c>
      <c r="AI189" t="str" cm="1">
        <f t="array" ref="AI189">_xlfn.IFS(O189=1,"Low",O189=2,"Medium",O189=3,"High",O189=4,"Very High")</f>
        <v>Medium</v>
      </c>
      <c r="AJ189" t="str" cm="1">
        <f t="array" ref="AJ189">_xlfn.IFS(U189=1,"Low",U189=2,"Good",U189=3,"Excellent",U189=4,"Outstanding")</f>
        <v>Excellent</v>
      </c>
      <c r="AK189" t="str" cm="1">
        <f t="array" ref="AK189">_xlfn.IFS(V189=1,"Low",V189=2,"Medium",V189=3,"High",V189=4,"Very High")</f>
        <v>Very High</v>
      </c>
      <c r="AL189" t="str" cm="1">
        <f t="array" ref="AL189">_xlfn.IFS(Z189=1,"Bad",Z189=2,"Good",Z189=3,"Better",Z189=4,"Best")</f>
        <v>Better</v>
      </c>
      <c r="AM189" t="str" cm="1">
        <f t="array" ref="AM189">_xlfn.IFS(W189=0,"No_stock",W189=1,"Low",W189=2,"Medium",W189=3,"High")</f>
        <v>No_stock</v>
      </c>
      <c r="AN189" t="str">
        <f t="shared" si="2"/>
        <v>Medium</v>
      </c>
    </row>
    <row r="190" spans="1:40" x14ac:dyDescent="0.45">
      <c r="A190">
        <v>34</v>
      </c>
      <c r="B190" t="s">
        <v>37</v>
      </c>
      <c r="C190" t="s">
        <v>38</v>
      </c>
      <c r="D190">
        <v>1069</v>
      </c>
      <c r="E190" t="s">
        <v>39</v>
      </c>
      <c r="F190">
        <v>2</v>
      </c>
      <c r="G190">
        <v>1</v>
      </c>
      <c r="H190" t="s">
        <v>33</v>
      </c>
      <c r="I190">
        <v>256</v>
      </c>
      <c r="J190">
        <v>4</v>
      </c>
      <c r="K190" t="s">
        <v>40</v>
      </c>
      <c r="L190">
        <v>2</v>
      </c>
      <c r="M190">
        <v>2</v>
      </c>
      <c r="N190" t="s">
        <v>47</v>
      </c>
      <c r="O190">
        <v>3</v>
      </c>
      <c r="P190" t="s">
        <v>42</v>
      </c>
      <c r="Q190">
        <v>9547</v>
      </c>
      <c r="R190">
        <v>1</v>
      </c>
      <c r="S190" t="s">
        <v>37</v>
      </c>
      <c r="T190">
        <v>17</v>
      </c>
      <c r="U190">
        <v>3</v>
      </c>
      <c r="V190">
        <v>3</v>
      </c>
      <c r="W190">
        <v>0</v>
      </c>
      <c r="X190">
        <v>10</v>
      </c>
      <c r="Y190">
        <v>2</v>
      </c>
      <c r="Z190">
        <v>2</v>
      </c>
      <c r="AA190">
        <v>10</v>
      </c>
      <c r="AB190">
        <v>9</v>
      </c>
      <c r="AC190">
        <v>1</v>
      </c>
      <c r="AD190">
        <v>9</v>
      </c>
      <c r="AE190" t="str" cm="1">
        <f t="array" ref="AE190">_xlfn.IFS(G190=1,"Before College",G190=2,"College",G190=3,"Bachelor",G190=4,"Master",G190=5,"Doctor")</f>
        <v>Before College</v>
      </c>
      <c r="AF190" t="str" cm="1">
        <f t="array" ref="AF190">_xlfn.IFS(J190=1,"Low",J190=2,"Medium",J190=3,"High",J190=4,"Very High")</f>
        <v>Very High</v>
      </c>
      <c r="AG190" t="str" cm="1">
        <f t="array" ref="AG190">_xlfn.IFS(L190=1,"Low",L190=2,"Medium",L190=3,"High",L190=4,"Very High")</f>
        <v>Medium</v>
      </c>
      <c r="AH190" t="str" cm="1">
        <f t="array" ref="AH190">_xlfn.IFS(M190=1,"Junior employee",M190=2,"Mid-level",M190=3,"Senior",M190=4,"Manager",M190=5,"Executive")</f>
        <v>Mid-level</v>
      </c>
      <c r="AI190" t="str" cm="1">
        <f t="array" ref="AI190">_xlfn.IFS(O190=1,"Low",O190=2,"Medium",O190=3,"High",O190=4,"Very High")</f>
        <v>High</v>
      </c>
      <c r="AJ190" t="str" cm="1">
        <f t="array" ref="AJ190">_xlfn.IFS(U190=1,"Low",U190=2,"Good",U190=3,"Excellent",U190=4,"Outstanding")</f>
        <v>Excellent</v>
      </c>
      <c r="AK190" t="str" cm="1">
        <f t="array" ref="AK190">_xlfn.IFS(V190=1,"Low",V190=2,"Medium",V190=3,"High",V190=4,"Very High")</f>
        <v>High</v>
      </c>
      <c r="AL190" t="str" cm="1">
        <f t="array" ref="AL190">_xlfn.IFS(Z190=1,"Bad",Z190=2,"Good",Z190=3,"Better",Z190=4,"Best")</f>
        <v>Good</v>
      </c>
      <c r="AM190" t="str" cm="1">
        <f t="array" ref="AM190">_xlfn.IFS(W190=0,"No_stock",W190=1,"Low",W190=2,"Medium",W190=3,"High")</f>
        <v>No_stock</v>
      </c>
      <c r="AN190" t="str">
        <f t="shared" si="2"/>
        <v>Near</v>
      </c>
    </row>
    <row r="191" spans="1:40" x14ac:dyDescent="0.45">
      <c r="A191">
        <v>51</v>
      </c>
      <c r="B191" t="s">
        <v>37</v>
      </c>
      <c r="C191" t="s">
        <v>31</v>
      </c>
      <c r="D191">
        <v>313</v>
      </c>
      <c r="E191" t="s">
        <v>39</v>
      </c>
      <c r="F191">
        <v>3</v>
      </c>
      <c r="G191">
        <v>3</v>
      </c>
      <c r="H191" t="s">
        <v>45</v>
      </c>
      <c r="I191">
        <v>258</v>
      </c>
      <c r="J191">
        <v>4</v>
      </c>
      <c r="K191" t="s">
        <v>34</v>
      </c>
      <c r="L191">
        <v>3</v>
      </c>
      <c r="M191">
        <v>4</v>
      </c>
      <c r="N191" t="s">
        <v>48</v>
      </c>
      <c r="O191">
        <v>2</v>
      </c>
      <c r="P191" t="s">
        <v>36</v>
      </c>
      <c r="Q191">
        <v>13734</v>
      </c>
      <c r="R191">
        <v>3</v>
      </c>
      <c r="S191" t="s">
        <v>37</v>
      </c>
      <c r="T191">
        <v>18</v>
      </c>
      <c r="U191">
        <v>3</v>
      </c>
      <c r="V191">
        <v>3</v>
      </c>
      <c r="W191">
        <v>0</v>
      </c>
      <c r="X191">
        <v>21</v>
      </c>
      <c r="Y191">
        <v>6</v>
      </c>
      <c r="Z191">
        <v>3</v>
      </c>
      <c r="AA191">
        <v>7</v>
      </c>
      <c r="AB191">
        <v>7</v>
      </c>
      <c r="AC191">
        <v>1</v>
      </c>
      <c r="AD191">
        <v>0</v>
      </c>
      <c r="AE191" t="str" cm="1">
        <f t="array" ref="AE191">_xlfn.IFS(G191=1,"Before College",G191=2,"College",G191=3,"Bachelor",G191=4,"Master",G191=5,"Doctor")</f>
        <v>Bachelor</v>
      </c>
      <c r="AF191" t="str" cm="1">
        <f t="array" ref="AF191">_xlfn.IFS(J191=1,"Low",J191=2,"Medium",J191=3,"High",J191=4,"Very High")</f>
        <v>Very High</v>
      </c>
      <c r="AG191" t="str" cm="1">
        <f t="array" ref="AG191">_xlfn.IFS(L191=1,"Low",L191=2,"Medium",L191=3,"High",L191=4,"Very High")</f>
        <v>High</v>
      </c>
      <c r="AH191" t="str" cm="1">
        <f t="array" ref="AH191">_xlfn.IFS(M191=1,"Junior employee",M191=2,"Mid-level",M191=3,"Senior",M191=4,"Manager",M191=5,"Executive")</f>
        <v>Manager</v>
      </c>
      <c r="AI191" t="str" cm="1">
        <f t="array" ref="AI191">_xlfn.IFS(O191=1,"Low",O191=2,"Medium",O191=3,"High",O191=4,"Very High")</f>
        <v>Medium</v>
      </c>
      <c r="AJ191" t="str" cm="1">
        <f t="array" ref="AJ191">_xlfn.IFS(U191=1,"Low",U191=2,"Good",U191=3,"Excellent",U191=4,"Outstanding")</f>
        <v>Excellent</v>
      </c>
      <c r="AK191" t="str" cm="1">
        <f t="array" ref="AK191">_xlfn.IFS(V191=1,"Low",V191=2,"Medium",V191=3,"High",V191=4,"Very High")</f>
        <v>High</v>
      </c>
      <c r="AL191" t="str" cm="1">
        <f t="array" ref="AL191">_xlfn.IFS(Z191=1,"Bad",Z191=2,"Good",Z191=3,"Better",Z191=4,"Best")</f>
        <v>Better</v>
      </c>
      <c r="AM191" t="str" cm="1">
        <f t="array" ref="AM191">_xlfn.IFS(W191=0,"No_stock",W191=1,"Low",W191=2,"Medium",W191=3,"High")</f>
        <v>No_stock</v>
      </c>
      <c r="AN191" t="str">
        <f t="shared" si="2"/>
        <v>Near</v>
      </c>
    </row>
    <row r="192" spans="1:40" x14ac:dyDescent="0.45">
      <c r="A192">
        <v>52</v>
      </c>
      <c r="B192" t="s">
        <v>37</v>
      </c>
      <c r="C192" t="s">
        <v>31</v>
      </c>
      <c r="D192">
        <v>699</v>
      </c>
      <c r="E192" t="s">
        <v>39</v>
      </c>
      <c r="F192">
        <v>1</v>
      </c>
      <c r="G192">
        <v>4</v>
      </c>
      <c r="H192" t="s">
        <v>33</v>
      </c>
      <c r="I192">
        <v>259</v>
      </c>
      <c r="J192">
        <v>3</v>
      </c>
      <c r="K192" t="s">
        <v>40</v>
      </c>
      <c r="L192">
        <v>2</v>
      </c>
      <c r="M192">
        <v>5</v>
      </c>
      <c r="N192" t="s">
        <v>50</v>
      </c>
      <c r="O192">
        <v>3</v>
      </c>
      <c r="P192" t="s">
        <v>42</v>
      </c>
      <c r="Q192">
        <v>19999</v>
      </c>
      <c r="R192">
        <v>0</v>
      </c>
      <c r="S192" t="s">
        <v>37</v>
      </c>
      <c r="T192">
        <v>14</v>
      </c>
      <c r="U192">
        <v>3</v>
      </c>
      <c r="V192">
        <v>1</v>
      </c>
      <c r="W192">
        <v>1</v>
      </c>
      <c r="X192">
        <v>34</v>
      </c>
      <c r="Y192">
        <v>5</v>
      </c>
      <c r="Z192">
        <v>3</v>
      </c>
      <c r="AA192">
        <v>33</v>
      </c>
      <c r="AB192">
        <v>18</v>
      </c>
      <c r="AC192">
        <v>11</v>
      </c>
      <c r="AD192">
        <v>9</v>
      </c>
      <c r="AE192" t="str" cm="1">
        <f t="array" ref="AE192">_xlfn.IFS(G192=1,"Before College",G192=2,"College",G192=3,"Bachelor",G192=4,"Master",G192=5,"Doctor")</f>
        <v>Master</v>
      </c>
      <c r="AF192" t="str" cm="1">
        <f t="array" ref="AF192">_xlfn.IFS(J192=1,"Low",J192=2,"Medium",J192=3,"High",J192=4,"Very High")</f>
        <v>High</v>
      </c>
      <c r="AG192" t="str" cm="1">
        <f t="array" ref="AG192">_xlfn.IFS(L192=1,"Low",L192=2,"Medium",L192=3,"High",L192=4,"Very High")</f>
        <v>Medium</v>
      </c>
      <c r="AH192" t="str" cm="1">
        <f t="array" ref="AH192">_xlfn.IFS(M192=1,"Junior employee",M192=2,"Mid-level",M192=3,"Senior",M192=4,"Manager",M192=5,"Executive")</f>
        <v>Executive</v>
      </c>
      <c r="AI192" t="str" cm="1">
        <f t="array" ref="AI192">_xlfn.IFS(O192=1,"Low",O192=2,"Medium",O192=3,"High",O192=4,"Very High")</f>
        <v>High</v>
      </c>
      <c r="AJ192" t="str" cm="1">
        <f t="array" ref="AJ192">_xlfn.IFS(U192=1,"Low",U192=2,"Good",U192=3,"Excellent",U192=4,"Outstanding")</f>
        <v>Excellent</v>
      </c>
      <c r="AK192" t="str" cm="1">
        <f t="array" ref="AK192">_xlfn.IFS(V192=1,"Low",V192=2,"Medium",V192=3,"High",V192=4,"Very High")</f>
        <v>Low</v>
      </c>
      <c r="AL192" t="str" cm="1">
        <f t="array" ref="AL192">_xlfn.IFS(Z192=1,"Bad",Z192=2,"Good",Z192=3,"Better",Z192=4,"Best")</f>
        <v>Better</v>
      </c>
      <c r="AM192" t="str" cm="1">
        <f t="array" ref="AM192">_xlfn.IFS(W192=0,"No_stock",W192=1,"Low",W192=2,"Medium",W192=3,"High")</f>
        <v>Low</v>
      </c>
      <c r="AN192" t="str">
        <f t="shared" si="2"/>
        <v>Near</v>
      </c>
    </row>
    <row r="193" spans="1:40" x14ac:dyDescent="0.45">
      <c r="A193">
        <v>27</v>
      </c>
      <c r="B193" t="s">
        <v>37</v>
      </c>
      <c r="C193" t="s">
        <v>31</v>
      </c>
      <c r="D193">
        <v>894</v>
      </c>
      <c r="E193" t="s">
        <v>39</v>
      </c>
      <c r="F193">
        <v>9</v>
      </c>
      <c r="G193">
        <v>3</v>
      </c>
      <c r="H193" t="s">
        <v>45</v>
      </c>
      <c r="I193">
        <v>260</v>
      </c>
      <c r="J193">
        <v>4</v>
      </c>
      <c r="K193" t="s">
        <v>34</v>
      </c>
      <c r="L193">
        <v>3</v>
      </c>
      <c r="M193">
        <v>1</v>
      </c>
      <c r="N193" t="s">
        <v>41</v>
      </c>
      <c r="O193">
        <v>2</v>
      </c>
      <c r="P193" t="s">
        <v>36</v>
      </c>
      <c r="Q193">
        <v>2279</v>
      </c>
      <c r="R193">
        <v>1</v>
      </c>
      <c r="S193" t="s">
        <v>37</v>
      </c>
      <c r="T193">
        <v>16</v>
      </c>
      <c r="U193">
        <v>3</v>
      </c>
      <c r="V193">
        <v>4</v>
      </c>
      <c r="W193">
        <v>0</v>
      </c>
      <c r="X193">
        <v>7</v>
      </c>
      <c r="Y193">
        <v>2</v>
      </c>
      <c r="Z193">
        <v>2</v>
      </c>
      <c r="AA193">
        <v>7</v>
      </c>
      <c r="AB193">
        <v>7</v>
      </c>
      <c r="AC193">
        <v>0</v>
      </c>
      <c r="AD193">
        <v>3</v>
      </c>
      <c r="AE193" t="str" cm="1">
        <f t="array" ref="AE193">_xlfn.IFS(G193=1,"Before College",G193=2,"College",G193=3,"Bachelor",G193=4,"Master",G193=5,"Doctor")</f>
        <v>Bachelor</v>
      </c>
      <c r="AF193" t="str" cm="1">
        <f t="array" ref="AF193">_xlfn.IFS(J193=1,"Low",J193=2,"Medium",J193=3,"High",J193=4,"Very High")</f>
        <v>Very High</v>
      </c>
      <c r="AG193" t="str" cm="1">
        <f t="array" ref="AG193">_xlfn.IFS(L193=1,"Low",L193=2,"Medium",L193=3,"High",L193=4,"Very High")</f>
        <v>High</v>
      </c>
      <c r="AH193" t="str" cm="1">
        <f t="array" ref="AH193">_xlfn.IFS(M193=1,"Junior employee",M193=2,"Mid-level",M193=3,"Senior",M193=4,"Manager",M193=5,"Executive")</f>
        <v>Junior employee</v>
      </c>
      <c r="AI193" t="str" cm="1">
        <f t="array" ref="AI193">_xlfn.IFS(O193=1,"Low",O193=2,"Medium",O193=3,"High",O193=4,"Very High")</f>
        <v>Medium</v>
      </c>
      <c r="AJ193" t="str" cm="1">
        <f t="array" ref="AJ193">_xlfn.IFS(U193=1,"Low",U193=2,"Good",U193=3,"Excellent",U193=4,"Outstanding")</f>
        <v>Excellent</v>
      </c>
      <c r="AK193" t="str" cm="1">
        <f t="array" ref="AK193">_xlfn.IFS(V193=1,"Low",V193=2,"Medium",V193=3,"High",V193=4,"Very High")</f>
        <v>Very High</v>
      </c>
      <c r="AL193" t="str" cm="1">
        <f t="array" ref="AL193">_xlfn.IFS(Z193=1,"Bad",Z193=2,"Good",Z193=3,"Better",Z193=4,"Best")</f>
        <v>Good</v>
      </c>
      <c r="AM193" t="str" cm="1">
        <f t="array" ref="AM193">_xlfn.IFS(W193=0,"No_stock",W193=1,"Low",W193=2,"Medium",W193=3,"High")</f>
        <v>No_stock</v>
      </c>
      <c r="AN193" t="str">
        <f t="shared" si="2"/>
        <v>Medium</v>
      </c>
    </row>
    <row r="194" spans="1:40" x14ac:dyDescent="0.45">
      <c r="A194">
        <v>35</v>
      </c>
      <c r="B194" t="s">
        <v>30</v>
      </c>
      <c r="C194" t="s">
        <v>31</v>
      </c>
      <c r="D194">
        <v>556</v>
      </c>
      <c r="E194" t="s">
        <v>39</v>
      </c>
      <c r="F194">
        <v>23</v>
      </c>
      <c r="G194">
        <v>2</v>
      </c>
      <c r="H194" t="s">
        <v>33</v>
      </c>
      <c r="I194">
        <v>261</v>
      </c>
      <c r="J194">
        <v>2</v>
      </c>
      <c r="K194" t="s">
        <v>40</v>
      </c>
      <c r="L194">
        <v>2</v>
      </c>
      <c r="M194">
        <v>2</v>
      </c>
      <c r="N194" t="s">
        <v>47</v>
      </c>
      <c r="O194">
        <v>3</v>
      </c>
      <c r="P194" t="s">
        <v>42</v>
      </c>
      <c r="Q194">
        <v>5916</v>
      </c>
      <c r="R194">
        <v>3</v>
      </c>
      <c r="S194" t="s">
        <v>30</v>
      </c>
      <c r="T194">
        <v>13</v>
      </c>
      <c r="U194">
        <v>3</v>
      </c>
      <c r="V194">
        <v>1</v>
      </c>
      <c r="W194">
        <v>0</v>
      </c>
      <c r="X194">
        <v>8</v>
      </c>
      <c r="Y194">
        <v>1</v>
      </c>
      <c r="Z194">
        <v>3</v>
      </c>
      <c r="AA194">
        <v>1</v>
      </c>
      <c r="AB194">
        <v>0</v>
      </c>
      <c r="AC194">
        <v>0</v>
      </c>
      <c r="AD194">
        <v>1</v>
      </c>
      <c r="AE194" t="str" cm="1">
        <f t="array" ref="AE194">_xlfn.IFS(G194=1,"Before College",G194=2,"College",G194=3,"Bachelor",G194=4,"Master",G194=5,"Doctor")</f>
        <v>College</v>
      </c>
      <c r="AF194" t="str" cm="1">
        <f t="array" ref="AF194">_xlfn.IFS(J194=1,"Low",J194=2,"Medium",J194=3,"High",J194=4,"Very High")</f>
        <v>Medium</v>
      </c>
      <c r="AG194" t="str" cm="1">
        <f t="array" ref="AG194">_xlfn.IFS(L194=1,"Low",L194=2,"Medium",L194=3,"High",L194=4,"Very High")</f>
        <v>Medium</v>
      </c>
      <c r="AH194" t="str" cm="1">
        <f t="array" ref="AH194">_xlfn.IFS(M194=1,"Junior employee",M194=2,"Mid-level",M194=3,"Senior",M194=4,"Manager",M194=5,"Executive")</f>
        <v>Mid-level</v>
      </c>
      <c r="AI194" t="str" cm="1">
        <f t="array" ref="AI194">_xlfn.IFS(O194=1,"Low",O194=2,"Medium",O194=3,"High",O194=4,"Very High")</f>
        <v>High</v>
      </c>
      <c r="AJ194" t="str" cm="1">
        <f t="array" ref="AJ194">_xlfn.IFS(U194=1,"Low",U194=2,"Good",U194=3,"Excellent",U194=4,"Outstanding")</f>
        <v>Excellent</v>
      </c>
      <c r="AK194" t="str" cm="1">
        <f t="array" ref="AK194">_xlfn.IFS(V194=1,"Low",V194=2,"Medium",V194=3,"High",V194=4,"Very High")</f>
        <v>Low</v>
      </c>
      <c r="AL194" t="str" cm="1">
        <f t="array" ref="AL194">_xlfn.IFS(Z194=1,"Bad",Z194=2,"Good",Z194=3,"Better",Z194=4,"Best")</f>
        <v>Better</v>
      </c>
      <c r="AM194" t="str" cm="1">
        <f t="array" ref="AM194">_xlfn.IFS(W194=0,"No_stock",W194=1,"Low",W194=2,"Medium",W194=3,"High")</f>
        <v>No_stock</v>
      </c>
      <c r="AN194" t="str">
        <f t="shared" ref="AN194:AN257" si="3">IF(F194&lt;=5,"Near",IF(F194&lt;=15,"Medium","Far"))</f>
        <v>Far</v>
      </c>
    </row>
    <row r="195" spans="1:40" x14ac:dyDescent="0.45">
      <c r="A195">
        <v>43</v>
      </c>
      <c r="B195" t="s">
        <v>37</v>
      </c>
      <c r="C195" t="s">
        <v>49</v>
      </c>
      <c r="D195">
        <v>1344</v>
      </c>
      <c r="E195" t="s">
        <v>39</v>
      </c>
      <c r="F195">
        <v>7</v>
      </c>
      <c r="G195">
        <v>3</v>
      </c>
      <c r="H195" t="s">
        <v>45</v>
      </c>
      <c r="I195">
        <v>262</v>
      </c>
      <c r="J195">
        <v>4</v>
      </c>
      <c r="K195" t="s">
        <v>40</v>
      </c>
      <c r="L195">
        <v>4</v>
      </c>
      <c r="M195">
        <v>1</v>
      </c>
      <c r="N195" t="s">
        <v>41</v>
      </c>
      <c r="O195">
        <v>4</v>
      </c>
      <c r="P195" t="s">
        <v>46</v>
      </c>
      <c r="Q195">
        <v>2089</v>
      </c>
      <c r="R195">
        <v>4</v>
      </c>
      <c r="S195" t="s">
        <v>37</v>
      </c>
      <c r="T195">
        <v>14</v>
      </c>
      <c r="U195">
        <v>3</v>
      </c>
      <c r="V195">
        <v>4</v>
      </c>
      <c r="W195">
        <v>3</v>
      </c>
      <c r="X195">
        <v>7</v>
      </c>
      <c r="Y195">
        <v>3</v>
      </c>
      <c r="Z195">
        <v>4</v>
      </c>
      <c r="AA195">
        <v>5</v>
      </c>
      <c r="AB195">
        <v>4</v>
      </c>
      <c r="AC195">
        <v>2</v>
      </c>
      <c r="AD195">
        <v>2</v>
      </c>
      <c r="AE195" t="str" cm="1">
        <f t="array" ref="AE195">_xlfn.IFS(G195=1,"Before College",G195=2,"College",G195=3,"Bachelor",G195=4,"Master",G195=5,"Doctor")</f>
        <v>Bachelor</v>
      </c>
      <c r="AF195" t="str" cm="1">
        <f t="array" ref="AF195">_xlfn.IFS(J195=1,"Low",J195=2,"Medium",J195=3,"High",J195=4,"Very High")</f>
        <v>Very High</v>
      </c>
      <c r="AG195" t="str" cm="1">
        <f t="array" ref="AG195">_xlfn.IFS(L195=1,"Low",L195=2,"Medium",L195=3,"High",L195=4,"Very High")</f>
        <v>Very High</v>
      </c>
      <c r="AH195" t="str" cm="1">
        <f t="array" ref="AH195">_xlfn.IFS(M195=1,"Junior employee",M195=2,"Mid-level",M195=3,"Senior",M195=4,"Manager",M195=5,"Executive")</f>
        <v>Junior employee</v>
      </c>
      <c r="AI195" t="str" cm="1">
        <f t="array" ref="AI195">_xlfn.IFS(O195=1,"Low",O195=2,"Medium",O195=3,"High",O195=4,"Very High")</f>
        <v>Very High</v>
      </c>
      <c r="AJ195" t="str" cm="1">
        <f t="array" ref="AJ195">_xlfn.IFS(U195=1,"Low",U195=2,"Good",U195=3,"Excellent",U195=4,"Outstanding")</f>
        <v>Excellent</v>
      </c>
      <c r="AK195" t="str" cm="1">
        <f t="array" ref="AK195">_xlfn.IFS(V195=1,"Low",V195=2,"Medium",V195=3,"High",V195=4,"Very High")</f>
        <v>Very High</v>
      </c>
      <c r="AL195" t="str" cm="1">
        <f t="array" ref="AL195">_xlfn.IFS(Z195=1,"Bad",Z195=2,"Good",Z195=3,"Better",Z195=4,"Best")</f>
        <v>Best</v>
      </c>
      <c r="AM195" t="str" cm="1">
        <f t="array" ref="AM195">_xlfn.IFS(W195=0,"No_stock",W195=1,"Low",W195=2,"Medium",W195=3,"High")</f>
        <v>High</v>
      </c>
      <c r="AN195" t="str">
        <f t="shared" si="3"/>
        <v>Medium</v>
      </c>
    </row>
    <row r="196" spans="1:40" x14ac:dyDescent="0.45">
      <c r="A196">
        <v>45</v>
      </c>
      <c r="B196" t="s">
        <v>37</v>
      </c>
      <c r="C196" t="s">
        <v>49</v>
      </c>
      <c r="D196">
        <v>1195</v>
      </c>
      <c r="E196" t="s">
        <v>39</v>
      </c>
      <c r="F196">
        <v>2</v>
      </c>
      <c r="G196">
        <v>2</v>
      </c>
      <c r="H196" t="s">
        <v>45</v>
      </c>
      <c r="I196">
        <v>264</v>
      </c>
      <c r="J196">
        <v>1</v>
      </c>
      <c r="K196" t="s">
        <v>40</v>
      </c>
      <c r="L196">
        <v>2</v>
      </c>
      <c r="M196">
        <v>4</v>
      </c>
      <c r="N196" t="s">
        <v>50</v>
      </c>
      <c r="O196">
        <v>4</v>
      </c>
      <c r="P196" t="s">
        <v>42</v>
      </c>
      <c r="Q196">
        <v>16792</v>
      </c>
      <c r="R196">
        <v>9</v>
      </c>
      <c r="S196" t="s">
        <v>37</v>
      </c>
      <c r="T196">
        <v>23</v>
      </c>
      <c r="U196">
        <v>4</v>
      </c>
      <c r="V196">
        <v>4</v>
      </c>
      <c r="W196">
        <v>1</v>
      </c>
      <c r="X196">
        <v>22</v>
      </c>
      <c r="Y196">
        <v>1</v>
      </c>
      <c r="Z196">
        <v>3</v>
      </c>
      <c r="AA196">
        <v>20</v>
      </c>
      <c r="AB196">
        <v>8</v>
      </c>
      <c r="AC196">
        <v>11</v>
      </c>
      <c r="AD196">
        <v>8</v>
      </c>
      <c r="AE196" t="str" cm="1">
        <f t="array" ref="AE196">_xlfn.IFS(G196=1,"Before College",G196=2,"College",G196=3,"Bachelor",G196=4,"Master",G196=5,"Doctor")</f>
        <v>College</v>
      </c>
      <c r="AF196" t="str" cm="1">
        <f t="array" ref="AF196">_xlfn.IFS(J196=1,"Low",J196=2,"Medium",J196=3,"High",J196=4,"Very High")</f>
        <v>Low</v>
      </c>
      <c r="AG196" t="str" cm="1">
        <f t="array" ref="AG196">_xlfn.IFS(L196=1,"Low",L196=2,"Medium",L196=3,"High",L196=4,"Very High")</f>
        <v>Medium</v>
      </c>
      <c r="AH196" t="str" cm="1">
        <f t="array" ref="AH196">_xlfn.IFS(M196=1,"Junior employee",M196=2,"Mid-level",M196=3,"Senior",M196=4,"Manager",M196=5,"Executive")</f>
        <v>Manager</v>
      </c>
      <c r="AI196" t="str" cm="1">
        <f t="array" ref="AI196">_xlfn.IFS(O196=1,"Low",O196=2,"Medium",O196=3,"High",O196=4,"Very High")</f>
        <v>Very High</v>
      </c>
      <c r="AJ196" t="str" cm="1">
        <f t="array" ref="AJ196">_xlfn.IFS(U196=1,"Low",U196=2,"Good",U196=3,"Excellent",U196=4,"Outstanding")</f>
        <v>Outstanding</v>
      </c>
      <c r="AK196" t="str" cm="1">
        <f t="array" ref="AK196">_xlfn.IFS(V196=1,"Low",V196=2,"Medium",V196=3,"High",V196=4,"Very High")</f>
        <v>Very High</v>
      </c>
      <c r="AL196" t="str" cm="1">
        <f t="array" ref="AL196">_xlfn.IFS(Z196=1,"Bad",Z196=2,"Good",Z196=3,"Better",Z196=4,"Best")</f>
        <v>Better</v>
      </c>
      <c r="AM196" t="str" cm="1">
        <f t="array" ref="AM196">_xlfn.IFS(W196=0,"No_stock",W196=1,"Low",W196=2,"Medium",W196=3,"High")</f>
        <v>Low</v>
      </c>
      <c r="AN196" t="str">
        <f t="shared" si="3"/>
        <v>Near</v>
      </c>
    </row>
    <row r="197" spans="1:40" x14ac:dyDescent="0.45">
      <c r="A197">
        <v>37</v>
      </c>
      <c r="B197" t="s">
        <v>37</v>
      </c>
      <c r="C197" t="s">
        <v>31</v>
      </c>
      <c r="D197">
        <v>290</v>
      </c>
      <c r="E197" t="s">
        <v>39</v>
      </c>
      <c r="F197">
        <v>21</v>
      </c>
      <c r="G197">
        <v>3</v>
      </c>
      <c r="H197" t="s">
        <v>33</v>
      </c>
      <c r="I197">
        <v>267</v>
      </c>
      <c r="J197">
        <v>2</v>
      </c>
      <c r="K197" t="s">
        <v>40</v>
      </c>
      <c r="L197">
        <v>4</v>
      </c>
      <c r="M197">
        <v>1</v>
      </c>
      <c r="N197" t="s">
        <v>41</v>
      </c>
      <c r="O197">
        <v>1</v>
      </c>
      <c r="P197" t="s">
        <v>42</v>
      </c>
      <c r="Q197">
        <v>3564</v>
      </c>
      <c r="R197">
        <v>1</v>
      </c>
      <c r="S197" t="s">
        <v>30</v>
      </c>
      <c r="T197">
        <v>12</v>
      </c>
      <c r="U197">
        <v>3</v>
      </c>
      <c r="V197">
        <v>1</v>
      </c>
      <c r="W197">
        <v>1</v>
      </c>
      <c r="X197">
        <v>8</v>
      </c>
      <c r="Y197">
        <v>3</v>
      </c>
      <c r="Z197">
        <v>2</v>
      </c>
      <c r="AA197">
        <v>8</v>
      </c>
      <c r="AB197">
        <v>7</v>
      </c>
      <c r="AC197">
        <v>1</v>
      </c>
      <c r="AD197">
        <v>7</v>
      </c>
      <c r="AE197" t="str" cm="1">
        <f t="array" ref="AE197">_xlfn.IFS(G197=1,"Before College",G197=2,"College",G197=3,"Bachelor",G197=4,"Master",G197=5,"Doctor")</f>
        <v>Bachelor</v>
      </c>
      <c r="AF197" t="str" cm="1">
        <f t="array" ref="AF197">_xlfn.IFS(J197=1,"Low",J197=2,"Medium",J197=3,"High",J197=4,"Very High")</f>
        <v>Medium</v>
      </c>
      <c r="AG197" t="str" cm="1">
        <f t="array" ref="AG197">_xlfn.IFS(L197=1,"Low",L197=2,"Medium",L197=3,"High",L197=4,"Very High")</f>
        <v>Very High</v>
      </c>
      <c r="AH197" t="str" cm="1">
        <f t="array" ref="AH197">_xlfn.IFS(M197=1,"Junior employee",M197=2,"Mid-level",M197=3,"Senior",M197=4,"Manager",M197=5,"Executive")</f>
        <v>Junior employee</v>
      </c>
      <c r="AI197" t="str" cm="1">
        <f t="array" ref="AI197">_xlfn.IFS(O197=1,"Low",O197=2,"Medium",O197=3,"High",O197=4,"Very High")</f>
        <v>Low</v>
      </c>
      <c r="AJ197" t="str" cm="1">
        <f t="array" ref="AJ197">_xlfn.IFS(U197=1,"Low",U197=2,"Good",U197=3,"Excellent",U197=4,"Outstanding")</f>
        <v>Excellent</v>
      </c>
      <c r="AK197" t="str" cm="1">
        <f t="array" ref="AK197">_xlfn.IFS(V197=1,"Low",V197=2,"Medium",V197=3,"High",V197=4,"Very High")</f>
        <v>Low</v>
      </c>
      <c r="AL197" t="str" cm="1">
        <f t="array" ref="AL197">_xlfn.IFS(Z197=1,"Bad",Z197=2,"Good",Z197=3,"Better",Z197=4,"Best")</f>
        <v>Good</v>
      </c>
      <c r="AM197" t="str" cm="1">
        <f t="array" ref="AM197">_xlfn.IFS(W197=0,"No_stock",W197=1,"Low",W197=2,"Medium",W197=3,"High")</f>
        <v>Low</v>
      </c>
      <c r="AN197" t="str">
        <f t="shared" si="3"/>
        <v>Far</v>
      </c>
    </row>
    <row r="198" spans="1:40" x14ac:dyDescent="0.45">
      <c r="A198">
        <v>35</v>
      </c>
      <c r="B198" t="s">
        <v>37</v>
      </c>
      <c r="C198" t="s">
        <v>38</v>
      </c>
      <c r="D198">
        <v>138</v>
      </c>
      <c r="E198" t="s">
        <v>39</v>
      </c>
      <c r="F198">
        <v>2</v>
      </c>
      <c r="G198">
        <v>3</v>
      </c>
      <c r="H198" t="s">
        <v>45</v>
      </c>
      <c r="I198">
        <v>269</v>
      </c>
      <c r="J198">
        <v>2</v>
      </c>
      <c r="K198" t="s">
        <v>34</v>
      </c>
      <c r="L198">
        <v>3</v>
      </c>
      <c r="M198">
        <v>2</v>
      </c>
      <c r="N198" t="s">
        <v>44</v>
      </c>
      <c r="O198">
        <v>2</v>
      </c>
      <c r="P198" t="s">
        <v>36</v>
      </c>
      <c r="Q198">
        <v>4425</v>
      </c>
      <c r="R198">
        <v>5</v>
      </c>
      <c r="S198" t="s">
        <v>37</v>
      </c>
      <c r="T198">
        <v>11</v>
      </c>
      <c r="U198">
        <v>3</v>
      </c>
      <c r="V198">
        <v>4</v>
      </c>
      <c r="W198">
        <v>0</v>
      </c>
      <c r="X198">
        <v>10</v>
      </c>
      <c r="Y198">
        <v>5</v>
      </c>
      <c r="Z198">
        <v>3</v>
      </c>
      <c r="AA198">
        <v>6</v>
      </c>
      <c r="AB198">
        <v>2</v>
      </c>
      <c r="AC198">
        <v>1</v>
      </c>
      <c r="AD198">
        <v>2</v>
      </c>
      <c r="AE198" t="str" cm="1">
        <f t="array" ref="AE198">_xlfn.IFS(G198=1,"Before College",G198=2,"College",G198=3,"Bachelor",G198=4,"Master",G198=5,"Doctor")</f>
        <v>Bachelor</v>
      </c>
      <c r="AF198" t="str" cm="1">
        <f t="array" ref="AF198">_xlfn.IFS(J198=1,"Low",J198=2,"Medium",J198=3,"High",J198=4,"Very High")</f>
        <v>Medium</v>
      </c>
      <c r="AG198" t="str" cm="1">
        <f t="array" ref="AG198">_xlfn.IFS(L198=1,"Low",L198=2,"Medium",L198=3,"High",L198=4,"Very High")</f>
        <v>High</v>
      </c>
      <c r="AH198" t="str" cm="1">
        <f t="array" ref="AH198">_xlfn.IFS(M198=1,"Junior employee",M198=2,"Mid-level",M198=3,"Senior",M198=4,"Manager",M198=5,"Executive")</f>
        <v>Mid-level</v>
      </c>
      <c r="AI198" t="str" cm="1">
        <f t="array" ref="AI198">_xlfn.IFS(O198=1,"Low",O198=2,"Medium",O198=3,"High",O198=4,"Very High")</f>
        <v>Medium</v>
      </c>
      <c r="AJ198" t="str" cm="1">
        <f t="array" ref="AJ198">_xlfn.IFS(U198=1,"Low",U198=2,"Good",U198=3,"Excellent",U198=4,"Outstanding")</f>
        <v>Excellent</v>
      </c>
      <c r="AK198" t="str" cm="1">
        <f t="array" ref="AK198">_xlfn.IFS(V198=1,"Low",V198=2,"Medium",V198=3,"High",V198=4,"Very High")</f>
        <v>Very High</v>
      </c>
      <c r="AL198" t="str" cm="1">
        <f t="array" ref="AL198">_xlfn.IFS(Z198=1,"Bad",Z198=2,"Good",Z198=3,"Better",Z198=4,"Best")</f>
        <v>Better</v>
      </c>
      <c r="AM198" t="str" cm="1">
        <f t="array" ref="AM198">_xlfn.IFS(W198=0,"No_stock",W198=1,"Low",W198=2,"Medium",W198=3,"High")</f>
        <v>No_stock</v>
      </c>
      <c r="AN198" t="str">
        <f t="shared" si="3"/>
        <v>Near</v>
      </c>
    </row>
    <row r="199" spans="1:40" x14ac:dyDescent="0.45">
      <c r="A199">
        <v>42</v>
      </c>
      <c r="B199" t="s">
        <v>37</v>
      </c>
      <c r="C199" t="s">
        <v>49</v>
      </c>
      <c r="D199">
        <v>926</v>
      </c>
      <c r="E199" t="s">
        <v>39</v>
      </c>
      <c r="F199">
        <v>21</v>
      </c>
      <c r="G199">
        <v>2</v>
      </c>
      <c r="H199" t="s">
        <v>45</v>
      </c>
      <c r="I199">
        <v>270</v>
      </c>
      <c r="J199">
        <v>3</v>
      </c>
      <c r="K199" t="s">
        <v>34</v>
      </c>
      <c r="L199">
        <v>3</v>
      </c>
      <c r="M199">
        <v>2</v>
      </c>
      <c r="N199" t="s">
        <v>47</v>
      </c>
      <c r="O199">
        <v>3</v>
      </c>
      <c r="P199" t="s">
        <v>46</v>
      </c>
      <c r="Q199">
        <v>5265</v>
      </c>
      <c r="R199">
        <v>2</v>
      </c>
      <c r="S199" t="s">
        <v>37</v>
      </c>
      <c r="T199">
        <v>16</v>
      </c>
      <c r="U199">
        <v>3</v>
      </c>
      <c r="V199">
        <v>2</v>
      </c>
      <c r="W199">
        <v>1</v>
      </c>
      <c r="X199">
        <v>11</v>
      </c>
      <c r="Y199">
        <v>5</v>
      </c>
      <c r="Z199">
        <v>3</v>
      </c>
      <c r="AA199">
        <v>5</v>
      </c>
      <c r="AB199">
        <v>3</v>
      </c>
      <c r="AC199">
        <v>0</v>
      </c>
      <c r="AD199">
        <v>2</v>
      </c>
      <c r="AE199" t="str" cm="1">
        <f t="array" ref="AE199">_xlfn.IFS(G199=1,"Before College",G199=2,"College",G199=3,"Bachelor",G199=4,"Master",G199=5,"Doctor")</f>
        <v>College</v>
      </c>
      <c r="AF199" t="str" cm="1">
        <f t="array" ref="AF199">_xlfn.IFS(J199=1,"Low",J199=2,"Medium",J199=3,"High",J199=4,"Very High")</f>
        <v>High</v>
      </c>
      <c r="AG199" t="str" cm="1">
        <f t="array" ref="AG199">_xlfn.IFS(L199=1,"Low",L199=2,"Medium",L199=3,"High",L199=4,"Very High")</f>
        <v>High</v>
      </c>
      <c r="AH199" t="str" cm="1">
        <f t="array" ref="AH199">_xlfn.IFS(M199=1,"Junior employee",M199=2,"Mid-level",M199=3,"Senior",M199=4,"Manager",M199=5,"Executive")</f>
        <v>Mid-level</v>
      </c>
      <c r="AI199" t="str" cm="1">
        <f t="array" ref="AI199">_xlfn.IFS(O199=1,"Low",O199=2,"Medium",O199=3,"High",O199=4,"Very High")</f>
        <v>High</v>
      </c>
      <c r="AJ199" t="str" cm="1">
        <f t="array" ref="AJ199">_xlfn.IFS(U199=1,"Low",U199=2,"Good",U199=3,"Excellent",U199=4,"Outstanding")</f>
        <v>Excellent</v>
      </c>
      <c r="AK199" t="str" cm="1">
        <f t="array" ref="AK199">_xlfn.IFS(V199=1,"Low",V199=2,"Medium",V199=3,"High",V199=4,"Very High")</f>
        <v>Medium</v>
      </c>
      <c r="AL199" t="str" cm="1">
        <f t="array" ref="AL199">_xlfn.IFS(Z199=1,"Bad",Z199=2,"Good",Z199=3,"Better",Z199=4,"Best")</f>
        <v>Better</v>
      </c>
      <c r="AM199" t="str" cm="1">
        <f t="array" ref="AM199">_xlfn.IFS(W199=0,"No_stock",W199=1,"Low",W199=2,"Medium",W199=3,"High")</f>
        <v>Low</v>
      </c>
      <c r="AN199" t="str">
        <f t="shared" si="3"/>
        <v>Far</v>
      </c>
    </row>
    <row r="200" spans="1:40" x14ac:dyDescent="0.45">
      <c r="A200">
        <v>38</v>
      </c>
      <c r="B200" t="s">
        <v>37</v>
      </c>
      <c r="C200" t="s">
        <v>31</v>
      </c>
      <c r="D200">
        <v>1261</v>
      </c>
      <c r="E200" t="s">
        <v>39</v>
      </c>
      <c r="F200">
        <v>2</v>
      </c>
      <c r="G200">
        <v>4</v>
      </c>
      <c r="H200" t="s">
        <v>33</v>
      </c>
      <c r="I200">
        <v>271</v>
      </c>
      <c r="J200">
        <v>4</v>
      </c>
      <c r="K200" t="s">
        <v>40</v>
      </c>
      <c r="L200">
        <v>3</v>
      </c>
      <c r="M200">
        <v>2</v>
      </c>
      <c r="N200" t="s">
        <v>47</v>
      </c>
      <c r="O200">
        <v>3</v>
      </c>
      <c r="P200" t="s">
        <v>42</v>
      </c>
      <c r="Q200">
        <v>6553</v>
      </c>
      <c r="R200">
        <v>9</v>
      </c>
      <c r="S200" t="s">
        <v>37</v>
      </c>
      <c r="T200">
        <v>14</v>
      </c>
      <c r="U200">
        <v>3</v>
      </c>
      <c r="V200">
        <v>2</v>
      </c>
      <c r="W200">
        <v>0</v>
      </c>
      <c r="X200">
        <v>14</v>
      </c>
      <c r="Y200">
        <v>3</v>
      </c>
      <c r="Z200">
        <v>3</v>
      </c>
      <c r="AA200">
        <v>1</v>
      </c>
      <c r="AB200">
        <v>0</v>
      </c>
      <c r="AC200">
        <v>0</v>
      </c>
      <c r="AD200">
        <v>0</v>
      </c>
      <c r="AE200" t="str" cm="1">
        <f t="array" ref="AE200">_xlfn.IFS(G200=1,"Before College",G200=2,"College",G200=3,"Bachelor",G200=4,"Master",G200=5,"Doctor")</f>
        <v>Master</v>
      </c>
      <c r="AF200" t="str" cm="1">
        <f t="array" ref="AF200">_xlfn.IFS(J200=1,"Low",J200=2,"Medium",J200=3,"High",J200=4,"Very High")</f>
        <v>Very High</v>
      </c>
      <c r="AG200" t="str" cm="1">
        <f t="array" ref="AG200">_xlfn.IFS(L200=1,"Low",L200=2,"Medium",L200=3,"High",L200=4,"Very High")</f>
        <v>High</v>
      </c>
      <c r="AH200" t="str" cm="1">
        <f t="array" ref="AH200">_xlfn.IFS(M200=1,"Junior employee",M200=2,"Mid-level",M200=3,"Senior",M200=4,"Manager",M200=5,"Executive")</f>
        <v>Mid-level</v>
      </c>
      <c r="AI200" t="str" cm="1">
        <f t="array" ref="AI200">_xlfn.IFS(O200=1,"Low",O200=2,"Medium",O200=3,"High",O200=4,"Very High")</f>
        <v>High</v>
      </c>
      <c r="AJ200" t="str" cm="1">
        <f t="array" ref="AJ200">_xlfn.IFS(U200=1,"Low",U200=2,"Good",U200=3,"Excellent",U200=4,"Outstanding")</f>
        <v>Excellent</v>
      </c>
      <c r="AK200" t="str" cm="1">
        <f t="array" ref="AK200">_xlfn.IFS(V200=1,"Low",V200=2,"Medium",V200=3,"High",V200=4,"Very High")</f>
        <v>Medium</v>
      </c>
      <c r="AL200" t="str" cm="1">
        <f t="array" ref="AL200">_xlfn.IFS(Z200=1,"Bad",Z200=2,"Good",Z200=3,"Better",Z200=4,"Best")</f>
        <v>Better</v>
      </c>
      <c r="AM200" t="str" cm="1">
        <f t="array" ref="AM200">_xlfn.IFS(W200=0,"No_stock",W200=1,"Low",W200=2,"Medium",W200=3,"High")</f>
        <v>No_stock</v>
      </c>
      <c r="AN200" t="str">
        <f t="shared" si="3"/>
        <v>Near</v>
      </c>
    </row>
    <row r="201" spans="1:40" x14ac:dyDescent="0.45">
      <c r="A201">
        <v>38</v>
      </c>
      <c r="B201" t="s">
        <v>37</v>
      </c>
      <c r="C201" t="s">
        <v>31</v>
      </c>
      <c r="D201">
        <v>1084</v>
      </c>
      <c r="E201" t="s">
        <v>39</v>
      </c>
      <c r="F201">
        <v>29</v>
      </c>
      <c r="G201">
        <v>3</v>
      </c>
      <c r="H201" t="s">
        <v>54</v>
      </c>
      <c r="I201">
        <v>273</v>
      </c>
      <c r="J201">
        <v>4</v>
      </c>
      <c r="K201" t="s">
        <v>40</v>
      </c>
      <c r="L201">
        <v>3</v>
      </c>
      <c r="M201">
        <v>2</v>
      </c>
      <c r="N201" t="s">
        <v>47</v>
      </c>
      <c r="O201">
        <v>4</v>
      </c>
      <c r="P201" t="s">
        <v>42</v>
      </c>
      <c r="Q201">
        <v>6261</v>
      </c>
      <c r="R201">
        <v>3</v>
      </c>
      <c r="S201" t="s">
        <v>37</v>
      </c>
      <c r="T201">
        <v>18</v>
      </c>
      <c r="U201">
        <v>3</v>
      </c>
      <c r="V201">
        <v>1</v>
      </c>
      <c r="W201">
        <v>1</v>
      </c>
      <c r="X201">
        <v>9</v>
      </c>
      <c r="Y201">
        <v>3</v>
      </c>
      <c r="Z201">
        <v>1</v>
      </c>
      <c r="AA201">
        <v>7</v>
      </c>
      <c r="AB201">
        <v>7</v>
      </c>
      <c r="AC201">
        <v>1</v>
      </c>
      <c r="AD201">
        <v>7</v>
      </c>
      <c r="AE201" t="str" cm="1">
        <f t="array" ref="AE201">_xlfn.IFS(G201=1,"Before College",G201=2,"College",G201=3,"Bachelor",G201=4,"Master",G201=5,"Doctor")</f>
        <v>Bachelor</v>
      </c>
      <c r="AF201" t="str" cm="1">
        <f t="array" ref="AF201">_xlfn.IFS(J201=1,"Low",J201=2,"Medium",J201=3,"High",J201=4,"Very High")</f>
        <v>Very High</v>
      </c>
      <c r="AG201" t="str" cm="1">
        <f t="array" ref="AG201">_xlfn.IFS(L201=1,"Low",L201=2,"Medium",L201=3,"High",L201=4,"Very High")</f>
        <v>High</v>
      </c>
      <c r="AH201" t="str" cm="1">
        <f t="array" ref="AH201">_xlfn.IFS(M201=1,"Junior employee",M201=2,"Mid-level",M201=3,"Senior",M201=4,"Manager",M201=5,"Executive")</f>
        <v>Mid-level</v>
      </c>
      <c r="AI201" t="str" cm="1">
        <f t="array" ref="AI201">_xlfn.IFS(O201=1,"Low",O201=2,"Medium",O201=3,"High",O201=4,"Very High")</f>
        <v>Very High</v>
      </c>
      <c r="AJ201" t="str" cm="1">
        <f t="array" ref="AJ201">_xlfn.IFS(U201=1,"Low",U201=2,"Good",U201=3,"Excellent",U201=4,"Outstanding")</f>
        <v>Excellent</v>
      </c>
      <c r="AK201" t="str" cm="1">
        <f t="array" ref="AK201">_xlfn.IFS(V201=1,"Low",V201=2,"Medium",V201=3,"High",V201=4,"Very High")</f>
        <v>Low</v>
      </c>
      <c r="AL201" t="str" cm="1">
        <f t="array" ref="AL201">_xlfn.IFS(Z201=1,"Bad",Z201=2,"Good",Z201=3,"Better",Z201=4,"Best")</f>
        <v>Bad</v>
      </c>
      <c r="AM201" t="str" cm="1">
        <f t="array" ref="AM201">_xlfn.IFS(W201=0,"No_stock",W201=1,"Low",W201=2,"Medium",W201=3,"High")</f>
        <v>Low</v>
      </c>
      <c r="AN201" t="str">
        <f t="shared" si="3"/>
        <v>Far</v>
      </c>
    </row>
    <row r="202" spans="1:40" x14ac:dyDescent="0.45">
      <c r="A202">
        <v>27</v>
      </c>
      <c r="B202" t="s">
        <v>37</v>
      </c>
      <c r="C202" t="s">
        <v>38</v>
      </c>
      <c r="D202">
        <v>472</v>
      </c>
      <c r="E202" t="s">
        <v>39</v>
      </c>
      <c r="F202">
        <v>1</v>
      </c>
      <c r="G202">
        <v>1</v>
      </c>
      <c r="H202" t="s">
        <v>54</v>
      </c>
      <c r="I202">
        <v>274</v>
      </c>
      <c r="J202">
        <v>3</v>
      </c>
      <c r="K202" t="s">
        <v>40</v>
      </c>
      <c r="L202">
        <v>2</v>
      </c>
      <c r="M202">
        <v>2</v>
      </c>
      <c r="N202" t="s">
        <v>47</v>
      </c>
      <c r="O202">
        <v>1</v>
      </c>
      <c r="P202" t="s">
        <v>42</v>
      </c>
      <c r="Q202">
        <v>4298</v>
      </c>
      <c r="R202">
        <v>5</v>
      </c>
      <c r="S202" t="s">
        <v>37</v>
      </c>
      <c r="T202">
        <v>19</v>
      </c>
      <c r="U202">
        <v>3</v>
      </c>
      <c r="V202">
        <v>3</v>
      </c>
      <c r="W202">
        <v>1</v>
      </c>
      <c r="X202">
        <v>6</v>
      </c>
      <c r="Y202">
        <v>1</v>
      </c>
      <c r="Z202">
        <v>3</v>
      </c>
      <c r="AA202">
        <v>2</v>
      </c>
      <c r="AB202">
        <v>2</v>
      </c>
      <c r="AC202">
        <v>2</v>
      </c>
      <c r="AD202">
        <v>0</v>
      </c>
      <c r="AE202" t="str" cm="1">
        <f t="array" ref="AE202">_xlfn.IFS(G202=1,"Before College",G202=2,"College",G202=3,"Bachelor",G202=4,"Master",G202=5,"Doctor")</f>
        <v>Before College</v>
      </c>
      <c r="AF202" t="str" cm="1">
        <f t="array" ref="AF202">_xlfn.IFS(J202=1,"Low",J202=2,"Medium",J202=3,"High",J202=4,"Very High")</f>
        <v>High</v>
      </c>
      <c r="AG202" t="str" cm="1">
        <f t="array" ref="AG202">_xlfn.IFS(L202=1,"Low",L202=2,"Medium",L202=3,"High",L202=4,"Very High")</f>
        <v>Medium</v>
      </c>
      <c r="AH202" t="str" cm="1">
        <f t="array" ref="AH202">_xlfn.IFS(M202=1,"Junior employee",M202=2,"Mid-level",M202=3,"Senior",M202=4,"Manager",M202=5,"Executive")</f>
        <v>Mid-level</v>
      </c>
      <c r="AI202" t="str" cm="1">
        <f t="array" ref="AI202">_xlfn.IFS(O202=1,"Low",O202=2,"Medium",O202=3,"High",O202=4,"Very High")</f>
        <v>Low</v>
      </c>
      <c r="AJ202" t="str" cm="1">
        <f t="array" ref="AJ202">_xlfn.IFS(U202=1,"Low",U202=2,"Good",U202=3,"Excellent",U202=4,"Outstanding")</f>
        <v>Excellent</v>
      </c>
      <c r="AK202" t="str" cm="1">
        <f t="array" ref="AK202">_xlfn.IFS(V202=1,"Low",V202=2,"Medium",V202=3,"High",V202=4,"Very High")</f>
        <v>High</v>
      </c>
      <c r="AL202" t="str" cm="1">
        <f t="array" ref="AL202">_xlfn.IFS(Z202=1,"Bad",Z202=2,"Good",Z202=3,"Better",Z202=4,"Best")</f>
        <v>Better</v>
      </c>
      <c r="AM202" t="str" cm="1">
        <f t="array" ref="AM202">_xlfn.IFS(W202=0,"No_stock",W202=1,"Low",W202=2,"Medium",W202=3,"High")</f>
        <v>Low</v>
      </c>
      <c r="AN202" t="str">
        <f t="shared" si="3"/>
        <v>Near</v>
      </c>
    </row>
    <row r="203" spans="1:40" x14ac:dyDescent="0.45">
      <c r="A203">
        <v>49</v>
      </c>
      <c r="B203" t="s">
        <v>37</v>
      </c>
      <c r="C203" t="s">
        <v>49</v>
      </c>
      <c r="D203">
        <v>1002</v>
      </c>
      <c r="E203" t="s">
        <v>39</v>
      </c>
      <c r="F203">
        <v>18</v>
      </c>
      <c r="G203">
        <v>4</v>
      </c>
      <c r="H203" t="s">
        <v>33</v>
      </c>
      <c r="I203">
        <v>275</v>
      </c>
      <c r="J203">
        <v>4</v>
      </c>
      <c r="K203" t="s">
        <v>40</v>
      </c>
      <c r="L203">
        <v>3</v>
      </c>
      <c r="M203">
        <v>2</v>
      </c>
      <c r="N203" t="s">
        <v>47</v>
      </c>
      <c r="O203">
        <v>4</v>
      </c>
      <c r="P203" t="s">
        <v>46</v>
      </c>
      <c r="Q203">
        <v>6804</v>
      </c>
      <c r="R203">
        <v>1</v>
      </c>
      <c r="S203" t="s">
        <v>30</v>
      </c>
      <c r="T203">
        <v>15</v>
      </c>
      <c r="U203">
        <v>3</v>
      </c>
      <c r="V203">
        <v>1</v>
      </c>
      <c r="W203">
        <v>2</v>
      </c>
      <c r="X203">
        <v>7</v>
      </c>
      <c r="Y203">
        <v>0</v>
      </c>
      <c r="Z203">
        <v>3</v>
      </c>
      <c r="AA203">
        <v>7</v>
      </c>
      <c r="AB203">
        <v>7</v>
      </c>
      <c r="AC203">
        <v>1</v>
      </c>
      <c r="AD203">
        <v>7</v>
      </c>
      <c r="AE203" t="str" cm="1">
        <f t="array" ref="AE203">_xlfn.IFS(G203=1,"Before College",G203=2,"College",G203=3,"Bachelor",G203=4,"Master",G203=5,"Doctor")</f>
        <v>Master</v>
      </c>
      <c r="AF203" t="str" cm="1">
        <f t="array" ref="AF203">_xlfn.IFS(J203=1,"Low",J203=2,"Medium",J203=3,"High",J203=4,"Very High")</f>
        <v>Very High</v>
      </c>
      <c r="AG203" t="str" cm="1">
        <f t="array" ref="AG203">_xlfn.IFS(L203=1,"Low",L203=2,"Medium",L203=3,"High",L203=4,"Very High")</f>
        <v>High</v>
      </c>
      <c r="AH203" t="str" cm="1">
        <f t="array" ref="AH203">_xlfn.IFS(M203=1,"Junior employee",M203=2,"Mid-level",M203=3,"Senior",M203=4,"Manager",M203=5,"Executive")</f>
        <v>Mid-level</v>
      </c>
      <c r="AI203" t="str" cm="1">
        <f t="array" ref="AI203">_xlfn.IFS(O203=1,"Low",O203=2,"Medium",O203=3,"High",O203=4,"Very High")</f>
        <v>Very High</v>
      </c>
      <c r="AJ203" t="str" cm="1">
        <f t="array" ref="AJ203">_xlfn.IFS(U203=1,"Low",U203=2,"Good",U203=3,"Excellent",U203=4,"Outstanding")</f>
        <v>Excellent</v>
      </c>
      <c r="AK203" t="str" cm="1">
        <f t="array" ref="AK203">_xlfn.IFS(V203=1,"Low",V203=2,"Medium",V203=3,"High",V203=4,"Very High")</f>
        <v>Low</v>
      </c>
      <c r="AL203" t="str" cm="1">
        <f t="array" ref="AL203">_xlfn.IFS(Z203=1,"Bad",Z203=2,"Good",Z203=3,"Better",Z203=4,"Best")</f>
        <v>Better</v>
      </c>
      <c r="AM203" t="str" cm="1">
        <f t="array" ref="AM203">_xlfn.IFS(W203=0,"No_stock",W203=1,"Low",W203=2,"Medium",W203=3,"High")</f>
        <v>Medium</v>
      </c>
      <c r="AN203" t="str">
        <f t="shared" si="3"/>
        <v>Far</v>
      </c>
    </row>
    <row r="204" spans="1:40" x14ac:dyDescent="0.45">
      <c r="A204">
        <v>34</v>
      </c>
      <c r="B204" t="s">
        <v>37</v>
      </c>
      <c r="C204" t="s">
        <v>38</v>
      </c>
      <c r="D204">
        <v>878</v>
      </c>
      <c r="E204" t="s">
        <v>39</v>
      </c>
      <c r="F204">
        <v>10</v>
      </c>
      <c r="G204">
        <v>4</v>
      </c>
      <c r="H204" t="s">
        <v>45</v>
      </c>
      <c r="I204">
        <v>277</v>
      </c>
      <c r="J204">
        <v>4</v>
      </c>
      <c r="K204" t="s">
        <v>40</v>
      </c>
      <c r="L204">
        <v>3</v>
      </c>
      <c r="M204">
        <v>1</v>
      </c>
      <c r="N204" t="s">
        <v>41</v>
      </c>
      <c r="O204">
        <v>3</v>
      </c>
      <c r="P204" t="s">
        <v>46</v>
      </c>
      <c r="Q204">
        <v>3815</v>
      </c>
      <c r="R204">
        <v>1</v>
      </c>
      <c r="S204" t="s">
        <v>30</v>
      </c>
      <c r="T204">
        <v>17</v>
      </c>
      <c r="U204">
        <v>3</v>
      </c>
      <c r="V204">
        <v>4</v>
      </c>
      <c r="W204">
        <v>1</v>
      </c>
      <c r="X204">
        <v>5</v>
      </c>
      <c r="Y204">
        <v>4</v>
      </c>
      <c r="Z204">
        <v>4</v>
      </c>
      <c r="AA204">
        <v>5</v>
      </c>
      <c r="AB204">
        <v>3</v>
      </c>
      <c r="AC204">
        <v>2</v>
      </c>
      <c r="AD204">
        <v>0</v>
      </c>
      <c r="AE204" t="str" cm="1">
        <f t="array" ref="AE204">_xlfn.IFS(G204=1,"Before College",G204=2,"College",G204=3,"Bachelor",G204=4,"Master",G204=5,"Doctor")</f>
        <v>Master</v>
      </c>
      <c r="AF204" t="str" cm="1">
        <f t="array" ref="AF204">_xlfn.IFS(J204=1,"Low",J204=2,"Medium",J204=3,"High",J204=4,"Very High")</f>
        <v>Very High</v>
      </c>
      <c r="AG204" t="str" cm="1">
        <f t="array" ref="AG204">_xlfn.IFS(L204=1,"Low",L204=2,"Medium",L204=3,"High",L204=4,"Very High")</f>
        <v>High</v>
      </c>
      <c r="AH204" t="str" cm="1">
        <f t="array" ref="AH204">_xlfn.IFS(M204=1,"Junior employee",M204=2,"Mid-level",M204=3,"Senior",M204=4,"Manager",M204=5,"Executive")</f>
        <v>Junior employee</v>
      </c>
      <c r="AI204" t="str" cm="1">
        <f t="array" ref="AI204">_xlfn.IFS(O204=1,"Low",O204=2,"Medium",O204=3,"High",O204=4,"Very High")</f>
        <v>High</v>
      </c>
      <c r="AJ204" t="str" cm="1">
        <f t="array" ref="AJ204">_xlfn.IFS(U204=1,"Low",U204=2,"Good",U204=3,"Excellent",U204=4,"Outstanding")</f>
        <v>Excellent</v>
      </c>
      <c r="AK204" t="str" cm="1">
        <f t="array" ref="AK204">_xlfn.IFS(V204=1,"Low",V204=2,"Medium",V204=3,"High",V204=4,"Very High")</f>
        <v>Very High</v>
      </c>
      <c r="AL204" t="str" cm="1">
        <f t="array" ref="AL204">_xlfn.IFS(Z204=1,"Bad",Z204=2,"Good",Z204=3,"Better",Z204=4,"Best")</f>
        <v>Best</v>
      </c>
      <c r="AM204" t="str" cm="1">
        <f t="array" ref="AM204">_xlfn.IFS(W204=0,"No_stock",W204=1,"Low",W204=2,"Medium",W204=3,"High")</f>
        <v>Low</v>
      </c>
      <c r="AN204" t="str">
        <f t="shared" si="3"/>
        <v>Medium</v>
      </c>
    </row>
    <row r="205" spans="1:40" x14ac:dyDescent="0.45">
      <c r="A205">
        <v>40</v>
      </c>
      <c r="B205" t="s">
        <v>37</v>
      </c>
      <c r="C205" t="s">
        <v>31</v>
      </c>
      <c r="D205">
        <v>905</v>
      </c>
      <c r="E205" t="s">
        <v>39</v>
      </c>
      <c r="F205">
        <v>19</v>
      </c>
      <c r="G205">
        <v>2</v>
      </c>
      <c r="H205" t="s">
        <v>45</v>
      </c>
      <c r="I205">
        <v>281</v>
      </c>
      <c r="J205">
        <v>3</v>
      </c>
      <c r="K205" t="s">
        <v>40</v>
      </c>
      <c r="L205">
        <v>3</v>
      </c>
      <c r="M205">
        <v>2</v>
      </c>
      <c r="N205" t="s">
        <v>44</v>
      </c>
      <c r="O205">
        <v>4</v>
      </c>
      <c r="P205" t="s">
        <v>42</v>
      </c>
      <c r="Q205">
        <v>2741</v>
      </c>
      <c r="R205">
        <v>8</v>
      </c>
      <c r="S205" t="s">
        <v>30</v>
      </c>
      <c r="T205">
        <v>15</v>
      </c>
      <c r="U205">
        <v>3</v>
      </c>
      <c r="V205">
        <v>3</v>
      </c>
      <c r="W205">
        <v>1</v>
      </c>
      <c r="X205">
        <v>15</v>
      </c>
      <c r="Y205">
        <v>2</v>
      </c>
      <c r="Z205">
        <v>4</v>
      </c>
      <c r="AA205">
        <v>7</v>
      </c>
      <c r="AB205">
        <v>2</v>
      </c>
      <c r="AC205">
        <v>3</v>
      </c>
      <c r="AD205">
        <v>7</v>
      </c>
      <c r="AE205" t="str" cm="1">
        <f t="array" ref="AE205">_xlfn.IFS(G205=1,"Before College",G205=2,"College",G205=3,"Bachelor",G205=4,"Master",G205=5,"Doctor")</f>
        <v>College</v>
      </c>
      <c r="AF205" t="str" cm="1">
        <f t="array" ref="AF205">_xlfn.IFS(J205=1,"Low",J205=2,"Medium",J205=3,"High",J205=4,"Very High")</f>
        <v>High</v>
      </c>
      <c r="AG205" t="str" cm="1">
        <f t="array" ref="AG205">_xlfn.IFS(L205=1,"Low",L205=2,"Medium",L205=3,"High",L205=4,"Very High")</f>
        <v>High</v>
      </c>
      <c r="AH205" t="str" cm="1">
        <f t="array" ref="AH205">_xlfn.IFS(M205=1,"Junior employee",M205=2,"Mid-level",M205=3,"Senior",M205=4,"Manager",M205=5,"Executive")</f>
        <v>Mid-level</v>
      </c>
      <c r="AI205" t="str" cm="1">
        <f t="array" ref="AI205">_xlfn.IFS(O205=1,"Low",O205=2,"Medium",O205=3,"High",O205=4,"Very High")</f>
        <v>Very High</v>
      </c>
      <c r="AJ205" t="str" cm="1">
        <f t="array" ref="AJ205">_xlfn.IFS(U205=1,"Low",U205=2,"Good",U205=3,"Excellent",U205=4,"Outstanding")</f>
        <v>Excellent</v>
      </c>
      <c r="AK205" t="str" cm="1">
        <f t="array" ref="AK205">_xlfn.IFS(V205=1,"Low",V205=2,"Medium",V205=3,"High",V205=4,"Very High")</f>
        <v>High</v>
      </c>
      <c r="AL205" t="str" cm="1">
        <f t="array" ref="AL205">_xlfn.IFS(Z205=1,"Bad",Z205=2,"Good",Z205=3,"Better",Z205=4,"Best")</f>
        <v>Best</v>
      </c>
      <c r="AM205" t="str" cm="1">
        <f t="array" ref="AM205">_xlfn.IFS(W205=0,"No_stock",W205=1,"Low",W205=2,"Medium",W205=3,"High")</f>
        <v>Low</v>
      </c>
      <c r="AN205" t="str">
        <f t="shared" si="3"/>
        <v>Far</v>
      </c>
    </row>
    <row r="206" spans="1:40" x14ac:dyDescent="0.45">
      <c r="A206">
        <v>38</v>
      </c>
      <c r="B206" t="s">
        <v>30</v>
      </c>
      <c r="C206" t="s">
        <v>31</v>
      </c>
      <c r="D206">
        <v>1180</v>
      </c>
      <c r="E206" t="s">
        <v>39</v>
      </c>
      <c r="F206">
        <v>29</v>
      </c>
      <c r="G206">
        <v>1</v>
      </c>
      <c r="H206" t="s">
        <v>45</v>
      </c>
      <c r="I206">
        <v>282</v>
      </c>
      <c r="J206">
        <v>2</v>
      </c>
      <c r="K206" t="s">
        <v>40</v>
      </c>
      <c r="L206">
        <v>3</v>
      </c>
      <c r="M206">
        <v>2</v>
      </c>
      <c r="N206" t="s">
        <v>48</v>
      </c>
      <c r="O206">
        <v>1</v>
      </c>
      <c r="P206" t="s">
        <v>42</v>
      </c>
      <c r="Q206">
        <v>6673</v>
      </c>
      <c r="R206">
        <v>7</v>
      </c>
      <c r="S206" t="s">
        <v>30</v>
      </c>
      <c r="T206">
        <v>19</v>
      </c>
      <c r="U206">
        <v>3</v>
      </c>
      <c r="V206">
        <v>2</v>
      </c>
      <c r="W206">
        <v>0</v>
      </c>
      <c r="X206">
        <v>17</v>
      </c>
      <c r="Y206">
        <v>2</v>
      </c>
      <c r="Z206">
        <v>3</v>
      </c>
      <c r="AA206">
        <v>1</v>
      </c>
      <c r="AB206">
        <v>0</v>
      </c>
      <c r="AC206">
        <v>0</v>
      </c>
      <c r="AD206">
        <v>0</v>
      </c>
      <c r="AE206" t="str" cm="1">
        <f t="array" ref="AE206">_xlfn.IFS(G206=1,"Before College",G206=2,"College",G206=3,"Bachelor",G206=4,"Master",G206=5,"Doctor")</f>
        <v>Before College</v>
      </c>
      <c r="AF206" t="str" cm="1">
        <f t="array" ref="AF206">_xlfn.IFS(J206=1,"Low",J206=2,"Medium",J206=3,"High",J206=4,"Very High")</f>
        <v>Medium</v>
      </c>
      <c r="AG206" t="str" cm="1">
        <f t="array" ref="AG206">_xlfn.IFS(L206=1,"Low",L206=2,"Medium",L206=3,"High",L206=4,"Very High")</f>
        <v>High</v>
      </c>
      <c r="AH206" t="str" cm="1">
        <f t="array" ref="AH206">_xlfn.IFS(M206=1,"Junior employee",M206=2,"Mid-level",M206=3,"Senior",M206=4,"Manager",M206=5,"Executive")</f>
        <v>Mid-level</v>
      </c>
      <c r="AI206" t="str" cm="1">
        <f t="array" ref="AI206">_xlfn.IFS(O206=1,"Low",O206=2,"Medium",O206=3,"High",O206=4,"Very High")</f>
        <v>Low</v>
      </c>
      <c r="AJ206" t="str" cm="1">
        <f t="array" ref="AJ206">_xlfn.IFS(U206=1,"Low",U206=2,"Good",U206=3,"Excellent",U206=4,"Outstanding")</f>
        <v>Excellent</v>
      </c>
      <c r="AK206" t="str" cm="1">
        <f t="array" ref="AK206">_xlfn.IFS(V206=1,"Low",V206=2,"Medium",V206=3,"High",V206=4,"Very High")</f>
        <v>Medium</v>
      </c>
      <c r="AL206" t="str" cm="1">
        <f t="array" ref="AL206">_xlfn.IFS(Z206=1,"Bad",Z206=2,"Good",Z206=3,"Better",Z206=4,"Best")</f>
        <v>Better</v>
      </c>
      <c r="AM206" t="str" cm="1">
        <f t="array" ref="AM206">_xlfn.IFS(W206=0,"No_stock",W206=1,"Low",W206=2,"Medium",W206=3,"High")</f>
        <v>No_stock</v>
      </c>
      <c r="AN206" t="str">
        <f t="shared" si="3"/>
        <v>Far</v>
      </c>
    </row>
    <row r="207" spans="1:40" x14ac:dyDescent="0.45">
      <c r="A207">
        <v>29</v>
      </c>
      <c r="B207" t="s">
        <v>30</v>
      </c>
      <c r="C207" t="s">
        <v>31</v>
      </c>
      <c r="D207">
        <v>121</v>
      </c>
      <c r="E207" t="s">
        <v>32</v>
      </c>
      <c r="F207">
        <v>27</v>
      </c>
      <c r="G207">
        <v>3</v>
      </c>
      <c r="H207" t="s">
        <v>53</v>
      </c>
      <c r="I207">
        <v>283</v>
      </c>
      <c r="J207">
        <v>2</v>
      </c>
      <c r="K207" t="s">
        <v>34</v>
      </c>
      <c r="L207">
        <v>3</v>
      </c>
      <c r="M207">
        <v>3</v>
      </c>
      <c r="N207" t="s">
        <v>35</v>
      </c>
      <c r="O207">
        <v>4</v>
      </c>
      <c r="P207" t="s">
        <v>42</v>
      </c>
      <c r="Q207">
        <v>7639</v>
      </c>
      <c r="R207">
        <v>1</v>
      </c>
      <c r="S207" t="s">
        <v>37</v>
      </c>
      <c r="T207">
        <v>22</v>
      </c>
      <c r="U207">
        <v>4</v>
      </c>
      <c r="V207">
        <v>4</v>
      </c>
      <c r="W207">
        <v>3</v>
      </c>
      <c r="X207">
        <v>10</v>
      </c>
      <c r="Y207">
        <v>3</v>
      </c>
      <c r="Z207">
        <v>2</v>
      </c>
      <c r="AA207">
        <v>10</v>
      </c>
      <c r="AB207">
        <v>4</v>
      </c>
      <c r="AC207">
        <v>1</v>
      </c>
      <c r="AD207">
        <v>9</v>
      </c>
      <c r="AE207" t="str" cm="1">
        <f t="array" ref="AE207">_xlfn.IFS(G207=1,"Before College",G207=2,"College",G207=3,"Bachelor",G207=4,"Master",G207=5,"Doctor")</f>
        <v>Bachelor</v>
      </c>
      <c r="AF207" t="str" cm="1">
        <f t="array" ref="AF207">_xlfn.IFS(J207=1,"Low",J207=2,"Medium",J207=3,"High",J207=4,"Very High")</f>
        <v>Medium</v>
      </c>
      <c r="AG207" t="str" cm="1">
        <f t="array" ref="AG207">_xlfn.IFS(L207=1,"Low",L207=2,"Medium",L207=3,"High",L207=4,"Very High")</f>
        <v>High</v>
      </c>
      <c r="AH207" t="str" cm="1">
        <f t="array" ref="AH207">_xlfn.IFS(M207=1,"Junior employee",M207=2,"Mid-level",M207=3,"Senior",M207=4,"Manager",M207=5,"Executive")</f>
        <v>Senior</v>
      </c>
      <c r="AI207" t="str" cm="1">
        <f t="array" ref="AI207">_xlfn.IFS(O207=1,"Low",O207=2,"Medium",O207=3,"High",O207=4,"Very High")</f>
        <v>Very High</v>
      </c>
      <c r="AJ207" t="str" cm="1">
        <f t="array" ref="AJ207">_xlfn.IFS(U207=1,"Low",U207=2,"Good",U207=3,"Excellent",U207=4,"Outstanding")</f>
        <v>Outstanding</v>
      </c>
      <c r="AK207" t="str" cm="1">
        <f t="array" ref="AK207">_xlfn.IFS(V207=1,"Low",V207=2,"Medium",V207=3,"High",V207=4,"Very High")</f>
        <v>Very High</v>
      </c>
      <c r="AL207" t="str" cm="1">
        <f t="array" ref="AL207">_xlfn.IFS(Z207=1,"Bad",Z207=2,"Good",Z207=3,"Better",Z207=4,"Best")</f>
        <v>Good</v>
      </c>
      <c r="AM207" t="str" cm="1">
        <f t="array" ref="AM207">_xlfn.IFS(W207=0,"No_stock",W207=1,"Low",W207=2,"Medium",W207=3,"High")</f>
        <v>High</v>
      </c>
      <c r="AN207" t="str">
        <f t="shared" si="3"/>
        <v>Far</v>
      </c>
    </row>
    <row r="208" spans="1:40" x14ac:dyDescent="0.45">
      <c r="A208">
        <v>22</v>
      </c>
      <c r="B208" t="s">
        <v>37</v>
      </c>
      <c r="C208" t="s">
        <v>31</v>
      </c>
      <c r="D208">
        <v>1136</v>
      </c>
      <c r="E208" t="s">
        <v>39</v>
      </c>
      <c r="F208">
        <v>5</v>
      </c>
      <c r="G208">
        <v>3</v>
      </c>
      <c r="H208" t="s">
        <v>33</v>
      </c>
      <c r="I208">
        <v>284</v>
      </c>
      <c r="J208">
        <v>4</v>
      </c>
      <c r="K208" t="s">
        <v>40</v>
      </c>
      <c r="L208">
        <v>4</v>
      </c>
      <c r="M208">
        <v>1</v>
      </c>
      <c r="N208" t="s">
        <v>41</v>
      </c>
      <c r="O208">
        <v>2</v>
      </c>
      <c r="P208" t="s">
        <v>46</v>
      </c>
      <c r="Q208">
        <v>2328</v>
      </c>
      <c r="R208">
        <v>1</v>
      </c>
      <c r="S208" t="s">
        <v>30</v>
      </c>
      <c r="T208">
        <v>16</v>
      </c>
      <c r="U208">
        <v>3</v>
      </c>
      <c r="V208">
        <v>1</v>
      </c>
      <c r="W208">
        <v>1</v>
      </c>
      <c r="X208">
        <v>4</v>
      </c>
      <c r="Y208">
        <v>2</v>
      </c>
      <c r="Z208">
        <v>2</v>
      </c>
      <c r="AA208">
        <v>4</v>
      </c>
      <c r="AB208">
        <v>2</v>
      </c>
      <c r="AC208">
        <v>2</v>
      </c>
      <c r="AD208">
        <v>2</v>
      </c>
      <c r="AE208" t="str" cm="1">
        <f t="array" ref="AE208">_xlfn.IFS(G208=1,"Before College",G208=2,"College",G208=3,"Bachelor",G208=4,"Master",G208=5,"Doctor")</f>
        <v>Bachelor</v>
      </c>
      <c r="AF208" t="str" cm="1">
        <f t="array" ref="AF208">_xlfn.IFS(J208=1,"Low",J208=2,"Medium",J208=3,"High",J208=4,"Very High")</f>
        <v>Very High</v>
      </c>
      <c r="AG208" t="str" cm="1">
        <f t="array" ref="AG208">_xlfn.IFS(L208=1,"Low",L208=2,"Medium",L208=3,"High",L208=4,"Very High")</f>
        <v>Very High</v>
      </c>
      <c r="AH208" t="str" cm="1">
        <f t="array" ref="AH208">_xlfn.IFS(M208=1,"Junior employee",M208=2,"Mid-level",M208=3,"Senior",M208=4,"Manager",M208=5,"Executive")</f>
        <v>Junior employee</v>
      </c>
      <c r="AI208" t="str" cm="1">
        <f t="array" ref="AI208">_xlfn.IFS(O208=1,"Low",O208=2,"Medium",O208=3,"High",O208=4,"Very High")</f>
        <v>Medium</v>
      </c>
      <c r="AJ208" t="str" cm="1">
        <f t="array" ref="AJ208">_xlfn.IFS(U208=1,"Low",U208=2,"Good",U208=3,"Excellent",U208=4,"Outstanding")</f>
        <v>Excellent</v>
      </c>
      <c r="AK208" t="str" cm="1">
        <f t="array" ref="AK208">_xlfn.IFS(V208=1,"Low",V208=2,"Medium",V208=3,"High",V208=4,"Very High")</f>
        <v>Low</v>
      </c>
      <c r="AL208" t="str" cm="1">
        <f t="array" ref="AL208">_xlfn.IFS(Z208=1,"Bad",Z208=2,"Good",Z208=3,"Better",Z208=4,"Best")</f>
        <v>Good</v>
      </c>
      <c r="AM208" t="str" cm="1">
        <f t="array" ref="AM208">_xlfn.IFS(W208=0,"No_stock",W208=1,"Low",W208=2,"Medium",W208=3,"High")</f>
        <v>Low</v>
      </c>
      <c r="AN208" t="str">
        <f t="shared" si="3"/>
        <v>Near</v>
      </c>
    </row>
    <row r="209" spans="1:40" x14ac:dyDescent="0.45">
      <c r="A209">
        <v>36</v>
      </c>
      <c r="B209" t="s">
        <v>37</v>
      </c>
      <c r="C209" t="s">
        <v>38</v>
      </c>
      <c r="D209">
        <v>635</v>
      </c>
      <c r="E209" t="s">
        <v>39</v>
      </c>
      <c r="F209">
        <v>18</v>
      </c>
      <c r="G209">
        <v>1</v>
      </c>
      <c r="H209" t="s">
        <v>45</v>
      </c>
      <c r="I209">
        <v>286</v>
      </c>
      <c r="J209">
        <v>2</v>
      </c>
      <c r="K209" t="s">
        <v>34</v>
      </c>
      <c r="L209">
        <v>3</v>
      </c>
      <c r="M209">
        <v>1</v>
      </c>
      <c r="N209" t="s">
        <v>44</v>
      </c>
      <c r="O209">
        <v>4</v>
      </c>
      <c r="P209" t="s">
        <v>36</v>
      </c>
      <c r="Q209">
        <v>2153</v>
      </c>
      <c r="R209">
        <v>1</v>
      </c>
      <c r="S209" t="s">
        <v>37</v>
      </c>
      <c r="T209">
        <v>13</v>
      </c>
      <c r="U209">
        <v>3</v>
      </c>
      <c r="V209">
        <v>1</v>
      </c>
      <c r="W209">
        <v>0</v>
      </c>
      <c r="X209">
        <v>8</v>
      </c>
      <c r="Y209">
        <v>2</v>
      </c>
      <c r="Z209">
        <v>3</v>
      </c>
      <c r="AA209">
        <v>8</v>
      </c>
      <c r="AB209">
        <v>1</v>
      </c>
      <c r="AC209">
        <v>1</v>
      </c>
      <c r="AD209">
        <v>7</v>
      </c>
      <c r="AE209" t="str" cm="1">
        <f t="array" ref="AE209">_xlfn.IFS(G209=1,"Before College",G209=2,"College",G209=3,"Bachelor",G209=4,"Master",G209=5,"Doctor")</f>
        <v>Before College</v>
      </c>
      <c r="AF209" t="str" cm="1">
        <f t="array" ref="AF209">_xlfn.IFS(J209=1,"Low",J209=2,"Medium",J209=3,"High",J209=4,"Very High")</f>
        <v>Medium</v>
      </c>
      <c r="AG209" t="str" cm="1">
        <f t="array" ref="AG209">_xlfn.IFS(L209=1,"Low",L209=2,"Medium",L209=3,"High",L209=4,"Very High")</f>
        <v>High</v>
      </c>
      <c r="AH209" t="str" cm="1">
        <f t="array" ref="AH209">_xlfn.IFS(M209=1,"Junior employee",M209=2,"Mid-level",M209=3,"Senior",M209=4,"Manager",M209=5,"Executive")</f>
        <v>Junior employee</v>
      </c>
      <c r="AI209" t="str" cm="1">
        <f t="array" ref="AI209">_xlfn.IFS(O209=1,"Low",O209=2,"Medium",O209=3,"High",O209=4,"Very High")</f>
        <v>Very High</v>
      </c>
      <c r="AJ209" t="str" cm="1">
        <f t="array" ref="AJ209">_xlfn.IFS(U209=1,"Low",U209=2,"Good",U209=3,"Excellent",U209=4,"Outstanding")</f>
        <v>Excellent</v>
      </c>
      <c r="AK209" t="str" cm="1">
        <f t="array" ref="AK209">_xlfn.IFS(V209=1,"Low",V209=2,"Medium",V209=3,"High",V209=4,"Very High")</f>
        <v>Low</v>
      </c>
      <c r="AL209" t="str" cm="1">
        <f t="array" ref="AL209">_xlfn.IFS(Z209=1,"Bad",Z209=2,"Good",Z209=3,"Better",Z209=4,"Best")</f>
        <v>Better</v>
      </c>
      <c r="AM209" t="str" cm="1">
        <f t="array" ref="AM209">_xlfn.IFS(W209=0,"No_stock",W209=1,"Low",W209=2,"Medium",W209=3,"High")</f>
        <v>No_stock</v>
      </c>
      <c r="AN209" t="str">
        <f t="shared" si="3"/>
        <v>Far</v>
      </c>
    </row>
    <row r="210" spans="1:40" x14ac:dyDescent="0.45">
      <c r="A210">
        <v>40</v>
      </c>
      <c r="B210" t="s">
        <v>37</v>
      </c>
      <c r="C210" t="s">
        <v>49</v>
      </c>
      <c r="D210">
        <v>1151</v>
      </c>
      <c r="E210" t="s">
        <v>39</v>
      </c>
      <c r="F210">
        <v>9</v>
      </c>
      <c r="G210">
        <v>5</v>
      </c>
      <c r="H210" t="s">
        <v>33</v>
      </c>
      <c r="I210">
        <v>287</v>
      </c>
      <c r="J210">
        <v>4</v>
      </c>
      <c r="K210" t="s">
        <v>40</v>
      </c>
      <c r="L210">
        <v>2</v>
      </c>
      <c r="M210">
        <v>2</v>
      </c>
      <c r="N210" t="s">
        <v>48</v>
      </c>
      <c r="O210">
        <v>4</v>
      </c>
      <c r="P210" t="s">
        <v>42</v>
      </c>
      <c r="Q210">
        <v>4876</v>
      </c>
      <c r="R210">
        <v>9</v>
      </c>
      <c r="S210" t="s">
        <v>37</v>
      </c>
      <c r="T210">
        <v>14</v>
      </c>
      <c r="U210">
        <v>3</v>
      </c>
      <c r="V210">
        <v>4</v>
      </c>
      <c r="W210">
        <v>1</v>
      </c>
      <c r="X210">
        <v>5</v>
      </c>
      <c r="Y210">
        <v>5</v>
      </c>
      <c r="Z210">
        <v>1</v>
      </c>
      <c r="AA210">
        <v>3</v>
      </c>
      <c r="AB210">
        <v>2</v>
      </c>
      <c r="AC210">
        <v>0</v>
      </c>
      <c r="AD210">
        <v>2</v>
      </c>
      <c r="AE210" t="str" cm="1">
        <f t="array" ref="AE210">_xlfn.IFS(G210=1,"Before College",G210=2,"College",G210=3,"Bachelor",G210=4,"Master",G210=5,"Doctor")</f>
        <v>Doctor</v>
      </c>
      <c r="AF210" t="str" cm="1">
        <f t="array" ref="AF210">_xlfn.IFS(J210=1,"Low",J210=2,"Medium",J210=3,"High",J210=4,"Very High")</f>
        <v>Very High</v>
      </c>
      <c r="AG210" t="str" cm="1">
        <f t="array" ref="AG210">_xlfn.IFS(L210=1,"Low",L210=2,"Medium",L210=3,"High",L210=4,"Very High")</f>
        <v>Medium</v>
      </c>
      <c r="AH210" t="str" cm="1">
        <f t="array" ref="AH210">_xlfn.IFS(M210=1,"Junior employee",M210=2,"Mid-level",M210=3,"Senior",M210=4,"Manager",M210=5,"Executive")</f>
        <v>Mid-level</v>
      </c>
      <c r="AI210" t="str" cm="1">
        <f t="array" ref="AI210">_xlfn.IFS(O210=1,"Low",O210=2,"Medium",O210=3,"High",O210=4,"Very High")</f>
        <v>Very High</v>
      </c>
      <c r="AJ210" t="str" cm="1">
        <f t="array" ref="AJ210">_xlfn.IFS(U210=1,"Low",U210=2,"Good",U210=3,"Excellent",U210=4,"Outstanding")</f>
        <v>Excellent</v>
      </c>
      <c r="AK210" t="str" cm="1">
        <f t="array" ref="AK210">_xlfn.IFS(V210=1,"Low",V210=2,"Medium",V210=3,"High",V210=4,"Very High")</f>
        <v>Very High</v>
      </c>
      <c r="AL210" t="str" cm="1">
        <f t="array" ref="AL210">_xlfn.IFS(Z210=1,"Bad",Z210=2,"Good",Z210=3,"Better",Z210=4,"Best")</f>
        <v>Bad</v>
      </c>
      <c r="AM210" t="str" cm="1">
        <f t="array" ref="AM210">_xlfn.IFS(W210=0,"No_stock",W210=1,"Low",W210=2,"Medium",W210=3,"High")</f>
        <v>Low</v>
      </c>
      <c r="AN210" t="str">
        <f t="shared" si="3"/>
        <v>Medium</v>
      </c>
    </row>
    <row r="211" spans="1:40" x14ac:dyDescent="0.45">
      <c r="A211">
        <v>46</v>
      </c>
      <c r="B211" t="s">
        <v>37</v>
      </c>
      <c r="C211" t="s">
        <v>31</v>
      </c>
      <c r="D211">
        <v>644</v>
      </c>
      <c r="E211" t="s">
        <v>39</v>
      </c>
      <c r="F211">
        <v>1</v>
      </c>
      <c r="G211">
        <v>4</v>
      </c>
      <c r="H211" t="s">
        <v>45</v>
      </c>
      <c r="I211">
        <v>288</v>
      </c>
      <c r="J211">
        <v>4</v>
      </c>
      <c r="K211" t="s">
        <v>40</v>
      </c>
      <c r="L211">
        <v>3</v>
      </c>
      <c r="M211">
        <v>3</v>
      </c>
      <c r="N211" t="s">
        <v>48</v>
      </c>
      <c r="O211">
        <v>1</v>
      </c>
      <c r="P211" t="s">
        <v>46</v>
      </c>
      <c r="Q211">
        <v>9396</v>
      </c>
      <c r="R211">
        <v>7</v>
      </c>
      <c r="S211" t="s">
        <v>37</v>
      </c>
      <c r="T211">
        <v>16</v>
      </c>
      <c r="U211">
        <v>3</v>
      </c>
      <c r="V211">
        <v>3</v>
      </c>
      <c r="W211">
        <v>1</v>
      </c>
      <c r="X211">
        <v>17</v>
      </c>
      <c r="Y211">
        <v>3</v>
      </c>
      <c r="Z211">
        <v>3</v>
      </c>
      <c r="AA211">
        <v>4</v>
      </c>
      <c r="AB211">
        <v>2</v>
      </c>
      <c r="AC211">
        <v>0</v>
      </c>
      <c r="AD211">
        <v>3</v>
      </c>
      <c r="AE211" t="str" cm="1">
        <f t="array" ref="AE211">_xlfn.IFS(G211=1,"Before College",G211=2,"College",G211=3,"Bachelor",G211=4,"Master",G211=5,"Doctor")</f>
        <v>Master</v>
      </c>
      <c r="AF211" t="str" cm="1">
        <f t="array" ref="AF211">_xlfn.IFS(J211=1,"Low",J211=2,"Medium",J211=3,"High",J211=4,"Very High")</f>
        <v>Very High</v>
      </c>
      <c r="AG211" t="str" cm="1">
        <f t="array" ref="AG211">_xlfn.IFS(L211=1,"Low",L211=2,"Medium",L211=3,"High",L211=4,"Very High")</f>
        <v>High</v>
      </c>
      <c r="AH211" t="str" cm="1">
        <f t="array" ref="AH211">_xlfn.IFS(M211=1,"Junior employee",M211=2,"Mid-level",M211=3,"Senior",M211=4,"Manager",M211=5,"Executive")</f>
        <v>Senior</v>
      </c>
      <c r="AI211" t="str" cm="1">
        <f t="array" ref="AI211">_xlfn.IFS(O211=1,"Low",O211=2,"Medium",O211=3,"High",O211=4,"Very High")</f>
        <v>Low</v>
      </c>
      <c r="AJ211" t="str" cm="1">
        <f t="array" ref="AJ211">_xlfn.IFS(U211=1,"Low",U211=2,"Good",U211=3,"Excellent",U211=4,"Outstanding")</f>
        <v>Excellent</v>
      </c>
      <c r="AK211" t="str" cm="1">
        <f t="array" ref="AK211">_xlfn.IFS(V211=1,"Low",V211=2,"Medium",V211=3,"High",V211=4,"Very High")</f>
        <v>High</v>
      </c>
      <c r="AL211" t="str" cm="1">
        <f t="array" ref="AL211">_xlfn.IFS(Z211=1,"Bad",Z211=2,"Good",Z211=3,"Better",Z211=4,"Best")</f>
        <v>Better</v>
      </c>
      <c r="AM211" t="str" cm="1">
        <f t="array" ref="AM211">_xlfn.IFS(W211=0,"No_stock",W211=1,"Low",W211=2,"Medium",W211=3,"High")</f>
        <v>Low</v>
      </c>
      <c r="AN211" t="str">
        <f t="shared" si="3"/>
        <v>Near</v>
      </c>
    </row>
    <row r="212" spans="1:40" x14ac:dyDescent="0.45">
      <c r="A212">
        <v>32</v>
      </c>
      <c r="B212" t="s">
        <v>30</v>
      </c>
      <c r="C212" t="s">
        <v>31</v>
      </c>
      <c r="D212">
        <v>1045</v>
      </c>
      <c r="E212" t="s">
        <v>32</v>
      </c>
      <c r="F212">
        <v>4</v>
      </c>
      <c r="G212">
        <v>4</v>
      </c>
      <c r="H212" t="s">
        <v>45</v>
      </c>
      <c r="I212">
        <v>291</v>
      </c>
      <c r="J212">
        <v>4</v>
      </c>
      <c r="K212" t="s">
        <v>40</v>
      </c>
      <c r="L212">
        <v>1</v>
      </c>
      <c r="M212">
        <v>3</v>
      </c>
      <c r="N212" t="s">
        <v>35</v>
      </c>
      <c r="O212">
        <v>4</v>
      </c>
      <c r="P212" t="s">
        <v>42</v>
      </c>
      <c r="Q212">
        <v>10400</v>
      </c>
      <c r="R212">
        <v>1</v>
      </c>
      <c r="S212" t="s">
        <v>37</v>
      </c>
      <c r="T212">
        <v>11</v>
      </c>
      <c r="U212">
        <v>3</v>
      </c>
      <c r="V212">
        <v>3</v>
      </c>
      <c r="W212">
        <v>0</v>
      </c>
      <c r="X212">
        <v>14</v>
      </c>
      <c r="Y212">
        <v>2</v>
      </c>
      <c r="Z212">
        <v>2</v>
      </c>
      <c r="AA212">
        <v>14</v>
      </c>
      <c r="AB212">
        <v>8</v>
      </c>
      <c r="AC212">
        <v>9</v>
      </c>
      <c r="AD212">
        <v>8</v>
      </c>
      <c r="AE212" t="str" cm="1">
        <f t="array" ref="AE212">_xlfn.IFS(G212=1,"Before College",G212=2,"College",G212=3,"Bachelor",G212=4,"Master",G212=5,"Doctor")</f>
        <v>Master</v>
      </c>
      <c r="AF212" t="str" cm="1">
        <f t="array" ref="AF212">_xlfn.IFS(J212=1,"Low",J212=2,"Medium",J212=3,"High",J212=4,"Very High")</f>
        <v>Very High</v>
      </c>
      <c r="AG212" t="str" cm="1">
        <f t="array" ref="AG212">_xlfn.IFS(L212=1,"Low",L212=2,"Medium",L212=3,"High",L212=4,"Very High")</f>
        <v>Low</v>
      </c>
      <c r="AH212" t="str" cm="1">
        <f t="array" ref="AH212">_xlfn.IFS(M212=1,"Junior employee",M212=2,"Mid-level",M212=3,"Senior",M212=4,"Manager",M212=5,"Executive")</f>
        <v>Senior</v>
      </c>
      <c r="AI212" t="str" cm="1">
        <f t="array" ref="AI212">_xlfn.IFS(O212=1,"Low",O212=2,"Medium",O212=3,"High",O212=4,"Very High")</f>
        <v>Very High</v>
      </c>
      <c r="AJ212" t="str" cm="1">
        <f t="array" ref="AJ212">_xlfn.IFS(U212=1,"Low",U212=2,"Good",U212=3,"Excellent",U212=4,"Outstanding")</f>
        <v>Excellent</v>
      </c>
      <c r="AK212" t="str" cm="1">
        <f t="array" ref="AK212">_xlfn.IFS(V212=1,"Low",V212=2,"Medium",V212=3,"High",V212=4,"Very High")</f>
        <v>High</v>
      </c>
      <c r="AL212" t="str" cm="1">
        <f t="array" ref="AL212">_xlfn.IFS(Z212=1,"Bad",Z212=2,"Good",Z212=3,"Better",Z212=4,"Best")</f>
        <v>Good</v>
      </c>
      <c r="AM212" t="str" cm="1">
        <f t="array" ref="AM212">_xlfn.IFS(W212=0,"No_stock",W212=1,"Low",W212=2,"Medium",W212=3,"High")</f>
        <v>No_stock</v>
      </c>
      <c r="AN212" t="str">
        <f t="shared" si="3"/>
        <v>Near</v>
      </c>
    </row>
    <row r="213" spans="1:40" x14ac:dyDescent="0.45">
      <c r="A213">
        <v>30</v>
      </c>
      <c r="B213" t="s">
        <v>37</v>
      </c>
      <c r="C213" t="s">
        <v>49</v>
      </c>
      <c r="D213">
        <v>829</v>
      </c>
      <c r="E213" t="s">
        <v>39</v>
      </c>
      <c r="F213">
        <v>1</v>
      </c>
      <c r="G213">
        <v>1</v>
      </c>
      <c r="H213" t="s">
        <v>33</v>
      </c>
      <c r="I213">
        <v>292</v>
      </c>
      <c r="J213">
        <v>3</v>
      </c>
      <c r="K213" t="s">
        <v>40</v>
      </c>
      <c r="L213">
        <v>2</v>
      </c>
      <c r="M213">
        <v>3</v>
      </c>
      <c r="N213" t="s">
        <v>47</v>
      </c>
      <c r="O213">
        <v>3</v>
      </c>
      <c r="P213" t="s">
        <v>36</v>
      </c>
      <c r="Q213">
        <v>8474</v>
      </c>
      <c r="R213">
        <v>1</v>
      </c>
      <c r="S213" t="s">
        <v>37</v>
      </c>
      <c r="T213">
        <v>22</v>
      </c>
      <c r="U213">
        <v>4</v>
      </c>
      <c r="V213">
        <v>3</v>
      </c>
      <c r="W213">
        <v>0</v>
      </c>
      <c r="X213">
        <v>12</v>
      </c>
      <c r="Y213">
        <v>2</v>
      </c>
      <c r="Z213">
        <v>3</v>
      </c>
      <c r="AA213">
        <v>11</v>
      </c>
      <c r="AB213">
        <v>8</v>
      </c>
      <c r="AC213">
        <v>5</v>
      </c>
      <c r="AD213">
        <v>8</v>
      </c>
      <c r="AE213" t="str" cm="1">
        <f t="array" ref="AE213">_xlfn.IFS(G213=1,"Before College",G213=2,"College",G213=3,"Bachelor",G213=4,"Master",G213=5,"Doctor")</f>
        <v>Before College</v>
      </c>
      <c r="AF213" t="str" cm="1">
        <f t="array" ref="AF213">_xlfn.IFS(J213=1,"Low",J213=2,"Medium",J213=3,"High",J213=4,"Very High")</f>
        <v>High</v>
      </c>
      <c r="AG213" t="str" cm="1">
        <f t="array" ref="AG213">_xlfn.IFS(L213=1,"Low",L213=2,"Medium",L213=3,"High",L213=4,"Very High")</f>
        <v>Medium</v>
      </c>
      <c r="AH213" t="str" cm="1">
        <f t="array" ref="AH213">_xlfn.IFS(M213=1,"Junior employee",M213=2,"Mid-level",M213=3,"Senior",M213=4,"Manager",M213=5,"Executive")</f>
        <v>Senior</v>
      </c>
      <c r="AI213" t="str" cm="1">
        <f t="array" ref="AI213">_xlfn.IFS(O213=1,"Low",O213=2,"Medium",O213=3,"High",O213=4,"Very High")</f>
        <v>High</v>
      </c>
      <c r="AJ213" t="str" cm="1">
        <f t="array" ref="AJ213">_xlfn.IFS(U213=1,"Low",U213=2,"Good",U213=3,"Excellent",U213=4,"Outstanding")</f>
        <v>Outstanding</v>
      </c>
      <c r="AK213" t="str" cm="1">
        <f t="array" ref="AK213">_xlfn.IFS(V213=1,"Low",V213=2,"Medium",V213=3,"High",V213=4,"Very High")</f>
        <v>High</v>
      </c>
      <c r="AL213" t="str" cm="1">
        <f t="array" ref="AL213">_xlfn.IFS(Z213=1,"Bad",Z213=2,"Good",Z213=3,"Better",Z213=4,"Best")</f>
        <v>Better</v>
      </c>
      <c r="AM213" t="str" cm="1">
        <f t="array" ref="AM213">_xlfn.IFS(W213=0,"No_stock",W213=1,"Low",W213=2,"Medium",W213=3,"High")</f>
        <v>No_stock</v>
      </c>
      <c r="AN213" t="str">
        <f t="shared" si="3"/>
        <v>Near</v>
      </c>
    </row>
    <row r="214" spans="1:40" x14ac:dyDescent="0.45">
      <c r="A214">
        <v>27</v>
      </c>
      <c r="B214" t="s">
        <v>37</v>
      </c>
      <c r="C214" t="s">
        <v>38</v>
      </c>
      <c r="D214">
        <v>1242</v>
      </c>
      <c r="E214" t="s">
        <v>32</v>
      </c>
      <c r="F214">
        <v>20</v>
      </c>
      <c r="G214">
        <v>3</v>
      </c>
      <c r="H214" t="s">
        <v>33</v>
      </c>
      <c r="I214">
        <v>293</v>
      </c>
      <c r="J214">
        <v>4</v>
      </c>
      <c r="K214" t="s">
        <v>34</v>
      </c>
      <c r="L214">
        <v>3</v>
      </c>
      <c r="M214">
        <v>2</v>
      </c>
      <c r="N214" t="s">
        <v>35</v>
      </c>
      <c r="O214">
        <v>3</v>
      </c>
      <c r="P214" t="s">
        <v>36</v>
      </c>
      <c r="Q214">
        <v>9981</v>
      </c>
      <c r="R214">
        <v>1</v>
      </c>
      <c r="S214" t="s">
        <v>37</v>
      </c>
      <c r="T214">
        <v>14</v>
      </c>
      <c r="U214">
        <v>3</v>
      </c>
      <c r="V214">
        <v>4</v>
      </c>
      <c r="W214">
        <v>0</v>
      </c>
      <c r="X214">
        <v>7</v>
      </c>
      <c r="Y214">
        <v>2</v>
      </c>
      <c r="Z214">
        <v>3</v>
      </c>
      <c r="AA214">
        <v>7</v>
      </c>
      <c r="AB214">
        <v>7</v>
      </c>
      <c r="AC214">
        <v>0</v>
      </c>
      <c r="AD214">
        <v>7</v>
      </c>
      <c r="AE214" t="str" cm="1">
        <f t="array" ref="AE214">_xlfn.IFS(G214=1,"Before College",G214=2,"College",G214=3,"Bachelor",G214=4,"Master",G214=5,"Doctor")</f>
        <v>Bachelor</v>
      </c>
      <c r="AF214" t="str" cm="1">
        <f t="array" ref="AF214">_xlfn.IFS(J214=1,"Low",J214=2,"Medium",J214=3,"High",J214=4,"Very High")</f>
        <v>Very High</v>
      </c>
      <c r="AG214" t="str" cm="1">
        <f t="array" ref="AG214">_xlfn.IFS(L214=1,"Low",L214=2,"Medium",L214=3,"High",L214=4,"Very High")</f>
        <v>High</v>
      </c>
      <c r="AH214" t="str" cm="1">
        <f t="array" ref="AH214">_xlfn.IFS(M214=1,"Junior employee",M214=2,"Mid-level",M214=3,"Senior",M214=4,"Manager",M214=5,"Executive")</f>
        <v>Mid-level</v>
      </c>
      <c r="AI214" t="str" cm="1">
        <f t="array" ref="AI214">_xlfn.IFS(O214=1,"Low",O214=2,"Medium",O214=3,"High",O214=4,"Very High")</f>
        <v>High</v>
      </c>
      <c r="AJ214" t="str" cm="1">
        <f t="array" ref="AJ214">_xlfn.IFS(U214=1,"Low",U214=2,"Good",U214=3,"Excellent",U214=4,"Outstanding")</f>
        <v>Excellent</v>
      </c>
      <c r="AK214" t="str" cm="1">
        <f t="array" ref="AK214">_xlfn.IFS(V214=1,"Low",V214=2,"Medium",V214=3,"High",V214=4,"Very High")</f>
        <v>Very High</v>
      </c>
      <c r="AL214" t="str" cm="1">
        <f t="array" ref="AL214">_xlfn.IFS(Z214=1,"Bad",Z214=2,"Good",Z214=3,"Better",Z214=4,"Best")</f>
        <v>Better</v>
      </c>
      <c r="AM214" t="str" cm="1">
        <f t="array" ref="AM214">_xlfn.IFS(W214=0,"No_stock",W214=1,"Low",W214=2,"Medium",W214=3,"High")</f>
        <v>No_stock</v>
      </c>
      <c r="AN214" t="str">
        <f t="shared" si="3"/>
        <v>Far</v>
      </c>
    </row>
    <row r="215" spans="1:40" x14ac:dyDescent="0.45">
      <c r="A215">
        <v>51</v>
      </c>
      <c r="B215" t="s">
        <v>37</v>
      </c>
      <c r="C215" t="s">
        <v>31</v>
      </c>
      <c r="D215">
        <v>1469</v>
      </c>
      <c r="E215" t="s">
        <v>39</v>
      </c>
      <c r="F215">
        <v>8</v>
      </c>
      <c r="G215">
        <v>4</v>
      </c>
      <c r="H215" t="s">
        <v>33</v>
      </c>
      <c r="I215">
        <v>296</v>
      </c>
      <c r="J215">
        <v>2</v>
      </c>
      <c r="K215" t="s">
        <v>40</v>
      </c>
      <c r="L215">
        <v>2</v>
      </c>
      <c r="M215">
        <v>3</v>
      </c>
      <c r="N215" t="s">
        <v>52</v>
      </c>
      <c r="O215">
        <v>2</v>
      </c>
      <c r="P215" t="s">
        <v>42</v>
      </c>
      <c r="Q215">
        <v>12490</v>
      </c>
      <c r="R215">
        <v>5</v>
      </c>
      <c r="S215" t="s">
        <v>37</v>
      </c>
      <c r="T215">
        <v>16</v>
      </c>
      <c r="U215">
        <v>3</v>
      </c>
      <c r="V215">
        <v>4</v>
      </c>
      <c r="W215">
        <v>2</v>
      </c>
      <c r="X215">
        <v>16</v>
      </c>
      <c r="Y215">
        <v>5</v>
      </c>
      <c r="Z215">
        <v>1</v>
      </c>
      <c r="AA215">
        <v>10</v>
      </c>
      <c r="AB215">
        <v>9</v>
      </c>
      <c r="AC215">
        <v>4</v>
      </c>
      <c r="AD215">
        <v>7</v>
      </c>
      <c r="AE215" t="str" cm="1">
        <f t="array" ref="AE215">_xlfn.IFS(G215=1,"Before College",G215=2,"College",G215=3,"Bachelor",G215=4,"Master",G215=5,"Doctor")</f>
        <v>Master</v>
      </c>
      <c r="AF215" t="str" cm="1">
        <f t="array" ref="AF215">_xlfn.IFS(J215=1,"Low",J215=2,"Medium",J215=3,"High",J215=4,"Very High")</f>
        <v>Medium</v>
      </c>
      <c r="AG215" t="str" cm="1">
        <f t="array" ref="AG215">_xlfn.IFS(L215=1,"Low",L215=2,"Medium",L215=3,"High",L215=4,"Very High")</f>
        <v>Medium</v>
      </c>
      <c r="AH215" t="str" cm="1">
        <f t="array" ref="AH215">_xlfn.IFS(M215=1,"Junior employee",M215=2,"Mid-level",M215=3,"Senior",M215=4,"Manager",M215=5,"Executive")</f>
        <v>Senior</v>
      </c>
      <c r="AI215" t="str" cm="1">
        <f t="array" ref="AI215">_xlfn.IFS(O215=1,"Low",O215=2,"Medium",O215=3,"High",O215=4,"Very High")</f>
        <v>Medium</v>
      </c>
      <c r="AJ215" t="str" cm="1">
        <f t="array" ref="AJ215">_xlfn.IFS(U215=1,"Low",U215=2,"Good",U215=3,"Excellent",U215=4,"Outstanding")</f>
        <v>Excellent</v>
      </c>
      <c r="AK215" t="str" cm="1">
        <f t="array" ref="AK215">_xlfn.IFS(V215=1,"Low",V215=2,"Medium",V215=3,"High",V215=4,"Very High")</f>
        <v>Very High</v>
      </c>
      <c r="AL215" t="str" cm="1">
        <f t="array" ref="AL215">_xlfn.IFS(Z215=1,"Bad",Z215=2,"Good",Z215=3,"Better",Z215=4,"Best")</f>
        <v>Bad</v>
      </c>
      <c r="AM215" t="str" cm="1">
        <f t="array" ref="AM215">_xlfn.IFS(W215=0,"No_stock",W215=1,"Low",W215=2,"Medium",W215=3,"High")</f>
        <v>Medium</v>
      </c>
      <c r="AN215" t="str">
        <f t="shared" si="3"/>
        <v>Medium</v>
      </c>
    </row>
    <row r="216" spans="1:40" x14ac:dyDescent="0.45">
      <c r="A216">
        <v>30</v>
      </c>
      <c r="B216" t="s">
        <v>30</v>
      </c>
      <c r="C216" t="s">
        <v>31</v>
      </c>
      <c r="D216">
        <v>1005</v>
      </c>
      <c r="E216" t="s">
        <v>39</v>
      </c>
      <c r="F216">
        <v>3</v>
      </c>
      <c r="G216">
        <v>3</v>
      </c>
      <c r="H216" t="s">
        <v>54</v>
      </c>
      <c r="I216">
        <v>297</v>
      </c>
      <c r="J216">
        <v>4</v>
      </c>
      <c r="K216" t="s">
        <v>34</v>
      </c>
      <c r="L216">
        <v>3</v>
      </c>
      <c r="M216">
        <v>1</v>
      </c>
      <c r="N216" t="s">
        <v>41</v>
      </c>
      <c r="O216">
        <v>1</v>
      </c>
      <c r="P216" t="s">
        <v>36</v>
      </c>
      <c r="Q216">
        <v>2657</v>
      </c>
      <c r="R216">
        <v>5</v>
      </c>
      <c r="S216" t="s">
        <v>30</v>
      </c>
      <c r="T216">
        <v>11</v>
      </c>
      <c r="U216">
        <v>3</v>
      </c>
      <c r="V216">
        <v>3</v>
      </c>
      <c r="W216">
        <v>0</v>
      </c>
      <c r="X216">
        <v>8</v>
      </c>
      <c r="Y216">
        <v>5</v>
      </c>
      <c r="Z216">
        <v>3</v>
      </c>
      <c r="AA216">
        <v>5</v>
      </c>
      <c r="AB216">
        <v>2</v>
      </c>
      <c r="AC216">
        <v>0</v>
      </c>
      <c r="AD216">
        <v>4</v>
      </c>
      <c r="AE216" t="str" cm="1">
        <f t="array" ref="AE216">_xlfn.IFS(G216=1,"Before College",G216=2,"College",G216=3,"Bachelor",G216=4,"Master",G216=5,"Doctor")</f>
        <v>Bachelor</v>
      </c>
      <c r="AF216" t="str" cm="1">
        <f t="array" ref="AF216">_xlfn.IFS(J216=1,"Low",J216=2,"Medium",J216=3,"High",J216=4,"Very High")</f>
        <v>Very High</v>
      </c>
      <c r="AG216" t="str" cm="1">
        <f t="array" ref="AG216">_xlfn.IFS(L216=1,"Low",L216=2,"Medium",L216=3,"High",L216=4,"Very High")</f>
        <v>High</v>
      </c>
      <c r="AH216" t="str" cm="1">
        <f t="array" ref="AH216">_xlfn.IFS(M216=1,"Junior employee",M216=2,"Mid-level",M216=3,"Senior",M216=4,"Manager",M216=5,"Executive")</f>
        <v>Junior employee</v>
      </c>
      <c r="AI216" t="str" cm="1">
        <f t="array" ref="AI216">_xlfn.IFS(O216=1,"Low",O216=2,"Medium",O216=3,"High",O216=4,"Very High")</f>
        <v>Low</v>
      </c>
      <c r="AJ216" t="str" cm="1">
        <f t="array" ref="AJ216">_xlfn.IFS(U216=1,"Low",U216=2,"Good",U216=3,"Excellent",U216=4,"Outstanding")</f>
        <v>Excellent</v>
      </c>
      <c r="AK216" t="str" cm="1">
        <f t="array" ref="AK216">_xlfn.IFS(V216=1,"Low",V216=2,"Medium",V216=3,"High",V216=4,"Very High")</f>
        <v>High</v>
      </c>
      <c r="AL216" t="str" cm="1">
        <f t="array" ref="AL216">_xlfn.IFS(Z216=1,"Bad",Z216=2,"Good",Z216=3,"Better",Z216=4,"Best")</f>
        <v>Better</v>
      </c>
      <c r="AM216" t="str" cm="1">
        <f t="array" ref="AM216">_xlfn.IFS(W216=0,"No_stock",W216=1,"Low",W216=2,"Medium",W216=3,"High")</f>
        <v>No_stock</v>
      </c>
      <c r="AN216" t="str">
        <f t="shared" si="3"/>
        <v>Near</v>
      </c>
    </row>
    <row r="217" spans="1:40" x14ac:dyDescent="0.45">
      <c r="A217">
        <v>41</v>
      </c>
      <c r="B217" t="s">
        <v>37</v>
      </c>
      <c r="C217" t="s">
        <v>31</v>
      </c>
      <c r="D217">
        <v>896</v>
      </c>
      <c r="E217" t="s">
        <v>32</v>
      </c>
      <c r="F217">
        <v>6</v>
      </c>
      <c r="G217">
        <v>3</v>
      </c>
      <c r="H217" t="s">
        <v>33</v>
      </c>
      <c r="I217">
        <v>298</v>
      </c>
      <c r="J217">
        <v>4</v>
      </c>
      <c r="K217" t="s">
        <v>34</v>
      </c>
      <c r="L217">
        <v>3</v>
      </c>
      <c r="M217">
        <v>3</v>
      </c>
      <c r="N217" t="s">
        <v>50</v>
      </c>
      <c r="O217">
        <v>4</v>
      </c>
      <c r="P217" t="s">
        <v>36</v>
      </c>
      <c r="Q217">
        <v>13591</v>
      </c>
      <c r="R217">
        <v>3</v>
      </c>
      <c r="S217" t="s">
        <v>30</v>
      </c>
      <c r="T217">
        <v>18</v>
      </c>
      <c r="U217">
        <v>3</v>
      </c>
      <c r="V217">
        <v>3</v>
      </c>
      <c r="W217">
        <v>0</v>
      </c>
      <c r="X217">
        <v>16</v>
      </c>
      <c r="Y217">
        <v>3</v>
      </c>
      <c r="Z217">
        <v>3</v>
      </c>
      <c r="AA217">
        <v>1</v>
      </c>
      <c r="AB217">
        <v>0</v>
      </c>
      <c r="AC217">
        <v>0</v>
      </c>
      <c r="AD217">
        <v>0</v>
      </c>
      <c r="AE217" t="str" cm="1">
        <f t="array" ref="AE217">_xlfn.IFS(G217=1,"Before College",G217=2,"College",G217=3,"Bachelor",G217=4,"Master",G217=5,"Doctor")</f>
        <v>Bachelor</v>
      </c>
      <c r="AF217" t="str" cm="1">
        <f t="array" ref="AF217">_xlfn.IFS(J217=1,"Low",J217=2,"Medium",J217=3,"High",J217=4,"Very High")</f>
        <v>Very High</v>
      </c>
      <c r="AG217" t="str" cm="1">
        <f t="array" ref="AG217">_xlfn.IFS(L217=1,"Low",L217=2,"Medium",L217=3,"High",L217=4,"Very High")</f>
        <v>High</v>
      </c>
      <c r="AH217" t="str" cm="1">
        <f t="array" ref="AH217">_xlfn.IFS(M217=1,"Junior employee",M217=2,"Mid-level",M217=3,"Senior",M217=4,"Manager",M217=5,"Executive")</f>
        <v>Senior</v>
      </c>
      <c r="AI217" t="str" cm="1">
        <f t="array" ref="AI217">_xlfn.IFS(O217=1,"Low",O217=2,"Medium",O217=3,"High",O217=4,"Very High")</f>
        <v>Very High</v>
      </c>
      <c r="AJ217" t="str" cm="1">
        <f t="array" ref="AJ217">_xlfn.IFS(U217=1,"Low",U217=2,"Good",U217=3,"Excellent",U217=4,"Outstanding")</f>
        <v>Excellent</v>
      </c>
      <c r="AK217" t="str" cm="1">
        <f t="array" ref="AK217">_xlfn.IFS(V217=1,"Low",V217=2,"Medium",V217=3,"High",V217=4,"Very High")</f>
        <v>High</v>
      </c>
      <c r="AL217" t="str" cm="1">
        <f t="array" ref="AL217">_xlfn.IFS(Z217=1,"Bad",Z217=2,"Good",Z217=3,"Better",Z217=4,"Best")</f>
        <v>Better</v>
      </c>
      <c r="AM217" t="str" cm="1">
        <f t="array" ref="AM217">_xlfn.IFS(W217=0,"No_stock",W217=1,"Low",W217=2,"Medium",W217=3,"High")</f>
        <v>No_stock</v>
      </c>
      <c r="AN217" t="str">
        <f t="shared" si="3"/>
        <v>Medium</v>
      </c>
    </row>
    <row r="218" spans="1:40" x14ac:dyDescent="0.45">
      <c r="A218">
        <v>30</v>
      </c>
      <c r="B218" t="s">
        <v>30</v>
      </c>
      <c r="C218" t="s">
        <v>38</v>
      </c>
      <c r="D218">
        <v>334</v>
      </c>
      <c r="E218" t="s">
        <v>32</v>
      </c>
      <c r="F218">
        <v>26</v>
      </c>
      <c r="G218">
        <v>4</v>
      </c>
      <c r="H218" t="s">
        <v>53</v>
      </c>
      <c r="I218">
        <v>299</v>
      </c>
      <c r="J218">
        <v>3</v>
      </c>
      <c r="K218" t="s">
        <v>34</v>
      </c>
      <c r="L218">
        <v>2</v>
      </c>
      <c r="M218">
        <v>2</v>
      </c>
      <c r="N218" t="s">
        <v>35</v>
      </c>
      <c r="O218">
        <v>1</v>
      </c>
      <c r="P218" t="s">
        <v>36</v>
      </c>
      <c r="Q218">
        <v>6696</v>
      </c>
      <c r="R218">
        <v>5</v>
      </c>
      <c r="S218" t="s">
        <v>37</v>
      </c>
      <c r="T218">
        <v>15</v>
      </c>
      <c r="U218">
        <v>3</v>
      </c>
      <c r="V218">
        <v>3</v>
      </c>
      <c r="W218">
        <v>0</v>
      </c>
      <c r="X218">
        <v>9</v>
      </c>
      <c r="Y218">
        <v>5</v>
      </c>
      <c r="Z218">
        <v>2</v>
      </c>
      <c r="AA218">
        <v>6</v>
      </c>
      <c r="AB218">
        <v>3</v>
      </c>
      <c r="AC218">
        <v>0</v>
      </c>
      <c r="AD218">
        <v>1</v>
      </c>
      <c r="AE218" t="str" cm="1">
        <f t="array" ref="AE218">_xlfn.IFS(G218=1,"Before College",G218=2,"College",G218=3,"Bachelor",G218=4,"Master",G218=5,"Doctor")</f>
        <v>Master</v>
      </c>
      <c r="AF218" t="str" cm="1">
        <f t="array" ref="AF218">_xlfn.IFS(J218=1,"Low",J218=2,"Medium",J218=3,"High",J218=4,"Very High")</f>
        <v>High</v>
      </c>
      <c r="AG218" t="str" cm="1">
        <f t="array" ref="AG218">_xlfn.IFS(L218=1,"Low",L218=2,"Medium",L218=3,"High",L218=4,"Very High")</f>
        <v>Medium</v>
      </c>
      <c r="AH218" t="str" cm="1">
        <f t="array" ref="AH218">_xlfn.IFS(M218=1,"Junior employee",M218=2,"Mid-level",M218=3,"Senior",M218=4,"Manager",M218=5,"Executive")</f>
        <v>Mid-level</v>
      </c>
      <c r="AI218" t="str" cm="1">
        <f t="array" ref="AI218">_xlfn.IFS(O218=1,"Low",O218=2,"Medium",O218=3,"High",O218=4,"Very High")</f>
        <v>Low</v>
      </c>
      <c r="AJ218" t="str" cm="1">
        <f t="array" ref="AJ218">_xlfn.IFS(U218=1,"Low",U218=2,"Good",U218=3,"Excellent",U218=4,"Outstanding")</f>
        <v>Excellent</v>
      </c>
      <c r="AK218" t="str" cm="1">
        <f t="array" ref="AK218">_xlfn.IFS(V218=1,"Low",V218=2,"Medium",V218=3,"High",V218=4,"Very High")</f>
        <v>High</v>
      </c>
      <c r="AL218" t="str" cm="1">
        <f t="array" ref="AL218">_xlfn.IFS(Z218=1,"Bad",Z218=2,"Good",Z218=3,"Better",Z218=4,"Best")</f>
        <v>Good</v>
      </c>
      <c r="AM218" t="str" cm="1">
        <f t="array" ref="AM218">_xlfn.IFS(W218=0,"No_stock",W218=1,"Low",W218=2,"Medium",W218=3,"High")</f>
        <v>No_stock</v>
      </c>
      <c r="AN218" t="str">
        <f t="shared" si="3"/>
        <v>Far</v>
      </c>
    </row>
    <row r="219" spans="1:40" x14ac:dyDescent="0.45">
      <c r="A219">
        <v>29</v>
      </c>
      <c r="B219" t="s">
        <v>30</v>
      </c>
      <c r="C219" t="s">
        <v>31</v>
      </c>
      <c r="D219">
        <v>992</v>
      </c>
      <c r="E219" t="s">
        <v>39</v>
      </c>
      <c r="F219">
        <v>1</v>
      </c>
      <c r="G219">
        <v>3</v>
      </c>
      <c r="H219" t="s">
        <v>54</v>
      </c>
      <c r="I219">
        <v>300</v>
      </c>
      <c r="J219">
        <v>3</v>
      </c>
      <c r="K219" t="s">
        <v>40</v>
      </c>
      <c r="L219">
        <v>3</v>
      </c>
      <c r="M219">
        <v>1</v>
      </c>
      <c r="N219" t="s">
        <v>41</v>
      </c>
      <c r="O219">
        <v>3</v>
      </c>
      <c r="P219" t="s">
        <v>36</v>
      </c>
      <c r="Q219">
        <v>2058</v>
      </c>
      <c r="R219">
        <v>0</v>
      </c>
      <c r="S219" t="s">
        <v>37</v>
      </c>
      <c r="T219">
        <v>14</v>
      </c>
      <c r="U219">
        <v>3</v>
      </c>
      <c r="V219">
        <v>4</v>
      </c>
      <c r="W219">
        <v>0</v>
      </c>
      <c r="X219">
        <v>7</v>
      </c>
      <c r="Y219">
        <v>1</v>
      </c>
      <c r="Z219">
        <v>2</v>
      </c>
      <c r="AA219">
        <v>6</v>
      </c>
      <c r="AB219">
        <v>2</v>
      </c>
      <c r="AC219">
        <v>1</v>
      </c>
      <c r="AD219">
        <v>5</v>
      </c>
      <c r="AE219" t="str" cm="1">
        <f t="array" ref="AE219">_xlfn.IFS(G219=1,"Before College",G219=2,"College",G219=3,"Bachelor",G219=4,"Master",G219=5,"Doctor")</f>
        <v>Bachelor</v>
      </c>
      <c r="AF219" t="str" cm="1">
        <f t="array" ref="AF219">_xlfn.IFS(J219=1,"Low",J219=2,"Medium",J219=3,"High",J219=4,"Very High")</f>
        <v>High</v>
      </c>
      <c r="AG219" t="str" cm="1">
        <f t="array" ref="AG219">_xlfn.IFS(L219=1,"Low",L219=2,"Medium",L219=3,"High",L219=4,"Very High")</f>
        <v>High</v>
      </c>
      <c r="AH219" t="str" cm="1">
        <f t="array" ref="AH219">_xlfn.IFS(M219=1,"Junior employee",M219=2,"Mid-level",M219=3,"Senior",M219=4,"Manager",M219=5,"Executive")</f>
        <v>Junior employee</v>
      </c>
      <c r="AI219" t="str" cm="1">
        <f t="array" ref="AI219">_xlfn.IFS(O219=1,"Low",O219=2,"Medium",O219=3,"High",O219=4,"Very High")</f>
        <v>High</v>
      </c>
      <c r="AJ219" t="str" cm="1">
        <f t="array" ref="AJ219">_xlfn.IFS(U219=1,"Low",U219=2,"Good",U219=3,"Excellent",U219=4,"Outstanding")</f>
        <v>Excellent</v>
      </c>
      <c r="AK219" t="str" cm="1">
        <f t="array" ref="AK219">_xlfn.IFS(V219=1,"Low",V219=2,"Medium",V219=3,"High",V219=4,"Very High")</f>
        <v>Very High</v>
      </c>
      <c r="AL219" t="str" cm="1">
        <f t="array" ref="AL219">_xlfn.IFS(Z219=1,"Bad",Z219=2,"Good",Z219=3,"Better",Z219=4,"Best")</f>
        <v>Good</v>
      </c>
      <c r="AM219" t="str" cm="1">
        <f t="array" ref="AM219">_xlfn.IFS(W219=0,"No_stock",W219=1,"Low",W219=2,"Medium",W219=3,"High")</f>
        <v>No_stock</v>
      </c>
      <c r="AN219" t="str">
        <f t="shared" si="3"/>
        <v>Near</v>
      </c>
    </row>
    <row r="220" spans="1:40" x14ac:dyDescent="0.45">
      <c r="A220">
        <v>45</v>
      </c>
      <c r="B220" t="s">
        <v>37</v>
      </c>
      <c r="C220" t="s">
        <v>49</v>
      </c>
      <c r="D220">
        <v>1052</v>
      </c>
      <c r="E220" t="s">
        <v>32</v>
      </c>
      <c r="F220">
        <v>6</v>
      </c>
      <c r="G220">
        <v>3</v>
      </c>
      <c r="H220" t="s">
        <v>45</v>
      </c>
      <c r="I220">
        <v>302</v>
      </c>
      <c r="J220">
        <v>4</v>
      </c>
      <c r="K220" t="s">
        <v>34</v>
      </c>
      <c r="L220">
        <v>2</v>
      </c>
      <c r="M220">
        <v>3</v>
      </c>
      <c r="N220" t="s">
        <v>35</v>
      </c>
      <c r="O220">
        <v>4</v>
      </c>
      <c r="P220" t="s">
        <v>36</v>
      </c>
      <c r="Q220">
        <v>8865</v>
      </c>
      <c r="R220">
        <v>6</v>
      </c>
      <c r="S220" t="s">
        <v>37</v>
      </c>
      <c r="T220">
        <v>12</v>
      </c>
      <c r="U220">
        <v>3</v>
      </c>
      <c r="V220">
        <v>4</v>
      </c>
      <c r="W220">
        <v>0</v>
      </c>
      <c r="X220">
        <v>23</v>
      </c>
      <c r="Y220">
        <v>2</v>
      </c>
      <c r="Z220">
        <v>3</v>
      </c>
      <c r="AA220">
        <v>19</v>
      </c>
      <c r="AB220">
        <v>7</v>
      </c>
      <c r="AC220">
        <v>12</v>
      </c>
      <c r="AD220">
        <v>8</v>
      </c>
      <c r="AE220" t="str" cm="1">
        <f t="array" ref="AE220">_xlfn.IFS(G220=1,"Before College",G220=2,"College",G220=3,"Bachelor",G220=4,"Master",G220=5,"Doctor")</f>
        <v>Bachelor</v>
      </c>
      <c r="AF220" t="str" cm="1">
        <f t="array" ref="AF220">_xlfn.IFS(J220=1,"Low",J220=2,"Medium",J220=3,"High",J220=4,"Very High")</f>
        <v>Very High</v>
      </c>
      <c r="AG220" t="str" cm="1">
        <f t="array" ref="AG220">_xlfn.IFS(L220=1,"Low",L220=2,"Medium",L220=3,"High",L220=4,"Very High")</f>
        <v>Medium</v>
      </c>
      <c r="AH220" t="str" cm="1">
        <f t="array" ref="AH220">_xlfn.IFS(M220=1,"Junior employee",M220=2,"Mid-level",M220=3,"Senior",M220=4,"Manager",M220=5,"Executive")</f>
        <v>Senior</v>
      </c>
      <c r="AI220" t="str" cm="1">
        <f t="array" ref="AI220">_xlfn.IFS(O220=1,"Low",O220=2,"Medium",O220=3,"High",O220=4,"Very High")</f>
        <v>Very High</v>
      </c>
      <c r="AJ220" t="str" cm="1">
        <f t="array" ref="AJ220">_xlfn.IFS(U220=1,"Low",U220=2,"Good",U220=3,"Excellent",U220=4,"Outstanding")</f>
        <v>Excellent</v>
      </c>
      <c r="AK220" t="str" cm="1">
        <f t="array" ref="AK220">_xlfn.IFS(V220=1,"Low",V220=2,"Medium",V220=3,"High",V220=4,"Very High")</f>
        <v>Very High</v>
      </c>
      <c r="AL220" t="str" cm="1">
        <f t="array" ref="AL220">_xlfn.IFS(Z220=1,"Bad",Z220=2,"Good",Z220=3,"Better",Z220=4,"Best")</f>
        <v>Better</v>
      </c>
      <c r="AM220" t="str" cm="1">
        <f t="array" ref="AM220">_xlfn.IFS(W220=0,"No_stock",W220=1,"Low",W220=2,"Medium",W220=3,"High")</f>
        <v>No_stock</v>
      </c>
      <c r="AN220" t="str">
        <f t="shared" si="3"/>
        <v>Medium</v>
      </c>
    </row>
    <row r="221" spans="1:40" x14ac:dyDescent="0.45">
      <c r="A221">
        <v>54</v>
      </c>
      <c r="B221" t="s">
        <v>37</v>
      </c>
      <c r="C221" t="s">
        <v>31</v>
      </c>
      <c r="D221">
        <v>1147</v>
      </c>
      <c r="E221" t="s">
        <v>32</v>
      </c>
      <c r="F221">
        <v>3</v>
      </c>
      <c r="G221">
        <v>3</v>
      </c>
      <c r="H221" t="s">
        <v>53</v>
      </c>
      <c r="I221">
        <v>303</v>
      </c>
      <c r="J221">
        <v>4</v>
      </c>
      <c r="K221" t="s">
        <v>34</v>
      </c>
      <c r="L221">
        <v>3</v>
      </c>
      <c r="M221">
        <v>2</v>
      </c>
      <c r="N221" t="s">
        <v>35</v>
      </c>
      <c r="O221">
        <v>1</v>
      </c>
      <c r="P221" t="s">
        <v>42</v>
      </c>
      <c r="Q221">
        <v>5940</v>
      </c>
      <c r="R221">
        <v>2</v>
      </c>
      <c r="S221" t="s">
        <v>37</v>
      </c>
      <c r="T221">
        <v>14</v>
      </c>
      <c r="U221">
        <v>3</v>
      </c>
      <c r="V221">
        <v>4</v>
      </c>
      <c r="W221">
        <v>1</v>
      </c>
      <c r="X221">
        <v>16</v>
      </c>
      <c r="Y221">
        <v>4</v>
      </c>
      <c r="Z221">
        <v>3</v>
      </c>
      <c r="AA221">
        <v>6</v>
      </c>
      <c r="AB221">
        <v>2</v>
      </c>
      <c r="AC221">
        <v>0</v>
      </c>
      <c r="AD221">
        <v>5</v>
      </c>
      <c r="AE221" t="str" cm="1">
        <f t="array" ref="AE221">_xlfn.IFS(G221=1,"Before College",G221=2,"College",G221=3,"Bachelor",G221=4,"Master",G221=5,"Doctor")</f>
        <v>Bachelor</v>
      </c>
      <c r="AF221" t="str" cm="1">
        <f t="array" ref="AF221">_xlfn.IFS(J221=1,"Low",J221=2,"Medium",J221=3,"High",J221=4,"Very High")</f>
        <v>Very High</v>
      </c>
      <c r="AG221" t="str" cm="1">
        <f t="array" ref="AG221">_xlfn.IFS(L221=1,"Low",L221=2,"Medium",L221=3,"High",L221=4,"Very High")</f>
        <v>High</v>
      </c>
      <c r="AH221" t="str" cm="1">
        <f t="array" ref="AH221">_xlfn.IFS(M221=1,"Junior employee",M221=2,"Mid-level",M221=3,"Senior",M221=4,"Manager",M221=5,"Executive")</f>
        <v>Mid-level</v>
      </c>
      <c r="AI221" t="str" cm="1">
        <f t="array" ref="AI221">_xlfn.IFS(O221=1,"Low",O221=2,"Medium",O221=3,"High",O221=4,"Very High")</f>
        <v>Low</v>
      </c>
      <c r="AJ221" t="str" cm="1">
        <f t="array" ref="AJ221">_xlfn.IFS(U221=1,"Low",U221=2,"Good",U221=3,"Excellent",U221=4,"Outstanding")</f>
        <v>Excellent</v>
      </c>
      <c r="AK221" t="str" cm="1">
        <f t="array" ref="AK221">_xlfn.IFS(V221=1,"Low",V221=2,"Medium",V221=3,"High",V221=4,"Very High")</f>
        <v>Very High</v>
      </c>
      <c r="AL221" t="str" cm="1">
        <f t="array" ref="AL221">_xlfn.IFS(Z221=1,"Bad",Z221=2,"Good",Z221=3,"Better",Z221=4,"Best")</f>
        <v>Better</v>
      </c>
      <c r="AM221" t="str" cm="1">
        <f t="array" ref="AM221">_xlfn.IFS(W221=0,"No_stock",W221=1,"Low",W221=2,"Medium",W221=3,"High")</f>
        <v>Low</v>
      </c>
      <c r="AN221" t="str">
        <f t="shared" si="3"/>
        <v>Near</v>
      </c>
    </row>
    <row r="222" spans="1:40" x14ac:dyDescent="0.45">
      <c r="A222">
        <v>36</v>
      </c>
      <c r="B222" t="s">
        <v>37</v>
      </c>
      <c r="C222" t="s">
        <v>31</v>
      </c>
      <c r="D222">
        <v>1396</v>
      </c>
      <c r="E222" t="s">
        <v>39</v>
      </c>
      <c r="F222">
        <v>5</v>
      </c>
      <c r="G222">
        <v>2</v>
      </c>
      <c r="H222" t="s">
        <v>33</v>
      </c>
      <c r="I222">
        <v>304</v>
      </c>
      <c r="J222">
        <v>4</v>
      </c>
      <c r="K222" t="s">
        <v>40</v>
      </c>
      <c r="L222">
        <v>3</v>
      </c>
      <c r="M222">
        <v>2</v>
      </c>
      <c r="N222" t="s">
        <v>44</v>
      </c>
      <c r="O222">
        <v>2</v>
      </c>
      <c r="P222" t="s">
        <v>36</v>
      </c>
      <c r="Q222">
        <v>5914</v>
      </c>
      <c r="R222">
        <v>8</v>
      </c>
      <c r="S222" t="s">
        <v>37</v>
      </c>
      <c r="T222">
        <v>16</v>
      </c>
      <c r="U222">
        <v>3</v>
      </c>
      <c r="V222">
        <v>4</v>
      </c>
      <c r="W222">
        <v>0</v>
      </c>
      <c r="X222">
        <v>16</v>
      </c>
      <c r="Y222">
        <v>3</v>
      </c>
      <c r="Z222">
        <v>4</v>
      </c>
      <c r="AA222">
        <v>13</v>
      </c>
      <c r="AB222">
        <v>11</v>
      </c>
      <c r="AC222">
        <v>3</v>
      </c>
      <c r="AD222">
        <v>7</v>
      </c>
      <c r="AE222" t="str" cm="1">
        <f t="array" ref="AE222">_xlfn.IFS(G222=1,"Before College",G222=2,"College",G222=3,"Bachelor",G222=4,"Master",G222=5,"Doctor")</f>
        <v>College</v>
      </c>
      <c r="AF222" t="str" cm="1">
        <f t="array" ref="AF222">_xlfn.IFS(J222=1,"Low",J222=2,"Medium",J222=3,"High",J222=4,"Very High")</f>
        <v>Very High</v>
      </c>
      <c r="AG222" t="str" cm="1">
        <f t="array" ref="AG222">_xlfn.IFS(L222=1,"Low",L222=2,"Medium",L222=3,"High",L222=4,"Very High")</f>
        <v>High</v>
      </c>
      <c r="AH222" t="str" cm="1">
        <f t="array" ref="AH222">_xlfn.IFS(M222=1,"Junior employee",M222=2,"Mid-level",M222=3,"Senior",M222=4,"Manager",M222=5,"Executive")</f>
        <v>Mid-level</v>
      </c>
      <c r="AI222" t="str" cm="1">
        <f t="array" ref="AI222">_xlfn.IFS(O222=1,"Low",O222=2,"Medium",O222=3,"High",O222=4,"Very High")</f>
        <v>Medium</v>
      </c>
      <c r="AJ222" t="str" cm="1">
        <f t="array" ref="AJ222">_xlfn.IFS(U222=1,"Low",U222=2,"Good",U222=3,"Excellent",U222=4,"Outstanding")</f>
        <v>Excellent</v>
      </c>
      <c r="AK222" t="str" cm="1">
        <f t="array" ref="AK222">_xlfn.IFS(V222=1,"Low",V222=2,"Medium",V222=3,"High",V222=4,"Very High")</f>
        <v>Very High</v>
      </c>
      <c r="AL222" t="str" cm="1">
        <f t="array" ref="AL222">_xlfn.IFS(Z222=1,"Bad",Z222=2,"Good",Z222=3,"Better",Z222=4,"Best")</f>
        <v>Best</v>
      </c>
      <c r="AM222" t="str" cm="1">
        <f t="array" ref="AM222">_xlfn.IFS(W222=0,"No_stock",W222=1,"Low",W222=2,"Medium",W222=3,"High")</f>
        <v>No_stock</v>
      </c>
      <c r="AN222" t="str">
        <f t="shared" si="3"/>
        <v>Near</v>
      </c>
    </row>
    <row r="223" spans="1:40" x14ac:dyDescent="0.45">
      <c r="A223">
        <v>33</v>
      </c>
      <c r="B223" t="s">
        <v>37</v>
      </c>
      <c r="C223" t="s">
        <v>31</v>
      </c>
      <c r="D223">
        <v>147</v>
      </c>
      <c r="E223" t="s">
        <v>39</v>
      </c>
      <c r="F223">
        <v>4</v>
      </c>
      <c r="G223">
        <v>4</v>
      </c>
      <c r="H223" t="s">
        <v>45</v>
      </c>
      <c r="I223">
        <v>305</v>
      </c>
      <c r="J223">
        <v>3</v>
      </c>
      <c r="K223" t="s">
        <v>34</v>
      </c>
      <c r="L223">
        <v>2</v>
      </c>
      <c r="M223">
        <v>1</v>
      </c>
      <c r="N223" t="s">
        <v>41</v>
      </c>
      <c r="O223">
        <v>2</v>
      </c>
      <c r="P223" t="s">
        <v>42</v>
      </c>
      <c r="Q223">
        <v>2622</v>
      </c>
      <c r="R223">
        <v>6</v>
      </c>
      <c r="S223" t="s">
        <v>37</v>
      </c>
      <c r="T223">
        <v>21</v>
      </c>
      <c r="U223">
        <v>4</v>
      </c>
      <c r="V223">
        <v>4</v>
      </c>
      <c r="W223">
        <v>0</v>
      </c>
      <c r="X223">
        <v>7</v>
      </c>
      <c r="Y223">
        <v>3</v>
      </c>
      <c r="Z223">
        <v>3</v>
      </c>
      <c r="AA223">
        <v>3</v>
      </c>
      <c r="AB223">
        <v>2</v>
      </c>
      <c r="AC223">
        <v>1</v>
      </c>
      <c r="AD223">
        <v>1</v>
      </c>
      <c r="AE223" t="str" cm="1">
        <f t="array" ref="AE223">_xlfn.IFS(G223=1,"Before College",G223=2,"College",G223=3,"Bachelor",G223=4,"Master",G223=5,"Doctor")</f>
        <v>Master</v>
      </c>
      <c r="AF223" t="str" cm="1">
        <f t="array" ref="AF223">_xlfn.IFS(J223=1,"Low",J223=2,"Medium",J223=3,"High",J223=4,"Very High")</f>
        <v>High</v>
      </c>
      <c r="AG223" t="str" cm="1">
        <f t="array" ref="AG223">_xlfn.IFS(L223=1,"Low",L223=2,"Medium",L223=3,"High",L223=4,"Very High")</f>
        <v>Medium</v>
      </c>
      <c r="AH223" t="str" cm="1">
        <f t="array" ref="AH223">_xlfn.IFS(M223=1,"Junior employee",M223=2,"Mid-level",M223=3,"Senior",M223=4,"Manager",M223=5,"Executive")</f>
        <v>Junior employee</v>
      </c>
      <c r="AI223" t="str" cm="1">
        <f t="array" ref="AI223">_xlfn.IFS(O223=1,"Low",O223=2,"Medium",O223=3,"High",O223=4,"Very High")</f>
        <v>Medium</v>
      </c>
      <c r="AJ223" t="str" cm="1">
        <f t="array" ref="AJ223">_xlfn.IFS(U223=1,"Low",U223=2,"Good",U223=3,"Excellent",U223=4,"Outstanding")</f>
        <v>Outstanding</v>
      </c>
      <c r="AK223" t="str" cm="1">
        <f t="array" ref="AK223">_xlfn.IFS(V223=1,"Low",V223=2,"Medium",V223=3,"High",V223=4,"Very High")</f>
        <v>Very High</v>
      </c>
      <c r="AL223" t="str" cm="1">
        <f t="array" ref="AL223">_xlfn.IFS(Z223=1,"Bad",Z223=2,"Good",Z223=3,"Better",Z223=4,"Best")</f>
        <v>Better</v>
      </c>
      <c r="AM223" t="str" cm="1">
        <f t="array" ref="AM223">_xlfn.IFS(W223=0,"No_stock",W223=1,"Low",W223=2,"Medium",W223=3,"High")</f>
        <v>No_stock</v>
      </c>
      <c r="AN223" t="str">
        <f t="shared" si="3"/>
        <v>Near</v>
      </c>
    </row>
    <row r="224" spans="1:40" x14ac:dyDescent="0.45">
      <c r="A224">
        <v>37</v>
      </c>
      <c r="B224" t="s">
        <v>37</v>
      </c>
      <c r="C224" t="s">
        <v>38</v>
      </c>
      <c r="D224">
        <v>663</v>
      </c>
      <c r="E224" t="s">
        <v>39</v>
      </c>
      <c r="F224">
        <v>11</v>
      </c>
      <c r="G224">
        <v>3</v>
      </c>
      <c r="H224" t="s">
        <v>43</v>
      </c>
      <c r="I224">
        <v>306</v>
      </c>
      <c r="J224">
        <v>2</v>
      </c>
      <c r="K224" t="s">
        <v>40</v>
      </c>
      <c r="L224">
        <v>3</v>
      </c>
      <c r="M224">
        <v>3</v>
      </c>
      <c r="N224" t="s">
        <v>52</v>
      </c>
      <c r="O224">
        <v>4</v>
      </c>
      <c r="P224" t="s">
        <v>46</v>
      </c>
      <c r="Q224">
        <v>12185</v>
      </c>
      <c r="R224">
        <v>1</v>
      </c>
      <c r="S224" t="s">
        <v>30</v>
      </c>
      <c r="T224">
        <v>14</v>
      </c>
      <c r="U224">
        <v>3</v>
      </c>
      <c r="V224">
        <v>3</v>
      </c>
      <c r="W224">
        <v>3</v>
      </c>
      <c r="X224">
        <v>10</v>
      </c>
      <c r="Y224">
        <v>1</v>
      </c>
      <c r="Z224">
        <v>3</v>
      </c>
      <c r="AA224">
        <v>10</v>
      </c>
      <c r="AB224">
        <v>8</v>
      </c>
      <c r="AC224">
        <v>0</v>
      </c>
      <c r="AD224">
        <v>7</v>
      </c>
      <c r="AE224" t="str" cm="1">
        <f t="array" ref="AE224">_xlfn.IFS(G224=1,"Before College",G224=2,"College",G224=3,"Bachelor",G224=4,"Master",G224=5,"Doctor")</f>
        <v>Bachelor</v>
      </c>
      <c r="AF224" t="str" cm="1">
        <f t="array" ref="AF224">_xlfn.IFS(J224=1,"Low",J224=2,"Medium",J224=3,"High",J224=4,"Very High")</f>
        <v>Medium</v>
      </c>
      <c r="AG224" t="str" cm="1">
        <f t="array" ref="AG224">_xlfn.IFS(L224=1,"Low",L224=2,"Medium",L224=3,"High",L224=4,"Very High")</f>
        <v>High</v>
      </c>
      <c r="AH224" t="str" cm="1">
        <f t="array" ref="AH224">_xlfn.IFS(M224=1,"Junior employee",M224=2,"Mid-level",M224=3,"Senior",M224=4,"Manager",M224=5,"Executive")</f>
        <v>Senior</v>
      </c>
      <c r="AI224" t="str" cm="1">
        <f t="array" ref="AI224">_xlfn.IFS(O224=1,"Low",O224=2,"Medium",O224=3,"High",O224=4,"Very High")</f>
        <v>Very High</v>
      </c>
      <c r="AJ224" t="str" cm="1">
        <f t="array" ref="AJ224">_xlfn.IFS(U224=1,"Low",U224=2,"Good",U224=3,"Excellent",U224=4,"Outstanding")</f>
        <v>Excellent</v>
      </c>
      <c r="AK224" t="str" cm="1">
        <f t="array" ref="AK224">_xlfn.IFS(V224=1,"Low",V224=2,"Medium",V224=3,"High",V224=4,"Very High")</f>
        <v>High</v>
      </c>
      <c r="AL224" t="str" cm="1">
        <f t="array" ref="AL224">_xlfn.IFS(Z224=1,"Bad",Z224=2,"Good",Z224=3,"Better",Z224=4,"Best")</f>
        <v>Better</v>
      </c>
      <c r="AM224" t="str" cm="1">
        <f t="array" ref="AM224">_xlfn.IFS(W224=0,"No_stock",W224=1,"Low",W224=2,"Medium",W224=3,"High")</f>
        <v>High</v>
      </c>
      <c r="AN224" t="str">
        <f t="shared" si="3"/>
        <v>Medium</v>
      </c>
    </row>
    <row r="225" spans="1:40" x14ac:dyDescent="0.45">
      <c r="A225">
        <v>38</v>
      </c>
      <c r="B225" t="s">
        <v>37</v>
      </c>
      <c r="C225" t="s">
        <v>31</v>
      </c>
      <c r="D225">
        <v>119</v>
      </c>
      <c r="E225" t="s">
        <v>32</v>
      </c>
      <c r="F225">
        <v>3</v>
      </c>
      <c r="G225">
        <v>3</v>
      </c>
      <c r="H225" t="s">
        <v>33</v>
      </c>
      <c r="I225">
        <v>307</v>
      </c>
      <c r="J225">
        <v>1</v>
      </c>
      <c r="K225" t="s">
        <v>40</v>
      </c>
      <c r="L225">
        <v>3</v>
      </c>
      <c r="M225">
        <v>3</v>
      </c>
      <c r="N225" t="s">
        <v>35</v>
      </c>
      <c r="O225">
        <v>3</v>
      </c>
      <c r="P225" t="s">
        <v>46</v>
      </c>
      <c r="Q225">
        <v>10609</v>
      </c>
      <c r="R225">
        <v>0</v>
      </c>
      <c r="S225" t="s">
        <v>37</v>
      </c>
      <c r="T225">
        <v>12</v>
      </c>
      <c r="U225">
        <v>3</v>
      </c>
      <c r="V225">
        <v>3</v>
      </c>
      <c r="W225">
        <v>2</v>
      </c>
      <c r="X225">
        <v>17</v>
      </c>
      <c r="Y225">
        <v>6</v>
      </c>
      <c r="Z225">
        <v>2</v>
      </c>
      <c r="AA225">
        <v>16</v>
      </c>
      <c r="AB225">
        <v>10</v>
      </c>
      <c r="AC225">
        <v>5</v>
      </c>
      <c r="AD225">
        <v>13</v>
      </c>
      <c r="AE225" t="str" cm="1">
        <f t="array" ref="AE225">_xlfn.IFS(G225=1,"Before College",G225=2,"College",G225=3,"Bachelor",G225=4,"Master",G225=5,"Doctor")</f>
        <v>Bachelor</v>
      </c>
      <c r="AF225" t="str" cm="1">
        <f t="array" ref="AF225">_xlfn.IFS(J225=1,"Low",J225=2,"Medium",J225=3,"High",J225=4,"Very High")</f>
        <v>Low</v>
      </c>
      <c r="AG225" t="str" cm="1">
        <f t="array" ref="AG225">_xlfn.IFS(L225=1,"Low",L225=2,"Medium",L225=3,"High",L225=4,"Very High")</f>
        <v>High</v>
      </c>
      <c r="AH225" t="str" cm="1">
        <f t="array" ref="AH225">_xlfn.IFS(M225=1,"Junior employee",M225=2,"Mid-level",M225=3,"Senior",M225=4,"Manager",M225=5,"Executive")</f>
        <v>Senior</v>
      </c>
      <c r="AI225" t="str" cm="1">
        <f t="array" ref="AI225">_xlfn.IFS(O225=1,"Low",O225=2,"Medium",O225=3,"High",O225=4,"Very High")</f>
        <v>High</v>
      </c>
      <c r="AJ225" t="str" cm="1">
        <f t="array" ref="AJ225">_xlfn.IFS(U225=1,"Low",U225=2,"Good",U225=3,"Excellent",U225=4,"Outstanding")</f>
        <v>Excellent</v>
      </c>
      <c r="AK225" t="str" cm="1">
        <f t="array" ref="AK225">_xlfn.IFS(V225=1,"Low",V225=2,"Medium",V225=3,"High",V225=4,"Very High")</f>
        <v>High</v>
      </c>
      <c r="AL225" t="str" cm="1">
        <f t="array" ref="AL225">_xlfn.IFS(Z225=1,"Bad",Z225=2,"Good",Z225=3,"Better",Z225=4,"Best")</f>
        <v>Good</v>
      </c>
      <c r="AM225" t="str" cm="1">
        <f t="array" ref="AM225">_xlfn.IFS(W225=0,"No_stock",W225=1,"Low",W225=2,"Medium",W225=3,"High")</f>
        <v>Medium</v>
      </c>
      <c r="AN225" t="str">
        <f t="shared" si="3"/>
        <v>Near</v>
      </c>
    </row>
    <row r="226" spans="1:40" x14ac:dyDescent="0.45">
      <c r="A226">
        <v>31</v>
      </c>
      <c r="B226" t="s">
        <v>37</v>
      </c>
      <c r="C226" t="s">
        <v>49</v>
      </c>
      <c r="D226">
        <v>979</v>
      </c>
      <c r="E226" t="s">
        <v>39</v>
      </c>
      <c r="F226">
        <v>1</v>
      </c>
      <c r="G226">
        <v>4</v>
      </c>
      <c r="H226" t="s">
        <v>45</v>
      </c>
      <c r="I226">
        <v>308</v>
      </c>
      <c r="J226">
        <v>3</v>
      </c>
      <c r="K226" t="s">
        <v>40</v>
      </c>
      <c r="L226">
        <v>1</v>
      </c>
      <c r="M226">
        <v>2</v>
      </c>
      <c r="N226" t="s">
        <v>47</v>
      </c>
      <c r="O226">
        <v>3</v>
      </c>
      <c r="P226" t="s">
        <v>42</v>
      </c>
      <c r="Q226">
        <v>4345</v>
      </c>
      <c r="R226">
        <v>0</v>
      </c>
      <c r="S226" t="s">
        <v>37</v>
      </c>
      <c r="T226">
        <v>12</v>
      </c>
      <c r="U226">
        <v>3</v>
      </c>
      <c r="V226">
        <v>4</v>
      </c>
      <c r="W226">
        <v>1</v>
      </c>
      <c r="X226">
        <v>6</v>
      </c>
      <c r="Y226">
        <v>2</v>
      </c>
      <c r="Z226">
        <v>3</v>
      </c>
      <c r="AA226">
        <v>5</v>
      </c>
      <c r="AB226">
        <v>4</v>
      </c>
      <c r="AC226">
        <v>1</v>
      </c>
      <c r="AD226">
        <v>4</v>
      </c>
      <c r="AE226" t="str" cm="1">
        <f t="array" ref="AE226">_xlfn.IFS(G226=1,"Before College",G226=2,"College",G226=3,"Bachelor",G226=4,"Master",G226=5,"Doctor")</f>
        <v>Master</v>
      </c>
      <c r="AF226" t="str" cm="1">
        <f t="array" ref="AF226">_xlfn.IFS(J226=1,"Low",J226=2,"Medium",J226=3,"High",J226=4,"Very High")</f>
        <v>High</v>
      </c>
      <c r="AG226" t="str" cm="1">
        <f t="array" ref="AG226">_xlfn.IFS(L226=1,"Low",L226=2,"Medium",L226=3,"High",L226=4,"Very High")</f>
        <v>Low</v>
      </c>
      <c r="AH226" t="str" cm="1">
        <f t="array" ref="AH226">_xlfn.IFS(M226=1,"Junior employee",M226=2,"Mid-level",M226=3,"Senior",M226=4,"Manager",M226=5,"Executive")</f>
        <v>Mid-level</v>
      </c>
      <c r="AI226" t="str" cm="1">
        <f t="array" ref="AI226">_xlfn.IFS(O226=1,"Low",O226=2,"Medium",O226=3,"High",O226=4,"Very High")</f>
        <v>High</v>
      </c>
      <c r="AJ226" t="str" cm="1">
        <f t="array" ref="AJ226">_xlfn.IFS(U226=1,"Low",U226=2,"Good",U226=3,"Excellent",U226=4,"Outstanding")</f>
        <v>Excellent</v>
      </c>
      <c r="AK226" t="str" cm="1">
        <f t="array" ref="AK226">_xlfn.IFS(V226=1,"Low",V226=2,"Medium",V226=3,"High",V226=4,"Very High")</f>
        <v>Very High</v>
      </c>
      <c r="AL226" t="str" cm="1">
        <f t="array" ref="AL226">_xlfn.IFS(Z226=1,"Bad",Z226=2,"Good",Z226=3,"Better",Z226=4,"Best")</f>
        <v>Better</v>
      </c>
      <c r="AM226" t="str" cm="1">
        <f t="array" ref="AM226">_xlfn.IFS(W226=0,"No_stock",W226=1,"Low",W226=2,"Medium",W226=3,"High")</f>
        <v>Low</v>
      </c>
      <c r="AN226" t="str">
        <f t="shared" si="3"/>
        <v>Near</v>
      </c>
    </row>
    <row r="227" spans="1:40" x14ac:dyDescent="0.45">
      <c r="A227">
        <v>59</v>
      </c>
      <c r="B227" t="s">
        <v>37</v>
      </c>
      <c r="C227" t="s">
        <v>31</v>
      </c>
      <c r="D227">
        <v>142</v>
      </c>
      <c r="E227" t="s">
        <v>39</v>
      </c>
      <c r="F227">
        <v>3</v>
      </c>
      <c r="G227">
        <v>3</v>
      </c>
      <c r="H227" t="s">
        <v>33</v>
      </c>
      <c r="I227">
        <v>309</v>
      </c>
      <c r="J227">
        <v>3</v>
      </c>
      <c r="K227" t="s">
        <v>40</v>
      </c>
      <c r="L227">
        <v>2</v>
      </c>
      <c r="M227">
        <v>1</v>
      </c>
      <c r="N227" t="s">
        <v>41</v>
      </c>
      <c r="O227">
        <v>4</v>
      </c>
      <c r="P227" t="s">
        <v>42</v>
      </c>
      <c r="Q227">
        <v>2177</v>
      </c>
      <c r="R227">
        <v>3</v>
      </c>
      <c r="S227" t="s">
        <v>37</v>
      </c>
      <c r="T227">
        <v>17</v>
      </c>
      <c r="U227">
        <v>3</v>
      </c>
      <c r="V227">
        <v>1</v>
      </c>
      <c r="W227">
        <v>1</v>
      </c>
      <c r="X227">
        <v>7</v>
      </c>
      <c r="Y227">
        <v>6</v>
      </c>
      <c r="Z227">
        <v>3</v>
      </c>
      <c r="AA227">
        <v>1</v>
      </c>
      <c r="AB227">
        <v>0</v>
      </c>
      <c r="AC227">
        <v>0</v>
      </c>
      <c r="AD227">
        <v>0</v>
      </c>
      <c r="AE227" t="str" cm="1">
        <f t="array" ref="AE227">_xlfn.IFS(G227=1,"Before College",G227=2,"College",G227=3,"Bachelor",G227=4,"Master",G227=5,"Doctor")</f>
        <v>Bachelor</v>
      </c>
      <c r="AF227" t="str" cm="1">
        <f t="array" ref="AF227">_xlfn.IFS(J227=1,"Low",J227=2,"Medium",J227=3,"High",J227=4,"Very High")</f>
        <v>High</v>
      </c>
      <c r="AG227" t="str" cm="1">
        <f t="array" ref="AG227">_xlfn.IFS(L227=1,"Low",L227=2,"Medium",L227=3,"High",L227=4,"Very High")</f>
        <v>Medium</v>
      </c>
      <c r="AH227" t="str" cm="1">
        <f t="array" ref="AH227">_xlfn.IFS(M227=1,"Junior employee",M227=2,"Mid-level",M227=3,"Senior",M227=4,"Manager",M227=5,"Executive")</f>
        <v>Junior employee</v>
      </c>
      <c r="AI227" t="str" cm="1">
        <f t="array" ref="AI227">_xlfn.IFS(O227=1,"Low",O227=2,"Medium",O227=3,"High",O227=4,"Very High")</f>
        <v>Very High</v>
      </c>
      <c r="AJ227" t="str" cm="1">
        <f t="array" ref="AJ227">_xlfn.IFS(U227=1,"Low",U227=2,"Good",U227=3,"Excellent",U227=4,"Outstanding")</f>
        <v>Excellent</v>
      </c>
      <c r="AK227" t="str" cm="1">
        <f t="array" ref="AK227">_xlfn.IFS(V227=1,"Low",V227=2,"Medium",V227=3,"High",V227=4,"Very High")</f>
        <v>Low</v>
      </c>
      <c r="AL227" t="str" cm="1">
        <f t="array" ref="AL227">_xlfn.IFS(Z227=1,"Bad",Z227=2,"Good",Z227=3,"Better",Z227=4,"Best")</f>
        <v>Better</v>
      </c>
      <c r="AM227" t="str" cm="1">
        <f t="array" ref="AM227">_xlfn.IFS(W227=0,"No_stock",W227=1,"Low",W227=2,"Medium",W227=3,"High")</f>
        <v>Low</v>
      </c>
      <c r="AN227" t="str">
        <f t="shared" si="3"/>
        <v>Near</v>
      </c>
    </row>
    <row r="228" spans="1:40" x14ac:dyDescent="0.45">
      <c r="A228">
        <v>37</v>
      </c>
      <c r="B228" t="s">
        <v>37</v>
      </c>
      <c r="C228" t="s">
        <v>38</v>
      </c>
      <c r="D228">
        <v>319</v>
      </c>
      <c r="E228" t="s">
        <v>32</v>
      </c>
      <c r="F228">
        <v>4</v>
      </c>
      <c r="G228">
        <v>4</v>
      </c>
      <c r="H228" t="s">
        <v>53</v>
      </c>
      <c r="I228">
        <v>311</v>
      </c>
      <c r="J228">
        <v>1</v>
      </c>
      <c r="K228" t="s">
        <v>40</v>
      </c>
      <c r="L228">
        <v>3</v>
      </c>
      <c r="M228">
        <v>1</v>
      </c>
      <c r="N228" t="s">
        <v>51</v>
      </c>
      <c r="O228">
        <v>4</v>
      </c>
      <c r="P228" t="s">
        <v>46</v>
      </c>
      <c r="Q228">
        <v>2793</v>
      </c>
      <c r="R228">
        <v>4</v>
      </c>
      <c r="S228" t="s">
        <v>37</v>
      </c>
      <c r="T228">
        <v>17</v>
      </c>
      <c r="U228">
        <v>3</v>
      </c>
      <c r="V228">
        <v>3</v>
      </c>
      <c r="W228">
        <v>1</v>
      </c>
      <c r="X228">
        <v>13</v>
      </c>
      <c r="Y228">
        <v>2</v>
      </c>
      <c r="Z228">
        <v>3</v>
      </c>
      <c r="AA228">
        <v>9</v>
      </c>
      <c r="AB228">
        <v>8</v>
      </c>
      <c r="AC228">
        <v>5</v>
      </c>
      <c r="AD228">
        <v>8</v>
      </c>
      <c r="AE228" t="str" cm="1">
        <f t="array" ref="AE228">_xlfn.IFS(G228=1,"Before College",G228=2,"College",G228=3,"Bachelor",G228=4,"Master",G228=5,"Doctor")</f>
        <v>Master</v>
      </c>
      <c r="AF228" t="str" cm="1">
        <f t="array" ref="AF228">_xlfn.IFS(J228=1,"Low",J228=2,"Medium",J228=3,"High",J228=4,"Very High")</f>
        <v>Low</v>
      </c>
      <c r="AG228" t="str" cm="1">
        <f t="array" ref="AG228">_xlfn.IFS(L228=1,"Low",L228=2,"Medium",L228=3,"High",L228=4,"Very High")</f>
        <v>High</v>
      </c>
      <c r="AH228" t="str" cm="1">
        <f t="array" ref="AH228">_xlfn.IFS(M228=1,"Junior employee",M228=2,"Mid-level",M228=3,"Senior",M228=4,"Manager",M228=5,"Executive")</f>
        <v>Junior employee</v>
      </c>
      <c r="AI228" t="str" cm="1">
        <f t="array" ref="AI228">_xlfn.IFS(O228=1,"Low",O228=2,"Medium",O228=3,"High",O228=4,"Very High")</f>
        <v>Very High</v>
      </c>
      <c r="AJ228" t="str" cm="1">
        <f t="array" ref="AJ228">_xlfn.IFS(U228=1,"Low",U228=2,"Good",U228=3,"Excellent",U228=4,"Outstanding")</f>
        <v>Excellent</v>
      </c>
      <c r="AK228" t="str" cm="1">
        <f t="array" ref="AK228">_xlfn.IFS(V228=1,"Low",V228=2,"Medium",V228=3,"High",V228=4,"Very High")</f>
        <v>High</v>
      </c>
      <c r="AL228" t="str" cm="1">
        <f t="array" ref="AL228">_xlfn.IFS(Z228=1,"Bad",Z228=2,"Good",Z228=3,"Better",Z228=4,"Best")</f>
        <v>Better</v>
      </c>
      <c r="AM228" t="str" cm="1">
        <f t="array" ref="AM228">_xlfn.IFS(W228=0,"No_stock",W228=1,"Low",W228=2,"Medium",W228=3,"High")</f>
        <v>Low</v>
      </c>
      <c r="AN228" t="str">
        <f t="shared" si="3"/>
        <v>Near</v>
      </c>
    </row>
    <row r="229" spans="1:40" x14ac:dyDescent="0.45">
      <c r="A229">
        <v>29</v>
      </c>
      <c r="B229" t="s">
        <v>37</v>
      </c>
      <c r="C229" t="s">
        <v>38</v>
      </c>
      <c r="D229">
        <v>1413</v>
      </c>
      <c r="E229" t="s">
        <v>32</v>
      </c>
      <c r="F229">
        <v>1</v>
      </c>
      <c r="G229">
        <v>1</v>
      </c>
      <c r="H229" t="s">
        <v>45</v>
      </c>
      <c r="I229">
        <v>312</v>
      </c>
      <c r="J229">
        <v>2</v>
      </c>
      <c r="K229" t="s">
        <v>34</v>
      </c>
      <c r="L229">
        <v>3</v>
      </c>
      <c r="M229">
        <v>3</v>
      </c>
      <c r="N229" t="s">
        <v>35</v>
      </c>
      <c r="O229">
        <v>4</v>
      </c>
      <c r="P229" t="s">
        <v>42</v>
      </c>
      <c r="Q229">
        <v>7918</v>
      </c>
      <c r="R229">
        <v>1</v>
      </c>
      <c r="S229" t="s">
        <v>37</v>
      </c>
      <c r="T229">
        <v>14</v>
      </c>
      <c r="U229">
        <v>3</v>
      </c>
      <c r="V229">
        <v>4</v>
      </c>
      <c r="W229">
        <v>1</v>
      </c>
      <c r="X229">
        <v>11</v>
      </c>
      <c r="Y229">
        <v>5</v>
      </c>
      <c r="Z229">
        <v>3</v>
      </c>
      <c r="AA229">
        <v>11</v>
      </c>
      <c r="AB229">
        <v>10</v>
      </c>
      <c r="AC229">
        <v>4</v>
      </c>
      <c r="AD229">
        <v>1</v>
      </c>
      <c r="AE229" t="str" cm="1">
        <f t="array" ref="AE229">_xlfn.IFS(G229=1,"Before College",G229=2,"College",G229=3,"Bachelor",G229=4,"Master",G229=5,"Doctor")</f>
        <v>Before College</v>
      </c>
      <c r="AF229" t="str" cm="1">
        <f t="array" ref="AF229">_xlfn.IFS(J229=1,"Low",J229=2,"Medium",J229=3,"High",J229=4,"Very High")</f>
        <v>Medium</v>
      </c>
      <c r="AG229" t="str" cm="1">
        <f t="array" ref="AG229">_xlfn.IFS(L229=1,"Low",L229=2,"Medium",L229=3,"High",L229=4,"Very High")</f>
        <v>High</v>
      </c>
      <c r="AH229" t="str" cm="1">
        <f t="array" ref="AH229">_xlfn.IFS(M229=1,"Junior employee",M229=2,"Mid-level",M229=3,"Senior",M229=4,"Manager",M229=5,"Executive")</f>
        <v>Senior</v>
      </c>
      <c r="AI229" t="str" cm="1">
        <f t="array" ref="AI229">_xlfn.IFS(O229=1,"Low",O229=2,"Medium",O229=3,"High",O229=4,"Very High")</f>
        <v>Very High</v>
      </c>
      <c r="AJ229" t="str" cm="1">
        <f t="array" ref="AJ229">_xlfn.IFS(U229=1,"Low",U229=2,"Good",U229=3,"Excellent",U229=4,"Outstanding")</f>
        <v>Excellent</v>
      </c>
      <c r="AK229" t="str" cm="1">
        <f t="array" ref="AK229">_xlfn.IFS(V229=1,"Low",V229=2,"Medium",V229=3,"High",V229=4,"Very High")</f>
        <v>Very High</v>
      </c>
      <c r="AL229" t="str" cm="1">
        <f t="array" ref="AL229">_xlfn.IFS(Z229=1,"Bad",Z229=2,"Good",Z229=3,"Better",Z229=4,"Best")</f>
        <v>Better</v>
      </c>
      <c r="AM229" t="str" cm="1">
        <f t="array" ref="AM229">_xlfn.IFS(W229=0,"No_stock",W229=1,"Low",W229=2,"Medium",W229=3,"High")</f>
        <v>Low</v>
      </c>
      <c r="AN229" t="str">
        <f t="shared" si="3"/>
        <v>Near</v>
      </c>
    </row>
    <row r="230" spans="1:40" x14ac:dyDescent="0.45">
      <c r="A230">
        <v>35</v>
      </c>
      <c r="B230" t="s">
        <v>37</v>
      </c>
      <c r="C230" t="s">
        <v>38</v>
      </c>
      <c r="D230">
        <v>944</v>
      </c>
      <c r="E230" t="s">
        <v>32</v>
      </c>
      <c r="F230">
        <v>1</v>
      </c>
      <c r="G230">
        <v>3</v>
      </c>
      <c r="H230" t="s">
        <v>53</v>
      </c>
      <c r="I230">
        <v>314</v>
      </c>
      <c r="J230">
        <v>3</v>
      </c>
      <c r="K230" t="s">
        <v>34</v>
      </c>
      <c r="L230">
        <v>3</v>
      </c>
      <c r="M230">
        <v>3</v>
      </c>
      <c r="N230" t="s">
        <v>35</v>
      </c>
      <c r="O230">
        <v>3</v>
      </c>
      <c r="P230" t="s">
        <v>36</v>
      </c>
      <c r="Q230">
        <v>8789</v>
      </c>
      <c r="R230">
        <v>1</v>
      </c>
      <c r="S230" t="s">
        <v>37</v>
      </c>
      <c r="T230">
        <v>14</v>
      </c>
      <c r="U230">
        <v>3</v>
      </c>
      <c r="V230">
        <v>1</v>
      </c>
      <c r="W230">
        <v>0</v>
      </c>
      <c r="X230">
        <v>10</v>
      </c>
      <c r="Y230">
        <v>3</v>
      </c>
      <c r="Z230">
        <v>4</v>
      </c>
      <c r="AA230">
        <v>10</v>
      </c>
      <c r="AB230">
        <v>7</v>
      </c>
      <c r="AC230">
        <v>0</v>
      </c>
      <c r="AD230">
        <v>8</v>
      </c>
      <c r="AE230" t="str" cm="1">
        <f t="array" ref="AE230">_xlfn.IFS(G230=1,"Before College",G230=2,"College",G230=3,"Bachelor",G230=4,"Master",G230=5,"Doctor")</f>
        <v>Bachelor</v>
      </c>
      <c r="AF230" t="str" cm="1">
        <f t="array" ref="AF230">_xlfn.IFS(J230=1,"Low",J230=2,"Medium",J230=3,"High",J230=4,"Very High")</f>
        <v>High</v>
      </c>
      <c r="AG230" t="str" cm="1">
        <f t="array" ref="AG230">_xlfn.IFS(L230=1,"Low",L230=2,"Medium",L230=3,"High",L230=4,"Very High")</f>
        <v>High</v>
      </c>
      <c r="AH230" t="str" cm="1">
        <f t="array" ref="AH230">_xlfn.IFS(M230=1,"Junior employee",M230=2,"Mid-level",M230=3,"Senior",M230=4,"Manager",M230=5,"Executive")</f>
        <v>Senior</v>
      </c>
      <c r="AI230" t="str" cm="1">
        <f t="array" ref="AI230">_xlfn.IFS(O230=1,"Low",O230=2,"Medium",O230=3,"High",O230=4,"Very High")</f>
        <v>High</v>
      </c>
      <c r="AJ230" t="str" cm="1">
        <f t="array" ref="AJ230">_xlfn.IFS(U230=1,"Low",U230=2,"Good",U230=3,"Excellent",U230=4,"Outstanding")</f>
        <v>Excellent</v>
      </c>
      <c r="AK230" t="str" cm="1">
        <f t="array" ref="AK230">_xlfn.IFS(V230=1,"Low",V230=2,"Medium",V230=3,"High",V230=4,"Very High")</f>
        <v>Low</v>
      </c>
      <c r="AL230" t="str" cm="1">
        <f t="array" ref="AL230">_xlfn.IFS(Z230=1,"Bad",Z230=2,"Good",Z230=3,"Better",Z230=4,"Best")</f>
        <v>Best</v>
      </c>
      <c r="AM230" t="str" cm="1">
        <f t="array" ref="AM230">_xlfn.IFS(W230=0,"No_stock",W230=1,"Low",W230=2,"Medium",W230=3,"High")</f>
        <v>No_stock</v>
      </c>
      <c r="AN230" t="str">
        <f t="shared" si="3"/>
        <v>Near</v>
      </c>
    </row>
    <row r="231" spans="1:40" x14ac:dyDescent="0.45">
      <c r="A231">
        <v>29</v>
      </c>
      <c r="B231" t="s">
        <v>30</v>
      </c>
      <c r="C231" t="s">
        <v>31</v>
      </c>
      <c r="D231">
        <v>896</v>
      </c>
      <c r="E231" t="s">
        <v>39</v>
      </c>
      <c r="F231">
        <v>18</v>
      </c>
      <c r="G231">
        <v>1</v>
      </c>
      <c r="H231" t="s">
        <v>45</v>
      </c>
      <c r="I231">
        <v>315</v>
      </c>
      <c r="J231">
        <v>3</v>
      </c>
      <c r="K231" t="s">
        <v>40</v>
      </c>
      <c r="L231">
        <v>2</v>
      </c>
      <c r="M231">
        <v>1</v>
      </c>
      <c r="N231" t="s">
        <v>41</v>
      </c>
      <c r="O231">
        <v>4</v>
      </c>
      <c r="P231" t="s">
        <v>36</v>
      </c>
      <c r="Q231">
        <v>2389</v>
      </c>
      <c r="R231">
        <v>1</v>
      </c>
      <c r="S231" t="s">
        <v>30</v>
      </c>
      <c r="T231">
        <v>13</v>
      </c>
      <c r="U231">
        <v>3</v>
      </c>
      <c r="V231">
        <v>3</v>
      </c>
      <c r="W231">
        <v>0</v>
      </c>
      <c r="X231">
        <v>4</v>
      </c>
      <c r="Y231">
        <v>3</v>
      </c>
      <c r="Z231">
        <v>2</v>
      </c>
      <c r="AA231">
        <v>4</v>
      </c>
      <c r="AB231">
        <v>3</v>
      </c>
      <c r="AC231">
        <v>0</v>
      </c>
      <c r="AD231">
        <v>1</v>
      </c>
      <c r="AE231" t="str" cm="1">
        <f t="array" ref="AE231">_xlfn.IFS(G231=1,"Before College",G231=2,"College",G231=3,"Bachelor",G231=4,"Master",G231=5,"Doctor")</f>
        <v>Before College</v>
      </c>
      <c r="AF231" t="str" cm="1">
        <f t="array" ref="AF231">_xlfn.IFS(J231=1,"Low",J231=2,"Medium",J231=3,"High",J231=4,"Very High")</f>
        <v>High</v>
      </c>
      <c r="AG231" t="str" cm="1">
        <f t="array" ref="AG231">_xlfn.IFS(L231=1,"Low",L231=2,"Medium",L231=3,"High",L231=4,"Very High")</f>
        <v>Medium</v>
      </c>
      <c r="AH231" t="str" cm="1">
        <f t="array" ref="AH231">_xlfn.IFS(M231=1,"Junior employee",M231=2,"Mid-level",M231=3,"Senior",M231=4,"Manager",M231=5,"Executive")</f>
        <v>Junior employee</v>
      </c>
      <c r="AI231" t="str" cm="1">
        <f t="array" ref="AI231">_xlfn.IFS(O231=1,"Low",O231=2,"Medium",O231=3,"High",O231=4,"Very High")</f>
        <v>Very High</v>
      </c>
      <c r="AJ231" t="str" cm="1">
        <f t="array" ref="AJ231">_xlfn.IFS(U231=1,"Low",U231=2,"Good",U231=3,"Excellent",U231=4,"Outstanding")</f>
        <v>Excellent</v>
      </c>
      <c r="AK231" t="str" cm="1">
        <f t="array" ref="AK231">_xlfn.IFS(V231=1,"Low",V231=2,"Medium",V231=3,"High",V231=4,"Very High")</f>
        <v>High</v>
      </c>
      <c r="AL231" t="str" cm="1">
        <f t="array" ref="AL231">_xlfn.IFS(Z231=1,"Bad",Z231=2,"Good",Z231=3,"Better",Z231=4,"Best")</f>
        <v>Good</v>
      </c>
      <c r="AM231" t="str" cm="1">
        <f t="array" ref="AM231">_xlfn.IFS(W231=0,"No_stock",W231=1,"Low",W231=2,"Medium",W231=3,"High")</f>
        <v>No_stock</v>
      </c>
      <c r="AN231" t="str">
        <f t="shared" si="3"/>
        <v>Far</v>
      </c>
    </row>
    <row r="232" spans="1:40" x14ac:dyDescent="0.45">
      <c r="A232">
        <v>52</v>
      </c>
      <c r="B232" t="s">
        <v>37</v>
      </c>
      <c r="C232" t="s">
        <v>31</v>
      </c>
      <c r="D232">
        <v>1323</v>
      </c>
      <c r="E232" t="s">
        <v>39</v>
      </c>
      <c r="F232">
        <v>2</v>
      </c>
      <c r="G232">
        <v>3</v>
      </c>
      <c r="H232" t="s">
        <v>33</v>
      </c>
      <c r="I232">
        <v>316</v>
      </c>
      <c r="J232">
        <v>3</v>
      </c>
      <c r="K232" t="s">
        <v>34</v>
      </c>
      <c r="L232">
        <v>2</v>
      </c>
      <c r="M232">
        <v>1</v>
      </c>
      <c r="N232" t="s">
        <v>44</v>
      </c>
      <c r="O232">
        <v>4</v>
      </c>
      <c r="P232" t="s">
        <v>36</v>
      </c>
      <c r="Q232">
        <v>3212</v>
      </c>
      <c r="R232">
        <v>7</v>
      </c>
      <c r="S232" t="s">
        <v>37</v>
      </c>
      <c r="T232">
        <v>15</v>
      </c>
      <c r="U232">
        <v>3</v>
      </c>
      <c r="V232">
        <v>2</v>
      </c>
      <c r="W232">
        <v>0</v>
      </c>
      <c r="X232">
        <v>6</v>
      </c>
      <c r="Y232">
        <v>3</v>
      </c>
      <c r="Z232">
        <v>2</v>
      </c>
      <c r="AA232">
        <v>2</v>
      </c>
      <c r="AB232">
        <v>2</v>
      </c>
      <c r="AC232">
        <v>2</v>
      </c>
      <c r="AD232">
        <v>2</v>
      </c>
      <c r="AE232" t="str" cm="1">
        <f t="array" ref="AE232">_xlfn.IFS(G232=1,"Before College",G232=2,"College",G232=3,"Bachelor",G232=4,"Master",G232=5,"Doctor")</f>
        <v>Bachelor</v>
      </c>
      <c r="AF232" t="str" cm="1">
        <f t="array" ref="AF232">_xlfn.IFS(J232=1,"Low",J232=2,"Medium",J232=3,"High",J232=4,"Very High")</f>
        <v>High</v>
      </c>
      <c r="AG232" t="str" cm="1">
        <f t="array" ref="AG232">_xlfn.IFS(L232=1,"Low",L232=2,"Medium",L232=3,"High",L232=4,"Very High")</f>
        <v>Medium</v>
      </c>
      <c r="AH232" t="str" cm="1">
        <f t="array" ref="AH232">_xlfn.IFS(M232=1,"Junior employee",M232=2,"Mid-level",M232=3,"Senior",M232=4,"Manager",M232=5,"Executive")</f>
        <v>Junior employee</v>
      </c>
      <c r="AI232" t="str" cm="1">
        <f t="array" ref="AI232">_xlfn.IFS(O232=1,"Low",O232=2,"Medium",O232=3,"High",O232=4,"Very High")</f>
        <v>Very High</v>
      </c>
      <c r="AJ232" t="str" cm="1">
        <f t="array" ref="AJ232">_xlfn.IFS(U232=1,"Low",U232=2,"Good",U232=3,"Excellent",U232=4,"Outstanding")</f>
        <v>Excellent</v>
      </c>
      <c r="AK232" t="str" cm="1">
        <f t="array" ref="AK232">_xlfn.IFS(V232=1,"Low",V232=2,"Medium",V232=3,"High",V232=4,"Very High")</f>
        <v>Medium</v>
      </c>
      <c r="AL232" t="str" cm="1">
        <f t="array" ref="AL232">_xlfn.IFS(Z232=1,"Bad",Z232=2,"Good",Z232=3,"Better",Z232=4,"Best")</f>
        <v>Good</v>
      </c>
      <c r="AM232" t="str" cm="1">
        <f t="array" ref="AM232">_xlfn.IFS(W232=0,"No_stock",W232=1,"Low",W232=2,"Medium",W232=3,"High")</f>
        <v>No_stock</v>
      </c>
      <c r="AN232" t="str">
        <f t="shared" si="3"/>
        <v>Near</v>
      </c>
    </row>
    <row r="233" spans="1:40" x14ac:dyDescent="0.45">
      <c r="A233">
        <v>42</v>
      </c>
      <c r="B233" t="s">
        <v>37</v>
      </c>
      <c r="C233" t="s">
        <v>31</v>
      </c>
      <c r="D233">
        <v>532</v>
      </c>
      <c r="E233" t="s">
        <v>39</v>
      </c>
      <c r="F233">
        <v>4</v>
      </c>
      <c r="G233">
        <v>2</v>
      </c>
      <c r="H233" t="s">
        <v>54</v>
      </c>
      <c r="I233">
        <v>319</v>
      </c>
      <c r="J233">
        <v>3</v>
      </c>
      <c r="K233" t="s">
        <v>40</v>
      </c>
      <c r="L233">
        <v>3</v>
      </c>
      <c r="M233">
        <v>5</v>
      </c>
      <c r="N233" t="s">
        <v>50</v>
      </c>
      <c r="O233">
        <v>4</v>
      </c>
      <c r="P233" t="s">
        <v>42</v>
      </c>
      <c r="Q233">
        <v>19232</v>
      </c>
      <c r="R233">
        <v>1</v>
      </c>
      <c r="S233" t="s">
        <v>37</v>
      </c>
      <c r="T233">
        <v>11</v>
      </c>
      <c r="U233">
        <v>3</v>
      </c>
      <c r="V233">
        <v>4</v>
      </c>
      <c r="W233">
        <v>0</v>
      </c>
      <c r="X233">
        <v>22</v>
      </c>
      <c r="Y233">
        <v>3</v>
      </c>
      <c r="Z233">
        <v>3</v>
      </c>
      <c r="AA233">
        <v>22</v>
      </c>
      <c r="AB233">
        <v>17</v>
      </c>
      <c r="AC233">
        <v>11</v>
      </c>
      <c r="AD233">
        <v>15</v>
      </c>
      <c r="AE233" t="str" cm="1">
        <f t="array" ref="AE233">_xlfn.IFS(G233=1,"Before College",G233=2,"College",G233=3,"Bachelor",G233=4,"Master",G233=5,"Doctor")</f>
        <v>College</v>
      </c>
      <c r="AF233" t="str" cm="1">
        <f t="array" ref="AF233">_xlfn.IFS(J233=1,"Low",J233=2,"Medium",J233=3,"High",J233=4,"Very High")</f>
        <v>High</v>
      </c>
      <c r="AG233" t="str" cm="1">
        <f t="array" ref="AG233">_xlfn.IFS(L233=1,"Low",L233=2,"Medium",L233=3,"High",L233=4,"Very High")</f>
        <v>High</v>
      </c>
      <c r="AH233" t="str" cm="1">
        <f t="array" ref="AH233">_xlfn.IFS(M233=1,"Junior employee",M233=2,"Mid-level",M233=3,"Senior",M233=4,"Manager",M233=5,"Executive")</f>
        <v>Executive</v>
      </c>
      <c r="AI233" t="str" cm="1">
        <f t="array" ref="AI233">_xlfn.IFS(O233=1,"Low",O233=2,"Medium",O233=3,"High",O233=4,"Very High")</f>
        <v>Very High</v>
      </c>
      <c r="AJ233" t="str" cm="1">
        <f t="array" ref="AJ233">_xlfn.IFS(U233=1,"Low",U233=2,"Good",U233=3,"Excellent",U233=4,"Outstanding")</f>
        <v>Excellent</v>
      </c>
      <c r="AK233" t="str" cm="1">
        <f t="array" ref="AK233">_xlfn.IFS(V233=1,"Low",V233=2,"Medium",V233=3,"High",V233=4,"Very High")</f>
        <v>Very High</v>
      </c>
      <c r="AL233" t="str" cm="1">
        <f t="array" ref="AL233">_xlfn.IFS(Z233=1,"Bad",Z233=2,"Good",Z233=3,"Better",Z233=4,"Best")</f>
        <v>Better</v>
      </c>
      <c r="AM233" t="str" cm="1">
        <f t="array" ref="AM233">_xlfn.IFS(W233=0,"No_stock",W233=1,"Low",W233=2,"Medium",W233=3,"High")</f>
        <v>No_stock</v>
      </c>
      <c r="AN233" t="str">
        <f t="shared" si="3"/>
        <v>Near</v>
      </c>
    </row>
    <row r="234" spans="1:40" x14ac:dyDescent="0.45">
      <c r="A234">
        <v>59</v>
      </c>
      <c r="B234" t="s">
        <v>37</v>
      </c>
      <c r="C234" t="s">
        <v>31</v>
      </c>
      <c r="D234">
        <v>818</v>
      </c>
      <c r="E234" t="s">
        <v>55</v>
      </c>
      <c r="F234">
        <v>6</v>
      </c>
      <c r="G234">
        <v>2</v>
      </c>
      <c r="H234" t="s">
        <v>45</v>
      </c>
      <c r="I234">
        <v>321</v>
      </c>
      <c r="J234">
        <v>2</v>
      </c>
      <c r="K234" t="s">
        <v>40</v>
      </c>
      <c r="L234">
        <v>3</v>
      </c>
      <c r="M234">
        <v>1</v>
      </c>
      <c r="N234" t="s">
        <v>55</v>
      </c>
      <c r="O234">
        <v>3</v>
      </c>
      <c r="P234" t="s">
        <v>42</v>
      </c>
      <c r="Q234">
        <v>2267</v>
      </c>
      <c r="R234">
        <v>8</v>
      </c>
      <c r="S234" t="s">
        <v>37</v>
      </c>
      <c r="T234">
        <v>17</v>
      </c>
      <c r="U234">
        <v>3</v>
      </c>
      <c r="V234">
        <v>4</v>
      </c>
      <c r="W234">
        <v>0</v>
      </c>
      <c r="X234">
        <v>7</v>
      </c>
      <c r="Y234">
        <v>2</v>
      </c>
      <c r="Z234">
        <v>2</v>
      </c>
      <c r="AA234">
        <v>2</v>
      </c>
      <c r="AB234">
        <v>2</v>
      </c>
      <c r="AC234">
        <v>2</v>
      </c>
      <c r="AD234">
        <v>2</v>
      </c>
      <c r="AE234" t="str" cm="1">
        <f t="array" ref="AE234">_xlfn.IFS(G234=1,"Before College",G234=2,"College",G234=3,"Bachelor",G234=4,"Master",G234=5,"Doctor")</f>
        <v>College</v>
      </c>
      <c r="AF234" t="str" cm="1">
        <f t="array" ref="AF234">_xlfn.IFS(J234=1,"Low",J234=2,"Medium",J234=3,"High",J234=4,"Very High")</f>
        <v>Medium</v>
      </c>
      <c r="AG234" t="str" cm="1">
        <f t="array" ref="AG234">_xlfn.IFS(L234=1,"Low",L234=2,"Medium",L234=3,"High",L234=4,"Very High")</f>
        <v>High</v>
      </c>
      <c r="AH234" t="str" cm="1">
        <f t="array" ref="AH234">_xlfn.IFS(M234=1,"Junior employee",M234=2,"Mid-level",M234=3,"Senior",M234=4,"Manager",M234=5,"Executive")</f>
        <v>Junior employee</v>
      </c>
      <c r="AI234" t="str" cm="1">
        <f t="array" ref="AI234">_xlfn.IFS(O234=1,"Low",O234=2,"Medium",O234=3,"High",O234=4,"Very High")</f>
        <v>High</v>
      </c>
      <c r="AJ234" t="str" cm="1">
        <f t="array" ref="AJ234">_xlfn.IFS(U234=1,"Low",U234=2,"Good",U234=3,"Excellent",U234=4,"Outstanding")</f>
        <v>Excellent</v>
      </c>
      <c r="AK234" t="str" cm="1">
        <f t="array" ref="AK234">_xlfn.IFS(V234=1,"Low",V234=2,"Medium",V234=3,"High",V234=4,"Very High")</f>
        <v>Very High</v>
      </c>
      <c r="AL234" t="str" cm="1">
        <f t="array" ref="AL234">_xlfn.IFS(Z234=1,"Bad",Z234=2,"Good",Z234=3,"Better",Z234=4,"Best")</f>
        <v>Good</v>
      </c>
      <c r="AM234" t="str" cm="1">
        <f t="array" ref="AM234">_xlfn.IFS(W234=0,"No_stock",W234=1,"Low",W234=2,"Medium",W234=3,"High")</f>
        <v>No_stock</v>
      </c>
      <c r="AN234" t="str">
        <f t="shared" si="3"/>
        <v>Medium</v>
      </c>
    </row>
    <row r="235" spans="1:40" x14ac:dyDescent="0.45">
      <c r="A235">
        <v>50</v>
      </c>
      <c r="B235" t="s">
        <v>37</v>
      </c>
      <c r="C235" t="s">
        <v>31</v>
      </c>
      <c r="D235">
        <v>854</v>
      </c>
      <c r="E235" t="s">
        <v>32</v>
      </c>
      <c r="F235">
        <v>1</v>
      </c>
      <c r="G235">
        <v>4</v>
      </c>
      <c r="H235" t="s">
        <v>45</v>
      </c>
      <c r="I235">
        <v>323</v>
      </c>
      <c r="J235">
        <v>4</v>
      </c>
      <c r="K235" t="s">
        <v>34</v>
      </c>
      <c r="L235">
        <v>3</v>
      </c>
      <c r="M235">
        <v>5</v>
      </c>
      <c r="N235" t="s">
        <v>50</v>
      </c>
      <c r="O235">
        <v>4</v>
      </c>
      <c r="P235" t="s">
        <v>46</v>
      </c>
      <c r="Q235">
        <v>19517</v>
      </c>
      <c r="R235">
        <v>3</v>
      </c>
      <c r="S235" t="s">
        <v>37</v>
      </c>
      <c r="T235">
        <v>11</v>
      </c>
      <c r="U235">
        <v>3</v>
      </c>
      <c r="V235">
        <v>3</v>
      </c>
      <c r="W235">
        <v>1</v>
      </c>
      <c r="X235">
        <v>32</v>
      </c>
      <c r="Y235">
        <v>3</v>
      </c>
      <c r="Z235">
        <v>2</v>
      </c>
      <c r="AA235">
        <v>7</v>
      </c>
      <c r="AB235">
        <v>0</v>
      </c>
      <c r="AC235">
        <v>0</v>
      </c>
      <c r="AD235">
        <v>6</v>
      </c>
      <c r="AE235" t="str" cm="1">
        <f t="array" ref="AE235">_xlfn.IFS(G235=1,"Before College",G235=2,"College",G235=3,"Bachelor",G235=4,"Master",G235=5,"Doctor")</f>
        <v>Master</v>
      </c>
      <c r="AF235" t="str" cm="1">
        <f t="array" ref="AF235">_xlfn.IFS(J235=1,"Low",J235=2,"Medium",J235=3,"High",J235=4,"Very High")</f>
        <v>Very High</v>
      </c>
      <c r="AG235" t="str" cm="1">
        <f t="array" ref="AG235">_xlfn.IFS(L235=1,"Low",L235=2,"Medium",L235=3,"High",L235=4,"Very High")</f>
        <v>High</v>
      </c>
      <c r="AH235" t="str" cm="1">
        <f t="array" ref="AH235">_xlfn.IFS(M235=1,"Junior employee",M235=2,"Mid-level",M235=3,"Senior",M235=4,"Manager",M235=5,"Executive")</f>
        <v>Executive</v>
      </c>
      <c r="AI235" t="str" cm="1">
        <f t="array" ref="AI235">_xlfn.IFS(O235=1,"Low",O235=2,"Medium",O235=3,"High",O235=4,"Very High")</f>
        <v>Very High</v>
      </c>
      <c r="AJ235" t="str" cm="1">
        <f t="array" ref="AJ235">_xlfn.IFS(U235=1,"Low",U235=2,"Good",U235=3,"Excellent",U235=4,"Outstanding")</f>
        <v>Excellent</v>
      </c>
      <c r="AK235" t="str" cm="1">
        <f t="array" ref="AK235">_xlfn.IFS(V235=1,"Low",V235=2,"Medium",V235=3,"High",V235=4,"Very High")</f>
        <v>High</v>
      </c>
      <c r="AL235" t="str" cm="1">
        <f t="array" ref="AL235">_xlfn.IFS(Z235=1,"Bad",Z235=2,"Good",Z235=3,"Better",Z235=4,"Best")</f>
        <v>Good</v>
      </c>
      <c r="AM235" t="str" cm="1">
        <f t="array" ref="AM235">_xlfn.IFS(W235=0,"No_stock",W235=1,"Low",W235=2,"Medium",W235=3,"High")</f>
        <v>Low</v>
      </c>
      <c r="AN235" t="str">
        <f t="shared" si="3"/>
        <v>Near</v>
      </c>
    </row>
    <row r="236" spans="1:40" x14ac:dyDescent="0.45">
      <c r="A236">
        <v>33</v>
      </c>
      <c r="B236" t="s">
        <v>30</v>
      </c>
      <c r="C236" t="s">
        <v>31</v>
      </c>
      <c r="D236">
        <v>813</v>
      </c>
      <c r="E236" t="s">
        <v>39</v>
      </c>
      <c r="F236">
        <v>14</v>
      </c>
      <c r="G236">
        <v>3</v>
      </c>
      <c r="H236" t="s">
        <v>45</v>
      </c>
      <c r="I236">
        <v>325</v>
      </c>
      <c r="J236">
        <v>3</v>
      </c>
      <c r="K236" t="s">
        <v>40</v>
      </c>
      <c r="L236">
        <v>3</v>
      </c>
      <c r="M236">
        <v>1</v>
      </c>
      <c r="N236" t="s">
        <v>44</v>
      </c>
      <c r="O236">
        <v>4</v>
      </c>
      <c r="P236" t="s">
        <v>42</v>
      </c>
      <c r="Q236">
        <v>2436</v>
      </c>
      <c r="R236">
        <v>5</v>
      </c>
      <c r="S236" t="s">
        <v>30</v>
      </c>
      <c r="T236">
        <v>13</v>
      </c>
      <c r="U236">
        <v>3</v>
      </c>
      <c r="V236">
        <v>3</v>
      </c>
      <c r="W236">
        <v>1</v>
      </c>
      <c r="X236">
        <v>8</v>
      </c>
      <c r="Y236">
        <v>2</v>
      </c>
      <c r="Z236">
        <v>1</v>
      </c>
      <c r="AA236">
        <v>5</v>
      </c>
      <c r="AB236">
        <v>4</v>
      </c>
      <c r="AC236">
        <v>0</v>
      </c>
      <c r="AD236">
        <v>4</v>
      </c>
      <c r="AE236" t="str" cm="1">
        <f t="array" ref="AE236">_xlfn.IFS(G236=1,"Before College",G236=2,"College",G236=3,"Bachelor",G236=4,"Master",G236=5,"Doctor")</f>
        <v>Bachelor</v>
      </c>
      <c r="AF236" t="str" cm="1">
        <f t="array" ref="AF236">_xlfn.IFS(J236=1,"Low",J236=2,"Medium",J236=3,"High",J236=4,"Very High")</f>
        <v>High</v>
      </c>
      <c r="AG236" t="str" cm="1">
        <f t="array" ref="AG236">_xlfn.IFS(L236=1,"Low",L236=2,"Medium",L236=3,"High",L236=4,"Very High")</f>
        <v>High</v>
      </c>
      <c r="AH236" t="str" cm="1">
        <f t="array" ref="AH236">_xlfn.IFS(M236=1,"Junior employee",M236=2,"Mid-level",M236=3,"Senior",M236=4,"Manager",M236=5,"Executive")</f>
        <v>Junior employee</v>
      </c>
      <c r="AI236" t="str" cm="1">
        <f t="array" ref="AI236">_xlfn.IFS(O236=1,"Low",O236=2,"Medium",O236=3,"High",O236=4,"Very High")</f>
        <v>Very High</v>
      </c>
      <c r="AJ236" t="str" cm="1">
        <f t="array" ref="AJ236">_xlfn.IFS(U236=1,"Low",U236=2,"Good",U236=3,"Excellent",U236=4,"Outstanding")</f>
        <v>Excellent</v>
      </c>
      <c r="AK236" t="str" cm="1">
        <f t="array" ref="AK236">_xlfn.IFS(V236=1,"Low",V236=2,"Medium",V236=3,"High",V236=4,"Very High")</f>
        <v>High</v>
      </c>
      <c r="AL236" t="str" cm="1">
        <f t="array" ref="AL236">_xlfn.IFS(Z236=1,"Bad",Z236=2,"Good",Z236=3,"Better",Z236=4,"Best")</f>
        <v>Bad</v>
      </c>
      <c r="AM236" t="str" cm="1">
        <f t="array" ref="AM236">_xlfn.IFS(W236=0,"No_stock",W236=1,"Low",W236=2,"Medium",W236=3,"High")</f>
        <v>Low</v>
      </c>
      <c r="AN236" t="str">
        <f t="shared" si="3"/>
        <v>Medium</v>
      </c>
    </row>
    <row r="237" spans="1:40" x14ac:dyDescent="0.45">
      <c r="A237">
        <v>43</v>
      </c>
      <c r="B237" t="s">
        <v>37</v>
      </c>
      <c r="C237" t="s">
        <v>31</v>
      </c>
      <c r="D237">
        <v>1034</v>
      </c>
      <c r="E237" t="s">
        <v>32</v>
      </c>
      <c r="F237">
        <v>16</v>
      </c>
      <c r="G237">
        <v>3</v>
      </c>
      <c r="H237" t="s">
        <v>53</v>
      </c>
      <c r="I237">
        <v>327</v>
      </c>
      <c r="J237">
        <v>4</v>
      </c>
      <c r="K237" t="s">
        <v>34</v>
      </c>
      <c r="L237">
        <v>3</v>
      </c>
      <c r="M237">
        <v>4</v>
      </c>
      <c r="N237" t="s">
        <v>50</v>
      </c>
      <c r="O237">
        <v>4</v>
      </c>
      <c r="P237" t="s">
        <v>42</v>
      </c>
      <c r="Q237">
        <v>16064</v>
      </c>
      <c r="R237">
        <v>5</v>
      </c>
      <c r="S237" t="s">
        <v>30</v>
      </c>
      <c r="T237">
        <v>22</v>
      </c>
      <c r="U237">
        <v>4</v>
      </c>
      <c r="V237">
        <v>3</v>
      </c>
      <c r="W237">
        <v>1</v>
      </c>
      <c r="X237">
        <v>22</v>
      </c>
      <c r="Y237">
        <v>3</v>
      </c>
      <c r="Z237">
        <v>3</v>
      </c>
      <c r="AA237">
        <v>17</v>
      </c>
      <c r="AB237">
        <v>13</v>
      </c>
      <c r="AC237">
        <v>1</v>
      </c>
      <c r="AD237">
        <v>9</v>
      </c>
      <c r="AE237" t="str" cm="1">
        <f t="array" ref="AE237">_xlfn.IFS(G237=1,"Before College",G237=2,"College",G237=3,"Bachelor",G237=4,"Master",G237=5,"Doctor")</f>
        <v>Bachelor</v>
      </c>
      <c r="AF237" t="str" cm="1">
        <f t="array" ref="AF237">_xlfn.IFS(J237=1,"Low",J237=2,"Medium",J237=3,"High",J237=4,"Very High")</f>
        <v>Very High</v>
      </c>
      <c r="AG237" t="str" cm="1">
        <f t="array" ref="AG237">_xlfn.IFS(L237=1,"Low",L237=2,"Medium",L237=3,"High",L237=4,"Very High")</f>
        <v>High</v>
      </c>
      <c r="AH237" t="str" cm="1">
        <f t="array" ref="AH237">_xlfn.IFS(M237=1,"Junior employee",M237=2,"Mid-level",M237=3,"Senior",M237=4,"Manager",M237=5,"Executive")</f>
        <v>Manager</v>
      </c>
      <c r="AI237" t="str" cm="1">
        <f t="array" ref="AI237">_xlfn.IFS(O237=1,"Low",O237=2,"Medium",O237=3,"High",O237=4,"Very High")</f>
        <v>Very High</v>
      </c>
      <c r="AJ237" t="str" cm="1">
        <f t="array" ref="AJ237">_xlfn.IFS(U237=1,"Low",U237=2,"Good",U237=3,"Excellent",U237=4,"Outstanding")</f>
        <v>Outstanding</v>
      </c>
      <c r="AK237" t="str" cm="1">
        <f t="array" ref="AK237">_xlfn.IFS(V237=1,"Low",V237=2,"Medium",V237=3,"High",V237=4,"Very High")</f>
        <v>High</v>
      </c>
      <c r="AL237" t="str" cm="1">
        <f t="array" ref="AL237">_xlfn.IFS(Z237=1,"Bad",Z237=2,"Good",Z237=3,"Better",Z237=4,"Best")</f>
        <v>Better</v>
      </c>
      <c r="AM237" t="str" cm="1">
        <f t="array" ref="AM237">_xlfn.IFS(W237=0,"No_stock",W237=1,"Low",W237=2,"Medium",W237=3,"High")</f>
        <v>Low</v>
      </c>
      <c r="AN237" t="str">
        <f t="shared" si="3"/>
        <v>Far</v>
      </c>
    </row>
    <row r="238" spans="1:40" x14ac:dyDescent="0.45">
      <c r="A238">
        <v>33</v>
      </c>
      <c r="B238" t="s">
        <v>30</v>
      </c>
      <c r="C238" t="s">
        <v>31</v>
      </c>
      <c r="D238">
        <v>465</v>
      </c>
      <c r="E238" t="s">
        <v>39</v>
      </c>
      <c r="F238">
        <v>2</v>
      </c>
      <c r="G238">
        <v>2</v>
      </c>
      <c r="H238" t="s">
        <v>33</v>
      </c>
      <c r="I238">
        <v>328</v>
      </c>
      <c r="J238">
        <v>1</v>
      </c>
      <c r="K238" t="s">
        <v>34</v>
      </c>
      <c r="L238">
        <v>3</v>
      </c>
      <c r="M238">
        <v>1</v>
      </c>
      <c r="N238" t="s">
        <v>44</v>
      </c>
      <c r="O238">
        <v>1</v>
      </c>
      <c r="P238" t="s">
        <v>42</v>
      </c>
      <c r="Q238">
        <v>2707</v>
      </c>
      <c r="R238">
        <v>7</v>
      </c>
      <c r="S238" t="s">
        <v>37</v>
      </c>
      <c r="T238">
        <v>20</v>
      </c>
      <c r="U238">
        <v>4</v>
      </c>
      <c r="V238">
        <v>1</v>
      </c>
      <c r="W238">
        <v>0</v>
      </c>
      <c r="X238">
        <v>13</v>
      </c>
      <c r="Y238">
        <v>3</v>
      </c>
      <c r="Z238">
        <v>4</v>
      </c>
      <c r="AA238">
        <v>9</v>
      </c>
      <c r="AB238">
        <v>7</v>
      </c>
      <c r="AC238">
        <v>1</v>
      </c>
      <c r="AD238">
        <v>7</v>
      </c>
      <c r="AE238" t="str" cm="1">
        <f t="array" ref="AE238">_xlfn.IFS(G238=1,"Before College",G238=2,"College",G238=3,"Bachelor",G238=4,"Master",G238=5,"Doctor")</f>
        <v>College</v>
      </c>
      <c r="AF238" t="str" cm="1">
        <f t="array" ref="AF238">_xlfn.IFS(J238=1,"Low",J238=2,"Medium",J238=3,"High",J238=4,"Very High")</f>
        <v>Low</v>
      </c>
      <c r="AG238" t="str" cm="1">
        <f t="array" ref="AG238">_xlfn.IFS(L238=1,"Low",L238=2,"Medium",L238=3,"High",L238=4,"Very High")</f>
        <v>High</v>
      </c>
      <c r="AH238" t="str" cm="1">
        <f t="array" ref="AH238">_xlfn.IFS(M238=1,"Junior employee",M238=2,"Mid-level",M238=3,"Senior",M238=4,"Manager",M238=5,"Executive")</f>
        <v>Junior employee</v>
      </c>
      <c r="AI238" t="str" cm="1">
        <f t="array" ref="AI238">_xlfn.IFS(O238=1,"Low",O238=2,"Medium",O238=3,"High",O238=4,"Very High")</f>
        <v>Low</v>
      </c>
      <c r="AJ238" t="str" cm="1">
        <f t="array" ref="AJ238">_xlfn.IFS(U238=1,"Low",U238=2,"Good",U238=3,"Excellent",U238=4,"Outstanding")</f>
        <v>Outstanding</v>
      </c>
      <c r="AK238" t="str" cm="1">
        <f t="array" ref="AK238">_xlfn.IFS(V238=1,"Low",V238=2,"Medium",V238=3,"High",V238=4,"Very High")</f>
        <v>Low</v>
      </c>
      <c r="AL238" t="str" cm="1">
        <f t="array" ref="AL238">_xlfn.IFS(Z238=1,"Bad",Z238=2,"Good",Z238=3,"Better",Z238=4,"Best")</f>
        <v>Best</v>
      </c>
      <c r="AM238" t="str" cm="1">
        <f t="array" ref="AM238">_xlfn.IFS(W238=0,"No_stock",W238=1,"Low",W238=2,"Medium",W238=3,"High")</f>
        <v>No_stock</v>
      </c>
      <c r="AN238" t="str">
        <f t="shared" si="3"/>
        <v>Near</v>
      </c>
    </row>
    <row r="239" spans="1:40" x14ac:dyDescent="0.45">
      <c r="A239">
        <v>52</v>
      </c>
      <c r="B239" t="s">
        <v>37</v>
      </c>
      <c r="C239" t="s">
        <v>49</v>
      </c>
      <c r="D239">
        <v>771</v>
      </c>
      <c r="E239" t="s">
        <v>32</v>
      </c>
      <c r="F239">
        <v>2</v>
      </c>
      <c r="G239">
        <v>4</v>
      </c>
      <c r="H239" t="s">
        <v>33</v>
      </c>
      <c r="I239">
        <v>329</v>
      </c>
      <c r="J239">
        <v>1</v>
      </c>
      <c r="K239" t="s">
        <v>40</v>
      </c>
      <c r="L239">
        <v>2</v>
      </c>
      <c r="M239">
        <v>5</v>
      </c>
      <c r="N239" t="s">
        <v>50</v>
      </c>
      <c r="O239">
        <v>3</v>
      </c>
      <c r="P239" t="s">
        <v>36</v>
      </c>
      <c r="Q239">
        <v>19068</v>
      </c>
      <c r="R239">
        <v>1</v>
      </c>
      <c r="S239" t="s">
        <v>30</v>
      </c>
      <c r="T239">
        <v>18</v>
      </c>
      <c r="U239">
        <v>3</v>
      </c>
      <c r="V239">
        <v>4</v>
      </c>
      <c r="W239">
        <v>0</v>
      </c>
      <c r="X239">
        <v>33</v>
      </c>
      <c r="Y239">
        <v>2</v>
      </c>
      <c r="Z239">
        <v>4</v>
      </c>
      <c r="AA239">
        <v>33</v>
      </c>
      <c r="AB239">
        <v>7</v>
      </c>
      <c r="AC239">
        <v>15</v>
      </c>
      <c r="AD239">
        <v>12</v>
      </c>
      <c r="AE239" t="str" cm="1">
        <f t="array" ref="AE239">_xlfn.IFS(G239=1,"Before College",G239=2,"College",G239=3,"Bachelor",G239=4,"Master",G239=5,"Doctor")</f>
        <v>Master</v>
      </c>
      <c r="AF239" t="str" cm="1">
        <f t="array" ref="AF239">_xlfn.IFS(J239=1,"Low",J239=2,"Medium",J239=3,"High",J239=4,"Very High")</f>
        <v>Low</v>
      </c>
      <c r="AG239" t="str" cm="1">
        <f t="array" ref="AG239">_xlfn.IFS(L239=1,"Low",L239=2,"Medium",L239=3,"High",L239=4,"Very High")</f>
        <v>Medium</v>
      </c>
      <c r="AH239" t="str" cm="1">
        <f t="array" ref="AH239">_xlfn.IFS(M239=1,"Junior employee",M239=2,"Mid-level",M239=3,"Senior",M239=4,"Manager",M239=5,"Executive")</f>
        <v>Executive</v>
      </c>
      <c r="AI239" t="str" cm="1">
        <f t="array" ref="AI239">_xlfn.IFS(O239=1,"Low",O239=2,"Medium",O239=3,"High",O239=4,"Very High")</f>
        <v>High</v>
      </c>
      <c r="AJ239" t="str" cm="1">
        <f t="array" ref="AJ239">_xlfn.IFS(U239=1,"Low",U239=2,"Good",U239=3,"Excellent",U239=4,"Outstanding")</f>
        <v>Excellent</v>
      </c>
      <c r="AK239" t="str" cm="1">
        <f t="array" ref="AK239">_xlfn.IFS(V239=1,"Low",V239=2,"Medium",V239=3,"High",V239=4,"Very High")</f>
        <v>Very High</v>
      </c>
      <c r="AL239" t="str" cm="1">
        <f t="array" ref="AL239">_xlfn.IFS(Z239=1,"Bad",Z239=2,"Good",Z239=3,"Better",Z239=4,"Best")</f>
        <v>Best</v>
      </c>
      <c r="AM239" t="str" cm="1">
        <f t="array" ref="AM239">_xlfn.IFS(W239=0,"No_stock",W239=1,"Low",W239=2,"Medium",W239=3,"High")</f>
        <v>No_stock</v>
      </c>
      <c r="AN239" t="str">
        <f t="shared" si="3"/>
        <v>Near</v>
      </c>
    </row>
    <row r="240" spans="1:40" x14ac:dyDescent="0.45">
      <c r="A240">
        <v>32</v>
      </c>
      <c r="B240" t="s">
        <v>37</v>
      </c>
      <c r="C240" t="s">
        <v>31</v>
      </c>
      <c r="D240">
        <v>1401</v>
      </c>
      <c r="E240" t="s">
        <v>32</v>
      </c>
      <c r="F240">
        <v>4</v>
      </c>
      <c r="G240">
        <v>2</v>
      </c>
      <c r="H240" t="s">
        <v>33</v>
      </c>
      <c r="I240">
        <v>330</v>
      </c>
      <c r="J240">
        <v>3</v>
      </c>
      <c r="K240" t="s">
        <v>34</v>
      </c>
      <c r="L240">
        <v>3</v>
      </c>
      <c r="M240">
        <v>1</v>
      </c>
      <c r="N240" t="s">
        <v>51</v>
      </c>
      <c r="O240">
        <v>2</v>
      </c>
      <c r="P240" t="s">
        <v>42</v>
      </c>
      <c r="Q240">
        <v>3931</v>
      </c>
      <c r="R240">
        <v>2</v>
      </c>
      <c r="S240" t="s">
        <v>37</v>
      </c>
      <c r="T240">
        <v>11</v>
      </c>
      <c r="U240">
        <v>3</v>
      </c>
      <c r="V240">
        <v>1</v>
      </c>
      <c r="W240">
        <v>1</v>
      </c>
      <c r="X240">
        <v>6</v>
      </c>
      <c r="Y240">
        <v>5</v>
      </c>
      <c r="Z240">
        <v>3</v>
      </c>
      <c r="AA240">
        <v>4</v>
      </c>
      <c r="AB240">
        <v>3</v>
      </c>
      <c r="AC240">
        <v>1</v>
      </c>
      <c r="AD240">
        <v>2</v>
      </c>
      <c r="AE240" t="str" cm="1">
        <f t="array" ref="AE240">_xlfn.IFS(G240=1,"Before College",G240=2,"College",G240=3,"Bachelor",G240=4,"Master",G240=5,"Doctor")</f>
        <v>College</v>
      </c>
      <c r="AF240" t="str" cm="1">
        <f t="array" ref="AF240">_xlfn.IFS(J240=1,"Low",J240=2,"Medium",J240=3,"High",J240=4,"Very High")</f>
        <v>High</v>
      </c>
      <c r="AG240" t="str" cm="1">
        <f t="array" ref="AG240">_xlfn.IFS(L240=1,"Low",L240=2,"Medium",L240=3,"High",L240=4,"Very High")</f>
        <v>High</v>
      </c>
      <c r="AH240" t="str" cm="1">
        <f t="array" ref="AH240">_xlfn.IFS(M240=1,"Junior employee",M240=2,"Mid-level",M240=3,"Senior",M240=4,"Manager",M240=5,"Executive")</f>
        <v>Junior employee</v>
      </c>
      <c r="AI240" t="str" cm="1">
        <f t="array" ref="AI240">_xlfn.IFS(O240=1,"Low",O240=2,"Medium",O240=3,"High",O240=4,"Very High")</f>
        <v>Medium</v>
      </c>
      <c r="AJ240" t="str" cm="1">
        <f t="array" ref="AJ240">_xlfn.IFS(U240=1,"Low",U240=2,"Good",U240=3,"Excellent",U240=4,"Outstanding")</f>
        <v>Excellent</v>
      </c>
      <c r="AK240" t="str" cm="1">
        <f t="array" ref="AK240">_xlfn.IFS(V240=1,"Low",V240=2,"Medium",V240=3,"High",V240=4,"Very High")</f>
        <v>Low</v>
      </c>
      <c r="AL240" t="str" cm="1">
        <f t="array" ref="AL240">_xlfn.IFS(Z240=1,"Bad",Z240=2,"Good",Z240=3,"Better",Z240=4,"Best")</f>
        <v>Better</v>
      </c>
      <c r="AM240" t="str" cm="1">
        <f t="array" ref="AM240">_xlfn.IFS(W240=0,"No_stock",W240=1,"Low",W240=2,"Medium",W240=3,"High")</f>
        <v>Low</v>
      </c>
      <c r="AN240" t="str">
        <f t="shared" si="3"/>
        <v>Near</v>
      </c>
    </row>
    <row r="241" spans="1:40" x14ac:dyDescent="0.45">
      <c r="A241">
        <v>32</v>
      </c>
      <c r="B241" t="s">
        <v>30</v>
      </c>
      <c r="C241" t="s">
        <v>31</v>
      </c>
      <c r="D241">
        <v>515</v>
      </c>
      <c r="E241" t="s">
        <v>39</v>
      </c>
      <c r="F241">
        <v>1</v>
      </c>
      <c r="G241">
        <v>3</v>
      </c>
      <c r="H241" t="s">
        <v>33</v>
      </c>
      <c r="I241">
        <v>331</v>
      </c>
      <c r="J241">
        <v>4</v>
      </c>
      <c r="K241" t="s">
        <v>40</v>
      </c>
      <c r="L241">
        <v>2</v>
      </c>
      <c r="M241">
        <v>1</v>
      </c>
      <c r="N241" t="s">
        <v>44</v>
      </c>
      <c r="O241">
        <v>3</v>
      </c>
      <c r="P241" t="s">
        <v>36</v>
      </c>
      <c r="Q241">
        <v>3730</v>
      </c>
      <c r="R241">
        <v>0</v>
      </c>
      <c r="S241" t="s">
        <v>30</v>
      </c>
      <c r="T241">
        <v>14</v>
      </c>
      <c r="U241">
        <v>3</v>
      </c>
      <c r="V241">
        <v>4</v>
      </c>
      <c r="W241">
        <v>0</v>
      </c>
      <c r="X241">
        <v>4</v>
      </c>
      <c r="Y241">
        <v>2</v>
      </c>
      <c r="Z241">
        <v>1</v>
      </c>
      <c r="AA241">
        <v>3</v>
      </c>
      <c r="AB241">
        <v>2</v>
      </c>
      <c r="AC241">
        <v>1</v>
      </c>
      <c r="AD241">
        <v>2</v>
      </c>
      <c r="AE241" t="str" cm="1">
        <f t="array" ref="AE241">_xlfn.IFS(G241=1,"Before College",G241=2,"College",G241=3,"Bachelor",G241=4,"Master",G241=5,"Doctor")</f>
        <v>Bachelor</v>
      </c>
      <c r="AF241" t="str" cm="1">
        <f t="array" ref="AF241">_xlfn.IFS(J241=1,"Low",J241=2,"Medium",J241=3,"High",J241=4,"Very High")</f>
        <v>Very High</v>
      </c>
      <c r="AG241" t="str" cm="1">
        <f t="array" ref="AG241">_xlfn.IFS(L241=1,"Low",L241=2,"Medium",L241=3,"High",L241=4,"Very High")</f>
        <v>Medium</v>
      </c>
      <c r="AH241" t="str" cm="1">
        <f t="array" ref="AH241">_xlfn.IFS(M241=1,"Junior employee",M241=2,"Mid-level",M241=3,"Senior",M241=4,"Manager",M241=5,"Executive")</f>
        <v>Junior employee</v>
      </c>
      <c r="AI241" t="str" cm="1">
        <f t="array" ref="AI241">_xlfn.IFS(O241=1,"Low",O241=2,"Medium",O241=3,"High",O241=4,"Very High")</f>
        <v>High</v>
      </c>
      <c r="AJ241" t="str" cm="1">
        <f t="array" ref="AJ241">_xlfn.IFS(U241=1,"Low",U241=2,"Good",U241=3,"Excellent",U241=4,"Outstanding")</f>
        <v>Excellent</v>
      </c>
      <c r="AK241" t="str" cm="1">
        <f t="array" ref="AK241">_xlfn.IFS(V241=1,"Low",V241=2,"Medium",V241=3,"High",V241=4,"Very High")</f>
        <v>Very High</v>
      </c>
      <c r="AL241" t="str" cm="1">
        <f t="array" ref="AL241">_xlfn.IFS(Z241=1,"Bad",Z241=2,"Good",Z241=3,"Better",Z241=4,"Best")</f>
        <v>Bad</v>
      </c>
      <c r="AM241" t="str" cm="1">
        <f t="array" ref="AM241">_xlfn.IFS(W241=0,"No_stock",W241=1,"Low",W241=2,"Medium",W241=3,"High")</f>
        <v>No_stock</v>
      </c>
      <c r="AN241" t="str">
        <f t="shared" si="3"/>
        <v>Near</v>
      </c>
    </row>
    <row r="242" spans="1:40" x14ac:dyDescent="0.45">
      <c r="A242">
        <v>39</v>
      </c>
      <c r="B242" t="s">
        <v>37</v>
      </c>
      <c r="C242" t="s">
        <v>31</v>
      </c>
      <c r="D242">
        <v>1431</v>
      </c>
      <c r="E242" t="s">
        <v>39</v>
      </c>
      <c r="F242">
        <v>1</v>
      </c>
      <c r="G242">
        <v>4</v>
      </c>
      <c r="H242" t="s">
        <v>45</v>
      </c>
      <c r="I242">
        <v>332</v>
      </c>
      <c r="J242">
        <v>3</v>
      </c>
      <c r="K242" t="s">
        <v>34</v>
      </c>
      <c r="L242">
        <v>3</v>
      </c>
      <c r="M242">
        <v>1</v>
      </c>
      <c r="N242" t="s">
        <v>44</v>
      </c>
      <c r="O242">
        <v>3</v>
      </c>
      <c r="P242" t="s">
        <v>46</v>
      </c>
      <c r="Q242">
        <v>2232</v>
      </c>
      <c r="R242">
        <v>7</v>
      </c>
      <c r="S242" t="s">
        <v>37</v>
      </c>
      <c r="T242">
        <v>14</v>
      </c>
      <c r="U242">
        <v>3</v>
      </c>
      <c r="V242">
        <v>3</v>
      </c>
      <c r="W242">
        <v>3</v>
      </c>
      <c r="X242">
        <v>7</v>
      </c>
      <c r="Y242">
        <v>1</v>
      </c>
      <c r="Z242">
        <v>3</v>
      </c>
      <c r="AA242">
        <v>3</v>
      </c>
      <c r="AB242">
        <v>2</v>
      </c>
      <c r="AC242">
        <v>1</v>
      </c>
      <c r="AD242">
        <v>2</v>
      </c>
      <c r="AE242" t="str" cm="1">
        <f t="array" ref="AE242">_xlfn.IFS(G242=1,"Before College",G242=2,"College",G242=3,"Bachelor",G242=4,"Master",G242=5,"Doctor")</f>
        <v>Master</v>
      </c>
      <c r="AF242" t="str" cm="1">
        <f t="array" ref="AF242">_xlfn.IFS(J242=1,"Low",J242=2,"Medium",J242=3,"High",J242=4,"Very High")</f>
        <v>High</v>
      </c>
      <c r="AG242" t="str" cm="1">
        <f t="array" ref="AG242">_xlfn.IFS(L242=1,"Low",L242=2,"Medium",L242=3,"High",L242=4,"Very High")</f>
        <v>High</v>
      </c>
      <c r="AH242" t="str" cm="1">
        <f t="array" ref="AH242">_xlfn.IFS(M242=1,"Junior employee",M242=2,"Mid-level",M242=3,"Senior",M242=4,"Manager",M242=5,"Executive")</f>
        <v>Junior employee</v>
      </c>
      <c r="AI242" t="str" cm="1">
        <f t="array" ref="AI242">_xlfn.IFS(O242=1,"Low",O242=2,"Medium",O242=3,"High",O242=4,"Very High")</f>
        <v>High</v>
      </c>
      <c r="AJ242" t="str" cm="1">
        <f t="array" ref="AJ242">_xlfn.IFS(U242=1,"Low",U242=2,"Good",U242=3,"Excellent",U242=4,"Outstanding")</f>
        <v>Excellent</v>
      </c>
      <c r="AK242" t="str" cm="1">
        <f t="array" ref="AK242">_xlfn.IFS(V242=1,"Low",V242=2,"Medium",V242=3,"High",V242=4,"Very High")</f>
        <v>High</v>
      </c>
      <c r="AL242" t="str" cm="1">
        <f t="array" ref="AL242">_xlfn.IFS(Z242=1,"Bad",Z242=2,"Good",Z242=3,"Better",Z242=4,"Best")</f>
        <v>Better</v>
      </c>
      <c r="AM242" t="str" cm="1">
        <f t="array" ref="AM242">_xlfn.IFS(W242=0,"No_stock",W242=1,"Low",W242=2,"Medium",W242=3,"High")</f>
        <v>High</v>
      </c>
      <c r="AN242" t="str">
        <f t="shared" si="3"/>
        <v>Near</v>
      </c>
    </row>
    <row r="243" spans="1:40" x14ac:dyDescent="0.45">
      <c r="A243">
        <v>32</v>
      </c>
      <c r="B243" t="s">
        <v>37</v>
      </c>
      <c r="C243" t="s">
        <v>49</v>
      </c>
      <c r="D243">
        <v>976</v>
      </c>
      <c r="E243" t="s">
        <v>32</v>
      </c>
      <c r="F243">
        <v>26</v>
      </c>
      <c r="G243">
        <v>4</v>
      </c>
      <c r="H243" t="s">
        <v>53</v>
      </c>
      <c r="I243">
        <v>333</v>
      </c>
      <c r="J243">
        <v>3</v>
      </c>
      <c r="K243" t="s">
        <v>40</v>
      </c>
      <c r="L243">
        <v>3</v>
      </c>
      <c r="M243">
        <v>2</v>
      </c>
      <c r="N243" t="s">
        <v>35</v>
      </c>
      <c r="O243">
        <v>4</v>
      </c>
      <c r="P243" t="s">
        <v>42</v>
      </c>
      <c r="Q243">
        <v>4465</v>
      </c>
      <c r="R243">
        <v>0</v>
      </c>
      <c r="S243" t="s">
        <v>37</v>
      </c>
      <c r="T243">
        <v>18</v>
      </c>
      <c r="U243">
        <v>3</v>
      </c>
      <c r="V243">
        <v>1</v>
      </c>
      <c r="W243">
        <v>0</v>
      </c>
      <c r="X243">
        <v>4</v>
      </c>
      <c r="Y243">
        <v>2</v>
      </c>
      <c r="Z243">
        <v>3</v>
      </c>
      <c r="AA243">
        <v>3</v>
      </c>
      <c r="AB243">
        <v>2</v>
      </c>
      <c r="AC243">
        <v>2</v>
      </c>
      <c r="AD243">
        <v>2</v>
      </c>
      <c r="AE243" t="str" cm="1">
        <f t="array" ref="AE243">_xlfn.IFS(G243=1,"Before College",G243=2,"College",G243=3,"Bachelor",G243=4,"Master",G243=5,"Doctor")</f>
        <v>Master</v>
      </c>
      <c r="AF243" t="str" cm="1">
        <f t="array" ref="AF243">_xlfn.IFS(J243=1,"Low",J243=2,"Medium",J243=3,"High",J243=4,"Very High")</f>
        <v>High</v>
      </c>
      <c r="AG243" t="str" cm="1">
        <f t="array" ref="AG243">_xlfn.IFS(L243=1,"Low",L243=2,"Medium",L243=3,"High",L243=4,"Very High")</f>
        <v>High</v>
      </c>
      <c r="AH243" t="str" cm="1">
        <f t="array" ref="AH243">_xlfn.IFS(M243=1,"Junior employee",M243=2,"Mid-level",M243=3,"Senior",M243=4,"Manager",M243=5,"Executive")</f>
        <v>Mid-level</v>
      </c>
      <c r="AI243" t="str" cm="1">
        <f t="array" ref="AI243">_xlfn.IFS(O243=1,"Low",O243=2,"Medium",O243=3,"High",O243=4,"Very High")</f>
        <v>Very High</v>
      </c>
      <c r="AJ243" t="str" cm="1">
        <f t="array" ref="AJ243">_xlfn.IFS(U243=1,"Low",U243=2,"Good",U243=3,"Excellent",U243=4,"Outstanding")</f>
        <v>Excellent</v>
      </c>
      <c r="AK243" t="str" cm="1">
        <f t="array" ref="AK243">_xlfn.IFS(V243=1,"Low",V243=2,"Medium",V243=3,"High",V243=4,"Very High")</f>
        <v>Low</v>
      </c>
      <c r="AL243" t="str" cm="1">
        <f t="array" ref="AL243">_xlfn.IFS(Z243=1,"Bad",Z243=2,"Good",Z243=3,"Better",Z243=4,"Best")</f>
        <v>Better</v>
      </c>
      <c r="AM243" t="str" cm="1">
        <f t="array" ref="AM243">_xlfn.IFS(W243=0,"No_stock",W243=1,"Low",W243=2,"Medium",W243=3,"High")</f>
        <v>No_stock</v>
      </c>
      <c r="AN243" t="str">
        <f t="shared" si="3"/>
        <v>Far</v>
      </c>
    </row>
    <row r="244" spans="1:40" x14ac:dyDescent="0.45">
      <c r="A244">
        <v>41</v>
      </c>
      <c r="B244" t="s">
        <v>37</v>
      </c>
      <c r="C244" t="s">
        <v>31</v>
      </c>
      <c r="D244">
        <v>1411</v>
      </c>
      <c r="E244" t="s">
        <v>39</v>
      </c>
      <c r="F244">
        <v>19</v>
      </c>
      <c r="G244">
        <v>2</v>
      </c>
      <c r="H244" t="s">
        <v>33</v>
      </c>
      <c r="I244">
        <v>334</v>
      </c>
      <c r="J244">
        <v>3</v>
      </c>
      <c r="K244" t="s">
        <v>40</v>
      </c>
      <c r="L244">
        <v>3</v>
      </c>
      <c r="M244">
        <v>2</v>
      </c>
      <c r="N244" t="s">
        <v>41</v>
      </c>
      <c r="O244">
        <v>1</v>
      </c>
      <c r="P244" t="s">
        <v>46</v>
      </c>
      <c r="Q244">
        <v>3072</v>
      </c>
      <c r="R244">
        <v>2</v>
      </c>
      <c r="S244" t="s">
        <v>37</v>
      </c>
      <c r="T244">
        <v>16</v>
      </c>
      <c r="U244">
        <v>3</v>
      </c>
      <c r="V244">
        <v>1</v>
      </c>
      <c r="W244">
        <v>2</v>
      </c>
      <c r="X244">
        <v>17</v>
      </c>
      <c r="Y244">
        <v>2</v>
      </c>
      <c r="Z244">
        <v>2</v>
      </c>
      <c r="AA244">
        <v>1</v>
      </c>
      <c r="AB244">
        <v>0</v>
      </c>
      <c r="AC244">
        <v>0</v>
      </c>
      <c r="AD244">
        <v>0</v>
      </c>
      <c r="AE244" t="str" cm="1">
        <f t="array" ref="AE244">_xlfn.IFS(G244=1,"Before College",G244=2,"College",G244=3,"Bachelor",G244=4,"Master",G244=5,"Doctor")</f>
        <v>College</v>
      </c>
      <c r="AF244" t="str" cm="1">
        <f t="array" ref="AF244">_xlfn.IFS(J244=1,"Low",J244=2,"Medium",J244=3,"High",J244=4,"Very High")</f>
        <v>High</v>
      </c>
      <c r="AG244" t="str" cm="1">
        <f t="array" ref="AG244">_xlfn.IFS(L244=1,"Low",L244=2,"Medium",L244=3,"High",L244=4,"Very High")</f>
        <v>High</v>
      </c>
      <c r="AH244" t="str" cm="1">
        <f t="array" ref="AH244">_xlfn.IFS(M244=1,"Junior employee",M244=2,"Mid-level",M244=3,"Senior",M244=4,"Manager",M244=5,"Executive")</f>
        <v>Mid-level</v>
      </c>
      <c r="AI244" t="str" cm="1">
        <f t="array" ref="AI244">_xlfn.IFS(O244=1,"Low",O244=2,"Medium",O244=3,"High",O244=4,"Very High")</f>
        <v>Low</v>
      </c>
      <c r="AJ244" t="str" cm="1">
        <f t="array" ref="AJ244">_xlfn.IFS(U244=1,"Low",U244=2,"Good",U244=3,"Excellent",U244=4,"Outstanding")</f>
        <v>Excellent</v>
      </c>
      <c r="AK244" t="str" cm="1">
        <f t="array" ref="AK244">_xlfn.IFS(V244=1,"Low",V244=2,"Medium",V244=3,"High",V244=4,"Very High")</f>
        <v>Low</v>
      </c>
      <c r="AL244" t="str" cm="1">
        <f t="array" ref="AL244">_xlfn.IFS(Z244=1,"Bad",Z244=2,"Good",Z244=3,"Better",Z244=4,"Best")</f>
        <v>Good</v>
      </c>
      <c r="AM244" t="str" cm="1">
        <f t="array" ref="AM244">_xlfn.IFS(W244=0,"No_stock",W244=1,"Low",W244=2,"Medium",W244=3,"High")</f>
        <v>Medium</v>
      </c>
      <c r="AN244" t="str">
        <f t="shared" si="3"/>
        <v>Far</v>
      </c>
    </row>
    <row r="245" spans="1:40" x14ac:dyDescent="0.45">
      <c r="A245">
        <v>40</v>
      </c>
      <c r="B245" t="s">
        <v>37</v>
      </c>
      <c r="C245" t="s">
        <v>31</v>
      </c>
      <c r="D245">
        <v>1300</v>
      </c>
      <c r="E245" t="s">
        <v>39</v>
      </c>
      <c r="F245">
        <v>24</v>
      </c>
      <c r="G245">
        <v>2</v>
      </c>
      <c r="H245" t="s">
        <v>54</v>
      </c>
      <c r="I245">
        <v>335</v>
      </c>
      <c r="J245">
        <v>1</v>
      </c>
      <c r="K245" t="s">
        <v>40</v>
      </c>
      <c r="L245">
        <v>3</v>
      </c>
      <c r="M245">
        <v>2</v>
      </c>
      <c r="N245" t="s">
        <v>41</v>
      </c>
      <c r="O245">
        <v>4</v>
      </c>
      <c r="P245" t="s">
        <v>46</v>
      </c>
      <c r="Q245">
        <v>3319</v>
      </c>
      <c r="R245">
        <v>1</v>
      </c>
      <c r="S245" t="s">
        <v>37</v>
      </c>
      <c r="T245">
        <v>17</v>
      </c>
      <c r="U245">
        <v>3</v>
      </c>
      <c r="V245">
        <v>1</v>
      </c>
      <c r="W245">
        <v>2</v>
      </c>
      <c r="X245">
        <v>9</v>
      </c>
      <c r="Y245">
        <v>3</v>
      </c>
      <c r="Z245">
        <v>3</v>
      </c>
      <c r="AA245">
        <v>9</v>
      </c>
      <c r="AB245">
        <v>8</v>
      </c>
      <c r="AC245">
        <v>4</v>
      </c>
      <c r="AD245">
        <v>7</v>
      </c>
      <c r="AE245" t="str" cm="1">
        <f t="array" ref="AE245">_xlfn.IFS(G245=1,"Before College",G245=2,"College",G245=3,"Bachelor",G245=4,"Master",G245=5,"Doctor")</f>
        <v>College</v>
      </c>
      <c r="AF245" t="str" cm="1">
        <f t="array" ref="AF245">_xlfn.IFS(J245=1,"Low",J245=2,"Medium",J245=3,"High",J245=4,"Very High")</f>
        <v>Low</v>
      </c>
      <c r="AG245" t="str" cm="1">
        <f t="array" ref="AG245">_xlfn.IFS(L245=1,"Low",L245=2,"Medium",L245=3,"High",L245=4,"Very High")</f>
        <v>High</v>
      </c>
      <c r="AH245" t="str" cm="1">
        <f t="array" ref="AH245">_xlfn.IFS(M245=1,"Junior employee",M245=2,"Mid-level",M245=3,"Senior",M245=4,"Manager",M245=5,"Executive")</f>
        <v>Mid-level</v>
      </c>
      <c r="AI245" t="str" cm="1">
        <f t="array" ref="AI245">_xlfn.IFS(O245=1,"Low",O245=2,"Medium",O245=3,"High",O245=4,"Very High")</f>
        <v>Very High</v>
      </c>
      <c r="AJ245" t="str" cm="1">
        <f t="array" ref="AJ245">_xlfn.IFS(U245=1,"Low",U245=2,"Good",U245=3,"Excellent",U245=4,"Outstanding")</f>
        <v>Excellent</v>
      </c>
      <c r="AK245" t="str" cm="1">
        <f t="array" ref="AK245">_xlfn.IFS(V245=1,"Low",V245=2,"Medium",V245=3,"High",V245=4,"Very High")</f>
        <v>Low</v>
      </c>
      <c r="AL245" t="str" cm="1">
        <f t="array" ref="AL245">_xlfn.IFS(Z245=1,"Bad",Z245=2,"Good",Z245=3,"Better",Z245=4,"Best")</f>
        <v>Better</v>
      </c>
      <c r="AM245" t="str" cm="1">
        <f t="array" ref="AM245">_xlfn.IFS(W245=0,"No_stock",W245=1,"Low",W245=2,"Medium",W245=3,"High")</f>
        <v>Medium</v>
      </c>
      <c r="AN245" t="str">
        <f t="shared" si="3"/>
        <v>Far</v>
      </c>
    </row>
    <row r="246" spans="1:40" x14ac:dyDescent="0.45">
      <c r="A246">
        <v>45</v>
      </c>
      <c r="B246" t="s">
        <v>37</v>
      </c>
      <c r="C246" t="s">
        <v>31</v>
      </c>
      <c r="D246">
        <v>252</v>
      </c>
      <c r="E246" t="s">
        <v>39</v>
      </c>
      <c r="F246">
        <v>1</v>
      </c>
      <c r="G246">
        <v>3</v>
      </c>
      <c r="H246" t="s">
        <v>43</v>
      </c>
      <c r="I246">
        <v>336</v>
      </c>
      <c r="J246">
        <v>3</v>
      </c>
      <c r="K246" t="s">
        <v>40</v>
      </c>
      <c r="L246">
        <v>4</v>
      </c>
      <c r="M246">
        <v>5</v>
      </c>
      <c r="N246" t="s">
        <v>50</v>
      </c>
      <c r="O246">
        <v>4</v>
      </c>
      <c r="P246" t="s">
        <v>42</v>
      </c>
      <c r="Q246">
        <v>19202</v>
      </c>
      <c r="R246">
        <v>0</v>
      </c>
      <c r="S246" t="s">
        <v>37</v>
      </c>
      <c r="T246">
        <v>11</v>
      </c>
      <c r="U246">
        <v>3</v>
      </c>
      <c r="V246">
        <v>3</v>
      </c>
      <c r="W246">
        <v>1</v>
      </c>
      <c r="X246">
        <v>25</v>
      </c>
      <c r="Y246">
        <v>2</v>
      </c>
      <c r="Z246">
        <v>3</v>
      </c>
      <c r="AA246">
        <v>24</v>
      </c>
      <c r="AB246">
        <v>0</v>
      </c>
      <c r="AC246">
        <v>1</v>
      </c>
      <c r="AD246">
        <v>7</v>
      </c>
      <c r="AE246" t="str" cm="1">
        <f t="array" ref="AE246">_xlfn.IFS(G246=1,"Before College",G246=2,"College",G246=3,"Bachelor",G246=4,"Master",G246=5,"Doctor")</f>
        <v>Bachelor</v>
      </c>
      <c r="AF246" t="str" cm="1">
        <f t="array" ref="AF246">_xlfn.IFS(J246=1,"Low",J246=2,"Medium",J246=3,"High",J246=4,"Very High")</f>
        <v>High</v>
      </c>
      <c r="AG246" t="str" cm="1">
        <f t="array" ref="AG246">_xlfn.IFS(L246=1,"Low",L246=2,"Medium",L246=3,"High",L246=4,"Very High")</f>
        <v>Very High</v>
      </c>
      <c r="AH246" t="str" cm="1">
        <f t="array" ref="AH246">_xlfn.IFS(M246=1,"Junior employee",M246=2,"Mid-level",M246=3,"Senior",M246=4,"Manager",M246=5,"Executive")</f>
        <v>Executive</v>
      </c>
      <c r="AI246" t="str" cm="1">
        <f t="array" ref="AI246">_xlfn.IFS(O246=1,"Low",O246=2,"Medium",O246=3,"High",O246=4,"Very High")</f>
        <v>Very High</v>
      </c>
      <c r="AJ246" t="str" cm="1">
        <f t="array" ref="AJ246">_xlfn.IFS(U246=1,"Low",U246=2,"Good",U246=3,"Excellent",U246=4,"Outstanding")</f>
        <v>Excellent</v>
      </c>
      <c r="AK246" t="str" cm="1">
        <f t="array" ref="AK246">_xlfn.IFS(V246=1,"Low",V246=2,"Medium",V246=3,"High",V246=4,"Very High")</f>
        <v>High</v>
      </c>
      <c r="AL246" t="str" cm="1">
        <f t="array" ref="AL246">_xlfn.IFS(Z246=1,"Bad",Z246=2,"Good",Z246=3,"Better",Z246=4,"Best")</f>
        <v>Better</v>
      </c>
      <c r="AM246" t="str" cm="1">
        <f t="array" ref="AM246">_xlfn.IFS(W246=0,"No_stock",W246=1,"Low",W246=2,"Medium",W246=3,"High")</f>
        <v>Low</v>
      </c>
      <c r="AN246" t="str">
        <f t="shared" si="3"/>
        <v>Near</v>
      </c>
    </row>
    <row r="247" spans="1:40" x14ac:dyDescent="0.45">
      <c r="A247">
        <v>31</v>
      </c>
      <c r="B247" t="s">
        <v>37</v>
      </c>
      <c r="C247" t="s">
        <v>38</v>
      </c>
      <c r="D247">
        <v>1327</v>
      </c>
      <c r="E247" t="s">
        <v>39</v>
      </c>
      <c r="F247">
        <v>3</v>
      </c>
      <c r="G247">
        <v>4</v>
      </c>
      <c r="H247" t="s">
        <v>45</v>
      </c>
      <c r="I247">
        <v>337</v>
      </c>
      <c r="J247">
        <v>2</v>
      </c>
      <c r="K247" t="s">
        <v>40</v>
      </c>
      <c r="L247">
        <v>3</v>
      </c>
      <c r="M247">
        <v>3</v>
      </c>
      <c r="N247" t="s">
        <v>52</v>
      </c>
      <c r="O247">
        <v>3</v>
      </c>
      <c r="P247" t="s">
        <v>46</v>
      </c>
      <c r="Q247">
        <v>13675</v>
      </c>
      <c r="R247">
        <v>9</v>
      </c>
      <c r="S247" t="s">
        <v>37</v>
      </c>
      <c r="T247">
        <v>12</v>
      </c>
      <c r="U247">
        <v>3</v>
      </c>
      <c r="V247">
        <v>1</v>
      </c>
      <c r="W247">
        <v>1</v>
      </c>
      <c r="X247">
        <v>9</v>
      </c>
      <c r="Y247">
        <v>3</v>
      </c>
      <c r="Z247">
        <v>3</v>
      </c>
      <c r="AA247">
        <v>2</v>
      </c>
      <c r="AB247">
        <v>2</v>
      </c>
      <c r="AC247">
        <v>2</v>
      </c>
      <c r="AD247">
        <v>2</v>
      </c>
      <c r="AE247" t="str" cm="1">
        <f t="array" ref="AE247">_xlfn.IFS(G247=1,"Before College",G247=2,"College",G247=3,"Bachelor",G247=4,"Master",G247=5,"Doctor")</f>
        <v>Master</v>
      </c>
      <c r="AF247" t="str" cm="1">
        <f t="array" ref="AF247">_xlfn.IFS(J247=1,"Low",J247=2,"Medium",J247=3,"High",J247=4,"Very High")</f>
        <v>Medium</v>
      </c>
      <c r="AG247" t="str" cm="1">
        <f t="array" ref="AG247">_xlfn.IFS(L247=1,"Low",L247=2,"Medium",L247=3,"High",L247=4,"Very High")</f>
        <v>High</v>
      </c>
      <c r="AH247" t="str" cm="1">
        <f t="array" ref="AH247">_xlfn.IFS(M247=1,"Junior employee",M247=2,"Mid-level",M247=3,"Senior",M247=4,"Manager",M247=5,"Executive")</f>
        <v>Senior</v>
      </c>
      <c r="AI247" t="str" cm="1">
        <f t="array" ref="AI247">_xlfn.IFS(O247=1,"Low",O247=2,"Medium",O247=3,"High",O247=4,"Very High")</f>
        <v>High</v>
      </c>
      <c r="AJ247" t="str" cm="1">
        <f t="array" ref="AJ247">_xlfn.IFS(U247=1,"Low",U247=2,"Good",U247=3,"Excellent",U247=4,"Outstanding")</f>
        <v>Excellent</v>
      </c>
      <c r="AK247" t="str" cm="1">
        <f t="array" ref="AK247">_xlfn.IFS(V247=1,"Low",V247=2,"Medium",V247=3,"High",V247=4,"Very High")</f>
        <v>Low</v>
      </c>
      <c r="AL247" t="str" cm="1">
        <f t="array" ref="AL247">_xlfn.IFS(Z247=1,"Bad",Z247=2,"Good",Z247=3,"Better",Z247=4,"Best")</f>
        <v>Better</v>
      </c>
      <c r="AM247" t="str" cm="1">
        <f t="array" ref="AM247">_xlfn.IFS(W247=0,"No_stock",W247=1,"Low",W247=2,"Medium",W247=3,"High")</f>
        <v>Low</v>
      </c>
      <c r="AN247" t="str">
        <f t="shared" si="3"/>
        <v>Near</v>
      </c>
    </row>
    <row r="248" spans="1:40" x14ac:dyDescent="0.45">
      <c r="A248">
        <v>33</v>
      </c>
      <c r="B248" t="s">
        <v>37</v>
      </c>
      <c r="C248" t="s">
        <v>31</v>
      </c>
      <c r="D248">
        <v>832</v>
      </c>
      <c r="E248" t="s">
        <v>39</v>
      </c>
      <c r="F248">
        <v>5</v>
      </c>
      <c r="G248">
        <v>4</v>
      </c>
      <c r="H248" t="s">
        <v>33</v>
      </c>
      <c r="I248">
        <v>338</v>
      </c>
      <c r="J248">
        <v>3</v>
      </c>
      <c r="K248" t="s">
        <v>34</v>
      </c>
      <c r="L248">
        <v>2</v>
      </c>
      <c r="M248">
        <v>1</v>
      </c>
      <c r="N248" t="s">
        <v>41</v>
      </c>
      <c r="O248">
        <v>4</v>
      </c>
      <c r="P248" t="s">
        <v>42</v>
      </c>
      <c r="Q248">
        <v>2911</v>
      </c>
      <c r="R248">
        <v>1</v>
      </c>
      <c r="S248" t="s">
        <v>37</v>
      </c>
      <c r="T248">
        <v>13</v>
      </c>
      <c r="U248">
        <v>3</v>
      </c>
      <c r="V248">
        <v>3</v>
      </c>
      <c r="W248">
        <v>1</v>
      </c>
      <c r="X248">
        <v>2</v>
      </c>
      <c r="Y248">
        <v>2</v>
      </c>
      <c r="Z248">
        <v>2</v>
      </c>
      <c r="AA248">
        <v>2</v>
      </c>
      <c r="AB248">
        <v>2</v>
      </c>
      <c r="AC248">
        <v>0</v>
      </c>
      <c r="AD248">
        <v>2</v>
      </c>
      <c r="AE248" t="str" cm="1">
        <f t="array" ref="AE248">_xlfn.IFS(G248=1,"Before College",G248=2,"College",G248=3,"Bachelor",G248=4,"Master",G248=5,"Doctor")</f>
        <v>Master</v>
      </c>
      <c r="AF248" t="str" cm="1">
        <f t="array" ref="AF248">_xlfn.IFS(J248=1,"Low",J248=2,"Medium",J248=3,"High",J248=4,"Very High")</f>
        <v>High</v>
      </c>
      <c r="AG248" t="str" cm="1">
        <f t="array" ref="AG248">_xlfn.IFS(L248=1,"Low",L248=2,"Medium",L248=3,"High",L248=4,"Very High")</f>
        <v>Medium</v>
      </c>
      <c r="AH248" t="str" cm="1">
        <f t="array" ref="AH248">_xlfn.IFS(M248=1,"Junior employee",M248=2,"Mid-level",M248=3,"Senior",M248=4,"Manager",M248=5,"Executive")</f>
        <v>Junior employee</v>
      </c>
      <c r="AI248" t="str" cm="1">
        <f t="array" ref="AI248">_xlfn.IFS(O248=1,"Low",O248=2,"Medium",O248=3,"High",O248=4,"Very High")</f>
        <v>Very High</v>
      </c>
      <c r="AJ248" t="str" cm="1">
        <f t="array" ref="AJ248">_xlfn.IFS(U248=1,"Low",U248=2,"Good",U248=3,"Excellent",U248=4,"Outstanding")</f>
        <v>Excellent</v>
      </c>
      <c r="AK248" t="str" cm="1">
        <f t="array" ref="AK248">_xlfn.IFS(V248=1,"Low",V248=2,"Medium",V248=3,"High",V248=4,"Very High")</f>
        <v>High</v>
      </c>
      <c r="AL248" t="str" cm="1">
        <f t="array" ref="AL248">_xlfn.IFS(Z248=1,"Bad",Z248=2,"Good",Z248=3,"Better",Z248=4,"Best")</f>
        <v>Good</v>
      </c>
      <c r="AM248" t="str" cm="1">
        <f t="array" ref="AM248">_xlfn.IFS(W248=0,"No_stock",W248=1,"Low",W248=2,"Medium",W248=3,"High")</f>
        <v>Low</v>
      </c>
      <c r="AN248" t="str">
        <f t="shared" si="3"/>
        <v>Near</v>
      </c>
    </row>
    <row r="249" spans="1:40" x14ac:dyDescent="0.45">
      <c r="A249">
        <v>34</v>
      </c>
      <c r="B249" t="s">
        <v>37</v>
      </c>
      <c r="C249" t="s">
        <v>31</v>
      </c>
      <c r="D249">
        <v>470</v>
      </c>
      <c r="E249" t="s">
        <v>39</v>
      </c>
      <c r="F249">
        <v>2</v>
      </c>
      <c r="G249">
        <v>4</v>
      </c>
      <c r="H249" t="s">
        <v>33</v>
      </c>
      <c r="I249">
        <v>339</v>
      </c>
      <c r="J249">
        <v>4</v>
      </c>
      <c r="K249" t="s">
        <v>40</v>
      </c>
      <c r="L249">
        <v>2</v>
      </c>
      <c r="M249">
        <v>2</v>
      </c>
      <c r="N249" t="s">
        <v>47</v>
      </c>
      <c r="O249">
        <v>1</v>
      </c>
      <c r="P249" t="s">
        <v>42</v>
      </c>
      <c r="Q249">
        <v>5957</v>
      </c>
      <c r="R249">
        <v>6</v>
      </c>
      <c r="S249" t="s">
        <v>37</v>
      </c>
      <c r="T249">
        <v>13</v>
      </c>
      <c r="U249">
        <v>3</v>
      </c>
      <c r="V249">
        <v>2</v>
      </c>
      <c r="W249">
        <v>1</v>
      </c>
      <c r="X249">
        <v>13</v>
      </c>
      <c r="Y249">
        <v>3</v>
      </c>
      <c r="Z249">
        <v>3</v>
      </c>
      <c r="AA249">
        <v>11</v>
      </c>
      <c r="AB249">
        <v>9</v>
      </c>
      <c r="AC249">
        <v>5</v>
      </c>
      <c r="AD249">
        <v>9</v>
      </c>
      <c r="AE249" t="str" cm="1">
        <f t="array" ref="AE249">_xlfn.IFS(G249=1,"Before College",G249=2,"College",G249=3,"Bachelor",G249=4,"Master",G249=5,"Doctor")</f>
        <v>Master</v>
      </c>
      <c r="AF249" t="str" cm="1">
        <f t="array" ref="AF249">_xlfn.IFS(J249=1,"Low",J249=2,"Medium",J249=3,"High",J249=4,"Very High")</f>
        <v>Very High</v>
      </c>
      <c r="AG249" t="str" cm="1">
        <f t="array" ref="AG249">_xlfn.IFS(L249=1,"Low",L249=2,"Medium",L249=3,"High",L249=4,"Very High")</f>
        <v>Medium</v>
      </c>
      <c r="AH249" t="str" cm="1">
        <f t="array" ref="AH249">_xlfn.IFS(M249=1,"Junior employee",M249=2,"Mid-level",M249=3,"Senior",M249=4,"Manager",M249=5,"Executive")</f>
        <v>Mid-level</v>
      </c>
      <c r="AI249" t="str" cm="1">
        <f t="array" ref="AI249">_xlfn.IFS(O249=1,"Low",O249=2,"Medium",O249=3,"High",O249=4,"Very High")</f>
        <v>Low</v>
      </c>
      <c r="AJ249" t="str" cm="1">
        <f t="array" ref="AJ249">_xlfn.IFS(U249=1,"Low",U249=2,"Good",U249=3,"Excellent",U249=4,"Outstanding")</f>
        <v>Excellent</v>
      </c>
      <c r="AK249" t="str" cm="1">
        <f t="array" ref="AK249">_xlfn.IFS(V249=1,"Low",V249=2,"Medium",V249=3,"High",V249=4,"Very High")</f>
        <v>Medium</v>
      </c>
      <c r="AL249" t="str" cm="1">
        <f t="array" ref="AL249">_xlfn.IFS(Z249=1,"Bad",Z249=2,"Good",Z249=3,"Better",Z249=4,"Best")</f>
        <v>Better</v>
      </c>
      <c r="AM249" t="str" cm="1">
        <f t="array" ref="AM249">_xlfn.IFS(W249=0,"No_stock",W249=1,"Low",W249=2,"Medium",W249=3,"High")</f>
        <v>Low</v>
      </c>
      <c r="AN249" t="str">
        <f t="shared" si="3"/>
        <v>Near</v>
      </c>
    </row>
    <row r="250" spans="1:40" x14ac:dyDescent="0.45">
      <c r="A250">
        <v>37</v>
      </c>
      <c r="B250" t="s">
        <v>37</v>
      </c>
      <c r="C250" t="s">
        <v>31</v>
      </c>
      <c r="D250">
        <v>1017</v>
      </c>
      <c r="E250" t="s">
        <v>39</v>
      </c>
      <c r="F250">
        <v>1</v>
      </c>
      <c r="G250">
        <v>2</v>
      </c>
      <c r="H250" t="s">
        <v>45</v>
      </c>
      <c r="I250">
        <v>340</v>
      </c>
      <c r="J250">
        <v>3</v>
      </c>
      <c r="K250" t="s">
        <v>34</v>
      </c>
      <c r="L250">
        <v>2</v>
      </c>
      <c r="M250">
        <v>1</v>
      </c>
      <c r="N250" t="s">
        <v>41</v>
      </c>
      <c r="O250">
        <v>1</v>
      </c>
      <c r="P250" t="s">
        <v>42</v>
      </c>
      <c r="Q250">
        <v>3920</v>
      </c>
      <c r="R250">
        <v>2</v>
      </c>
      <c r="S250" t="s">
        <v>37</v>
      </c>
      <c r="T250">
        <v>14</v>
      </c>
      <c r="U250">
        <v>3</v>
      </c>
      <c r="V250">
        <v>1</v>
      </c>
      <c r="W250">
        <v>1</v>
      </c>
      <c r="X250">
        <v>17</v>
      </c>
      <c r="Y250">
        <v>2</v>
      </c>
      <c r="Z250">
        <v>2</v>
      </c>
      <c r="AA250">
        <v>3</v>
      </c>
      <c r="AB250">
        <v>1</v>
      </c>
      <c r="AC250">
        <v>0</v>
      </c>
      <c r="AD250">
        <v>2</v>
      </c>
      <c r="AE250" t="str" cm="1">
        <f t="array" ref="AE250">_xlfn.IFS(G250=1,"Before College",G250=2,"College",G250=3,"Bachelor",G250=4,"Master",G250=5,"Doctor")</f>
        <v>College</v>
      </c>
      <c r="AF250" t="str" cm="1">
        <f t="array" ref="AF250">_xlfn.IFS(J250=1,"Low",J250=2,"Medium",J250=3,"High",J250=4,"Very High")</f>
        <v>High</v>
      </c>
      <c r="AG250" t="str" cm="1">
        <f t="array" ref="AG250">_xlfn.IFS(L250=1,"Low",L250=2,"Medium",L250=3,"High",L250=4,"Very High")</f>
        <v>Medium</v>
      </c>
      <c r="AH250" t="str" cm="1">
        <f t="array" ref="AH250">_xlfn.IFS(M250=1,"Junior employee",M250=2,"Mid-level",M250=3,"Senior",M250=4,"Manager",M250=5,"Executive")</f>
        <v>Junior employee</v>
      </c>
      <c r="AI250" t="str" cm="1">
        <f t="array" ref="AI250">_xlfn.IFS(O250=1,"Low",O250=2,"Medium",O250=3,"High",O250=4,"Very High")</f>
        <v>Low</v>
      </c>
      <c r="AJ250" t="str" cm="1">
        <f t="array" ref="AJ250">_xlfn.IFS(U250=1,"Low",U250=2,"Good",U250=3,"Excellent",U250=4,"Outstanding")</f>
        <v>Excellent</v>
      </c>
      <c r="AK250" t="str" cm="1">
        <f t="array" ref="AK250">_xlfn.IFS(V250=1,"Low",V250=2,"Medium",V250=3,"High",V250=4,"Very High")</f>
        <v>Low</v>
      </c>
      <c r="AL250" t="str" cm="1">
        <f t="array" ref="AL250">_xlfn.IFS(Z250=1,"Bad",Z250=2,"Good",Z250=3,"Better",Z250=4,"Best")</f>
        <v>Good</v>
      </c>
      <c r="AM250" t="str" cm="1">
        <f t="array" ref="AM250">_xlfn.IFS(W250=0,"No_stock",W250=1,"Low",W250=2,"Medium",W250=3,"High")</f>
        <v>Low</v>
      </c>
      <c r="AN250" t="str">
        <f t="shared" si="3"/>
        <v>Near</v>
      </c>
    </row>
    <row r="251" spans="1:40" x14ac:dyDescent="0.45">
      <c r="A251">
        <v>45</v>
      </c>
      <c r="B251" t="s">
        <v>37</v>
      </c>
      <c r="C251" t="s">
        <v>38</v>
      </c>
      <c r="D251">
        <v>1199</v>
      </c>
      <c r="E251" t="s">
        <v>39</v>
      </c>
      <c r="F251">
        <v>7</v>
      </c>
      <c r="G251">
        <v>4</v>
      </c>
      <c r="H251" t="s">
        <v>33</v>
      </c>
      <c r="I251">
        <v>341</v>
      </c>
      <c r="J251">
        <v>1</v>
      </c>
      <c r="K251" t="s">
        <v>40</v>
      </c>
      <c r="L251">
        <v>4</v>
      </c>
      <c r="M251">
        <v>2</v>
      </c>
      <c r="N251" t="s">
        <v>47</v>
      </c>
      <c r="O251">
        <v>3</v>
      </c>
      <c r="P251" t="s">
        <v>42</v>
      </c>
      <c r="Q251">
        <v>6434</v>
      </c>
      <c r="R251">
        <v>4</v>
      </c>
      <c r="S251" t="s">
        <v>37</v>
      </c>
      <c r="T251">
        <v>17</v>
      </c>
      <c r="U251">
        <v>3</v>
      </c>
      <c r="V251">
        <v>4</v>
      </c>
      <c r="W251">
        <v>1</v>
      </c>
      <c r="X251">
        <v>9</v>
      </c>
      <c r="Y251">
        <v>1</v>
      </c>
      <c r="Z251">
        <v>3</v>
      </c>
      <c r="AA251">
        <v>3</v>
      </c>
      <c r="AB251">
        <v>2</v>
      </c>
      <c r="AC251">
        <v>0</v>
      </c>
      <c r="AD251">
        <v>2</v>
      </c>
      <c r="AE251" t="str" cm="1">
        <f t="array" ref="AE251">_xlfn.IFS(G251=1,"Before College",G251=2,"College",G251=3,"Bachelor",G251=4,"Master",G251=5,"Doctor")</f>
        <v>Master</v>
      </c>
      <c r="AF251" t="str" cm="1">
        <f t="array" ref="AF251">_xlfn.IFS(J251=1,"Low",J251=2,"Medium",J251=3,"High",J251=4,"Very High")</f>
        <v>Low</v>
      </c>
      <c r="AG251" t="str" cm="1">
        <f t="array" ref="AG251">_xlfn.IFS(L251=1,"Low",L251=2,"Medium",L251=3,"High",L251=4,"Very High")</f>
        <v>Very High</v>
      </c>
      <c r="AH251" t="str" cm="1">
        <f t="array" ref="AH251">_xlfn.IFS(M251=1,"Junior employee",M251=2,"Mid-level",M251=3,"Senior",M251=4,"Manager",M251=5,"Executive")</f>
        <v>Mid-level</v>
      </c>
      <c r="AI251" t="str" cm="1">
        <f t="array" ref="AI251">_xlfn.IFS(O251=1,"Low",O251=2,"Medium",O251=3,"High",O251=4,"Very High")</f>
        <v>High</v>
      </c>
      <c r="AJ251" t="str" cm="1">
        <f t="array" ref="AJ251">_xlfn.IFS(U251=1,"Low",U251=2,"Good",U251=3,"Excellent",U251=4,"Outstanding")</f>
        <v>Excellent</v>
      </c>
      <c r="AK251" t="str" cm="1">
        <f t="array" ref="AK251">_xlfn.IFS(V251=1,"Low",V251=2,"Medium",V251=3,"High",V251=4,"Very High")</f>
        <v>Very High</v>
      </c>
      <c r="AL251" t="str" cm="1">
        <f t="array" ref="AL251">_xlfn.IFS(Z251=1,"Bad",Z251=2,"Good",Z251=3,"Better",Z251=4,"Best")</f>
        <v>Better</v>
      </c>
      <c r="AM251" t="str" cm="1">
        <f t="array" ref="AM251">_xlfn.IFS(W251=0,"No_stock",W251=1,"Low",W251=2,"Medium",W251=3,"High")</f>
        <v>Low</v>
      </c>
      <c r="AN251" t="str">
        <f t="shared" si="3"/>
        <v>Medium</v>
      </c>
    </row>
    <row r="252" spans="1:40" x14ac:dyDescent="0.45">
      <c r="A252">
        <v>37</v>
      </c>
      <c r="B252" t="s">
        <v>30</v>
      </c>
      <c r="C252" t="s">
        <v>38</v>
      </c>
      <c r="D252">
        <v>504</v>
      </c>
      <c r="E252" t="s">
        <v>39</v>
      </c>
      <c r="F252">
        <v>10</v>
      </c>
      <c r="G252">
        <v>3</v>
      </c>
      <c r="H252" t="s">
        <v>45</v>
      </c>
      <c r="I252">
        <v>342</v>
      </c>
      <c r="J252">
        <v>1</v>
      </c>
      <c r="K252" t="s">
        <v>40</v>
      </c>
      <c r="L252">
        <v>3</v>
      </c>
      <c r="M252">
        <v>3</v>
      </c>
      <c r="N252" t="s">
        <v>47</v>
      </c>
      <c r="O252">
        <v>3</v>
      </c>
      <c r="P252" t="s">
        <v>46</v>
      </c>
      <c r="Q252">
        <v>10048</v>
      </c>
      <c r="R252">
        <v>6</v>
      </c>
      <c r="S252" t="s">
        <v>37</v>
      </c>
      <c r="T252">
        <v>11</v>
      </c>
      <c r="U252">
        <v>3</v>
      </c>
      <c r="V252">
        <v>2</v>
      </c>
      <c r="W252">
        <v>2</v>
      </c>
      <c r="X252">
        <v>17</v>
      </c>
      <c r="Y252">
        <v>5</v>
      </c>
      <c r="Z252">
        <v>3</v>
      </c>
      <c r="AA252">
        <v>1</v>
      </c>
      <c r="AB252">
        <v>0</v>
      </c>
      <c r="AC252">
        <v>0</v>
      </c>
      <c r="AD252">
        <v>0</v>
      </c>
      <c r="AE252" t="str" cm="1">
        <f t="array" ref="AE252">_xlfn.IFS(G252=1,"Before College",G252=2,"College",G252=3,"Bachelor",G252=4,"Master",G252=5,"Doctor")</f>
        <v>Bachelor</v>
      </c>
      <c r="AF252" t="str" cm="1">
        <f t="array" ref="AF252">_xlfn.IFS(J252=1,"Low",J252=2,"Medium",J252=3,"High",J252=4,"Very High")</f>
        <v>Low</v>
      </c>
      <c r="AG252" t="str" cm="1">
        <f t="array" ref="AG252">_xlfn.IFS(L252=1,"Low",L252=2,"Medium",L252=3,"High",L252=4,"Very High")</f>
        <v>High</v>
      </c>
      <c r="AH252" t="str" cm="1">
        <f t="array" ref="AH252">_xlfn.IFS(M252=1,"Junior employee",M252=2,"Mid-level",M252=3,"Senior",M252=4,"Manager",M252=5,"Executive")</f>
        <v>Senior</v>
      </c>
      <c r="AI252" t="str" cm="1">
        <f t="array" ref="AI252">_xlfn.IFS(O252=1,"Low",O252=2,"Medium",O252=3,"High",O252=4,"Very High")</f>
        <v>High</v>
      </c>
      <c r="AJ252" t="str" cm="1">
        <f t="array" ref="AJ252">_xlfn.IFS(U252=1,"Low",U252=2,"Good",U252=3,"Excellent",U252=4,"Outstanding")</f>
        <v>Excellent</v>
      </c>
      <c r="AK252" t="str" cm="1">
        <f t="array" ref="AK252">_xlfn.IFS(V252=1,"Low",V252=2,"Medium",V252=3,"High",V252=4,"Very High")</f>
        <v>Medium</v>
      </c>
      <c r="AL252" t="str" cm="1">
        <f t="array" ref="AL252">_xlfn.IFS(Z252=1,"Bad",Z252=2,"Good",Z252=3,"Better",Z252=4,"Best")</f>
        <v>Better</v>
      </c>
      <c r="AM252" t="str" cm="1">
        <f t="array" ref="AM252">_xlfn.IFS(W252=0,"No_stock",W252=1,"Low",W252=2,"Medium",W252=3,"High")</f>
        <v>Medium</v>
      </c>
      <c r="AN252" t="str">
        <f t="shared" si="3"/>
        <v>Medium</v>
      </c>
    </row>
    <row r="253" spans="1:40" x14ac:dyDescent="0.45">
      <c r="A253">
        <v>39</v>
      </c>
      <c r="B253" t="s">
        <v>37</v>
      </c>
      <c r="C253" t="s">
        <v>38</v>
      </c>
      <c r="D253">
        <v>505</v>
      </c>
      <c r="E253" t="s">
        <v>39</v>
      </c>
      <c r="F253">
        <v>2</v>
      </c>
      <c r="G253">
        <v>4</v>
      </c>
      <c r="H253" t="s">
        <v>54</v>
      </c>
      <c r="I253">
        <v>343</v>
      </c>
      <c r="J253">
        <v>3</v>
      </c>
      <c r="K253" t="s">
        <v>34</v>
      </c>
      <c r="L253">
        <v>3</v>
      </c>
      <c r="M253">
        <v>3</v>
      </c>
      <c r="N253" t="s">
        <v>48</v>
      </c>
      <c r="O253">
        <v>3</v>
      </c>
      <c r="P253" t="s">
        <v>36</v>
      </c>
      <c r="Q253">
        <v>10938</v>
      </c>
      <c r="R253">
        <v>0</v>
      </c>
      <c r="S253" t="s">
        <v>37</v>
      </c>
      <c r="T253">
        <v>25</v>
      </c>
      <c r="U253">
        <v>4</v>
      </c>
      <c r="V253">
        <v>4</v>
      </c>
      <c r="W253">
        <v>0</v>
      </c>
      <c r="X253">
        <v>20</v>
      </c>
      <c r="Y253">
        <v>1</v>
      </c>
      <c r="Z253">
        <v>3</v>
      </c>
      <c r="AA253">
        <v>19</v>
      </c>
      <c r="AB253">
        <v>6</v>
      </c>
      <c r="AC253">
        <v>11</v>
      </c>
      <c r="AD253">
        <v>8</v>
      </c>
      <c r="AE253" t="str" cm="1">
        <f t="array" ref="AE253">_xlfn.IFS(G253=1,"Before College",G253=2,"College",G253=3,"Bachelor",G253=4,"Master",G253=5,"Doctor")</f>
        <v>Master</v>
      </c>
      <c r="AF253" t="str" cm="1">
        <f t="array" ref="AF253">_xlfn.IFS(J253=1,"Low",J253=2,"Medium",J253=3,"High",J253=4,"Very High")</f>
        <v>High</v>
      </c>
      <c r="AG253" t="str" cm="1">
        <f t="array" ref="AG253">_xlfn.IFS(L253=1,"Low",L253=2,"Medium",L253=3,"High",L253=4,"Very High")</f>
        <v>High</v>
      </c>
      <c r="AH253" t="str" cm="1">
        <f t="array" ref="AH253">_xlfn.IFS(M253=1,"Junior employee",M253=2,"Mid-level",M253=3,"Senior",M253=4,"Manager",M253=5,"Executive")</f>
        <v>Senior</v>
      </c>
      <c r="AI253" t="str" cm="1">
        <f t="array" ref="AI253">_xlfn.IFS(O253=1,"Low",O253=2,"Medium",O253=3,"High",O253=4,"Very High")</f>
        <v>High</v>
      </c>
      <c r="AJ253" t="str" cm="1">
        <f t="array" ref="AJ253">_xlfn.IFS(U253=1,"Low",U253=2,"Good",U253=3,"Excellent",U253=4,"Outstanding")</f>
        <v>Outstanding</v>
      </c>
      <c r="AK253" t="str" cm="1">
        <f t="array" ref="AK253">_xlfn.IFS(V253=1,"Low",V253=2,"Medium",V253=3,"High",V253=4,"Very High")</f>
        <v>Very High</v>
      </c>
      <c r="AL253" t="str" cm="1">
        <f t="array" ref="AL253">_xlfn.IFS(Z253=1,"Bad",Z253=2,"Good",Z253=3,"Better",Z253=4,"Best")</f>
        <v>Better</v>
      </c>
      <c r="AM253" t="str" cm="1">
        <f t="array" ref="AM253">_xlfn.IFS(W253=0,"No_stock",W253=1,"Low",W253=2,"Medium",W253=3,"High")</f>
        <v>No_stock</v>
      </c>
      <c r="AN253" t="str">
        <f t="shared" si="3"/>
        <v>Near</v>
      </c>
    </row>
    <row r="254" spans="1:40" x14ac:dyDescent="0.45">
      <c r="A254">
        <v>29</v>
      </c>
      <c r="B254" t="s">
        <v>37</v>
      </c>
      <c r="C254" t="s">
        <v>31</v>
      </c>
      <c r="D254">
        <v>665</v>
      </c>
      <c r="E254" t="s">
        <v>39</v>
      </c>
      <c r="F254">
        <v>15</v>
      </c>
      <c r="G254">
        <v>3</v>
      </c>
      <c r="H254" t="s">
        <v>33</v>
      </c>
      <c r="I254">
        <v>346</v>
      </c>
      <c r="J254">
        <v>3</v>
      </c>
      <c r="K254" t="s">
        <v>40</v>
      </c>
      <c r="L254">
        <v>3</v>
      </c>
      <c r="M254">
        <v>1</v>
      </c>
      <c r="N254" t="s">
        <v>41</v>
      </c>
      <c r="O254">
        <v>4</v>
      </c>
      <c r="P254" t="s">
        <v>36</v>
      </c>
      <c r="Q254">
        <v>2340</v>
      </c>
      <c r="R254">
        <v>1</v>
      </c>
      <c r="S254" t="s">
        <v>37</v>
      </c>
      <c r="T254">
        <v>19</v>
      </c>
      <c r="U254">
        <v>3</v>
      </c>
      <c r="V254">
        <v>1</v>
      </c>
      <c r="W254">
        <v>0</v>
      </c>
      <c r="X254">
        <v>6</v>
      </c>
      <c r="Y254">
        <v>1</v>
      </c>
      <c r="Z254">
        <v>3</v>
      </c>
      <c r="AA254">
        <v>6</v>
      </c>
      <c r="AB254">
        <v>5</v>
      </c>
      <c r="AC254">
        <v>1</v>
      </c>
      <c r="AD254">
        <v>5</v>
      </c>
      <c r="AE254" t="str" cm="1">
        <f t="array" ref="AE254">_xlfn.IFS(G254=1,"Before College",G254=2,"College",G254=3,"Bachelor",G254=4,"Master",G254=5,"Doctor")</f>
        <v>Bachelor</v>
      </c>
      <c r="AF254" t="str" cm="1">
        <f t="array" ref="AF254">_xlfn.IFS(J254=1,"Low",J254=2,"Medium",J254=3,"High",J254=4,"Very High")</f>
        <v>High</v>
      </c>
      <c r="AG254" t="str" cm="1">
        <f t="array" ref="AG254">_xlfn.IFS(L254=1,"Low",L254=2,"Medium",L254=3,"High",L254=4,"Very High")</f>
        <v>High</v>
      </c>
      <c r="AH254" t="str" cm="1">
        <f t="array" ref="AH254">_xlfn.IFS(M254=1,"Junior employee",M254=2,"Mid-level",M254=3,"Senior",M254=4,"Manager",M254=5,"Executive")</f>
        <v>Junior employee</v>
      </c>
      <c r="AI254" t="str" cm="1">
        <f t="array" ref="AI254">_xlfn.IFS(O254=1,"Low",O254=2,"Medium",O254=3,"High",O254=4,"Very High")</f>
        <v>Very High</v>
      </c>
      <c r="AJ254" t="str" cm="1">
        <f t="array" ref="AJ254">_xlfn.IFS(U254=1,"Low",U254=2,"Good",U254=3,"Excellent",U254=4,"Outstanding")</f>
        <v>Excellent</v>
      </c>
      <c r="AK254" t="str" cm="1">
        <f t="array" ref="AK254">_xlfn.IFS(V254=1,"Low",V254=2,"Medium",V254=3,"High",V254=4,"Very High")</f>
        <v>Low</v>
      </c>
      <c r="AL254" t="str" cm="1">
        <f t="array" ref="AL254">_xlfn.IFS(Z254=1,"Bad",Z254=2,"Good",Z254=3,"Better",Z254=4,"Best")</f>
        <v>Better</v>
      </c>
      <c r="AM254" t="str" cm="1">
        <f t="array" ref="AM254">_xlfn.IFS(W254=0,"No_stock",W254=1,"Low",W254=2,"Medium",W254=3,"High")</f>
        <v>No_stock</v>
      </c>
      <c r="AN254" t="str">
        <f t="shared" si="3"/>
        <v>Medium</v>
      </c>
    </row>
    <row r="255" spans="1:40" x14ac:dyDescent="0.45">
      <c r="A255">
        <v>42</v>
      </c>
      <c r="B255" t="s">
        <v>37</v>
      </c>
      <c r="C255" t="s">
        <v>31</v>
      </c>
      <c r="D255">
        <v>916</v>
      </c>
      <c r="E255" t="s">
        <v>39</v>
      </c>
      <c r="F255">
        <v>17</v>
      </c>
      <c r="G255">
        <v>2</v>
      </c>
      <c r="H255" t="s">
        <v>33</v>
      </c>
      <c r="I255">
        <v>347</v>
      </c>
      <c r="J255">
        <v>4</v>
      </c>
      <c r="K255" t="s">
        <v>34</v>
      </c>
      <c r="L255">
        <v>4</v>
      </c>
      <c r="M255">
        <v>2</v>
      </c>
      <c r="N255" t="s">
        <v>41</v>
      </c>
      <c r="O255">
        <v>1</v>
      </c>
      <c r="P255" t="s">
        <v>36</v>
      </c>
      <c r="Q255">
        <v>6545</v>
      </c>
      <c r="R255">
        <v>3</v>
      </c>
      <c r="S255" t="s">
        <v>30</v>
      </c>
      <c r="T255">
        <v>13</v>
      </c>
      <c r="U255">
        <v>3</v>
      </c>
      <c r="V255">
        <v>3</v>
      </c>
      <c r="W255">
        <v>0</v>
      </c>
      <c r="X255">
        <v>10</v>
      </c>
      <c r="Y255">
        <v>1</v>
      </c>
      <c r="Z255">
        <v>3</v>
      </c>
      <c r="AA255">
        <v>3</v>
      </c>
      <c r="AB255">
        <v>2</v>
      </c>
      <c r="AC255">
        <v>0</v>
      </c>
      <c r="AD255">
        <v>2</v>
      </c>
      <c r="AE255" t="str" cm="1">
        <f t="array" ref="AE255">_xlfn.IFS(G255=1,"Before College",G255=2,"College",G255=3,"Bachelor",G255=4,"Master",G255=5,"Doctor")</f>
        <v>College</v>
      </c>
      <c r="AF255" t="str" cm="1">
        <f t="array" ref="AF255">_xlfn.IFS(J255=1,"Low",J255=2,"Medium",J255=3,"High",J255=4,"Very High")</f>
        <v>Very High</v>
      </c>
      <c r="AG255" t="str" cm="1">
        <f t="array" ref="AG255">_xlfn.IFS(L255=1,"Low",L255=2,"Medium",L255=3,"High",L255=4,"Very High")</f>
        <v>Very High</v>
      </c>
      <c r="AH255" t="str" cm="1">
        <f t="array" ref="AH255">_xlfn.IFS(M255=1,"Junior employee",M255=2,"Mid-level",M255=3,"Senior",M255=4,"Manager",M255=5,"Executive")</f>
        <v>Mid-level</v>
      </c>
      <c r="AI255" t="str" cm="1">
        <f t="array" ref="AI255">_xlfn.IFS(O255=1,"Low",O255=2,"Medium",O255=3,"High",O255=4,"Very High")</f>
        <v>Low</v>
      </c>
      <c r="AJ255" t="str" cm="1">
        <f t="array" ref="AJ255">_xlfn.IFS(U255=1,"Low",U255=2,"Good",U255=3,"Excellent",U255=4,"Outstanding")</f>
        <v>Excellent</v>
      </c>
      <c r="AK255" t="str" cm="1">
        <f t="array" ref="AK255">_xlfn.IFS(V255=1,"Low",V255=2,"Medium",V255=3,"High",V255=4,"Very High")</f>
        <v>High</v>
      </c>
      <c r="AL255" t="str" cm="1">
        <f t="array" ref="AL255">_xlfn.IFS(Z255=1,"Bad",Z255=2,"Good",Z255=3,"Better",Z255=4,"Best")</f>
        <v>Better</v>
      </c>
      <c r="AM255" t="str" cm="1">
        <f t="array" ref="AM255">_xlfn.IFS(W255=0,"No_stock",W255=1,"Low",W255=2,"Medium",W255=3,"High")</f>
        <v>No_stock</v>
      </c>
      <c r="AN255" t="str">
        <f t="shared" si="3"/>
        <v>Far</v>
      </c>
    </row>
    <row r="256" spans="1:40" x14ac:dyDescent="0.45">
      <c r="A256">
        <v>29</v>
      </c>
      <c r="B256" t="s">
        <v>37</v>
      </c>
      <c r="C256" t="s">
        <v>31</v>
      </c>
      <c r="D256">
        <v>1247</v>
      </c>
      <c r="E256" t="s">
        <v>32</v>
      </c>
      <c r="F256">
        <v>20</v>
      </c>
      <c r="G256">
        <v>2</v>
      </c>
      <c r="H256" t="s">
        <v>53</v>
      </c>
      <c r="I256">
        <v>349</v>
      </c>
      <c r="J256">
        <v>4</v>
      </c>
      <c r="K256" t="s">
        <v>40</v>
      </c>
      <c r="L256">
        <v>3</v>
      </c>
      <c r="M256">
        <v>2</v>
      </c>
      <c r="N256" t="s">
        <v>35</v>
      </c>
      <c r="O256">
        <v>4</v>
      </c>
      <c r="P256" t="s">
        <v>46</v>
      </c>
      <c r="Q256">
        <v>6931</v>
      </c>
      <c r="R256">
        <v>2</v>
      </c>
      <c r="S256" t="s">
        <v>37</v>
      </c>
      <c r="T256">
        <v>14</v>
      </c>
      <c r="U256">
        <v>3</v>
      </c>
      <c r="V256">
        <v>4</v>
      </c>
      <c r="W256">
        <v>1</v>
      </c>
      <c r="X256">
        <v>10</v>
      </c>
      <c r="Y256">
        <v>2</v>
      </c>
      <c r="Z256">
        <v>3</v>
      </c>
      <c r="AA256">
        <v>3</v>
      </c>
      <c r="AB256">
        <v>2</v>
      </c>
      <c r="AC256">
        <v>0</v>
      </c>
      <c r="AD256">
        <v>2</v>
      </c>
      <c r="AE256" t="str" cm="1">
        <f t="array" ref="AE256">_xlfn.IFS(G256=1,"Before College",G256=2,"College",G256=3,"Bachelor",G256=4,"Master",G256=5,"Doctor")</f>
        <v>College</v>
      </c>
      <c r="AF256" t="str" cm="1">
        <f t="array" ref="AF256">_xlfn.IFS(J256=1,"Low",J256=2,"Medium",J256=3,"High",J256=4,"Very High")</f>
        <v>Very High</v>
      </c>
      <c r="AG256" t="str" cm="1">
        <f t="array" ref="AG256">_xlfn.IFS(L256=1,"Low",L256=2,"Medium",L256=3,"High",L256=4,"Very High")</f>
        <v>High</v>
      </c>
      <c r="AH256" t="str" cm="1">
        <f t="array" ref="AH256">_xlfn.IFS(M256=1,"Junior employee",M256=2,"Mid-level",M256=3,"Senior",M256=4,"Manager",M256=5,"Executive")</f>
        <v>Mid-level</v>
      </c>
      <c r="AI256" t="str" cm="1">
        <f t="array" ref="AI256">_xlfn.IFS(O256=1,"Low",O256=2,"Medium",O256=3,"High",O256=4,"Very High")</f>
        <v>Very High</v>
      </c>
      <c r="AJ256" t="str" cm="1">
        <f t="array" ref="AJ256">_xlfn.IFS(U256=1,"Low",U256=2,"Good",U256=3,"Excellent",U256=4,"Outstanding")</f>
        <v>Excellent</v>
      </c>
      <c r="AK256" t="str" cm="1">
        <f t="array" ref="AK256">_xlfn.IFS(V256=1,"Low",V256=2,"Medium",V256=3,"High",V256=4,"Very High")</f>
        <v>Very High</v>
      </c>
      <c r="AL256" t="str" cm="1">
        <f t="array" ref="AL256">_xlfn.IFS(Z256=1,"Bad",Z256=2,"Good",Z256=3,"Better",Z256=4,"Best")</f>
        <v>Better</v>
      </c>
      <c r="AM256" t="str" cm="1">
        <f t="array" ref="AM256">_xlfn.IFS(W256=0,"No_stock",W256=1,"Low",W256=2,"Medium",W256=3,"High")</f>
        <v>Low</v>
      </c>
      <c r="AN256" t="str">
        <f t="shared" si="3"/>
        <v>Far</v>
      </c>
    </row>
    <row r="257" spans="1:40" x14ac:dyDescent="0.45">
      <c r="A257">
        <v>25</v>
      </c>
      <c r="B257" t="s">
        <v>37</v>
      </c>
      <c r="C257" t="s">
        <v>31</v>
      </c>
      <c r="D257">
        <v>685</v>
      </c>
      <c r="E257" t="s">
        <v>39</v>
      </c>
      <c r="F257">
        <v>1</v>
      </c>
      <c r="G257">
        <v>3</v>
      </c>
      <c r="H257" t="s">
        <v>33</v>
      </c>
      <c r="I257">
        <v>350</v>
      </c>
      <c r="J257">
        <v>1</v>
      </c>
      <c r="K257" t="s">
        <v>34</v>
      </c>
      <c r="L257">
        <v>3</v>
      </c>
      <c r="M257">
        <v>2</v>
      </c>
      <c r="N257" t="s">
        <v>47</v>
      </c>
      <c r="O257">
        <v>3</v>
      </c>
      <c r="P257" t="s">
        <v>42</v>
      </c>
      <c r="Q257">
        <v>4898</v>
      </c>
      <c r="R257">
        <v>0</v>
      </c>
      <c r="S257" t="s">
        <v>37</v>
      </c>
      <c r="T257">
        <v>12</v>
      </c>
      <c r="U257">
        <v>3</v>
      </c>
      <c r="V257">
        <v>4</v>
      </c>
      <c r="W257">
        <v>2</v>
      </c>
      <c r="X257">
        <v>5</v>
      </c>
      <c r="Y257">
        <v>3</v>
      </c>
      <c r="Z257">
        <v>3</v>
      </c>
      <c r="AA257">
        <v>4</v>
      </c>
      <c r="AB257">
        <v>2</v>
      </c>
      <c r="AC257">
        <v>1</v>
      </c>
      <c r="AD257">
        <v>2</v>
      </c>
      <c r="AE257" t="str" cm="1">
        <f t="array" ref="AE257">_xlfn.IFS(G257=1,"Before College",G257=2,"College",G257=3,"Bachelor",G257=4,"Master",G257=5,"Doctor")</f>
        <v>Bachelor</v>
      </c>
      <c r="AF257" t="str" cm="1">
        <f t="array" ref="AF257">_xlfn.IFS(J257=1,"Low",J257=2,"Medium",J257=3,"High",J257=4,"Very High")</f>
        <v>Low</v>
      </c>
      <c r="AG257" t="str" cm="1">
        <f t="array" ref="AG257">_xlfn.IFS(L257=1,"Low",L257=2,"Medium",L257=3,"High",L257=4,"Very High")</f>
        <v>High</v>
      </c>
      <c r="AH257" t="str" cm="1">
        <f t="array" ref="AH257">_xlfn.IFS(M257=1,"Junior employee",M257=2,"Mid-level",M257=3,"Senior",M257=4,"Manager",M257=5,"Executive")</f>
        <v>Mid-level</v>
      </c>
      <c r="AI257" t="str" cm="1">
        <f t="array" ref="AI257">_xlfn.IFS(O257=1,"Low",O257=2,"Medium",O257=3,"High",O257=4,"Very High")</f>
        <v>High</v>
      </c>
      <c r="AJ257" t="str" cm="1">
        <f t="array" ref="AJ257">_xlfn.IFS(U257=1,"Low",U257=2,"Good",U257=3,"Excellent",U257=4,"Outstanding")</f>
        <v>Excellent</v>
      </c>
      <c r="AK257" t="str" cm="1">
        <f t="array" ref="AK257">_xlfn.IFS(V257=1,"Low",V257=2,"Medium",V257=3,"High",V257=4,"Very High")</f>
        <v>Very High</v>
      </c>
      <c r="AL257" t="str" cm="1">
        <f t="array" ref="AL257">_xlfn.IFS(Z257=1,"Bad",Z257=2,"Good",Z257=3,"Better",Z257=4,"Best")</f>
        <v>Better</v>
      </c>
      <c r="AM257" t="str" cm="1">
        <f t="array" ref="AM257">_xlfn.IFS(W257=0,"No_stock",W257=1,"Low",W257=2,"Medium",W257=3,"High")</f>
        <v>Medium</v>
      </c>
      <c r="AN257" t="str">
        <f t="shared" si="3"/>
        <v>Near</v>
      </c>
    </row>
    <row r="258" spans="1:40" x14ac:dyDescent="0.45">
      <c r="A258">
        <v>42</v>
      </c>
      <c r="B258" t="s">
        <v>37</v>
      </c>
      <c r="C258" t="s">
        <v>31</v>
      </c>
      <c r="D258">
        <v>269</v>
      </c>
      <c r="E258" t="s">
        <v>39</v>
      </c>
      <c r="F258">
        <v>2</v>
      </c>
      <c r="G258">
        <v>3</v>
      </c>
      <c r="H258" t="s">
        <v>45</v>
      </c>
      <c r="I258">
        <v>351</v>
      </c>
      <c r="J258">
        <v>4</v>
      </c>
      <c r="K258" t="s">
        <v>34</v>
      </c>
      <c r="L258">
        <v>2</v>
      </c>
      <c r="M258">
        <v>1</v>
      </c>
      <c r="N258" t="s">
        <v>44</v>
      </c>
      <c r="O258">
        <v>1</v>
      </c>
      <c r="P258" t="s">
        <v>46</v>
      </c>
      <c r="Q258">
        <v>2593</v>
      </c>
      <c r="R258">
        <v>0</v>
      </c>
      <c r="S258" t="s">
        <v>30</v>
      </c>
      <c r="T258">
        <v>11</v>
      </c>
      <c r="U258">
        <v>3</v>
      </c>
      <c r="V258">
        <v>3</v>
      </c>
      <c r="W258">
        <v>1</v>
      </c>
      <c r="X258">
        <v>10</v>
      </c>
      <c r="Y258">
        <v>4</v>
      </c>
      <c r="Z258">
        <v>3</v>
      </c>
      <c r="AA258">
        <v>9</v>
      </c>
      <c r="AB258">
        <v>6</v>
      </c>
      <c r="AC258">
        <v>7</v>
      </c>
      <c r="AD258">
        <v>8</v>
      </c>
      <c r="AE258" t="str" cm="1">
        <f t="array" ref="AE258">_xlfn.IFS(G258=1,"Before College",G258=2,"College",G258=3,"Bachelor",G258=4,"Master",G258=5,"Doctor")</f>
        <v>Bachelor</v>
      </c>
      <c r="AF258" t="str" cm="1">
        <f t="array" ref="AF258">_xlfn.IFS(J258=1,"Low",J258=2,"Medium",J258=3,"High",J258=4,"Very High")</f>
        <v>Very High</v>
      </c>
      <c r="AG258" t="str" cm="1">
        <f t="array" ref="AG258">_xlfn.IFS(L258=1,"Low",L258=2,"Medium",L258=3,"High",L258=4,"Very High")</f>
        <v>Medium</v>
      </c>
      <c r="AH258" t="str" cm="1">
        <f t="array" ref="AH258">_xlfn.IFS(M258=1,"Junior employee",M258=2,"Mid-level",M258=3,"Senior",M258=4,"Manager",M258=5,"Executive")</f>
        <v>Junior employee</v>
      </c>
      <c r="AI258" t="str" cm="1">
        <f t="array" ref="AI258">_xlfn.IFS(O258=1,"Low",O258=2,"Medium",O258=3,"High",O258=4,"Very High")</f>
        <v>Low</v>
      </c>
      <c r="AJ258" t="str" cm="1">
        <f t="array" ref="AJ258">_xlfn.IFS(U258=1,"Low",U258=2,"Good",U258=3,"Excellent",U258=4,"Outstanding")</f>
        <v>Excellent</v>
      </c>
      <c r="AK258" t="str" cm="1">
        <f t="array" ref="AK258">_xlfn.IFS(V258=1,"Low",V258=2,"Medium",V258=3,"High",V258=4,"Very High")</f>
        <v>High</v>
      </c>
      <c r="AL258" t="str" cm="1">
        <f t="array" ref="AL258">_xlfn.IFS(Z258=1,"Bad",Z258=2,"Good",Z258=3,"Better",Z258=4,"Best")</f>
        <v>Better</v>
      </c>
      <c r="AM258" t="str" cm="1">
        <f t="array" ref="AM258">_xlfn.IFS(W258=0,"No_stock",W258=1,"Low",W258=2,"Medium",W258=3,"High")</f>
        <v>Low</v>
      </c>
      <c r="AN258" t="str">
        <f t="shared" ref="AN258:AN321" si="4">IF(F258&lt;=5,"Near",IF(F258&lt;=15,"Medium","Far"))</f>
        <v>Near</v>
      </c>
    </row>
    <row r="259" spans="1:40" x14ac:dyDescent="0.45">
      <c r="A259">
        <v>40</v>
      </c>
      <c r="B259" t="s">
        <v>37</v>
      </c>
      <c r="C259" t="s">
        <v>31</v>
      </c>
      <c r="D259">
        <v>1416</v>
      </c>
      <c r="E259" t="s">
        <v>39</v>
      </c>
      <c r="F259">
        <v>2</v>
      </c>
      <c r="G259">
        <v>2</v>
      </c>
      <c r="H259" t="s">
        <v>45</v>
      </c>
      <c r="I259">
        <v>352</v>
      </c>
      <c r="J259">
        <v>1</v>
      </c>
      <c r="K259" t="s">
        <v>40</v>
      </c>
      <c r="L259">
        <v>3</v>
      </c>
      <c r="M259">
        <v>5</v>
      </c>
      <c r="N259" t="s">
        <v>52</v>
      </c>
      <c r="O259">
        <v>3</v>
      </c>
      <c r="P259" t="s">
        <v>46</v>
      </c>
      <c r="Q259">
        <v>19436</v>
      </c>
      <c r="R259">
        <v>0</v>
      </c>
      <c r="S259" t="s">
        <v>37</v>
      </c>
      <c r="T259">
        <v>19</v>
      </c>
      <c r="U259">
        <v>3</v>
      </c>
      <c r="V259">
        <v>4</v>
      </c>
      <c r="W259">
        <v>1</v>
      </c>
      <c r="X259">
        <v>22</v>
      </c>
      <c r="Y259">
        <v>5</v>
      </c>
      <c r="Z259">
        <v>3</v>
      </c>
      <c r="AA259">
        <v>21</v>
      </c>
      <c r="AB259">
        <v>7</v>
      </c>
      <c r="AC259">
        <v>3</v>
      </c>
      <c r="AD259">
        <v>9</v>
      </c>
      <c r="AE259" t="str" cm="1">
        <f t="array" ref="AE259">_xlfn.IFS(G259=1,"Before College",G259=2,"College",G259=3,"Bachelor",G259=4,"Master",G259=5,"Doctor")</f>
        <v>College</v>
      </c>
      <c r="AF259" t="str" cm="1">
        <f t="array" ref="AF259">_xlfn.IFS(J259=1,"Low",J259=2,"Medium",J259=3,"High",J259=4,"Very High")</f>
        <v>Low</v>
      </c>
      <c r="AG259" t="str" cm="1">
        <f t="array" ref="AG259">_xlfn.IFS(L259=1,"Low",L259=2,"Medium",L259=3,"High",L259=4,"Very High")</f>
        <v>High</v>
      </c>
      <c r="AH259" t="str" cm="1">
        <f t="array" ref="AH259">_xlfn.IFS(M259=1,"Junior employee",M259=2,"Mid-level",M259=3,"Senior",M259=4,"Manager",M259=5,"Executive")</f>
        <v>Executive</v>
      </c>
      <c r="AI259" t="str" cm="1">
        <f t="array" ref="AI259">_xlfn.IFS(O259=1,"Low",O259=2,"Medium",O259=3,"High",O259=4,"Very High")</f>
        <v>High</v>
      </c>
      <c r="AJ259" t="str" cm="1">
        <f t="array" ref="AJ259">_xlfn.IFS(U259=1,"Low",U259=2,"Good",U259=3,"Excellent",U259=4,"Outstanding")</f>
        <v>Excellent</v>
      </c>
      <c r="AK259" t="str" cm="1">
        <f t="array" ref="AK259">_xlfn.IFS(V259=1,"Low",V259=2,"Medium",V259=3,"High",V259=4,"Very High")</f>
        <v>Very High</v>
      </c>
      <c r="AL259" t="str" cm="1">
        <f t="array" ref="AL259">_xlfn.IFS(Z259=1,"Bad",Z259=2,"Good",Z259=3,"Better",Z259=4,"Best")</f>
        <v>Better</v>
      </c>
      <c r="AM259" t="str" cm="1">
        <f t="array" ref="AM259">_xlfn.IFS(W259=0,"No_stock",W259=1,"Low",W259=2,"Medium",W259=3,"High")</f>
        <v>Low</v>
      </c>
      <c r="AN259" t="str">
        <f t="shared" si="4"/>
        <v>Near</v>
      </c>
    </row>
    <row r="260" spans="1:40" x14ac:dyDescent="0.45">
      <c r="A260">
        <v>51</v>
      </c>
      <c r="B260" t="s">
        <v>37</v>
      </c>
      <c r="C260" t="s">
        <v>31</v>
      </c>
      <c r="D260">
        <v>833</v>
      </c>
      <c r="E260" t="s">
        <v>39</v>
      </c>
      <c r="F260">
        <v>1</v>
      </c>
      <c r="G260">
        <v>3</v>
      </c>
      <c r="H260" t="s">
        <v>33</v>
      </c>
      <c r="I260">
        <v>353</v>
      </c>
      <c r="J260">
        <v>3</v>
      </c>
      <c r="K260" t="s">
        <v>40</v>
      </c>
      <c r="L260">
        <v>3</v>
      </c>
      <c r="M260">
        <v>1</v>
      </c>
      <c r="N260" t="s">
        <v>41</v>
      </c>
      <c r="O260">
        <v>4</v>
      </c>
      <c r="P260" t="s">
        <v>42</v>
      </c>
      <c r="Q260">
        <v>2723</v>
      </c>
      <c r="R260">
        <v>1</v>
      </c>
      <c r="S260" t="s">
        <v>37</v>
      </c>
      <c r="T260">
        <v>11</v>
      </c>
      <c r="U260">
        <v>3</v>
      </c>
      <c r="V260">
        <v>2</v>
      </c>
      <c r="W260">
        <v>0</v>
      </c>
      <c r="X260">
        <v>1</v>
      </c>
      <c r="Y260">
        <v>0</v>
      </c>
      <c r="Z260">
        <v>2</v>
      </c>
      <c r="AA260">
        <v>1</v>
      </c>
      <c r="AB260">
        <v>0</v>
      </c>
      <c r="AC260">
        <v>0</v>
      </c>
      <c r="AD260">
        <v>0</v>
      </c>
      <c r="AE260" t="str" cm="1">
        <f t="array" ref="AE260">_xlfn.IFS(G260=1,"Before College",G260=2,"College",G260=3,"Bachelor",G260=4,"Master",G260=5,"Doctor")</f>
        <v>Bachelor</v>
      </c>
      <c r="AF260" t="str" cm="1">
        <f t="array" ref="AF260">_xlfn.IFS(J260=1,"Low",J260=2,"Medium",J260=3,"High",J260=4,"Very High")</f>
        <v>High</v>
      </c>
      <c r="AG260" t="str" cm="1">
        <f t="array" ref="AG260">_xlfn.IFS(L260=1,"Low",L260=2,"Medium",L260=3,"High",L260=4,"Very High")</f>
        <v>High</v>
      </c>
      <c r="AH260" t="str" cm="1">
        <f t="array" ref="AH260">_xlfn.IFS(M260=1,"Junior employee",M260=2,"Mid-level",M260=3,"Senior",M260=4,"Manager",M260=5,"Executive")</f>
        <v>Junior employee</v>
      </c>
      <c r="AI260" t="str" cm="1">
        <f t="array" ref="AI260">_xlfn.IFS(O260=1,"Low",O260=2,"Medium",O260=3,"High",O260=4,"Very High")</f>
        <v>Very High</v>
      </c>
      <c r="AJ260" t="str" cm="1">
        <f t="array" ref="AJ260">_xlfn.IFS(U260=1,"Low",U260=2,"Good",U260=3,"Excellent",U260=4,"Outstanding")</f>
        <v>Excellent</v>
      </c>
      <c r="AK260" t="str" cm="1">
        <f t="array" ref="AK260">_xlfn.IFS(V260=1,"Low",V260=2,"Medium",V260=3,"High",V260=4,"Very High")</f>
        <v>Medium</v>
      </c>
      <c r="AL260" t="str" cm="1">
        <f t="array" ref="AL260">_xlfn.IFS(Z260=1,"Bad",Z260=2,"Good",Z260=3,"Better",Z260=4,"Best")</f>
        <v>Good</v>
      </c>
      <c r="AM260" t="str" cm="1">
        <f t="array" ref="AM260">_xlfn.IFS(W260=0,"No_stock",W260=1,"Low",W260=2,"Medium",W260=3,"High")</f>
        <v>No_stock</v>
      </c>
      <c r="AN260" t="str">
        <f t="shared" si="4"/>
        <v>Near</v>
      </c>
    </row>
    <row r="261" spans="1:40" x14ac:dyDescent="0.45">
      <c r="A261">
        <v>31</v>
      </c>
      <c r="B261" t="s">
        <v>30</v>
      </c>
      <c r="C261" t="s">
        <v>38</v>
      </c>
      <c r="D261">
        <v>307</v>
      </c>
      <c r="E261" t="s">
        <v>39</v>
      </c>
      <c r="F261">
        <v>29</v>
      </c>
      <c r="G261">
        <v>2</v>
      </c>
      <c r="H261" t="s">
        <v>45</v>
      </c>
      <c r="I261">
        <v>355</v>
      </c>
      <c r="J261">
        <v>3</v>
      </c>
      <c r="K261" t="s">
        <v>40</v>
      </c>
      <c r="L261">
        <v>2</v>
      </c>
      <c r="M261">
        <v>1</v>
      </c>
      <c r="N261" t="s">
        <v>44</v>
      </c>
      <c r="O261">
        <v>2</v>
      </c>
      <c r="P261" t="s">
        <v>36</v>
      </c>
      <c r="Q261">
        <v>3479</v>
      </c>
      <c r="R261">
        <v>0</v>
      </c>
      <c r="S261" t="s">
        <v>37</v>
      </c>
      <c r="T261">
        <v>11</v>
      </c>
      <c r="U261">
        <v>3</v>
      </c>
      <c r="V261">
        <v>2</v>
      </c>
      <c r="W261">
        <v>0</v>
      </c>
      <c r="X261">
        <v>6</v>
      </c>
      <c r="Y261">
        <v>2</v>
      </c>
      <c r="Z261">
        <v>4</v>
      </c>
      <c r="AA261">
        <v>5</v>
      </c>
      <c r="AB261">
        <v>4</v>
      </c>
      <c r="AC261">
        <v>1</v>
      </c>
      <c r="AD261">
        <v>4</v>
      </c>
      <c r="AE261" t="str" cm="1">
        <f t="array" ref="AE261">_xlfn.IFS(G261=1,"Before College",G261=2,"College",G261=3,"Bachelor",G261=4,"Master",G261=5,"Doctor")</f>
        <v>College</v>
      </c>
      <c r="AF261" t="str" cm="1">
        <f t="array" ref="AF261">_xlfn.IFS(J261=1,"Low",J261=2,"Medium",J261=3,"High",J261=4,"Very High")</f>
        <v>High</v>
      </c>
      <c r="AG261" t="str" cm="1">
        <f t="array" ref="AG261">_xlfn.IFS(L261=1,"Low",L261=2,"Medium",L261=3,"High",L261=4,"Very High")</f>
        <v>Medium</v>
      </c>
      <c r="AH261" t="str" cm="1">
        <f t="array" ref="AH261">_xlfn.IFS(M261=1,"Junior employee",M261=2,"Mid-level",M261=3,"Senior",M261=4,"Manager",M261=5,"Executive")</f>
        <v>Junior employee</v>
      </c>
      <c r="AI261" t="str" cm="1">
        <f t="array" ref="AI261">_xlfn.IFS(O261=1,"Low",O261=2,"Medium",O261=3,"High",O261=4,"Very High")</f>
        <v>Medium</v>
      </c>
      <c r="AJ261" t="str" cm="1">
        <f t="array" ref="AJ261">_xlfn.IFS(U261=1,"Low",U261=2,"Good",U261=3,"Excellent",U261=4,"Outstanding")</f>
        <v>Excellent</v>
      </c>
      <c r="AK261" t="str" cm="1">
        <f t="array" ref="AK261">_xlfn.IFS(V261=1,"Low",V261=2,"Medium",V261=3,"High",V261=4,"Very High")</f>
        <v>Medium</v>
      </c>
      <c r="AL261" t="str" cm="1">
        <f t="array" ref="AL261">_xlfn.IFS(Z261=1,"Bad",Z261=2,"Good",Z261=3,"Better",Z261=4,"Best")</f>
        <v>Best</v>
      </c>
      <c r="AM261" t="str" cm="1">
        <f t="array" ref="AM261">_xlfn.IFS(W261=0,"No_stock",W261=1,"Low",W261=2,"Medium",W261=3,"High")</f>
        <v>No_stock</v>
      </c>
      <c r="AN261" t="str">
        <f t="shared" si="4"/>
        <v>Far</v>
      </c>
    </row>
    <row r="262" spans="1:40" x14ac:dyDescent="0.45">
      <c r="A262">
        <v>32</v>
      </c>
      <c r="B262" t="s">
        <v>37</v>
      </c>
      <c r="C262" t="s">
        <v>38</v>
      </c>
      <c r="D262">
        <v>1311</v>
      </c>
      <c r="E262" t="s">
        <v>39</v>
      </c>
      <c r="F262">
        <v>7</v>
      </c>
      <c r="G262">
        <v>3</v>
      </c>
      <c r="H262" t="s">
        <v>33</v>
      </c>
      <c r="I262">
        <v>359</v>
      </c>
      <c r="J262">
        <v>2</v>
      </c>
      <c r="K262" t="s">
        <v>40</v>
      </c>
      <c r="L262">
        <v>4</v>
      </c>
      <c r="M262">
        <v>1</v>
      </c>
      <c r="N262" t="s">
        <v>44</v>
      </c>
      <c r="O262">
        <v>2</v>
      </c>
      <c r="P262" t="s">
        <v>42</v>
      </c>
      <c r="Q262">
        <v>2794</v>
      </c>
      <c r="R262">
        <v>1</v>
      </c>
      <c r="S262" t="s">
        <v>37</v>
      </c>
      <c r="T262">
        <v>20</v>
      </c>
      <c r="U262">
        <v>4</v>
      </c>
      <c r="V262">
        <v>3</v>
      </c>
      <c r="W262">
        <v>0</v>
      </c>
      <c r="X262">
        <v>5</v>
      </c>
      <c r="Y262">
        <v>3</v>
      </c>
      <c r="Z262">
        <v>1</v>
      </c>
      <c r="AA262">
        <v>5</v>
      </c>
      <c r="AB262">
        <v>1</v>
      </c>
      <c r="AC262">
        <v>0</v>
      </c>
      <c r="AD262">
        <v>3</v>
      </c>
      <c r="AE262" t="str" cm="1">
        <f t="array" ref="AE262">_xlfn.IFS(G262=1,"Before College",G262=2,"College",G262=3,"Bachelor",G262=4,"Master",G262=5,"Doctor")</f>
        <v>Bachelor</v>
      </c>
      <c r="AF262" t="str" cm="1">
        <f t="array" ref="AF262">_xlfn.IFS(J262=1,"Low",J262=2,"Medium",J262=3,"High",J262=4,"Very High")</f>
        <v>Medium</v>
      </c>
      <c r="AG262" t="str" cm="1">
        <f t="array" ref="AG262">_xlfn.IFS(L262=1,"Low",L262=2,"Medium",L262=3,"High",L262=4,"Very High")</f>
        <v>Very High</v>
      </c>
      <c r="AH262" t="str" cm="1">
        <f t="array" ref="AH262">_xlfn.IFS(M262=1,"Junior employee",M262=2,"Mid-level",M262=3,"Senior",M262=4,"Manager",M262=5,"Executive")</f>
        <v>Junior employee</v>
      </c>
      <c r="AI262" t="str" cm="1">
        <f t="array" ref="AI262">_xlfn.IFS(O262=1,"Low",O262=2,"Medium",O262=3,"High",O262=4,"Very High")</f>
        <v>Medium</v>
      </c>
      <c r="AJ262" t="str" cm="1">
        <f t="array" ref="AJ262">_xlfn.IFS(U262=1,"Low",U262=2,"Good",U262=3,"Excellent",U262=4,"Outstanding")</f>
        <v>Outstanding</v>
      </c>
      <c r="AK262" t="str" cm="1">
        <f t="array" ref="AK262">_xlfn.IFS(V262=1,"Low",V262=2,"Medium",V262=3,"High",V262=4,"Very High")</f>
        <v>High</v>
      </c>
      <c r="AL262" t="str" cm="1">
        <f t="array" ref="AL262">_xlfn.IFS(Z262=1,"Bad",Z262=2,"Good",Z262=3,"Better",Z262=4,"Best")</f>
        <v>Bad</v>
      </c>
      <c r="AM262" t="str" cm="1">
        <f t="array" ref="AM262">_xlfn.IFS(W262=0,"No_stock",W262=1,"Low",W262=2,"Medium",W262=3,"High")</f>
        <v>No_stock</v>
      </c>
      <c r="AN262" t="str">
        <f t="shared" si="4"/>
        <v>Medium</v>
      </c>
    </row>
    <row r="263" spans="1:40" x14ac:dyDescent="0.45">
      <c r="A263">
        <v>38</v>
      </c>
      <c r="B263" t="s">
        <v>37</v>
      </c>
      <c r="C263" t="s">
        <v>49</v>
      </c>
      <c r="D263">
        <v>1327</v>
      </c>
      <c r="E263" t="s">
        <v>32</v>
      </c>
      <c r="F263">
        <v>2</v>
      </c>
      <c r="G263">
        <v>2</v>
      </c>
      <c r="H263" t="s">
        <v>33</v>
      </c>
      <c r="I263">
        <v>361</v>
      </c>
      <c r="J263">
        <v>4</v>
      </c>
      <c r="K263" t="s">
        <v>40</v>
      </c>
      <c r="L263">
        <v>2</v>
      </c>
      <c r="M263">
        <v>2</v>
      </c>
      <c r="N263" t="s">
        <v>35</v>
      </c>
      <c r="O263">
        <v>4</v>
      </c>
      <c r="P263" t="s">
        <v>42</v>
      </c>
      <c r="Q263">
        <v>5249</v>
      </c>
      <c r="R263">
        <v>3</v>
      </c>
      <c r="S263" t="s">
        <v>37</v>
      </c>
      <c r="T263">
        <v>18</v>
      </c>
      <c r="U263">
        <v>3</v>
      </c>
      <c r="V263">
        <v>4</v>
      </c>
      <c r="W263">
        <v>1</v>
      </c>
      <c r="X263">
        <v>13</v>
      </c>
      <c r="Y263">
        <v>0</v>
      </c>
      <c r="Z263">
        <v>3</v>
      </c>
      <c r="AA263">
        <v>8</v>
      </c>
      <c r="AB263">
        <v>7</v>
      </c>
      <c r="AC263">
        <v>7</v>
      </c>
      <c r="AD263">
        <v>5</v>
      </c>
      <c r="AE263" t="str" cm="1">
        <f t="array" ref="AE263">_xlfn.IFS(G263=1,"Before College",G263=2,"College",G263=3,"Bachelor",G263=4,"Master",G263=5,"Doctor")</f>
        <v>College</v>
      </c>
      <c r="AF263" t="str" cm="1">
        <f t="array" ref="AF263">_xlfn.IFS(J263=1,"Low",J263=2,"Medium",J263=3,"High",J263=4,"Very High")</f>
        <v>Very High</v>
      </c>
      <c r="AG263" t="str" cm="1">
        <f t="array" ref="AG263">_xlfn.IFS(L263=1,"Low",L263=2,"Medium",L263=3,"High",L263=4,"Very High")</f>
        <v>Medium</v>
      </c>
      <c r="AH263" t="str" cm="1">
        <f t="array" ref="AH263">_xlfn.IFS(M263=1,"Junior employee",M263=2,"Mid-level",M263=3,"Senior",M263=4,"Manager",M263=5,"Executive")</f>
        <v>Mid-level</v>
      </c>
      <c r="AI263" t="str" cm="1">
        <f t="array" ref="AI263">_xlfn.IFS(O263=1,"Low",O263=2,"Medium",O263=3,"High",O263=4,"Very High")</f>
        <v>Very High</v>
      </c>
      <c r="AJ263" t="str" cm="1">
        <f t="array" ref="AJ263">_xlfn.IFS(U263=1,"Low",U263=2,"Good",U263=3,"Excellent",U263=4,"Outstanding")</f>
        <v>Excellent</v>
      </c>
      <c r="AK263" t="str" cm="1">
        <f t="array" ref="AK263">_xlfn.IFS(V263=1,"Low",V263=2,"Medium",V263=3,"High",V263=4,"Very High")</f>
        <v>Very High</v>
      </c>
      <c r="AL263" t="str" cm="1">
        <f t="array" ref="AL263">_xlfn.IFS(Z263=1,"Bad",Z263=2,"Good",Z263=3,"Better",Z263=4,"Best")</f>
        <v>Better</v>
      </c>
      <c r="AM263" t="str" cm="1">
        <f t="array" ref="AM263">_xlfn.IFS(W263=0,"No_stock",W263=1,"Low",W263=2,"Medium",W263=3,"High")</f>
        <v>Low</v>
      </c>
      <c r="AN263" t="str">
        <f t="shared" si="4"/>
        <v>Near</v>
      </c>
    </row>
    <row r="264" spans="1:40" x14ac:dyDescent="0.45">
      <c r="A264">
        <v>32</v>
      </c>
      <c r="B264" t="s">
        <v>37</v>
      </c>
      <c r="C264" t="s">
        <v>31</v>
      </c>
      <c r="D264">
        <v>128</v>
      </c>
      <c r="E264" t="s">
        <v>39</v>
      </c>
      <c r="F264">
        <v>2</v>
      </c>
      <c r="G264">
        <v>1</v>
      </c>
      <c r="H264" t="s">
        <v>54</v>
      </c>
      <c r="I264">
        <v>362</v>
      </c>
      <c r="J264">
        <v>4</v>
      </c>
      <c r="K264" t="s">
        <v>40</v>
      </c>
      <c r="L264">
        <v>2</v>
      </c>
      <c r="M264">
        <v>2</v>
      </c>
      <c r="N264" t="s">
        <v>44</v>
      </c>
      <c r="O264">
        <v>1</v>
      </c>
      <c r="P264" t="s">
        <v>36</v>
      </c>
      <c r="Q264">
        <v>2176</v>
      </c>
      <c r="R264">
        <v>4</v>
      </c>
      <c r="S264" t="s">
        <v>37</v>
      </c>
      <c r="T264">
        <v>13</v>
      </c>
      <c r="U264">
        <v>3</v>
      </c>
      <c r="V264">
        <v>4</v>
      </c>
      <c r="W264">
        <v>0</v>
      </c>
      <c r="X264">
        <v>9</v>
      </c>
      <c r="Y264">
        <v>5</v>
      </c>
      <c r="Z264">
        <v>3</v>
      </c>
      <c r="AA264">
        <v>6</v>
      </c>
      <c r="AB264">
        <v>2</v>
      </c>
      <c r="AC264">
        <v>0</v>
      </c>
      <c r="AD264">
        <v>4</v>
      </c>
      <c r="AE264" t="str" cm="1">
        <f t="array" ref="AE264">_xlfn.IFS(G264=1,"Before College",G264=2,"College",G264=3,"Bachelor",G264=4,"Master",G264=5,"Doctor")</f>
        <v>Before College</v>
      </c>
      <c r="AF264" t="str" cm="1">
        <f t="array" ref="AF264">_xlfn.IFS(J264=1,"Low",J264=2,"Medium",J264=3,"High",J264=4,"Very High")</f>
        <v>Very High</v>
      </c>
      <c r="AG264" t="str" cm="1">
        <f t="array" ref="AG264">_xlfn.IFS(L264=1,"Low",L264=2,"Medium",L264=3,"High",L264=4,"Very High")</f>
        <v>Medium</v>
      </c>
      <c r="AH264" t="str" cm="1">
        <f t="array" ref="AH264">_xlfn.IFS(M264=1,"Junior employee",M264=2,"Mid-level",M264=3,"Senior",M264=4,"Manager",M264=5,"Executive")</f>
        <v>Mid-level</v>
      </c>
      <c r="AI264" t="str" cm="1">
        <f t="array" ref="AI264">_xlfn.IFS(O264=1,"Low",O264=2,"Medium",O264=3,"High",O264=4,"Very High")</f>
        <v>Low</v>
      </c>
      <c r="AJ264" t="str" cm="1">
        <f t="array" ref="AJ264">_xlfn.IFS(U264=1,"Low",U264=2,"Good",U264=3,"Excellent",U264=4,"Outstanding")</f>
        <v>Excellent</v>
      </c>
      <c r="AK264" t="str" cm="1">
        <f t="array" ref="AK264">_xlfn.IFS(V264=1,"Low",V264=2,"Medium",V264=3,"High",V264=4,"Very High")</f>
        <v>Very High</v>
      </c>
      <c r="AL264" t="str" cm="1">
        <f t="array" ref="AL264">_xlfn.IFS(Z264=1,"Bad",Z264=2,"Good",Z264=3,"Better",Z264=4,"Best")</f>
        <v>Better</v>
      </c>
      <c r="AM264" t="str" cm="1">
        <f t="array" ref="AM264">_xlfn.IFS(W264=0,"No_stock",W264=1,"Low",W264=2,"Medium",W264=3,"High")</f>
        <v>No_stock</v>
      </c>
      <c r="AN264" t="str">
        <f t="shared" si="4"/>
        <v>Near</v>
      </c>
    </row>
    <row r="265" spans="1:40" x14ac:dyDescent="0.45">
      <c r="A265">
        <v>46</v>
      </c>
      <c r="B265" t="s">
        <v>37</v>
      </c>
      <c r="C265" t="s">
        <v>31</v>
      </c>
      <c r="D265">
        <v>488</v>
      </c>
      <c r="E265" t="s">
        <v>32</v>
      </c>
      <c r="F265">
        <v>2</v>
      </c>
      <c r="G265">
        <v>3</v>
      </c>
      <c r="H265" t="s">
        <v>54</v>
      </c>
      <c r="I265">
        <v>363</v>
      </c>
      <c r="J265">
        <v>3</v>
      </c>
      <c r="K265" t="s">
        <v>34</v>
      </c>
      <c r="L265">
        <v>1</v>
      </c>
      <c r="M265">
        <v>4</v>
      </c>
      <c r="N265" t="s">
        <v>50</v>
      </c>
      <c r="O265">
        <v>2</v>
      </c>
      <c r="P265" t="s">
        <v>42</v>
      </c>
      <c r="Q265">
        <v>16872</v>
      </c>
      <c r="R265">
        <v>3</v>
      </c>
      <c r="S265" t="s">
        <v>30</v>
      </c>
      <c r="T265">
        <v>12</v>
      </c>
      <c r="U265">
        <v>3</v>
      </c>
      <c r="V265">
        <v>2</v>
      </c>
      <c r="W265">
        <v>1</v>
      </c>
      <c r="X265">
        <v>28</v>
      </c>
      <c r="Y265">
        <v>2</v>
      </c>
      <c r="Z265">
        <v>2</v>
      </c>
      <c r="AA265">
        <v>7</v>
      </c>
      <c r="AB265">
        <v>7</v>
      </c>
      <c r="AC265">
        <v>7</v>
      </c>
      <c r="AD265">
        <v>7</v>
      </c>
      <c r="AE265" t="str" cm="1">
        <f t="array" ref="AE265">_xlfn.IFS(G265=1,"Before College",G265=2,"College",G265=3,"Bachelor",G265=4,"Master",G265=5,"Doctor")</f>
        <v>Bachelor</v>
      </c>
      <c r="AF265" t="str" cm="1">
        <f t="array" ref="AF265">_xlfn.IFS(J265=1,"Low",J265=2,"Medium",J265=3,"High",J265=4,"Very High")</f>
        <v>High</v>
      </c>
      <c r="AG265" t="str" cm="1">
        <f t="array" ref="AG265">_xlfn.IFS(L265=1,"Low",L265=2,"Medium",L265=3,"High",L265=4,"Very High")</f>
        <v>Low</v>
      </c>
      <c r="AH265" t="str" cm="1">
        <f t="array" ref="AH265">_xlfn.IFS(M265=1,"Junior employee",M265=2,"Mid-level",M265=3,"Senior",M265=4,"Manager",M265=5,"Executive")</f>
        <v>Manager</v>
      </c>
      <c r="AI265" t="str" cm="1">
        <f t="array" ref="AI265">_xlfn.IFS(O265=1,"Low",O265=2,"Medium",O265=3,"High",O265=4,"Very High")</f>
        <v>Medium</v>
      </c>
      <c r="AJ265" t="str" cm="1">
        <f t="array" ref="AJ265">_xlfn.IFS(U265=1,"Low",U265=2,"Good",U265=3,"Excellent",U265=4,"Outstanding")</f>
        <v>Excellent</v>
      </c>
      <c r="AK265" t="str" cm="1">
        <f t="array" ref="AK265">_xlfn.IFS(V265=1,"Low",V265=2,"Medium",V265=3,"High",V265=4,"Very High")</f>
        <v>Medium</v>
      </c>
      <c r="AL265" t="str" cm="1">
        <f t="array" ref="AL265">_xlfn.IFS(Z265=1,"Bad",Z265=2,"Good",Z265=3,"Better",Z265=4,"Best")</f>
        <v>Good</v>
      </c>
      <c r="AM265" t="str" cm="1">
        <f t="array" ref="AM265">_xlfn.IFS(W265=0,"No_stock",W265=1,"Low",W265=2,"Medium",W265=3,"High")</f>
        <v>Low</v>
      </c>
      <c r="AN265" t="str">
        <f t="shared" si="4"/>
        <v>Near</v>
      </c>
    </row>
    <row r="266" spans="1:40" x14ac:dyDescent="0.45">
      <c r="A266">
        <v>28</v>
      </c>
      <c r="B266" t="s">
        <v>30</v>
      </c>
      <c r="C266" t="s">
        <v>31</v>
      </c>
      <c r="D266">
        <v>529</v>
      </c>
      <c r="E266" t="s">
        <v>39</v>
      </c>
      <c r="F266">
        <v>2</v>
      </c>
      <c r="G266">
        <v>4</v>
      </c>
      <c r="H266" t="s">
        <v>33</v>
      </c>
      <c r="I266">
        <v>364</v>
      </c>
      <c r="J266">
        <v>1</v>
      </c>
      <c r="K266" t="s">
        <v>40</v>
      </c>
      <c r="L266">
        <v>3</v>
      </c>
      <c r="M266">
        <v>1</v>
      </c>
      <c r="N266" t="s">
        <v>44</v>
      </c>
      <c r="O266">
        <v>3</v>
      </c>
      <c r="P266" t="s">
        <v>36</v>
      </c>
      <c r="Q266">
        <v>3485</v>
      </c>
      <c r="R266">
        <v>2</v>
      </c>
      <c r="S266" t="s">
        <v>37</v>
      </c>
      <c r="T266">
        <v>11</v>
      </c>
      <c r="U266">
        <v>3</v>
      </c>
      <c r="V266">
        <v>3</v>
      </c>
      <c r="W266">
        <v>0</v>
      </c>
      <c r="X266">
        <v>5</v>
      </c>
      <c r="Y266">
        <v>5</v>
      </c>
      <c r="Z266">
        <v>1</v>
      </c>
      <c r="AA266">
        <v>0</v>
      </c>
      <c r="AB266">
        <v>0</v>
      </c>
      <c r="AC266">
        <v>0</v>
      </c>
      <c r="AD266">
        <v>0</v>
      </c>
      <c r="AE266" t="str" cm="1">
        <f t="array" ref="AE266">_xlfn.IFS(G266=1,"Before College",G266=2,"College",G266=3,"Bachelor",G266=4,"Master",G266=5,"Doctor")</f>
        <v>Master</v>
      </c>
      <c r="AF266" t="str" cm="1">
        <f t="array" ref="AF266">_xlfn.IFS(J266=1,"Low",J266=2,"Medium",J266=3,"High",J266=4,"Very High")</f>
        <v>Low</v>
      </c>
      <c r="AG266" t="str" cm="1">
        <f t="array" ref="AG266">_xlfn.IFS(L266=1,"Low",L266=2,"Medium",L266=3,"High",L266=4,"Very High")</f>
        <v>High</v>
      </c>
      <c r="AH266" t="str" cm="1">
        <f t="array" ref="AH266">_xlfn.IFS(M266=1,"Junior employee",M266=2,"Mid-level",M266=3,"Senior",M266=4,"Manager",M266=5,"Executive")</f>
        <v>Junior employee</v>
      </c>
      <c r="AI266" t="str" cm="1">
        <f t="array" ref="AI266">_xlfn.IFS(O266=1,"Low",O266=2,"Medium",O266=3,"High",O266=4,"Very High")</f>
        <v>High</v>
      </c>
      <c r="AJ266" t="str" cm="1">
        <f t="array" ref="AJ266">_xlfn.IFS(U266=1,"Low",U266=2,"Good",U266=3,"Excellent",U266=4,"Outstanding")</f>
        <v>Excellent</v>
      </c>
      <c r="AK266" t="str" cm="1">
        <f t="array" ref="AK266">_xlfn.IFS(V266=1,"Low",V266=2,"Medium",V266=3,"High",V266=4,"Very High")</f>
        <v>High</v>
      </c>
      <c r="AL266" t="str" cm="1">
        <f t="array" ref="AL266">_xlfn.IFS(Z266=1,"Bad",Z266=2,"Good",Z266=3,"Better",Z266=4,"Best")</f>
        <v>Bad</v>
      </c>
      <c r="AM266" t="str" cm="1">
        <f t="array" ref="AM266">_xlfn.IFS(W266=0,"No_stock",W266=1,"Low",W266=2,"Medium",W266=3,"High")</f>
        <v>No_stock</v>
      </c>
      <c r="AN266" t="str">
        <f t="shared" si="4"/>
        <v>Near</v>
      </c>
    </row>
    <row r="267" spans="1:40" x14ac:dyDescent="0.45">
      <c r="A267">
        <v>29</v>
      </c>
      <c r="B267" t="s">
        <v>37</v>
      </c>
      <c r="C267" t="s">
        <v>31</v>
      </c>
      <c r="D267">
        <v>1210</v>
      </c>
      <c r="E267" t="s">
        <v>32</v>
      </c>
      <c r="F267">
        <v>2</v>
      </c>
      <c r="G267">
        <v>3</v>
      </c>
      <c r="H267" t="s">
        <v>45</v>
      </c>
      <c r="I267">
        <v>366</v>
      </c>
      <c r="J267">
        <v>1</v>
      </c>
      <c r="K267" t="s">
        <v>40</v>
      </c>
      <c r="L267">
        <v>2</v>
      </c>
      <c r="M267">
        <v>2</v>
      </c>
      <c r="N267" t="s">
        <v>35</v>
      </c>
      <c r="O267">
        <v>2</v>
      </c>
      <c r="P267" t="s">
        <v>42</v>
      </c>
      <c r="Q267">
        <v>6644</v>
      </c>
      <c r="R267">
        <v>2</v>
      </c>
      <c r="S267" t="s">
        <v>37</v>
      </c>
      <c r="T267">
        <v>19</v>
      </c>
      <c r="U267">
        <v>3</v>
      </c>
      <c r="V267">
        <v>2</v>
      </c>
      <c r="W267">
        <v>2</v>
      </c>
      <c r="X267">
        <v>10</v>
      </c>
      <c r="Y267">
        <v>2</v>
      </c>
      <c r="Z267">
        <v>3</v>
      </c>
      <c r="AA267">
        <v>0</v>
      </c>
      <c r="AB267">
        <v>0</v>
      </c>
      <c r="AC267">
        <v>0</v>
      </c>
      <c r="AD267">
        <v>0</v>
      </c>
      <c r="AE267" t="str" cm="1">
        <f t="array" ref="AE267">_xlfn.IFS(G267=1,"Before College",G267=2,"College",G267=3,"Bachelor",G267=4,"Master",G267=5,"Doctor")</f>
        <v>Bachelor</v>
      </c>
      <c r="AF267" t="str" cm="1">
        <f t="array" ref="AF267">_xlfn.IFS(J267=1,"Low",J267=2,"Medium",J267=3,"High",J267=4,"Very High")</f>
        <v>Low</v>
      </c>
      <c r="AG267" t="str" cm="1">
        <f t="array" ref="AG267">_xlfn.IFS(L267=1,"Low",L267=2,"Medium",L267=3,"High",L267=4,"Very High")</f>
        <v>Medium</v>
      </c>
      <c r="AH267" t="str" cm="1">
        <f t="array" ref="AH267">_xlfn.IFS(M267=1,"Junior employee",M267=2,"Mid-level",M267=3,"Senior",M267=4,"Manager",M267=5,"Executive")</f>
        <v>Mid-level</v>
      </c>
      <c r="AI267" t="str" cm="1">
        <f t="array" ref="AI267">_xlfn.IFS(O267=1,"Low",O267=2,"Medium",O267=3,"High",O267=4,"Very High")</f>
        <v>Medium</v>
      </c>
      <c r="AJ267" t="str" cm="1">
        <f t="array" ref="AJ267">_xlfn.IFS(U267=1,"Low",U267=2,"Good",U267=3,"Excellent",U267=4,"Outstanding")</f>
        <v>Excellent</v>
      </c>
      <c r="AK267" t="str" cm="1">
        <f t="array" ref="AK267">_xlfn.IFS(V267=1,"Low",V267=2,"Medium",V267=3,"High",V267=4,"Very High")</f>
        <v>Medium</v>
      </c>
      <c r="AL267" t="str" cm="1">
        <f t="array" ref="AL267">_xlfn.IFS(Z267=1,"Bad",Z267=2,"Good",Z267=3,"Better",Z267=4,"Best")</f>
        <v>Better</v>
      </c>
      <c r="AM267" t="str" cm="1">
        <f t="array" ref="AM267">_xlfn.IFS(W267=0,"No_stock",W267=1,"Low",W267=2,"Medium",W267=3,"High")</f>
        <v>Medium</v>
      </c>
      <c r="AN267" t="str">
        <f t="shared" si="4"/>
        <v>Near</v>
      </c>
    </row>
    <row r="268" spans="1:40" x14ac:dyDescent="0.45">
      <c r="A268">
        <v>31</v>
      </c>
      <c r="B268" t="s">
        <v>37</v>
      </c>
      <c r="C268" t="s">
        <v>31</v>
      </c>
      <c r="D268">
        <v>1463</v>
      </c>
      <c r="E268" t="s">
        <v>39</v>
      </c>
      <c r="F268">
        <v>23</v>
      </c>
      <c r="G268">
        <v>3</v>
      </c>
      <c r="H268" t="s">
        <v>45</v>
      </c>
      <c r="I268">
        <v>367</v>
      </c>
      <c r="J268">
        <v>2</v>
      </c>
      <c r="K268" t="s">
        <v>40</v>
      </c>
      <c r="L268">
        <v>2</v>
      </c>
      <c r="M268">
        <v>2</v>
      </c>
      <c r="N268" t="s">
        <v>48</v>
      </c>
      <c r="O268">
        <v>4</v>
      </c>
      <c r="P268" t="s">
        <v>42</v>
      </c>
      <c r="Q268">
        <v>5582</v>
      </c>
      <c r="R268">
        <v>0</v>
      </c>
      <c r="S268" t="s">
        <v>37</v>
      </c>
      <c r="T268">
        <v>21</v>
      </c>
      <c r="U268">
        <v>4</v>
      </c>
      <c r="V268">
        <v>2</v>
      </c>
      <c r="W268">
        <v>1</v>
      </c>
      <c r="X268">
        <v>10</v>
      </c>
      <c r="Y268">
        <v>2</v>
      </c>
      <c r="Z268">
        <v>3</v>
      </c>
      <c r="AA268">
        <v>9</v>
      </c>
      <c r="AB268">
        <v>0</v>
      </c>
      <c r="AC268">
        <v>7</v>
      </c>
      <c r="AD268">
        <v>8</v>
      </c>
      <c r="AE268" t="str" cm="1">
        <f t="array" ref="AE268">_xlfn.IFS(G268=1,"Before College",G268=2,"College",G268=3,"Bachelor",G268=4,"Master",G268=5,"Doctor")</f>
        <v>Bachelor</v>
      </c>
      <c r="AF268" t="str" cm="1">
        <f t="array" ref="AF268">_xlfn.IFS(J268=1,"Low",J268=2,"Medium",J268=3,"High",J268=4,"Very High")</f>
        <v>Medium</v>
      </c>
      <c r="AG268" t="str" cm="1">
        <f t="array" ref="AG268">_xlfn.IFS(L268=1,"Low",L268=2,"Medium",L268=3,"High",L268=4,"Very High")</f>
        <v>Medium</v>
      </c>
      <c r="AH268" t="str" cm="1">
        <f t="array" ref="AH268">_xlfn.IFS(M268=1,"Junior employee",M268=2,"Mid-level",M268=3,"Senior",M268=4,"Manager",M268=5,"Executive")</f>
        <v>Mid-level</v>
      </c>
      <c r="AI268" t="str" cm="1">
        <f t="array" ref="AI268">_xlfn.IFS(O268=1,"Low",O268=2,"Medium",O268=3,"High",O268=4,"Very High")</f>
        <v>Very High</v>
      </c>
      <c r="AJ268" t="str" cm="1">
        <f t="array" ref="AJ268">_xlfn.IFS(U268=1,"Low",U268=2,"Good",U268=3,"Excellent",U268=4,"Outstanding")</f>
        <v>Outstanding</v>
      </c>
      <c r="AK268" t="str" cm="1">
        <f t="array" ref="AK268">_xlfn.IFS(V268=1,"Low",V268=2,"Medium",V268=3,"High",V268=4,"Very High")</f>
        <v>Medium</v>
      </c>
      <c r="AL268" t="str" cm="1">
        <f t="array" ref="AL268">_xlfn.IFS(Z268=1,"Bad",Z268=2,"Good",Z268=3,"Better",Z268=4,"Best")</f>
        <v>Better</v>
      </c>
      <c r="AM268" t="str" cm="1">
        <f t="array" ref="AM268">_xlfn.IFS(W268=0,"No_stock",W268=1,"Low",W268=2,"Medium",W268=3,"High")</f>
        <v>Low</v>
      </c>
      <c r="AN268" t="str">
        <f t="shared" si="4"/>
        <v>Far</v>
      </c>
    </row>
    <row r="269" spans="1:40" x14ac:dyDescent="0.45">
      <c r="A269">
        <v>25</v>
      </c>
      <c r="B269" t="s">
        <v>37</v>
      </c>
      <c r="C269" t="s">
        <v>49</v>
      </c>
      <c r="D269">
        <v>675</v>
      </c>
      <c r="E269" t="s">
        <v>39</v>
      </c>
      <c r="F269">
        <v>5</v>
      </c>
      <c r="G269">
        <v>2</v>
      </c>
      <c r="H269" t="s">
        <v>33</v>
      </c>
      <c r="I269">
        <v>369</v>
      </c>
      <c r="J269">
        <v>2</v>
      </c>
      <c r="K269" t="s">
        <v>40</v>
      </c>
      <c r="L269">
        <v>4</v>
      </c>
      <c r="M269">
        <v>2</v>
      </c>
      <c r="N269" t="s">
        <v>48</v>
      </c>
      <c r="O269">
        <v>1</v>
      </c>
      <c r="P269" t="s">
        <v>46</v>
      </c>
      <c r="Q269">
        <v>4000</v>
      </c>
      <c r="R269">
        <v>1</v>
      </c>
      <c r="S269" t="s">
        <v>37</v>
      </c>
      <c r="T269">
        <v>12</v>
      </c>
      <c r="U269">
        <v>3</v>
      </c>
      <c r="V269">
        <v>4</v>
      </c>
      <c r="W269">
        <v>2</v>
      </c>
      <c r="X269">
        <v>6</v>
      </c>
      <c r="Y269">
        <v>2</v>
      </c>
      <c r="Z269">
        <v>3</v>
      </c>
      <c r="AA269">
        <v>6</v>
      </c>
      <c r="AB269">
        <v>3</v>
      </c>
      <c r="AC269">
        <v>1</v>
      </c>
      <c r="AD269">
        <v>5</v>
      </c>
      <c r="AE269" t="str" cm="1">
        <f t="array" ref="AE269">_xlfn.IFS(G269=1,"Before College",G269=2,"College",G269=3,"Bachelor",G269=4,"Master",G269=5,"Doctor")</f>
        <v>College</v>
      </c>
      <c r="AF269" t="str" cm="1">
        <f t="array" ref="AF269">_xlfn.IFS(J269=1,"Low",J269=2,"Medium",J269=3,"High",J269=4,"Very High")</f>
        <v>Medium</v>
      </c>
      <c r="AG269" t="str" cm="1">
        <f t="array" ref="AG269">_xlfn.IFS(L269=1,"Low",L269=2,"Medium",L269=3,"High",L269=4,"Very High")</f>
        <v>Very High</v>
      </c>
      <c r="AH269" t="str" cm="1">
        <f t="array" ref="AH269">_xlfn.IFS(M269=1,"Junior employee",M269=2,"Mid-level",M269=3,"Senior",M269=4,"Manager",M269=5,"Executive")</f>
        <v>Mid-level</v>
      </c>
      <c r="AI269" t="str" cm="1">
        <f t="array" ref="AI269">_xlfn.IFS(O269=1,"Low",O269=2,"Medium",O269=3,"High",O269=4,"Very High")</f>
        <v>Low</v>
      </c>
      <c r="AJ269" t="str" cm="1">
        <f t="array" ref="AJ269">_xlfn.IFS(U269=1,"Low",U269=2,"Good",U269=3,"Excellent",U269=4,"Outstanding")</f>
        <v>Excellent</v>
      </c>
      <c r="AK269" t="str" cm="1">
        <f t="array" ref="AK269">_xlfn.IFS(V269=1,"Low",V269=2,"Medium",V269=3,"High",V269=4,"Very High")</f>
        <v>Very High</v>
      </c>
      <c r="AL269" t="str" cm="1">
        <f t="array" ref="AL269">_xlfn.IFS(Z269=1,"Bad",Z269=2,"Good",Z269=3,"Better",Z269=4,"Best")</f>
        <v>Better</v>
      </c>
      <c r="AM269" t="str" cm="1">
        <f t="array" ref="AM269">_xlfn.IFS(W269=0,"No_stock",W269=1,"Low",W269=2,"Medium",W269=3,"High")</f>
        <v>Medium</v>
      </c>
      <c r="AN269" t="str">
        <f t="shared" si="4"/>
        <v>Near</v>
      </c>
    </row>
    <row r="270" spans="1:40" x14ac:dyDescent="0.45">
      <c r="A270">
        <v>45</v>
      </c>
      <c r="B270" t="s">
        <v>37</v>
      </c>
      <c r="C270" t="s">
        <v>31</v>
      </c>
      <c r="D270">
        <v>1385</v>
      </c>
      <c r="E270" t="s">
        <v>39</v>
      </c>
      <c r="F270">
        <v>20</v>
      </c>
      <c r="G270">
        <v>2</v>
      </c>
      <c r="H270" t="s">
        <v>45</v>
      </c>
      <c r="I270">
        <v>372</v>
      </c>
      <c r="J270">
        <v>3</v>
      </c>
      <c r="K270" t="s">
        <v>40</v>
      </c>
      <c r="L270">
        <v>3</v>
      </c>
      <c r="M270">
        <v>4</v>
      </c>
      <c r="N270" t="s">
        <v>48</v>
      </c>
      <c r="O270">
        <v>4</v>
      </c>
      <c r="P270" t="s">
        <v>42</v>
      </c>
      <c r="Q270">
        <v>13496</v>
      </c>
      <c r="R270">
        <v>0</v>
      </c>
      <c r="S270" t="s">
        <v>30</v>
      </c>
      <c r="T270">
        <v>14</v>
      </c>
      <c r="U270">
        <v>3</v>
      </c>
      <c r="V270">
        <v>2</v>
      </c>
      <c r="W270">
        <v>0</v>
      </c>
      <c r="X270">
        <v>21</v>
      </c>
      <c r="Y270">
        <v>2</v>
      </c>
      <c r="Z270">
        <v>3</v>
      </c>
      <c r="AA270">
        <v>20</v>
      </c>
      <c r="AB270">
        <v>7</v>
      </c>
      <c r="AC270">
        <v>4</v>
      </c>
      <c r="AD270">
        <v>10</v>
      </c>
      <c r="AE270" t="str" cm="1">
        <f t="array" ref="AE270">_xlfn.IFS(G270=1,"Before College",G270=2,"College",G270=3,"Bachelor",G270=4,"Master",G270=5,"Doctor")</f>
        <v>College</v>
      </c>
      <c r="AF270" t="str" cm="1">
        <f t="array" ref="AF270">_xlfn.IFS(J270=1,"Low",J270=2,"Medium",J270=3,"High",J270=4,"Very High")</f>
        <v>High</v>
      </c>
      <c r="AG270" t="str" cm="1">
        <f t="array" ref="AG270">_xlfn.IFS(L270=1,"Low",L270=2,"Medium",L270=3,"High",L270=4,"Very High")</f>
        <v>High</v>
      </c>
      <c r="AH270" t="str" cm="1">
        <f t="array" ref="AH270">_xlfn.IFS(M270=1,"Junior employee",M270=2,"Mid-level",M270=3,"Senior",M270=4,"Manager",M270=5,"Executive")</f>
        <v>Manager</v>
      </c>
      <c r="AI270" t="str" cm="1">
        <f t="array" ref="AI270">_xlfn.IFS(O270=1,"Low",O270=2,"Medium",O270=3,"High",O270=4,"Very High")</f>
        <v>Very High</v>
      </c>
      <c r="AJ270" t="str" cm="1">
        <f t="array" ref="AJ270">_xlfn.IFS(U270=1,"Low",U270=2,"Good",U270=3,"Excellent",U270=4,"Outstanding")</f>
        <v>Excellent</v>
      </c>
      <c r="AK270" t="str" cm="1">
        <f t="array" ref="AK270">_xlfn.IFS(V270=1,"Low",V270=2,"Medium",V270=3,"High",V270=4,"Very High")</f>
        <v>Medium</v>
      </c>
      <c r="AL270" t="str" cm="1">
        <f t="array" ref="AL270">_xlfn.IFS(Z270=1,"Bad",Z270=2,"Good",Z270=3,"Better",Z270=4,"Best")</f>
        <v>Better</v>
      </c>
      <c r="AM270" t="str" cm="1">
        <f t="array" ref="AM270">_xlfn.IFS(W270=0,"No_stock",W270=1,"Low",W270=2,"Medium",W270=3,"High")</f>
        <v>No_stock</v>
      </c>
      <c r="AN270" t="str">
        <f t="shared" si="4"/>
        <v>Far</v>
      </c>
    </row>
    <row r="271" spans="1:40" x14ac:dyDescent="0.45">
      <c r="A271">
        <v>36</v>
      </c>
      <c r="B271" t="s">
        <v>37</v>
      </c>
      <c r="C271" t="s">
        <v>31</v>
      </c>
      <c r="D271">
        <v>1403</v>
      </c>
      <c r="E271" t="s">
        <v>39</v>
      </c>
      <c r="F271">
        <v>6</v>
      </c>
      <c r="G271">
        <v>3</v>
      </c>
      <c r="H271" t="s">
        <v>33</v>
      </c>
      <c r="I271">
        <v>373</v>
      </c>
      <c r="J271">
        <v>4</v>
      </c>
      <c r="K271" t="s">
        <v>40</v>
      </c>
      <c r="L271">
        <v>3</v>
      </c>
      <c r="M271">
        <v>1</v>
      </c>
      <c r="N271" t="s">
        <v>44</v>
      </c>
      <c r="O271">
        <v>4</v>
      </c>
      <c r="P271" t="s">
        <v>42</v>
      </c>
      <c r="Q271">
        <v>3210</v>
      </c>
      <c r="R271">
        <v>0</v>
      </c>
      <c r="S271" t="s">
        <v>37</v>
      </c>
      <c r="T271">
        <v>11</v>
      </c>
      <c r="U271">
        <v>3</v>
      </c>
      <c r="V271">
        <v>3</v>
      </c>
      <c r="W271">
        <v>1</v>
      </c>
      <c r="X271">
        <v>16</v>
      </c>
      <c r="Y271">
        <v>4</v>
      </c>
      <c r="Z271">
        <v>3</v>
      </c>
      <c r="AA271">
        <v>15</v>
      </c>
      <c r="AB271">
        <v>13</v>
      </c>
      <c r="AC271">
        <v>10</v>
      </c>
      <c r="AD271">
        <v>11</v>
      </c>
      <c r="AE271" t="str" cm="1">
        <f t="array" ref="AE271">_xlfn.IFS(G271=1,"Before College",G271=2,"College",G271=3,"Bachelor",G271=4,"Master",G271=5,"Doctor")</f>
        <v>Bachelor</v>
      </c>
      <c r="AF271" t="str" cm="1">
        <f t="array" ref="AF271">_xlfn.IFS(J271=1,"Low",J271=2,"Medium",J271=3,"High",J271=4,"Very High")</f>
        <v>Very High</v>
      </c>
      <c r="AG271" t="str" cm="1">
        <f t="array" ref="AG271">_xlfn.IFS(L271=1,"Low",L271=2,"Medium",L271=3,"High",L271=4,"Very High")</f>
        <v>High</v>
      </c>
      <c r="AH271" t="str" cm="1">
        <f t="array" ref="AH271">_xlfn.IFS(M271=1,"Junior employee",M271=2,"Mid-level",M271=3,"Senior",M271=4,"Manager",M271=5,"Executive")</f>
        <v>Junior employee</v>
      </c>
      <c r="AI271" t="str" cm="1">
        <f t="array" ref="AI271">_xlfn.IFS(O271=1,"Low",O271=2,"Medium",O271=3,"High",O271=4,"Very High")</f>
        <v>Very High</v>
      </c>
      <c r="AJ271" t="str" cm="1">
        <f t="array" ref="AJ271">_xlfn.IFS(U271=1,"Low",U271=2,"Good",U271=3,"Excellent",U271=4,"Outstanding")</f>
        <v>Excellent</v>
      </c>
      <c r="AK271" t="str" cm="1">
        <f t="array" ref="AK271">_xlfn.IFS(V271=1,"Low",V271=2,"Medium",V271=3,"High",V271=4,"Very High")</f>
        <v>High</v>
      </c>
      <c r="AL271" t="str" cm="1">
        <f t="array" ref="AL271">_xlfn.IFS(Z271=1,"Bad",Z271=2,"Good",Z271=3,"Better",Z271=4,"Best")</f>
        <v>Better</v>
      </c>
      <c r="AM271" t="str" cm="1">
        <f t="array" ref="AM271">_xlfn.IFS(W271=0,"No_stock",W271=1,"Low",W271=2,"Medium",W271=3,"High")</f>
        <v>Low</v>
      </c>
      <c r="AN271" t="str">
        <f t="shared" si="4"/>
        <v>Medium</v>
      </c>
    </row>
    <row r="272" spans="1:40" x14ac:dyDescent="0.45">
      <c r="A272">
        <v>55</v>
      </c>
      <c r="B272" t="s">
        <v>37</v>
      </c>
      <c r="C272" t="s">
        <v>31</v>
      </c>
      <c r="D272">
        <v>452</v>
      </c>
      <c r="E272" t="s">
        <v>39</v>
      </c>
      <c r="F272">
        <v>1</v>
      </c>
      <c r="G272">
        <v>3</v>
      </c>
      <c r="H272" t="s">
        <v>45</v>
      </c>
      <c r="I272">
        <v>374</v>
      </c>
      <c r="J272">
        <v>4</v>
      </c>
      <c r="K272" t="s">
        <v>40</v>
      </c>
      <c r="L272">
        <v>3</v>
      </c>
      <c r="M272">
        <v>5</v>
      </c>
      <c r="N272" t="s">
        <v>50</v>
      </c>
      <c r="O272">
        <v>1</v>
      </c>
      <c r="P272" t="s">
        <v>36</v>
      </c>
      <c r="Q272">
        <v>19045</v>
      </c>
      <c r="R272">
        <v>0</v>
      </c>
      <c r="S272" t="s">
        <v>30</v>
      </c>
      <c r="T272">
        <v>14</v>
      </c>
      <c r="U272">
        <v>3</v>
      </c>
      <c r="V272">
        <v>3</v>
      </c>
      <c r="W272">
        <v>0</v>
      </c>
      <c r="X272">
        <v>37</v>
      </c>
      <c r="Y272">
        <v>2</v>
      </c>
      <c r="Z272">
        <v>3</v>
      </c>
      <c r="AA272">
        <v>36</v>
      </c>
      <c r="AB272">
        <v>10</v>
      </c>
      <c r="AC272">
        <v>4</v>
      </c>
      <c r="AD272">
        <v>13</v>
      </c>
      <c r="AE272" t="str" cm="1">
        <f t="array" ref="AE272">_xlfn.IFS(G272=1,"Before College",G272=2,"College",G272=3,"Bachelor",G272=4,"Master",G272=5,"Doctor")</f>
        <v>Bachelor</v>
      </c>
      <c r="AF272" t="str" cm="1">
        <f t="array" ref="AF272">_xlfn.IFS(J272=1,"Low",J272=2,"Medium",J272=3,"High",J272=4,"Very High")</f>
        <v>Very High</v>
      </c>
      <c r="AG272" t="str" cm="1">
        <f t="array" ref="AG272">_xlfn.IFS(L272=1,"Low",L272=2,"Medium",L272=3,"High",L272=4,"Very High")</f>
        <v>High</v>
      </c>
      <c r="AH272" t="str" cm="1">
        <f t="array" ref="AH272">_xlfn.IFS(M272=1,"Junior employee",M272=2,"Mid-level",M272=3,"Senior",M272=4,"Manager",M272=5,"Executive")</f>
        <v>Executive</v>
      </c>
      <c r="AI272" t="str" cm="1">
        <f t="array" ref="AI272">_xlfn.IFS(O272=1,"Low",O272=2,"Medium",O272=3,"High",O272=4,"Very High")</f>
        <v>Low</v>
      </c>
      <c r="AJ272" t="str" cm="1">
        <f t="array" ref="AJ272">_xlfn.IFS(U272=1,"Low",U272=2,"Good",U272=3,"Excellent",U272=4,"Outstanding")</f>
        <v>Excellent</v>
      </c>
      <c r="AK272" t="str" cm="1">
        <f t="array" ref="AK272">_xlfn.IFS(V272=1,"Low",V272=2,"Medium",V272=3,"High",V272=4,"Very High")</f>
        <v>High</v>
      </c>
      <c r="AL272" t="str" cm="1">
        <f t="array" ref="AL272">_xlfn.IFS(Z272=1,"Bad",Z272=2,"Good",Z272=3,"Better",Z272=4,"Best")</f>
        <v>Better</v>
      </c>
      <c r="AM272" t="str" cm="1">
        <f t="array" ref="AM272">_xlfn.IFS(W272=0,"No_stock",W272=1,"Low",W272=2,"Medium",W272=3,"High")</f>
        <v>No_stock</v>
      </c>
      <c r="AN272" t="str">
        <f t="shared" si="4"/>
        <v>Near</v>
      </c>
    </row>
    <row r="273" spans="1:40" x14ac:dyDescent="0.45">
      <c r="A273">
        <v>47</v>
      </c>
      <c r="B273" t="s">
        <v>30</v>
      </c>
      <c r="C273" t="s">
        <v>49</v>
      </c>
      <c r="D273">
        <v>666</v>
      </c>
      <c r="E273" t="s">
        <v>39</v>
      </c>
      <c r="F273">
        <v>29</v>
      </c>
      <c r="G273">
        <v>4</v>
      </c>
      <c r="H273" t="s">
        <v>33</v>
      </c>
      <c r="I273">
        <v>376</v>
      </c>
      <c r="J273">
        <v>1</v>
      </c>
      <c r="K273" t="s">
        <v>40</v>
      </c>
      <c r="L273">
        <v>3</v>
      </c>
      <c r="M273">
        <v>3</v>
      </c>
      <c r="N273" t="s">
        <v>50</v>
      </c>
      <c r="O273">
        <v>2</v>
      </c>
      <c r="P273" t="s">
        <v>42</v>
      </c>
      <c r="Q273">
        <v>11849</v>
      </c>
      <c r="R273">
        <v>1</v>
      </c>
      <c r="S273" t="s">
        <v>30</v>
      </c>
      <c r="T273">
        <v>12</v>
      </c>
      <c r="U273">
        <v>3</v>
      </c>
      <c r="V273">
        <v>4</v>
      </c>
      <c r="W273">
        <v>1</v>
      </c>
      <c r="X273">
        <v>10</v>
      </c>
      <c r="Y273">
        <v>2</v>
      </c>
      <c r="Z273">
        <v>2</v>
      </c>
      <c r="AA273">
        <v>10</v>
      </c>
      <c r="AB273">
        <v>7</v>
      </c>
      <c r="AC273">
        <v>9</v>
      </c>
      <c r="AD273">
        <v>9</v>
      </c>
      <c r="AE273" t="str" cm="1">
        <f t="array" ref="AE273">_xlfn.IFS(G273=1,"Before College",G273=2,"College",G273=3,"Bachelor",G273=4,"Master",G273=5,"Doctor")</f>
        <v>Master</v>
      </c>
      <c r="AF273" t="str" cm="1">
        <f t="array" ref="AF273">_xlfn.IFS(J273=1,"Low",J273=2,"Medium",J273=3,"High",J273=4,"Very High")</f>
        <v>Low</v>
      </c>
      <c r="AG273" t="str" cm="1">
        <f t="array" ref="AG273">_xlfn.IFS(L273=1,"Low",L273=2,"Medium",L273=3,"High",L273=4,"Very High")</f>
        <v>High</v>
      </c>
      <c r="AH273" t="str" cm="1">
        <f t="array" ref="AH273">_xlfn.IFS(M273=1,"Junior employee",M273=2,"Mid-level",M273=3,"Senior",M273=4,"Manager",M273=5,"Executive")</f>
        <v>Senior</v>
      </c>
      <c r="AI273" t="str" cm="1">
        <f t="array" ref="AI273">_xlfn.IFS(O273=1,"Low",O273=2,"Medium",O273=3,"High",O273=4,"Very High")</f>
        <v>Medium</v>
      </c>
      <c r="AJ273" t="str" cm="1">
        <f t="array" ref="AJ273">_xlfn.IFS(U273=1,"Low",U273=2,"Good",U273=3,"Excellent",U273=4,"Outstanding")</f>
        <v>Excellent</v>
      </c>
      <c r="AK273" t="str" cm="1">
        <f t="array" ref="AK273">_xlfn.IFS(V273=1,"Low",V273=2,"Medium",V273=3,"High",V273=4,"Very High")</f>
        <v>Very High</v>
      </c>
      <c r="AL273" t="str" cm="1">
        <f t="array" ref="AL273">_xlfn.IFS(Z273=1,"Bad",Z273=2,"Good",Z273=3,"Better",Z273=4,"Best")</f>
        <v>Good</v>
      </c>
      <c r="AM273" t="str" cm="1">
        <f t="array" ref="AM273">_xlfn.IFS(W273=0,"No_stock",W273=1,"Low",W273=2,"Medium",W273=3,"High")</f>
        <v>Low</v>
      </c>
      <c r="AN273" t="str">
        <f t="shared" si="4"/>
        <v>Far</v>
      </c>
    </row>
    <row r="274" spans="1:40" x14ac:dyDescent="0.45">
      <c r="A274">
        <v>28</v>
      </c>
      <c r="B274" t="s">
        <v>37</v>
      </c>
      <c r="C274" t="s">
        <v>31</v>
      </c>
      <c r="D274">
        <v>1158</v>
      </c>
      <c r="E274" t="s">
        <v>39</v>
      </c>
      <c r="F274">
        <v>9</v>
      </c>
      <c r="G274">
        <v>3</v>
      </c>
      <c r="H274" t="s">
        <v>45</v>
      </c>
      <c r="I274">
        <v>377</v>
      </c>
      <c r="J274">
        <v>4</v>
      </c>
      <c r="K274" t="s">
        <v>40</v>
      </c>
      <c r="L274">
        <v>3</v>
      </c>
      <c r="M274">
        <v>1</v>
      </c>
      <c r="N274" t="s">
        <v>41</v>
      </c>
      <c r="O274">
        <v>4</v>
      </c>
      <c r="P274" t="s">
        <v>42</v>
      </c>
      <c r="Q274">
        <v>2070</v>
      </c>
      <c r="R274">
        <v>1</v>
      </c>
      <c r="S274" t="s">
        <v>37</v>
      </c>
      <c r="T274">
        <v>23</v>
      </c>
      <c r="U274">
        <v>4</v>
      </c>
      <c r="V274">
        <v>4</v>
      </c>
      <c r="W274">
        <v>1</v>
      </c>
      <c r="X274">
        <v>5</v>
      </c>
      <c r="Y274">
        <v>3</v>
      </c>
      <c r="Z274">
        <v>2</v>
      </c>
      <c r="AA274">
        <v>5</v>
      </c>
      <c r="AB274">
        <v>2</v>
      </c>
      <c r="AC274">
        <v>0</v>
      </c>
      <c r="AD274">
        <v>4</v>
      </c>
      <c r="AE274" t="str" cm="1">
        <f t="array" ref="AE274">_xlfn.IFS(G274=1,"Before College",G274=2,"College",G274=3,"Bachelor",G274=4,"Master",G274=5,"Doctor")</f>
        <v>Bachelor</v>
      </c>
      <c r="AF274" t="str" cm="1">
        <f t="array" ref="AF274">_xlfn.IFS(J274=1,"Low",J274=2,"Medium",J274=3,"High",J274=4,"Very High")</f>
        <v>Very High</v>
      </c>
      <c r="AG274" t="str" cm="1">
        <f t="array" ref="AG274">_xlfn.IFS(L274=1,"Low",L274=2,"Medium",L274=3,"High",L274=4,"Very High")</f>
        <v>High</v>
      </c>
      <c r="AH274" t="str" cm="1">
        <f t="array" ref="AH274">_xlfn.IFS(M274=1,"Junior employee",M274=2,"Mid-level",M274=3,"Senior",M274=4,"Manager",M274=5,"Executive")</f>
        <v>Junior employee</v>
      </c>
      <c r="AI274" t="str" cm="1">
        <f t="array" ref="AI274">_xlfn.IFS(O274=1,"Low",O274=2,"Medium",O274=3,"High",O274=4,"Very High")</f>
        <v>Very High</v>
      </c>
      <c r="AJ274" t="str" cm="1">
        <f t="array" ref="AJ274">_xlfn.IFS(U274=1,"Low",U274=2,"Good",U274=3,"Excellent",U274=4,"Outstanding")</f>
        <v>Outstanding</v>
      </c>
      <c r="AK274" t="str" cm="1">
        <f t="array" ref="AK274">_xlfn.IFS(V274=1,"Low",V274=2,"Medium",V274=3,"High",V274=4,"Very High")</f>
        <v>Very High</v>
      </c>
      <c r="AL274" t="str" cm="1">
        <f t="array" ref="AL274">_xlfn.IFS(Z274=1,"Bad",Z274=2,"Good",Z274=3,"Better",Z274=4,"Best")</f>
        <v>Good</v>
      </c>
      <c r="AM274" t="str" cm="1">
        <f t="array" ref="AM274">_xlfn.IFS(W274=0,"No_stock",W274=1,"Low",W274=2,"Medium",W274=3,"High")</f>
        <v>Low</v>
      </c>
      <c r="AN274" t="str">
        <f t="shared" si="4"/>
        <v>Medium</v>
      </c>
    </row>
    <row r="275" spans="1:40" x14ac:dyDescent="0.45">
      <c r="A275">
        <v>37</v>
      </c>
      <c r="B275" t="s">
        <v>37</v>
      </c>
      <c r="C275" t="s">
        <v>31</v>
      </c>
      <c r="D275">
        <v>228</v>
      </c>
      <c r="E275" t="s">
        <v>32</v>
      </c>
      <c r="F275">
        <v>6</v>
      </c>
      <c r="G275">
        <v>4</v>
      </c>
      <c r="H275" t="s">
        <v>45</v>
      </c>
      <c r="I275">
        <v>378</v>
      </c>
      <c r="J275">
        <v>3</v>
      </c>
      <c r="K275" t="s">
        <v>40</v>
      </c>
      <c r="L275">
        <v>3</v>
      </c>
      <c r="M275">
        <v>2</v>
      </c>
      <c r="N275" t="s">
        <v>35</v>
      </c>
      <c r="O275">
        <v>4</v>
      </c>
      <c r="P275" t="s">
        <v>42</v>
      </c>
      <c r="Q275">
        <v>6502</v>
      </c>
      <c r="R275">
        <v>4</v>
      </c>
      <c r="S275" t="s">
        <v>37</v>
      </c>
      <c r="T275">
        <v>14</v>
      </c>
      <c r="U275">
        <v>3</v>
      </c>
      <c r="V275">
        <v>2</v>
      </c>
      <c r="W275">
        <v>1</v>
      </c>
      <c r="X275">
        <v>7</v>
      </c>
      <c r="Y275">
        <v>5</v>
      </c>
      <c r="Z275">
        <v>4</v>
      </c>
      <c r="AA275">
        <v>5</v>
      </c>
      <c r="AB275">
        <v>4</v>
      </c>
      <c r="AC275">
        <v>0</v>
      </c>
      <c r="AD275">
        <v>1</v>
      </c>
      <c r="AE275" t="str" cm="1">
        <f t="array" ref="AE275">_xlfn.IFS(G275=1,"Before College",G275=2,"College",G275=3,"Bachelor",G275=4,"Master",G275=5,"Doctor")</f>
        <v>Master</v>
      </c>
      <c r="AF275" t="str" cm="1">
        <f t="array" ref="AF275">_xlfn.IFS(J275=1,"Low",J275=2,"Medium",J275=3,"High",J275=4,"Very High")</f>
        <v>High</v>
      </c>
      <c r="AG275" t="str" cm="1">
        <f t="array" ref="AG275">_xlfn.IFS(L275=1,"Low",L275=2,"Medium",L275=3,"High",L275=4,"Very High")</f>
        <v>High</v>
      </c>
      <c r="AH275" t="str" cm="1">
        <f t="array" ref="AH275">_xlfn.IFS(M275=1,"Junior employee",M275=2,"Mid-level",M275=3,"Senior",M275=4,"Manager",M275=5,"Executive")</f>
        <v>Mid-level</v>
      </c>
      <c r="AI275" t="str" cm="1">
        <f t="array" ref="AI275">_xlfn.IFS(O275=1,"Low",O275=2,"Medium",O275=3,"High",O275=4,"Very High")</f>
        <v>Very High</v>
      </c>
      <c r="AJ275" t="str" cm="1">
        <f t="array" ref="AJ275">_xlfn.IFS(U275=1,"Low",U275=2,"Good",U275=3,"Excellent",U275=4,"Outstanding")</f>
        <v>Excellent</v>
      </c>
      <c r="AK275" t="str" cm="1">
        <f t="array" ref="AK275">_xlfn.IFS(V275=1,"Low",V275=2,"Medium",V275=3,"High",V275=4,"Very High")</f>
        <v>Medium</v>
      </c>
      <c r="AL275" t="str" cm="1">
        <f t="array" ref="AL275">_xlfn.IFS(Z275=1,"Bad",Z275=2,"Good",Z275=3,"Better",Z275=4,"Best")</f>
        <v>Best</v>
      </c>
      <c r="AM275" t="str" cm="1">
        <f t="array" ref="AM275">_xlfn.IFS(W275=0,"No_stock",W275=1,"Low",W275=2,"Medium",W275=3,"High")</f>
        <v>Low</v>
      </c>
      <c r="AN275" t="str">
        <f t="shared" si="4"/>
        <v>Medium</v>
      </c>
    </row>
    <row r="276" spans="1:40" x14ac:dyDescent="0.45">
      <c r="A276">
        <v>21</v>
      </c>
      <c r="B276" t="s">
        <v>37</v>
      </c>
      <c r="C276" t="s">
        <v>31</v>
      </c>
      <c r="D276">
        <v>996</v>
      </c>
      <c r="E276" t="s">
        <v>39</v>
      </c>
      <c r="F276">
        <v>3</v>
      </c>
      <c r="G276">
        <v>2</v>
      </c>
      <c r="H276" t="s">
        <v>45</v>
      </c>
      <c r="I276">
        <v>379</v>
      </c>
      <c r="J276">
        <v>4</v>
      </c>
      <c r="K276" t="s">
        <v>40</v>
      </c>
      <c r="L276">
        <v>2</v>
      </c>
      <c r="M276">
        <v>1</v>
      </c>
      <c r="N276" t="s">
        <v>41</v>
      </c>
      <c r="O276">
        <v>3</v>
      </c>
      <c r="P276" t="s">
        <v>36</v>
      </c>
      <c r="Q276">
        <v>3230</v>
      </c>
      <c r="R276">
        <v>1</v>
      </c>
      <c r="S276" t="s">
        <v>37</v>
      </c>
      <c r="T276">
        <v>17</v>
      </c>
      <c r="U276">
        <v>3</v>
      </c>
      <c r="V276">
        <v>1</v>
      </c>
      <c r="W276">
        <v>0</v>
      </c>
      <c r="X276">
        <v>3</v>
      </c>
      <c r="Y276">
        <v>4</v>
      </c>
      <c r="Z276">
        <v>4</v>
      </c>
      <c r="AA276">
        <v>3</v>
      </c>
      <c r="AB276">
        <v>2</v>
      </c>
      <c r="AC276">
        <v>1</v>
      </c>
      <c r="AD276">
        <v>0</v>
      </c>
      <c r="AE276" t="str" cm="1">
        <f t="array" ref="AE276">_xlfn.IFS(G276=1,"Before College",G276=2,"College",G276=3,"Bachelor",G276=4,"Master",G276=5,"Doctor")</f>
        <v>College</v>
      </c>
      <c r="AF276" t="str" cm="1">
        <f t="array" ref="AF276">_xlfn.IFS(J276=1,"Low",J276=2,"Medium",J276=3,"High",J276=4,"Very High")</f>
        <v>Very High</v>
      </c>
      <c r="AG276" t="str" cm="1">
        <f t="array" ref="AG276">_xlfn.IFS(L276=1,"Low",L276=2,"Medium",L276=3,"High",L276=4,"Very High")</f>
        <v>Medium</v>
      </c>
      <c r="AH276" t="str" cm="1">
        <f t="array" ref="AH276">_xlfn.IFS(M276=1,"Junior employee",M276=2,"Mid-level",M276=3,"Senior",M276=4,"Manager",M276=5,"Executive")</f>
        <v>Junior employee</v>
      </c>
      <c r="AI276" t="str" cm="1">
        <f t="array" ref="AI276">_xlfn.IFS(O276=1,"Low",O276=2,"Medium",O276=3,"High",O276=4,"Very High")</f>
        <v>High</v>
      </c>
      <c r="AJ276" t="str" cm="1">
        <f t="array" ref="AJ276">_xlfn.IFS(U276=1,"Low",U276=2,"Good",U276=3,"Excellent",U276=4,"Outstanding")</f>
        <v>Excellent</v>
      </c>
      <c r="AK276" t="str" cm="1">
        <f t="array" ref="AK276">_xlfn.IFS(V276=1,"Low",V276=2,"Medium",V276=3,"High",V276=4,"Very High")</f>
        <v>Low</v>
      </c>
      <c r="AL276" t="str" cm="1">
        <f t="array" ref="AL276">_xlfn.IFS(Z276=1,"Bad",Z276=2,"Good",Z276=3,"Better",Z276=4,"Best")</f>
        <v>Best</v>
      </c>
      <c r="AM276" t="str" cm="1">
        <f t="array" ref="AM276">_xlfn.IFS(W276=0,"No_stock",W276=1,"Low",W276=2,"Medium",W276=3,"High")</f>
        <v>No_stock</v>
      </c>
      <c r="AN276" t="str">
        <f t="shared" si="4"/>
        <v>Near</v>
      </c>
    </row>
    <row r="277" spans="1:40" x14ac:dyDescent="0.45">
      <c r="A277">
        <v>37</v>
      </c>
      <c r="B277" t="s">
        <v>37</v>
      </c>
      <c r="C277" t="s">
        <v>49</v>
      </c>
      <c r="D277">
        <v>728</v>
      </c>
      <c r="E277" t="s">
        <v>39</v>
      </c>
      <c r="F277">
        <v>1</v>
      </c>
      <c r="G277">
        <v>4</v>
      </c>
      <c r="H277" t="s">
        <v>45</v>
      </c>
      <c r="I277">
        <v>380</v>
      </c>
      <c r="J277">
        <v>1</v>
      </c>
      <c r="K277" t="s">
        <v>34</v>
      </c>
      <c r="L277">
        <v>3</v>
      </c>
      <c r="M277">
        <v>3</v>
      </c>
      <c r="N277" t="s">
        <v>52</v>
      </c>
      <c r="O277">
        <v>4</v>
      </c>
      <c r="P277" t="s">
        <v>46</v>
      </c>
      <c r="Q277">
        <v>13603</v>
      </c>
      <c r="R277">
        <v>2</v>
      </c>
      <c r="S277" t="s">
        <v>30</v>
      </c>
      <c r="T277">
        <v>18</v>
      </c>
      <c r="U277">
        <v>3</v>
      </c>
      <c r="V277">
        <v>1</v>
      </c>
      <c r="W277">
        <v>2</v>
      </c>
      <c r="X277">
        <v>15</v>
      </c>
      <c r="Y277">
        <v>2</v>
      </c>
      <c r="Z277">
        <v>3</v>
      </c>
      <c r="AA277">
        <v>5</v>
      </c>
      <c r="AB277">
        <v>2</v>
      </c>
      <c r="AC277">
        <v>0</v>
      </c>
      <c r="AD277">
        <v>2</v>
      </c>
      <c r="AE277" t="str" cm="1">
        <f t="array" ref="AE277">_xlfn.IFS(G277=1,"Before College",G277=2,"College",G277=3,"Bachelor",G277=4,"Master",G277=5,"Doctor")</f>
        <v>Master</v>
      </c>
      <c r="AF277" t="str" cm="1">
        <f t="array" ref="AF277">_xlfn.IFS(J277=1,"Low",J277=2,"Medium",J277=3,"High",J277=4,"Very High")</f>
        <v>Low</v>
      </c>
      <c r="AG277" t="str" cm="1">
        <f t="array" ref="AG277">_xlfn.IFS(L277=1,"Low",L277=2,"Medium",L277=3,"High",L277=4,"Very High")</f>
        <v>High</v>
      </c>
      <c r="AH277" t="str" cm="1">
        <f t="array" ref="AH277">_xlfn.IFS(M277=1,"Junior employee",M277=2,"Mid-level",M277=3,"Senior",M277=4,"Manager",M277=5,"Executive")</f>
        <v>Senior</v>
      </c>
      <c r="AI277" t="str" cm="1">
        <f t="array" ref="AI277">_xlfn.IFS(O277=1,"Low",O277=2,"Medium",O277=3,"High",O277=4,"Very High")</f>
        <v>Very High</v>
      </c>
      <c r="AJ277" t="str" cm="1">
        <f t="array" ref="AJ277">_xlfn.IFS(U277=1,"Low",U277=2,"Good",U277=3,"Excellent",U277=4,"Outstanding")</f>
        <v>Excellent</v>
      </c>
      <c r="AK277" t="str" cm="1">
        <f t="array" ref="AK277">_xlfn.IFS(V277=1,"Low",V277=2,"Medium",V277=3,"High",V277=4,"Very High")</f>
        <v>Low</v>
      </c>
      <c r="AL277" t="str" cm="1">
        <f t="array" ref="AL277">_xlfn.IFS(Z277=1,"Bad",Z277=2,"Good",Z277=3,"Better",Z277=4,"Best")</f>
        <v>Better</v>
      </c>
      <c r="AM277" t="str" cm="1">
        <f t="array" ref="AM277">_xlfn.IFS(W277=0,"No_stock",W277=1,"Low",W277=2,"Medium",W277=3,"High")</f>
        <v>Medium</v>
      </c>
      <c r="AN277" t="str">
        <f t="shared" si="4"/>
        <v>Near</v>
      </c>
    </row>
    <row r="278" spans="1:40" x14ac:dyDescent="0.45">
      <c r="A278">
        <v>35</v>
      </c>
      <c r="B278" t="s">
        <v>37</v>
      </c>
      <c r="C278" t="s">
        <v>31</v>
      </c>
      <c r="D278">
        <v>1315</v>
      </c>
      <c r="E278" t="s">
        <v>39</v>
      </c>
      <c r="F278">
        <v>22</v>
      </c>
      <c r="G278">
        <v>3</v>
      </c>
      <c r="H278" t="s">
        <v>33</v>
      </c>
      <c r="I278">
        <v>381</v>
      </c>
      <c r="J278">
        <v>2</v>
      </c>
      <c r="K278" t="s">
        <v>34</v>
      </c>
      <c r="L278">
        <v>4</v>
      </c>
      <c r="M278">
        <v>3</v>
      </c>
      <c r="N278" t="s">
        <v>50</v>
      </c>
      <c r="O278">
        <v>2</v>
      </c>
      <c r="P278" t="s">
        <v>46</v>
      </c>
      <c r="Q278">
        <v>11996</v>
      </c>
      <c r="R278">
        <v>7</v>
      </c>
      <c r="S278" t="s">
        <v>37</v>
      </c>
      <c r="T278">
        <v>18</v>
      </c>
      <c r="U278">
        <v>3</v>
      </c>
      <c r="V278">
        <v>2</v>
      </c>
      <c r="W278">
        <v>1</v>
      </c>
      <c r="X278">
        <v>10</v>
      </c>
      <c r="Y278">
        <v>6</v>
      </c>
      <c r="Z278">
        <v>2</v>
      </c>
      <c r="AA278">
        <v>7</v>
      </c>
      <c r="AB278">
        <v>7</v>
      </c>
      <c r="AC278">
        <v>6</v>
      </c>
      <c r="AD278">
        <v>2</v>
      </c>
      <c r="AE278" t="str" cm="1">
        <f t="array" ref="AE278">_xlfn.IFS(G278=1,"Before College",G278=2,"College",G278=3,"Bachelor",G278=4,"Master",G278=5,"Doctor")</f>
        <v>Bachelor</v>
      </c>
      <c r="AF278" t="str" cm="1">
        <f t="array" ref="AF278">_xlfn.IFS(J278=1,"Low",J278=2,"Medium",J278=3,"High",J278=4,"Very High")</f>
        <v>Medium</v>
      </c>
      <c r="AG278" t="str" cm="1">
        <f t="array" ref="AG278">_xlfn.IFS(L278=1,"Low",L278=2,"Medium",L278=3,"High",L278=4,"Very High")</f>
        <v>Very High</v>
      </c>
      <c r="AH278" t="str" cm="1">
        <f t="array" ref="AH278">_xlfn.IFS(M278=1,"Junior employee",M278=2,"Mid-level",M278=3,"Senior",M278=4,"Manager",M278=5,"Executive")</f>
        <v>Senior</v>
      </c>
      <c r="AI278" t="str" cm="1">
        <f t="array" ref="AI278">_xlfn.IFS(O278=1,"Low",O278=2,"Medium",O278=3,"High",O278=4,"Very High")</f>
        <v>Medium</v>
      </c>
      <c r="AJ278" t="str" cm="1">
        <f t="array" ref="AJ278">_xlfn.IFS(U278=1,"Low",U278=2,"Good",U278=3,"Excellent",U278=4,"Outstanding")</f>
        <v>Excellent</v>
      </c>
      <c r="AK278" t="str" cm="1">
        <f t="array" ref="AK278">_xlfn.IFS(V278=1,"Low",V278=2,"Medium",V278=3,"High",V278=4,"Very High")</f>
        <v>Medium</v>
      </c>
      <c r="AL278" t="str" cm="1">
        <f t="array" ref="AL278">_xlfn.IFS(Z278=1,"Bad",Z278=2,"Good",Z278=3,"Better",Z278=4,"Best")</f>
        <v>Good</v>
      </c>
      <c r="AM278" t="str" cm="1">
        <f t="array" ref="AM278">_xlfn.IFS(W278=0,"No_stock",W278=1,"Low",W278=2,"Medium",W278=3,"High")</f>
        <v>Low</v>
      </c>
      <c r="AN278" t="str">
        <f t="shared" si="4"/>
        <v>Far</v>
      </c>
    </row>
    <row r="279" spans="1:40" x14ac:dyDescent="0.45">
      <c r="A279">
        <v>38</v>
      </c>
      <c r="B279" t="s">
        <v>37</v>
      </c>
      <c r="C279" t="s">
        <v>31</v>
      </c>
      <c r="D279">
        <v>322</v>
      </c>
      <c r="E279" t="s">
        <v>32</v>
      </c>
      <c r="F279">
        <v>7</v>
      </c>
      <c r="G279">
        <v>2</v>
      </c>
      <c r="H279" t="s">
        <v>45</v>
      </c>
      <c r="I279">
        <v>382</v>
      </c>
      <c r="J279">
        <v>1</v>
      </c>
      <c r="K279" t="s">
        <v>34</v>
      </c>
      <c r="L279">
        <v>4</v>
      </c>
      <c r="M279">
        <v>2</v>
      </c>
      <c r="N279" t="s">
        <v>35</v>
      </c>
      <c r="O279">
        <v>1</v>
      </c>
      <c r="P279" t="s">
        <v>46</v>
      </c>
      <c r="Q279">
        <v>5605</v>
      </c>
      <c r="R279">
        <v>1</v>
      </c>
      <c r="S279" t="s">
        <v>30</v>
      </c>
      <c r="T279">
        <v>24</v>
      </c>
      <c r="U279">
        <v>4</v>
      </c>
      <c r="V279">
        <v>3</v>
      </c>
      <c r="W279">
        <v>1</v>
      </c>
      <c r="X279">
        <v>8</v>
      </c>
      <c r="Y279">
        <v>3</v>
      </c>
      <c r="Z279">
        <v>3</v>
      </c>
      <c r="AA279">
        <v>8</v>
      </c>
      <c r="AB279">
        <v>0</v>
      </c>
      <c r="AC279">
        <v>7</v>
      </c>
      <c r="AD279">
        <v>7</v>
      </c>
      <c r="AE279" t="str" cm="1">
        <f t="array" ref="AE279">_xlfn.IFS(G279=1,"Before College",G279=2,"College",G279=3,"Bachelor",G279=4,"Master",G279=5,"Doctor")</f>
        <v>College</v>
      </c>
      <c r="AF279" t="str" cm="1">
        <f t="array" ref="AF279">_xlfn.IFS(J279=1,"Low",J279=2,"Medium",J279=3,"High",J279=4,"Very High")</f>
        <v>Low</v>
      </c>
      <c r="AG279" t="str" cm="1">
        <f t="array" ref="AG279">_xlfn.IFS(L279=1,"Low",L279=2,"Medium",L279=3,"High",L279=4,"Very High")</f>
        <v>Very High</v>
      </c>
      <c r="AH279" t="str" cm="1">
        <f t="array" ref="AH279">_xlfn.IFS(M279=1,"Junior employee",M279=2,"Mid-level",M279=3,"Senior",M279=4,"Manager",M279=5,"Executive")</f>
        <v>Mid-level</v>
      </c>
      <c r="AI279" t="str" cm="1">
        <f t="array" ref="AI279">_xlfn.IFS(O279=1,"Low",O279=2,"Medium",O279=3,"High",O279=4,"Very High")</f>
        <v>Low</v>
      </c>
      <c r="AJ279" t="str" cm="1">
        <f t="array" ref="AJ279">_xlfn.IFS(U279=1,"Low",U279=2,"Good",U279=3,"Excellent",U279=4,"Outstanding")</f>
        <v>Outstanding</v>
      </c>
      <c r="AK279" t="str" cm="1">
        <f t="array" ref="AK279">_xlfn.IFS(V279=1,"Low",V279=2,"Medium",V279=3,"High",V279=4,"Very High")</f>
        <v>High</v>
      </c>
      <c r="AL279" t="str" cm="1">
        <f t="array" ref="AL279">_xlfn.IFS(Z279=1,"Bad",Z279=2,"Good",Z279=3,"Better",Z279=4,"Best")</f>
        <v>Better</v>
      </c>
      <c r="AM279" t="str" cm="1">
        <f t="array" ref="AM279">_xlfn.IFS(W279=0,"No_stock",W279=1,"Low",W279=2,"Medium",W279=3,"High")</f>
        <v>Low</v>
      </c>
      <c r="AN279" t="str">
        <f t="shared" si="4"/>
        <v>Medium</v>
      </c>
    </row>
    <row r="280" spans="1:40" x14ac:dyDescent="0.45">
      <c r="A280">
        <v>26</v>
      </c>
      <c r="B280" t="s">
        <v>37</v>
      </c>
      <c r="C280" t="s">
        <v>38</v>
      </c>
      <c r="D280">
        <v>1479</v>
      </c>
      <c r="E280" t="s">
        <v>39</v>
      </c>
      <c r="F280">
        <v>1</v>
      </c>
      <c r="G280">
        <v>3</v>
      </c>
      <c r="H280" t="s">
        <v>33</v>
      </c>
      <c r="I280">
        <v>384</v>
      </c>
      <c r="J280">
        <v>3</v>
      </c>
      <c r="K280" t="s">
        <v>34</v>
      </c>
      <c r="L280">
        <v>3</v>
      </c>
      <c r="M280">
        <v>2</v>
      </c>
      <c r="N280" t="s">
        <v>47</v>
      </c>
      <c r="O280">
        <v>2</v>
      </c>
      <c r="P280" t="s">
        <v>46</v>
      </c>
      <c r="Q280">
        <v>6397</v>
      </c>
      <c r="R280">
        <v>1</v>
      </c>
      <c r="S280" t="s">
        <v>37</v>
      </c>
      <c r="T280">
        <v>20</v>
      </c>
      <c r="U280">
        <v>4</v>
      </c>
      <c r="V280">
        <v>1</v>
      </c>
      <c r="W280">
        <v>1</v>
      </c>
      <c r="X280">
        <v>6</v>
      </c>
      <c r="Y280">
        <v>6</v>
      </c>
      <c r="Z280">
        <v>1</v>
      </c>
      <c r="AA280">
        <v>6</v>
      </c>
      <c r="AB280">
        <v>5</v>
      </c>
      <c r="AC280">
        <v>1</v>
      </c>
      <c r="AD280">
        <v>4</v>
      </c>
      <c r="AE280" t="str" cm="1">
        <f t="array" ref="AE280">_xlfn.IFS(G280=1,"Before College",G280=2,"College",G280=3,"Bachelor",G280=4,"Master",G280=5,"Doctor")</f>
        <v>Bachelor</v>
      </c>
      <c r="AF280" t="str" cm="1">
        <f t="array" ref="AF280">_xlfn.IFS(J280=1,"Low",J280=2,"Medium",J280=3,"High",J280=4,"Very High")</f>
        <v>High</v>
      </c>
      <c r="AG280" t="str" cm="1">
        <f t="array" ref="AG280">_xlfn.IFS(L280=1,"Low",L280=2,"Medium",L280=3,"High",L280=4,"Very High")</f>
        <v>High</v>
      </c>
      <c r="AH280" t="str" cm="1">
        <f t="array" ref="AH280">_xlfn.IFS(M280=1,"Junior employee",M280=2,"Mid-level",M280=3,"Senior",M280=4,"Manager",M280=5,"Executive")</f>
        <v>Mid-level</v>
      </c>
      <c r="AI280" t="str" cm="1">
        <f t="array" ref="AI280">_xlfn.IFS(O280=1,"Low",O280=2,"Medium",O280=3,"High",O280=4,"Very High")</f>
        <v>Medium</v>
      </c>
      <c r="AJ280" t="str" cm="1">
        <f t="array" ref="AJ280">_xlfn.IFS(U280=1,"Low",U280=2,"Good",U280=3,"Excellent",U280=4,"Outstanding")</f>
        <v>Outstanding</v>
      </c>
      <c r="AK280" t="str" cm="1">
        <f t="array" ref="AK280">_xlfn.IFS(V280=1,"Low",V280=2,"Medium",V280=3,"High",V280=4,"Very High")</f>
        <v>Low</v>
      </c>
      <c r="AL280" t="str" cm="1">
        <f t="array" ref="AL280">_xlfn.IFS(Z280=1,"Bad",Z280=2,"Good",Z280=3,"Better",Z280=4,"Best")</f>
        <v>Bad</v>
      </c>
      <c r="AM280" t="str" cm="1">
        <f t="array" ref="AM280">_xlfn.IFS(W280=0,"No_stock",W280=1,"Low",W280=2,"Medium",W280=3,"High")</f>
        <v>Low</v>
      </c>
      <c r="AN280" t="str">
        <f t="shared" si="4"/>
        <v>Near</v>
      </c>
    </row>
    <row r="281" spans="1:40" x14ac:dyDescent="0.45">
      <c r="A281">
        <v>50</v>
      </c>
      <c r="B281" t="s">
        <v>37</v>
      </c>
      <c r="C281" t="s">
        <v>31</v>
      </c>
      <c r="D281">
        <v>797</v>
      </c>
      <c r="E281" t="s">
        <v>39</v>
      </c>
      <c r="F281">
        <v>4</v>
      </c>
      <c r="G281">
        <v>1</v>
      </c>
      <c r="H281" t="s">
        <v>33</v>
      </c>
      <c r="I281">
        <v>385</v>
      </c>
      <c r="J281">
        <v>1</v>
      </c>
      <c r="K281" t="s">
        <v>40</v>
      </c>
      <c r="L281">
        <v>3</v>
      </c>
      <c r="M281">
        <v>5</v>
      </c>
      <c r="N281" t="s">
        <v>52</v>
      </c>
      <c r="O281">
        <v>2</v>
      </c>
      <c r="P281" t="s">
        <v>46</v>
      </c>
      <c r="Q281">
        <v>19144</v>
      </c>
      <c r="R281">
        <v>3</v>
      </c>
      <c r="S281" t="s">
        <v>37</v>
      </c>
      <c r="T281">
        <v>14</v>
      </c>
      <c r="U281">
        <v>3</v>
      </c>
      <c r="V281">
        <v>1</v>
      </c>
      <c r="W281">
        <v>2</v>
      </c>
      <c r="X281">
        <v>28</v>
      </c>
      <c r="Y281">
        <v>4</v>
      </c>
      <c r="Z281">
        <v>2</v>
      </c>
      <c r="AA281">
        <v>10</v>
      </c>
      <c r="AB281">
        <v>4</v>
      </c>
      <c r="AC281">
        <v>1</v>
      </c>
      <c r="AD281">
        <v>6</v>
      </c>
      <c r="AE281" t="str" cm="1">
        <f t="array" ref="AE281">_xlfn.IFS(G281=1,"Before College",G281=2,"College",G281=3,"Bachelor",G281=4,"Master",G281=5,"Doctor")</f>
        <v>Before College</v>
      </c>
      <c r="AF281" t="str" cm="1">
        <f t="array" ref="AF281">_xlfn.IFS(J281=1,"Low",J281=2,"Medium",J281=3,"High",J281=4,"Very High")</f>
        <v>Low</v>
      </c>
      <c r="AG281" t="str" cm="1">
        <f t="array" ref="AG281">_xlfn.IFS(L281=1,"Low",L281=2,"Medium",L281=3,"High",L281=4,"Very High")</f>
        <v>High</v>
      </c>
      <c r="AH281" t="str" cm="1">
        <f t="array" ref="AH281">_xlfn.IFS(M281=1,"Junior employee",M281=2,"Mid-level",M281=3,"Senior",M281=4,"Manager",M281=5,"Executive")</f>
        <v>Executive</v>
      </c>
      <c r="AI281" t="str" cm="1">
        <f t="array" ref="AI281">_xlfn.IFS(O281=1,"Low",O281=2,"Medium",O281=3,"High",O281=4,"Very High")</f>
        <v>Medium</v>
      </c>
      <c r="AJ281" t="str" cm="1">
        <f t="array" ref="AJ281">_xlfn.IFS(U281=1,"Low",U281=2,"Good",U281=3,"Excellent",U281=4,"Outstanding")</f>
        <v>Excellent</v>
      </c>
      <c r="AK281" t="str" cm="1">
        <f t="array" ref="AK281">_xlfn.IFS(V281=1,"Low",V281=2,"Medium",V281=3,"High",V281=4,"Very High")</f>
        <v>Low</v>
      </c>
      <c r="AL281" t="str" cm="1">
        <f t="array" ref="AL281">_xlfn.IFS(Z281=1,"Bad",Z281=2,"Good",Z281=3,"Better",Z281=4,"Best")</f>
        <v>Good</v>
      </c>
      <c r="AM281" t="str" cm="1">
        <f t="array" ref="AM281">_xlfn.IFS(W281=0,"No_stock",W281=1,"Low",W281=2,"Medium",W281=3,"High")</f>
        <v>Medium</v>
      </c>
      <c r="AN281" t="str">
        <f t="shared" si="4"/>
        <v>Near</v>
      </c>
    </row>
    <row r="282" spans="1:40" x14ac:dyDescent="0.45">
      <c r="A282">
        <v>53</v>
      </c>
      <c r="B282" t="s">
        <v>37</v>
      </c>
      <c r="C282" t="s">
        <v>31</v>
      </c>
      <c r="D282">
        <v>1070</v>
      </c>
      <c r="E282" t="s">
        <v>39</v>
      </c>
      <c r="F282">
        <v>3</v>
      </c>
      <c r="G282">
        <v>4</v>
      </c>
      <c r="H282" t="s">
        <v>45</v>
      </c>
      <c r="I282">
        <v>386</v>
      </c>
      <c r="J282">
        <v>3</v>
      </c>
      <c r="K282" t="s">
        <v>40</v>
      </c>
      <c r="L282">
        <v>3</v>
      </c>
      <c r="M282">
        <v>4</v>
      </c>
      <c r="N282" t="s">
        <v>52</v>
      </c>
      <c r="O282">
        <v>3</v>
      </c>
      <c r="P282" t="s">
        <v>42</v>
      </c>
      <c r="Q282">
        <v>17584</v>
      </c>
      <c r="R282">
        <v>3</v>
      </c>
      <c r="S282" t="s">
        <v>30</v>
      </c>
      <c r="T282">
        <v>16</v>
      </c>
      <c r="U282">
        <v>3</v>
      </c>
      <c r="V282">
        <v>4</v>
      </c>
      <c r="W282">
        <v>3</v>
      </c>
      <c r="X282">
        <v>21</v>
      </c>
      <c r="Y282">
        <v>5</v>
      </c>
      <c r="Z282">
        <v>2</v>
      </c>
      <c r="AA282">
        <v>5</v>
      </c>
      <c r="AB282">
        <v>3</v>
      </c>
      <c r="AC282">
        <v>1</v>
      </c>
      <c r="AD282">
        <v>3</v>
      </c>
      <c r="AE282" t="str" cm="1">
        <f t="array" ref="AE282">_xlfn.IFS(G282=1,"Before College",G282=2,"College",G282=3,"Bachelor",G282=4,"Master",G282=5,"Doctor")</f>
        <v>Master</v>
      </c>
      <c r="AF282" t="str" cm="1">
        <f t="array" ref="AF282">_xlfn.IFS(J282=1,"Low",J282=2,"Medium",J282=3,"High",J282=4,"Very High")</f>
        <v>High</v>
      </c>
      <c r="AG282" t="str" cm="1">
        <f t="array" ref="AG282">_xlfn.IFS(L282=1,"Low",L282=2,"Medium",L282=3,"High",L282=4,"Very High")</f>
        <v>High</v>
      </c>
      <c r="AH282" t="str" cm="1">
        <f t="array" ref="AH282">_xlfn.IFS(M282=1,"Junior employee",M282=2,"Mid-level",M282=3,"Senior",M282=4,"Manager",M282=5,"Executive")</f>
        <v>Manager</v>
      </c>
      <c r="AI282" t="str" cm="1">
        <f t="array" ref="AI282">_xlfn.IFS(O282=1,"Low",O282=2,"Medium",O282=3,"High",O282=4,"Very High")</f>
        <v>High</v>
      </c>
      <c r="AJ282" t="str" cm="1">
        <f t="array" ref="AJ282">_xlfn.IFS(U282=1,"Low",U282=2,"Good",U282=3,"Excellent",U282=4,"Outstanding")</f>
        <v>Excellent</v>
      </c>
      <c r="AK282" t="str" cm="1">
        <f t="array" ref="AK282">_xlfn.IFS(V282=1,"Low",V282=2,"Medium",V282=3,"High",V282=4,"Very High")</f>
        <v>Very High</v>
      </c>
      <c r="AL282" t="str" cm="1">
        <f t="array" ref="AL282">_xlfn.IFS(Z282=1,"Bad",Z282=2,"Good",Z282=3,"Better",Z282=4,"Best")</f>
        <v>Good</v>
      </c>
      <c r="AM282" t="str" cm="1">
        <f t="array" ref="AM282">_xlfn.IFS(W282=0,"No_stock",W282=1,"Low",W282=2,"Medium",W282=3,"High")</f>
        <v>High</v>
      </c>
      <c r="AN282" t="str">
        <f t="shared" si="4"/>
        <v>Near</v>
      </c>
    </row>
    <row r="283" spans="1:40" x14ac:dyDescent="0.45">
      <c r="A283">
        <v>42</v>
      </c>
      <c r="B283" t="s">
        <v>37</v>
      </c>
      <c r="C283" t="s">
        <v>31</v>
      </c>
      <c r="D283">
        <v>635</v>
      </c>
      <c r="E283" t="s">
        <v>32</v>
      </c>
      <c r="F283">
        <v>1</v>
      </c>
      <c r="G283">
        <v>1</v>
      </c>
      <c r="H283" t="s">
        <v>33</v>
      </c>
      <c r="I283">
        <v>387</v>
      </c>
      <c r="J283">
        <v>2</v>
      </c>
      <c r="K283" t="s">
        <v>40</v>
      </c>
      <c r="L283">
        <v>3</v>
      </c>
      <c r="M283">
        <v>2</v>
      </c>
      <c r="N283" t="s">
        <v>35</v>
      </c>
      <c r="O283">
        <v>3</v>
      </c>
      <c r="P283" t="s">
        <v>42</v>
      </c>
      <c r="Q283">
        <v>4907</v>
      </c>
      <c r="R283">
        <v>1</v>
      </c>
      <c r="S283" t="s">
        <v>37</v>
      </c>
      <c r="T283">
        <v>25</v>
      </c>
      <c r="U283">
        <v>4</v>
      </c>
      <c r="V283">
        <v>3</v>
      </c>
      <c r="W283">
        <v>0</v>
      </c>
      <c r="X283">
        <v>20</v>
      </c>
      <c r="Y283">
        <v>3</v>
      </c>
      <c r="Z283">
        <v>3</v>
      </c>
      <c r="AA283">
        <v>20</v>
      </c>
      <c r="AB283">
        <v>16</v>
      </c>
      <c r="AC283">
        <v>11</v>
      </c>
      <c r="AD283">
        <v>6</v>
      </c>
      <c r="AE283" t="str" cm="1">
        <f t="array" ref="AE283">_xlfn.IFS(G283=1,"Before College",G283=2,"College",G283=3,"Bachelor",G283=4,"Master",G283=5,"Doctor")</f>
        <v>Before College</v>
      </c>
      <c r="AF283" t="str" cm="1">
        <f t="array" ref="AF283">_xlfn.IFS(J283=1,"Low",J283=2,"Medium",J283=3,"High",J283=4,"Very High")</f>
        <v>Medium</v>
      </c>
      <c r="AG283" t="str" cm="1">
        <f t="array" ref="AG283">_xlfn.IFS(L283=1,"Low",L283=2,"Medium",L283=3,"High",L283=4,"Very High")</f>
        <v>High</v>
      </c>
      <c r="AH283" t="str" cm="1">
        <f t="array" ref="AH283">_xlfn.IFS(M283=1,"Junior employee",M283=2,"Mid-level",M283=3,"Senior",M283=4,"Manager",M283=5,"Executive")</f>
        <v>Mid-level</v>
      </c>
      <c r="AI283" t="str" cm="1">
        <f t="array" ref="AI283">_xlfn.IFS(O283=1,"Low",O283=2,"Medium",O283=3,"High",O283=4,"Very High")</f>
        <v>High</v>
      </c>
      <c r="AJ283" t="str" cm="1">
        <f t="array" ref="AJ283">_xlfn.IFS(U283=1,"Low",U283=2,"Good",U283=3,"Excellent",U283=4,"Outstanding")</f>
        <v>Outstanding</v>
      </c>
      <c r="AK283" t="str" cm="1">
        <f t="array" ref="AK283">_xlfn.IFS(V283=1,"Low",V283=2,"Medium",V283=3,"High",V283=4,"Very High")</f>
        <v>High</v>
      </c>
      <c r="AL283" t="str" cm="1">
        <f t="array" ref="AL283">_xlfn.IFS(Z283=1,"Bad",Z283=2,"Good",Z283=3,"Better",Z283=4,"Best")</f>
        <v>Better</v>
      </c>
      <c r="AM283" t="str" cm="1">
        <f t="array" ref="AM283">_xlfn.IFS(W283=0,"No_stock",W283=1,"Low",W283=2,"Medium",W283=3,"High")</f>
        <v>No_stock</v>
      </c>
      <c r="AN283" t="str">
        <f t="shared" si="4"/>
        <v>Near</v>
      </c>
    </row>
    <row r="284" spans="1:40" x14ac:dyDescent="0.45">
      <c r="A284">
        <v>29</v>
      </c>
      <c r="B284" t="s">
        <v>37</v>
      </c>
      <c r="C284" t="s">
        <v>38</v>
      </c>
      <c r="D284">
        <v>442</v>
      </c>
      <c r="E284" t="s">
        <v>32</v>
      </c>
      <c r="F284">
        <v>2</v>
      </c>
      <c r="G284">
        <v>2</v>
      </c>
      <c r="H284" t="s">
        <v>33</v>
      </c>
      <c r="I284">
        <v>388</v>
      </c>
      <c r="J284">
        <v>2</v>
      </c>
      <c r="K284" t="s">
        <v>40</v>
      </c>
      <c r="L284">
        <v>3</v>
      </c>
      <c r="M284">
        <v>2</v>
      </c>
      <c r="N284" t="s">
        <v>35</v>
      </c>
      <c r="O284">
        <v>4</v>
      </c>
      <c r="P284" t="s">
        <v>36</v>
      </c>
      <c r="Q284">
        <v>4554</v>
      </c>
      <c r="R284">
        <v>1</v>
      </c>
      <c r="S284" t="s">
        <v>37</v>
      </c>
      <c r="T284">
        <v>18</v>
      </c>
      <c r="U284">
        <v>3</v>
      </c>
      <c r="V284">
        <v>1</v>
      </c>
      <c r="W284">
        <v>0</v>
      </c>
      <c r="X284">
        <v>10</v>
      </c>
      <c r="Y284">
        <v>3</v>
      </c>
      <c r="Z284">
        <v>2</v>
      </c>
      <c r="AA284">
        <v>10</v>
      </c>
      <c r="AB284">
        <v>7</v>
      </c>
      <c r="AC284">
        <v>0</v>
      </c>
      <c r="AD284">
        <v>9</v>
      </c>
      <c r="AE284" t="str" cm="1">
        <f t="array" ref="AE284">_xlfn.IFS(G284=1,"Before College",G284=2,"College",G284=3,"Bachelor",G284=4,"Master",G284=5,"Doctor")</f>
        <v>College</v>
      </c>
      <c r="AF284" t="str" cm="1">
        <f t="array" ref="AF284">_xlfn.IFS(J284=1,"Low",J284=2,"Medium",J284=3,"High",J284=4,"Very High")</f>
        <v>Medium</v>
      </c>
      <c r="AG284" t="str" cm="1">
        <f t="array" ref="AG284">_xlfn.IFS(L284=1,"Low",L284=2,"Medium",L284=3,"High",L284=4,"Very High")</f>
        <v>High</v>
      </c>
      <c r="AH284" t="str" cm="1">
        <f t="array" ref="AH284">_xlfn.IFS(M284=1,"Junior employee",M284=2,"Mid-level",M284=3,"Senior",M284=4,"Manager",M284=5,"Executive")</f>
        <v>Mid-level</v>
      </c>
      <c r="AI284" t="str" cm="1">
        <f t="array" ref="AI284">_xlfn.IFS(O284=1,"Low",O284=2,"Medium",O284=3,"High",O284=4,"Very High")</f>
        <v>Very High</v>
      </c>
      <c r="AJ284" t="str" cm="1">
        <f t="array" ref="AJ284">_xlfn.IFS(U284=1,"Low",U284=2,"Good",U284=3,"Excellent",U284=4,"Outstanding")</f>
        <v>Excellent</v>
      </c>
      <c r="AK284" t="str" cm="1">
        <f t="array" ref="AK284">_xlfn.IFS(V284=1,"Low",V284=2,"Medium",V284=3,"High",V284=4,"Very High")</f>
        <v>Low</v>
      </c>
      <c r="AL284" t="str" cm="1">
        <f t="array" ref="AL284">_xlfn.IFS(Z284=1,"Bad",Z284=2,"Good",Z284=3,"Better",Z284=4,"Best")</f>
        <v>Good</v>
      </c>
      <c r="AM284" t="str" cm="1">
        <f t="array" ref="AM284">_xlfn.IFS(W284=0,"No_stock",W284=1,"Low",W284=2,"Medium",W284=3,"High")</f>
        <v>No_stock</v>
      </c>
      <c r="AN284" t="str">
        <f t="shared" si="4"/>
        <v>Near</v>
      </c>
    </row>
    <row r="285" spans="1:40" x14ac:dyDescent="0.45">
      <c r="A285">
        <v>55</v>
      </c>
      <c r="B285" t="s">
        <v>37</v>
      </c>
      <c r="C285" t="s">
        <v>31</v>
      </c>
      <c r="D285">
        <v>147</v>
      </c>
      <c r="E285" t="s">
        <v>39</v>
      </c>
      <c r="F285">
        <v>20</v>
      </c>
      <c r="G285">
        <v>2</v>
      </c>
      <c r="H285" t="s">
        <v>54</v>
      </c>
      <c r="I285">
        <v>389</v>
      </c>
      <c r="J285">
        <v>2</v>
      </c>
      <c r="K285" t="s">
        <v>40</v>
      </c>
      <c r="L285">
        <v>3</v>
      </c>
      <c r="M285">
        <v>2</v>
      </c>
      <c r="N285" t="s">
        <v>44</v>
      </c>
      <c r="O285">
        <v>4</v>
      </c>
      <c r="P285" t="s">
        <v>42</v>
      </c>
      <c r="Q285">
        <v>5415</v>
      </c>
      <c r="R285">
        <v>3</v>
      </c>
      <c r="S285" t="s">
        <v>30</v>
      </c>
      <c r="T285">
        <v>19</v>
      </c>
      <c r="U285">
        <v>3</v>
      </c>
      <c r="V285">
        <v>4</v>
      </c>
      <c r="W285">
        <v>1</v>
      </c>
      <c r="X285">
        <v>12</v>
      </c>
      <c r="Y285">
        <v>4</v>
      </c>
      <c r="Z285">
        <v>3</v>
      </c>
      <c r="AA285">
        <v>10</v>
      </c>
      <c r="AB285">
        <v>7</v>
      </c>
      <c r="AC285">
        <v>0</v>
      </c>
      <c r="AD285">
        <v>8</v>
      </c>
      <c r="AE285" t="str" cm="1">
        <f t="array" ref="AE285">_xlfn.IFS(G285=1,"Before College",G285=2,"College",G285=3,"Bachelor",G285=4,"Master",G285=5,"Doctor")</f>
        <v>College</v>
      </c>
      <c r="AF285" t="str" cm="1">
        <f t="array" ref="AF285">_xlfn.IFS(J285=1,"Low",J285=2,"Medium",J285=3,"High",J285=4,"Very High")</f>
        <v>Medium</v>
      </c>
      <c r="AG285" t="str" cm="1">
        <f t="array" ref="AG285">_xlfn.IFS(L285=1,"Low",L285=2,"Medium",L285=3,"High",L285=4,"Very High")</f>
        <v>High</v>
      </c>
      <c r="AH285" t="str" cm="1">
        <f t="array" ref="AH285">_xlfn.IFS(M285=1,"Junior employee",M285=2,"Mid-level",M285=3,"Senior",M285=4,"Manager",M285=5,"Executive")</f>
        <v>Mid-level</v>
      </c>
      <c r="AI285" t="str" cm="1">
        <f t="array" ref="AI285">_xlfn.IFS(O285=1,"Low",O285=2,"Medium",O285=3,"High",O285=4,"Very High")</f>
        <v>Very High</v>
      </c>
      <c r="AJ285" t="str" cm="1">
        <f t="array" ref="AJ285">_xlfn.IFS(U285=1,"Low",U285=2,"Good",U285=3,"Excellent",U285=4,"Outstanding")</f>
        <v>Excellent</v>
      </c>
      <c r="AK285" t="str" cm="1">
        <f t="array" ref="AK285">_xlfn.IFS(V285=1,"Low",V285=2,"Medium",V285=3,"High",V285=4,"Very High")</f>
        <v>Very High</v>
      </c>
      <c r="AL285" t="str" cm="1">
        <f t="array" ref="AL285">_xlfn.IFS(Z285=1,"Bad",Z285=2,"Good",Z285=3,"Better",Z285=4,"Best")</f>
        <v>Better</v>
      </c>
      <c r="AM285" t="str" cm="1">
        <f t="array" ref="AM285">_xlfn.IFS(W285=0,"No_stock",W285=1,"Low",W285=2,"Medium",W285=3,"High")</f>
        <v>Low</v>
      </c>
      <c r="AN285" t="str">
        <f t="shared" si="4"/>
        <v>Far</v>
      </c>
    </row>
    <row r="286" spans="1:40" x14ac:dyDescent="0.45">
      <c r="A286">
        <v>26</v>
      </c>
      <c r="B286" t="s">
        <v>37</v>
      </c>
      <c r="C286" t="s">
        <v>38</v>
      </c>
      <c r="D286">
        <v>496</v>
      </c>
      <c r="E286" t="s">
        <v>39</v>
      </c>
      <c r="F286">
        <v>11</v>
      </c>
      <c r="G286">
        <v>2</v>
      </c>
      <c r="H286" t="s">
        <v>45</v>
      </c>
      <c r="I286">
        <v>390</v>
      </c>
      <c r="J286">
        <v>1</v>
      </c>
      <c r="K286" t="s">
        <v>40</v>
      </c>
      <c r="L286">
        <v>3</v>
      </c>
      <c r="M286">
        <v>2</v>
      </c>
      <c r="N286" t="s">
        <v>48</v>
      </c>
      <c r="O286">
        <v>1</v>
      </c>
      <c r="P286" t="s">
        <v>42</v>
      </c>
      <c r="Q286">
        <v>4741</v>
      </c>
      <c r="R286">
        <v>1</v>
      </c>
      <c r="S286" t="s">
        <v>30</v>
      </c>
      <c r="T286">
        <v>13</v>
      </c>
      <c r="U286">
        <v>3</v>
      </c>
      <c r="V286">
        <v>3</v>
      </c>
      <c r="W286">
        <v>1</v>
      </c>
      <c r="X286">
        <v>5</v>
      </c>
      <c r="Y286">
        <v>3</v>
      </c>
      <c r="Z286">
        <v>3</v>
      </c>
      <c r="AA286">
        <v>5</v>
      </c>
      <c r="AB286">
        <v>3</v>
      </c>
      <c r="AC286">
        <v>3</v>
      </c>
      <c r="AD286">
        <v>3</v>
      </c>
      <c r="AE286" t="str" cm="1">
        <f t="array" ref="AE286">_xlfn.IFS(G286=1,"Before College",G286=2,"College",G286=3,"Bachelor",G286=4,"Master",G286=5,"Doctor")</f>
        <v>College</v>
      </c>
      <c r="AF286" t="str" cm="1">
        <f t="array" ref="AF286">_xlfn.IFS(J286=1,"Low",J286=2,"Medium",J286=3,"High",J286=4,"Very High")</f>
        <v>Low</v>
      </c>
      <c r="AG286" t="str" cm="1">
        <f t="array" ref="AG286">_xlfn.IFS(L286=1,"Low",L286=2,"Medium",L286=3,"High",L286=4,"Very High")</f>
        <v>High</v>
      </c>
      <c r="AH286" t="str" cm="1">
        <f t="array" ref="AH286">_xlfn.IFS(M286=1,"Junior employee",M286=2,"Mid-level",M286=3,"Senior",M286=4,"Manager",M286=5,"Executive")</f>
        <v>Mid-level</v>
      </c>
      <c r="AI286" t="str" cm="1">
        <f t="array" ref="AI286">_xlfn.IFS(O286=1,"Low",O286=2,"Medium",O286=3,"High",O286=4,"Very High")</f>
        <v>Low</v>
      </c>
      <c r="AJ286" t="str" cm="1">
        <f t="array" ref="AJ286">_xlfn.IFS(U286=1,"Low",U286=2,"Good",U286=3,"Excellent",U286=4,"Outstanding")</f>
        <v>Excellent</v>
      </c>
      <c r="AK286" t="str" cm="1">
        <f t="array" ref="AK286">_xlfn.IFS(V286=1,"Low",V286=2,"Medium",V286=3,"High",V286=4,"Very High")</f>
        <v>High</v>
      </c>
      <c r="AL286" t="str" cm="1">
        <f t="array" ref="AL286">_xlfn.IFS(Z286=1,"Bad",Z286=2,"Good",Z286=3,"Better",Z286=4,"Best")</f>
        <v>Better</v>
      </c>
      <c r="AM286" t="str" cm="1">
        <f t="array" ref="AM286">_xlfn.IFS(W286=0,"No_stock",W286=1,"Low",W286=2,"Medium",W286=3,"High")</f>
        <v>Low</v>
      </c>
      <c r="AN286" t="str">
        <f t="shared" si="4"/>
        <v>Medium</v>
      </c>
    </row>
    <row r="287" spans="1:40" x14ac:dyDescent="0.45">
      <c r="A287">
        <v>37</v>
      </c>
      <c r="B287" t="s">
        <v>37</v>
      </c>
      <c r="C287" t="s">
        <v>31</v>
      </c>
      <c r="D287">
        <v>1372</v>
      </c>
      <c r="E287" t="s">
        <v>39</v>
      </c>
      <c r="F287">
        <v>1</v>
      </c>
      <c r="G287">
        <v>3</v>
      </c>
      <c r="H287" t="s">
        <v>33</v>
      </c>
      <c r="I287">
        <v>391</v>
      </c>
      <c r="J287">
        <v>4</v>
      </c>
      <c r="K287" t="s">
        <v>34</v>
      </c>
      <c r="L287">
        <v>3</v>
      </c>
      <c r="M287">
        <v>1</v>
      </c>
      <c r="N287" t="s">
        <v>41</v>
      </c>
      <c r="O287">
        <v>4</v>
      </c>
      <c r="P287" t="s">
        <v>36</v>
      </c>
      <c r="Q287">
        <v>2115</v>
      </c>
      <c r="R287">
        <v>1</v>
      </c>
      <c r="S287" t="s">
        <v>37</v>
      </c>
      <c r="T287">
        <v>12</v>
      </c>
      <c r="U287">
        <v>3</v>
      </c>
      <c r="V287">
        <v>2</v>
      </c>
      <c r="W287">
        <v>0</v>
      </c>
      <c r="X287">
        <v>17</v>
      </c>
      <c r="Y287">
        <v>3</v>
      </c>
      <c r="Z287">
        <v>3</v>
      </c>
      <c r="AA287">
        <v>17</v>
      </c>
      <c r="AB287">
        <v>12</v>
      </c>
      <c r="AC287">
        <v>5</v>
      </c>
      <c r="AD287">
        <v>7</v>
      </c>
      <c r="AE287" t="str" cm="1">
        <f t="array" ref="AE287">_xlfn.IFS(G287=1,"Before College",G287=2,"College",G287=3,"Bachelor",G287=4,"Master",G287=5,"Doctor")</f>
        <v>Bachelor</v>
      </c>
      <c r="AF287" t="str" cm="1">
        <f t="array" ref="AF287">_xlfn.IFS(J287=1,"Low",J287=2,"Medium",J287=3,"High",J287=4,"Very High")</f>
        <v>Very High</v>
      </c>
      <c r="AG287" t="str" cm="1">
        <f t="array" ref="AG287">_xlfn.IFS(L287=1,"Low",L287=2,"Medium",L287=3,"High",L287=4,"Very High")</f>
        <v>High</v>
      </c>
      <c r="AH287" t="str" cm="1">
        <f t="array" ref="AH287">_xlfn.IFS(M287=1,"Junior employee",M287=2,"Mid-level",M287=3,"Senior",M287=4,"Manager",M287=5,"Executive")</f>
        <v>Junior employee</v>
      </c>
      <c r="AI287" t="str" cm="1">
        <f t="array" ref="AI287">_xlfn.IFS(O287=1,"Low",O287=2,"Medium",O287=3,"High",O287=4,"Very High")</f>
        <v>Very High</v>
      </c>
      <c r="AJ287" t="str" cm="1">
        <f t="array" ref="AJ287">_xlfn.IFS(U287=1,"Low",U287=2,"Good",U287=3,"Excellent",U287=4,"Outstanding")</f>
        <v>Excellent</v>
      </c>
      <c r="AK287" t="str" cm="1">
        <f t="array" ref="AK287">_xlfn.IFS(V287=1,"Low",V287=2,"Medium",V287=3,"High",V287=4,"Very High")</f>
        <v>Medium</v>
      </c>
      <c r="AL287" t="str" cm="1">
        <f t="array" ref="AL287">_xlfn.IFS(Z287=1,"Bad",Z287=2,"Good",Z287=3,"Better",Z287=4,"Best")</f>
        <v>Better</v>
      </c>
      <c r="AM287" t="str" cm="1">
        <f t="array" ref="AM287">_xlfn.IFS(W287=0,"No_stock",W287=1,"Low",W287=2,"Medium",W287=3,"High")</f>
        <v>No_stock</v>
      </c>
      <c r="AN287" t="str">
        <f t="shared" si="4"/>
        <v>Near</v>
      </c>
    </row>
    <row r="288" spans="1:40" x14ac:dyDescent="0.45">
      <c r="A288">
        <v>44</v>
      </c>
      <c r="B288" t="s">
        <v>30</v>
      </c>
      <c r="C288" t="s">
        <v>38</v>
      </c>
      <c r="D288">
        <v>920</v>
      </c>
      <c r="E288" t="s">
        <v>39</v>
      </c>
      <c r="F288">
        <v>24</v>
      </c>
      <c r="G288">
        <v>3</v>
      </c>
      <c r="H288" t="s">
        <v>33</v>
      </c>
      <c r="I288">
        <v>392</v>
      </c>
      <c r="J288">
        <v>4</v>
      </c>
      <c r="K288" t="s">
        <v>40</v>
      </c>
      <c r="L288">
        <v>3</v>
      </c>
      <c r="M288">
        <v>1</v>
      </c>
      <c r="N288" t="s">
        <v>44</v>
      </c>
      <c r="O288">
        <v>3</v>
      </c>
      <c r="P288" t="s">
        <v>46</v>
      </c>
      <c r="Q288">
        <v>3161</v>
      </c>
      <c r="R288">
        <v>3</v>
      </c>
      <c r="S288" t="s">
        <v>30</v>
      </c>
      <c r="T288">
        <v>22</v>
      </c>
      <c r="U288">
        <v>4</v>
      </c>
      <c r="V288">
        <v>4</v>
      </c>
      <c r="W288">
        <v>1</v>
      </c>
      <c r="X288">
        <v>19</v>
      </c>
      <c r="Y288">
        <v>0</v>
      </c>
      <c r="Z288">
        <v>1</v>
      </c>
      <c r="AA288">
        <v>1</v>
      </c>
      <c r="AB288">
        <v>0</v>
      </c>
      <c r="AC288">
        <v>0</v>
      </c>
      <c r="AD288">
        <v>0</v>
      </c>
      <c r="AE288" t="str" cm="1">
        <f t="array" ref="AE288">_xlfn.IFS(G288=1,"Before College",G288=2,"College",G288=3,"Bachelor",G288=4,"Master",G288=5,"Doctor")</f>
        <v>Bachelor</v>
      </c>
      <c r="AF288" t="str" cm="1">
        <f t="array" ref="AF288">_xlfn.IFS(J288=1,"Low",J288=2,"Medium",J288=3,"High",J288=4,"Very High")</f>
        <v>Very High</v>
      </c>
      <c r="AG288" t="str" cm="1">
        <f t="array" ref="AG288">_xlfn.IFS(L288=1,"Low",L288=2,"Medium",L288=3,"High",L288=4,"Very High")</f>
        <v>High</v>
      </c>
      <c r="AH288" t="str" cm="1">
        <f t="array" ref="AH288">_xlfn.IFS(M288=1,"Junior employee",M288=2,"Mid-level",M288=3,"Senior",M288=4,"Manager",M288=5,"Executive")</f>
        <v>Junior employee</v>
      </c>
      <c r="AI288" t="str" cm="1">
        <f t="array" ref="AI288">_xlfn.IFS(O288=1,"Low",O288=2,"Medium",O288=3,"High",O288=4,"Very High")</f>
        <v>High</v>
      </c>
      <c r="AJ288" t="str" cm="1">
        <f t="array" ref="AJ288">_xlfn.IFS(U288=1,"Low",U288=2,"Good",U288=3,"Excellent",U288=4,"Outstanding")</f>
        <v>Outstanding</v>
      </c>
      <c r="AK288" t="str" cm="1">
        <f t="array" ref="AK288">_xlfn.IFS(V288=1,"Low",V288=2,"Medium",V288=3,"High",V288=4,"Very High")</f>
        <v>Very High</v>
      </c>
      <c r="AL288" t="str" cm="1">
        <f t="array" ref="AL288">_xlfn.IFS(Z288=1,"Bad",Z288=2,"Good",Z288=3,"Better",Z288=4,"Best")</f>
        <v>Bad</v>
      </c>
      <c r="AM288" t="str" cm="1">
        <f t="array" ref="AM288">_xlfn.IFS(W288=0,"No_stock",W288=1,"Low",W288=2,"Medium",W288=3,"High")</f>
        <v>Low</v>
      </c>
      <c r="AN288" t="str">
        <f t="shared" si="4"/>
        <v>Far</v>
      </c>
    </row>
    <row r="289" spans="1:40" x14ac:dyDescent="0.45">
      <c r="A289">
        <v>38</v>
      </c>
      <c r="B289" t="s">
        <v>37</v>
      </c>
      <c r="C289" t="s">
        <v>31</v>
      </c>
      <c r="D289">
        <v>688</v>
      </c>
      <c r="E289" t="s">
        <v>39</v>
      </c>
      <c r="F289">
        <v>23</v>
      </c>
      <c r="G289">
        <v>4</v>
      </c>
      <c r="H289" t="s">
        <v>33</v>
      </c>
      <c r="I289">
        <v>393</v>
      </c>
      <c r="J289">
        <v>4</v>
      </c>
      <c r="K289" t="s">
        <v>40</v>
      </c>
      <c r="L289">
        <v>3</v>
      </c>
      <c r="M289">
        <v>2</v>
      </c>
      <c r="N289" t="s">
        <v>48</v>
      </c>
      <c r="O289">
        <v>4</v>
      </c>
      <c r="P289" t="s">
        <v>46</v>
      </c>
      <c r="Q289">
        <v>5745</v>
      </c>
      <c r="R289">
        <v>9</v>
      </c>
      <c r="S289" t="s">
        <v>37</v>
      </c>
      <c r="T289">
        <v>14</v>
      </c>
      <c r="U289">
        <v>3</v>
      </c>
      <c r="V289">
        <v>2</v>
      </c>
      <c r="W289">
        <v>1</v>
      </c>
      <c r="X289">
        <v>10</v>
      </c>
      <c r="Y289">
        <v>2</v>
      </c>
      <c r="Z289">
        <v>3</v>
      </c>
      <c r="AA289">
        <v>2</v>
      </c>
      <c r="AB289">
        <v>2</v>
      </c>
      <c r="AC289">
        <v>1</v>
      </c>
      <c r="AD289">
        <v>2</v>
      </c>
      <c r="AE289" t="str" cm="1">
        <f t="array" ref="AE289">_xlfn.IFS(G289=1,"Before College",G289=2,"College",G289=3,"Bachelor",G289=4,"Master",G289=5,"Doctor")</f>
        <v>Master</v>
      </c>
      <c r="AF289" t="str" cm="1">
        <f t="array" ref="AF289">_xlfn.IFS(J289=1,"Low",J289=2,"Medium",J289=3,"High",J289=4,"Very High")</f>
        <v>Very High</v>
      </c>
      <c r="AG289" t="str" cm="1">
        <f t="array" ref="AG289">_xlfn.IFS(L289=1,"Low",L289=2,"Medium",L289=3,"High",L289=4,"Very High")</f>
        <v>High</v>
      </c>
      <c r="AH289" t="str" cm="1">
        <f t="array" ref="AH289">_xlfn.IFS(M289=1,"Junior employee",M289=2,"Mid-level",M289=3,"Senior",M289=4,"Manager",M289=5,"Executive")</f>
        <v>Mid-level</v>
      </c>
      <c r="AI289" t="str" cm="1">
        <f t="array" ref="AI289">_xlfn.IFS(O289=1,"Low",O289=2,"Medium",O289=3,"High",O289=4,"Very High")</f>
        <v>Very High</v>
      </c>
      <c r="AJ289" t="str" cm="1">
        <f t="array" ref="AJ289">_xlfn.IFS(U289=1,"Low",U289=2,"Good",U289=3,"Excellent",U289=4,"Outstanding")</f>
        <v>Excellent</v>
      </c>
      <c r="AK289" t="str" cm="1">
        <f t="array" ref="AK289">_xlfn.IFS(V289=1,"Low",V289=2,"Medium",V289=3,"High",V289=4,"Very High")</f>
        <v>Medium</v>
      </c>
      <c r="AL289" t="str" cm="1">
        <f t="array" ref="AL289">_xlfn.IFS(Z289=1,"Bad",Z289=2,"Good",Z289=3,"Better",Z289=4,"Best")</f>
        <v>Better</v>
      </c>
      <c r="AM289" t="str" cm="1">
        <f t="array" ref="AM289">_xlfn.IFS(W289=0,"No_stock",W289=1,"Low",W289=2,"Medium",W289=3,"High")</f>
        <v>Low</v>
      </c>
      <c r="AN289" t="str">
        <f t="shared" si="4"/>
        <v>Far</v>
      </c>
    </row>
    <row r="290" spans="1:40" x14ac:dyDescent="0.45">
      <c r="A290">
        <v>26</v>
      </c>
      <c r="B290" t="s">
        <v>30</v>
      </c>
      <c r="C290" t="s">
        <v>31</v>
      </c>
      <c r="D290">
        <v>1449</v>
      </c>
      <c r="E290" t="s">
        <v>39</v>
      </c>
      <c r="F290">
        <v>16</v>
      </c>
      <c r="G290">
        <v>4</v>
      </c>
      <c r="H290" t="s">
        <v>45</v>
      </c>
      <c r="I290">
        <v>394</v>
      </c>
      <c r="J290">
        <v>1</v>
      </c>
      <c r="K290" t="s">
        <v>40</v>
      </c>
      <c r="L290">
        <v>3</v>
      </c>
      <c r="M290">
        <v>1</v>
      </c>
      <c r="N290" t="s">
        <v>44</v>
      </c>
      <c r="O290">
        <v>2</v>
      </c>
      <c r="P290" t="s">
        <v>46</v>
      </c>
      <c r="Q290">
        <v>2373</v>
      </c>
      <c r="R290">
        <v>2</v>
      </c>
      <c r="S290" t="s">
        <v>30</v>
      </c>
      <c r="T290">
        <v>13</v>
      </c>
      <c r="U290">
        <v>3</v>
      </c>
      <c r="V290">
        <v>4</v>
      </c>
      <c r="W290">
        <v>1</v>
      </c>
      <c r="X290">
        <v>5</v>
      </c>
      <c r="Y290">
        <v>2</v>
      </c>
      <c r="Z290">
        <v>3</v>
      </c>
      <c r="AA290">
        <v>3</v>
      </c>
      <c r="AB290">
        <v>2</v>
      </c>
      <c r="AC290">
        <v>0</v>
      </c>
      <c r="AD290">
        <v>2</v>
      </c>
      <c r="AE290" t="str" cm="1">
        <f t="array" ref="AE290">_xlfn.IFS(G290=1,"Before College",G290=2,"College",G290=3,"Bachelor",G290=4,"Master",G290=5,"Doctor")</f>
        <v>Master</v>
      </c>
      <c r="AF290" t="str" cm="1">
        <f t="array" ref="AF290">_xlfn.IFS(J290=1,"Low",J290=2,"Medium",J290=3,"High",J290=4,"Very High")</f>
        <v>Low</v>
      </c>
      <c r="AG290" t="str" cm="1">
        <f t="array" ref="AG290">_xlfn.IFS(L290=1,"Low",L290=2,"Medium",L290=3,"High",L290=4,"Very High")</f>
        <v>High</v>
      </c>
      <c r="AH290" t="str" cm="1">
        <f t="array" ref="AH290">_xlfn.IFS(M290=1,"Junior employee",M290=2,"Mid-level",M290=3,"Senior",M290=4,"Manager",M290=5,"Executive")</f>
        <v>Junior employee</v>
      </c>
      <c r="AI290" t="str" cm="1">
        <f t="array" ref="AI290">_xlfn.IFS(O290=1,"Low",O290=2,"Medium",O290=3,"High",O290=4,"Very High")</f>
        <v>Medium</v>
      </c>
      <c r="AJ290" t="str" cm="1">
        <f t="array" ref="AJ290">_xlfn.IFS(U290=1,"Low",U290=2,"Good",U290=3,"Excellent",U290=4,"Outstanding")</f>
        <v>Excellent</v>
      </c>
      <c r="AK290" t="str" cm="1">
        <f t="array" ref="AK290">_xlfn.IFS(V290=1,"Low",V290=2,"Medium",V290=3,"High",V290=4,"Very High")</f>
        <v>Very High</v>
      </c>
      <c r="AL290" t="str" cm="1">
        <f t="array" ref="AL290">_xlfn.IFS(Z290=1,"Bad",Z290=2,"Good",Z290=3,"Better",Z290=4,"Best")</f>
        <v>Better</v>
      </c>
      <c r="AM290" t="str" cm="1">
        <f t="array" ref="AM290">_xlfn.IFS(W290=0,"No_stock",W290=1,"Low",W290=2,"Medium",W290=3,"High")</f>
        <v>Low</v>
      </c>
      <c r="AN290" t="str">
        <f t="shared" si="4"/>
        <v>Far</v>
      </c>
    </row>
    <row r="291" spans="1:40" x14ac:dyDescent="0.45">
      <c r="A291">
        <v>28</v>
      </c>
      <c r="B291" t="s">
        <v>37</v>
      </c>
      <c r="C291" t="s">
        <v>31</v>
      </c>
      <c r="D291">
        <v>1117</v>
      </c>
      <c r="E291" t="s">
        <v>39</v>
      </c>
      <c r="F291">
        <v>8</v>
      </c>
      <c r="G291">
        <v>2</v>
      </c>
      <c r="H291" t="s">
        <v>33</v>
      </c>
      <c r="I291">
        <v>395</v>
      </c>
      <c r="J291">
        <v>4</v>
      </c>
      <c r="K291" t="s">
        <v>34</v>
      </c>
      <c r="L291">
        <v>3</v>
      </c>
      <c r="M291">
        <v>1</v>
      </c>
      <c r="N291" t="s">
        <v>41</v>
      </c>
      <c r="O291">
        <v>4</v>
      </c>
      <c r="P291" t="s">
        <v>36</v>
      </c>
      <c r="Q291">
        <v>3310</v>
      </c>
      <c r="R291">
        <v>1</v>
      </c>
      <c r="S291" t="s">
        <v>37</v>
      </c>
      <c r="T291">
        <v>21</v>
      </c>
      <c r="U291">
        <v>4</v>
      </c>
      <c r="V291">
        <v>4</v>
      </c>
      <c r="W291">
        <v>0</v>
      </c>
      <c r="X291">
        <v>5</v>
      </c>
      <c r="Y291">
        <v>3</v>
      </c>
      <c r="Z291">
        <v>3</v>
      </c>
      <c r="AA291">
        <v>5</v>
      </c>
      <c r="AB291">
        <v>3</v>
      </c>
      <c r="AC291">
        <v>0</v>
      </c>
      <c r="AD291">
        <v>2</v>
      </c>
      <c r="AE291" t="str" cm="1">
        <f t="array" ref="AE291">_xlfn.IFS(G291=1,"Before College",G291=2,"College",G291=3,"Bachelor",G291=4,"Master",G291=5,"Doctor")</f>
        <v>College</v>
      </c>
      <c r="AF291" t="str" cm="1">
        <f t="array" ref="AF291">_xlfn.IFS(J291=1,"Low",J291=2,"Medium",J291=3,"High",J291=4,"Very High")</f>
        <v>Very High</v>
      </c>
      <c r="AG291" t="str" cm="1">
        <f t="array" ref="AG291">_xlfn.IFS(L291=1,"Low",L291=2,"Medium",L291=3,"High",L291=4,"Very High")</f>
        <v>High</v>
      </c>
      <c r="AH291" t="str" cm="1">
        <f t="array" ref="AH291">_xlfn.IFS(M291=1,"Junior employee",M291=2,"Mid-level",M291=3,"Senior",M291=4,"Manager",M291=5,"Executive")</f>
        <v>Junior employee</v>
      </c>
      <c r="AI291" t="str" cm="1">
        <f t="array" ref="AI291">_xlfn.IFS(O291=1,"Low",O291=2,"Medium",O291=3,"High",O291=4,"Very High")</f>
        <v>Very High</v>
      </c>
      <c r="AJ291" t="str" cm="1">
        <f t="array" ref="AJ291">_xlfn.IFS(U291=1,"Low",U291=2,"Good",U291=3,"Excellent",U291=4,"Outstanding")</f>
        <v>Outstanding</v>
      </c>
      <c r="AK291" t="str" cm="1">
        <f t="array" ref="AK291">_xlfn.IFS(V291=1,"Low",V291=2,"Medium",V291=3,"High",V291=4,"Very High")</f>
        <v>Very High</v>
      </c>
      <c r="AL291" t="str" cm="1">
        <f t="array" ref="AL291">_xlfn.IFS(Z291=1,"Bad",Z291=2,"Good",Z291=3,"Better",Z291=4,"Best")</f>
        <v>Better</v>
      </c>
      <c r="AM291" t="str" cm="1">
        <f t="array" ref="AM291">_xlfn.IFS(W291=0,"No_stock",W291=1,"Low",W291=2,"Medium",W291=3,"High")</f>
        <v>No_stock</v>
      </c>
      <c r="AN291" t="str">
        <f t="shared" si="4"/>
        <v>Medium</v>
      </c>
    </row>
    <row r="292" spans="1:40" x14ac:dyDescent="0.45">
      <c r="A292">
        <v>49</v>
      </c>
      <c r="B292" t="s">
        <v>37</v>
      </c>
      <c r="C292" t="s">
        <v>38</v>
      </c>
      <c r="D292">
        <v>636</v>
      </c>
      <c r="E292" t="s">
        <v>39</v>
      </c>
      <c r="F292">
        <v>10</v>
      </c>
      <c r="G292">
        <v>4</v>
      </c>
      <c r="H292" t="s">
        <v>33</v>
      </c>
      <c r="I292">
        <v>396</v>
      </c>
      <c r="J292">
        <v>3</v>
      </c>
      <c r="K292" t="s">
        <v>34</v>
      </c>
      <c r="L292">
        <v>3</v>
      </c>
      <c r="M292">
        <v>5</v>
      </c>
      <c r="N292" t="s">
        <v>52</v>
      </c>
      <c r="O292">
        <v>1</v>
      </c>
      <c r="P292" t="s">
        <v>36</v>
      </c>
      <c r="Q292">
        <v>18665</v>
      </c>
      <c r="R292">
        <v>9</v>
      </c>
      <c r="S292" t="s">
        <v>30</v>
      </c>
      <c r="T292">
        <v>11</v>
      </c>
      <c r="U292">
        <v>3</v>
      </c>
      <c r="V292">
        <v>4</v>
      </c>
      <c r="W292">
        <v>0</v>
      </c>
      <c r="X292">
        <v>22</v>
      </c>
      <c r="Y292">
        <v>4</v>
      </c>
      <c r="Z292">
        <v>3</v>
      </c>
      <c r="AA292">
        <v>3</v>
      </c>
      <c r="AB292">
        <v>2</v>
      </c>
      <c r="AC292">
        <v>1</v>
      </c>
      <c r="AD292">
        <v>2</v>
      </c>
      <c r="AE292" t="str" cm="1">
        <f t="array" ref="AE292">_xlfn.IFS(G292=1,"Before College",G292=2,"College",G292=3,"Bachelor",G292=4,"Master",G292=5,"Doctor")</f>
        <v>Master</v>
      </c>
      <c r="AF292" t="str" cm="1">
        <f t="array" ref="AF292">_xlfn.IFS(J292=1,"Low",J292=2,"Medium",J292=3,"High",J292=4,"Very High")</f>
        <v>High</v>
      </c>
      <c r="AG292" t="str" cm="1">
        <f t="array" ref="AG292">_xlfn.IFS(L292=1,"Low",L292=2,"Medium",L292=3,"High",L292=4,"Very High")</f>
        <v>High</v>
      </c>
      <c r="AH292" t="str" cm="1">
        <f t="array" ref="AH292">_xlfn.IFS(M292=1,"Junior employee",M292=2,"Mid-level",M292=3,"Senior",M292=4,"Manager",M292=5,"Executive")</f>
        <v>Executive</v>
      </c>
      <c r="AI292" t="str" cm="1">
        <f t="array" ref="AI292">_xlfn.IFS(O292=1,"Low",O292=2,"Medium",O292=3,"High",O292=4,"Very High")</f>
        <v>Low</v>
      </c>
      <c r="AJ292" t="str" cm="1">
        <f t="array" ref="AJ292">_xlfn.IFS(U292=1,"Low",U292=2,"Good",U292=3,"Excellent",U292=4,"Outstanding")</f>
        <v>Excellent</v>
      </c>
      <c r="AK292" t="str" cm="1">
        <f t="array" ref="AK292">_xlfn.IFS(V292=1,"Low",V292=2,"Medium",V292=3,"High",V292=4,"Very High")</f>
        <v>Very High</v>
      </c>
      <c r="AL292" t="str" cm="1">
        <f t="array" ref="AL292">_xlfn.IFS(Z292=1,"Bad",Z292=2,"Good",Z292=3,"Better",Z292=4,"Best")</f>
        <v>Better</v>
      </c>
      <c r="AM292" t="str" cm="1">
        <f t="array" ref="AM292">_xlfn.IFS(W292=0,"No_stock",W292=1,"Low",W292=2,"Medium",W292=3,"High")</f>
        <v>No_stock</v>
      </c>
      <c r="AN292" t="str">
        <f t="shared" si="4"/>
        <v>Medium</v>
      </c>
    </row>
    <row r="293" spans="1:40" x14ac:dyDescent="0.45">
      <c r="A293">
        <v>36</v>
      </c>
      <c r="B293" t="s">
        <v>37</v>
      </c>
      <c r="C293" t="s">
        <v>31</v>
      </c>
      <c r="D293">
        <v>506</v>
      </c>
      <c r="E293" t="s">
        <v>39</v>
      </c>
      <c r="F293">
        <v>3</v>
      </c>
      <c r="G293">
        <v>3</v>
      </c>
      <c r="H293" t="s">
        <v>54</v>
      </c>
      <c r="I293">
        <v>397</v>
      </c>
      <c r="J293">
        <v>3</v>
      </c>
      <c r="K293" t="s">
        <v>40</v>
      </c>
      <c r="L293">
        <v>3</v>
      </c>
      <c r="M293">
        <v>2</v>
      </c>
      <c r="N293" t="s">
        <v>41</v>
      </c>
      <c r="O293">
        <v>2</v>
      </c>
      <c r="P293" t="s">
        <v>36</v>
      </c>
      <c r="Q293">
        <v>4485</v>
      </c>
      <c r="R293">
        <v>4</v>
      </c>
      <c r="S293" t="s">
        <v>37</v>
      </c>
      <c r="T293">
        <v>12</v>
      </c>
      <c r="U293">
        <v>3</v>
      </c>
      <c r="V293">
        <v>4</v>
      </c>
      <c r="W293">
        <v>0</v>
      </c>
      <c r="X293">
        <v>10</v>
      </c>
      <c r="Y293">
        <v>2</v>
      </c>
      <c r="Z293">
        <v>3</v>
      </c>
      <c r="AA293">
        <v>8</v>
      </c>
      <c r="AB293">
        <v>0</v>
      </c>
      <c r="AC293">
        <v>7</v>
      </c>
      <c r="AD293">
        <v>7</v>
      </c>
      <c r="AE293" t="str" cm="1">
        <f t="array" ref="AE293">_xlfn.IFS(G293=1,"Before College",G293=2,"College",G293=3,"Bachelor",G293=4,"Master",G293=5,"Doctor")</f>
        <v>Bachelor</v>
      </c>
      <c r="AF293" t="str" cm="1">
        <f t="array" ref="AF293">_xlfn.IFS(J293=1,"Low",J293=2,"Medium",J293=3,"High",J293=4,"Very High")</f>
        <v>High</v>
      </c>
      <c r="AG293" t="str" cm="1">
        <f t="array" ref="AG293">_xlfn.IFS(L293=1,"Low",L293=2,"Medium",L293=3,"High",L293=4,"Very High")</f>
        <v>High</v>
      </c>
      <c r="AH293" t="str" cm="1">
        <f t="array" ref="AH293">_xlfn.IFS(M293=1,"Junior employee",M293=2,"Mid-level",M293=3,"Senior",M293=4,"Manager",M293=5,"Executive")</f>
        <v>Mid-level</v>
      </c>
      <c r="AI293" t="str" cm="1">
        <f t="array" ref="AI293">_xlfn.IFS(O293=1,"Low",O293=2,"Medium",O293=3,"High",O293=4,"Very High")</f>
        <v>Medium</v>
      </c>
      <c r="AJ293" t="str" cm="1">
        <f t="array" ref="AJ293">_xlfn.IFS(U293=1,"Low",U293=2,"Good",U293=3,"Excellent",U293=4,"Outstanding")</f>
        <v>Excellent</v>
      </c>
      <c r="AK293" t="str" cm="1">
        <f t="array" ref="AK293">_xlfn.IFS(V293=1,"Low",V293=2,"Medium",V293=3,"High",V293=4,"Very High")</f>
        <v>Very High</v>
      </c>
      <c r="AL293" t="str" cm="1">
        <f t="array" ref="AL293">_xlfn.IFS(Z293=1,"Bad",Z293=2,"Good",Z293=3,"Better",Z293=4,"Best")</f>
        <v>Better</v>
      </c>
      <c r="AM293" t="str" cm="1">
        <f t="array" ref="AM293">_xlfn.IFS(W293=0,"No_stock",W293=1,"Low",W293=2,"Medium",W293=3,"High")</f>
        <v>No_stock</v>
      </c>
      <c r="AN293" t="str">
        <f t="shared" si="4"/>
        <v>Near</v>
      </c>
    </row>
    <row r="294" spans="1:40" x14ac:dyDescent="0.45">
      <c r="A294">
        <v>31</v>
      </c>
      <c r="B294" t="s">
        <v>37</v>
      </c>
      <c r="C294" t="s">
        <v>38</v>
      </c>
      <c r="D294">
        <v>444</v>
      </c>
      <c r="E294" t="s">
        <v>32</v>
      </c>
      <c r="F294">
        <v>5</v>
      </c>
      <c r="G294">
        <v>3</v>
      </c>
      <c r="H294" t="s">
        <v>53</v>
      </c>
      <c r="I294">
        <v>399</v>
      </c>
      <c r="J294">
        <v>4</v>
      </c>
      <c r="K294" t="s">
        <v>34</v>
      </c>
      <c r="L294">
        <v>3</v>
      </c>
      <c r="M294">
        <v>1</v>
      </c>
      <c r="N294" t="s">
        <v>51</v>
      </c>
      <c r="O294">
        <v>2</v>
      </c>
      <c r="P294" t="s">
        <v>46</v>
      </c>
      <c r="Q294">
        <v>2789</v>
      </c>
      <c r="R294">
        <v>1</v>
      </c>
      <c r="S294" t="s">
        <v>37</v>
      </c>
      <c r="T294">
        <v>11</v>
      </c>
      <c r="U294">
        <v>3</v>
      </c>
      <c r="V294">
        <v>3</v>
      </c>
      <c r="W294">
        <v>1</v>
      </c>
      <c r="X294">
        <v>2</v>
      </c>
      <c r="Y294">
        <v>5</v>
      </c>
      <c r="Z294">
        <v>2</v>
      </c>
      <c r="AA294">
        <v>2</v>
      </c>
      <c r="AB294">
        <v>2</v>
      </c>
      <c r="AC294">
        <v>2</v>
      </c>
      <c r="AD294">
        <v>2</v>
      </c>
      <c r="AE294" t="str" cm="1">
        <f t="array" ref="AE294">_xlfn.IFS(G294=1,"Before College",G294=2,"College",G294=3,"Bachelor",G294=4,"Master",G294=5,"Doctor")</f>
        <v>Bachelor</v>
      </c>
      <c r="AF294" t="str" cm="1">
        <f t="array" ref="AF294">_xlfn.IFS(J294=1,"Low",J294=2,"Medium",J294=3,"High",J294=4,"Very High")</f>
        <v>Very High</v>
      </c>
      <c r="AG294" t="str" cm="1">
        <f t="array" ref="AG294">_xlfn.IFS(L294=1,"Low",L294=2,"Medium",L294=3,"High",L294=4,"Very High")</f>
        <v>High</v>
      </c>
      <c r="AH294" t="str" cm="1">
        <f t="array" ref="AH294">_xlfn.IFS(M294=1,"Junior employee",M294=2,"Mid-level",M294=3,"Senior",M294=4,"Manager",M294=5,"Executive")</f>
        <v>Junior employee</v>
      </c>
      <c r="AI294" t="str" cm="1">
        <f t="array" ref="AI294">_xlfn.IFS(O294=1,"Low",O294=2,"Medium",O294=3,"High",O294=4,"Very High")</f>
        <v>Medium</v>
      </c>
      <c r="AJ294" t="str" cm="1">
        <f t="array" ref="AJ294">_xlfn.IFS(U294=1,"Low",U294=2,"Good",U294=3,"Excellent",U294=4,"Outstanding")</f>
        <v>Excellent</v>
      </c>
      <c r="AK294" t="str" cm="1">
        <f t="array" ref="AK294">_xlfn.IFS(V294=1,"Low",V294=2,"Medium",V294=3,"High",V294=4,"Very High")</f>
        <v>High</v>
      </c>
      <c r="AL294" t="str" cm="1">
        <f t="array" ref="AL294">_xlfn.IFS(Z294=1,"Bad",Z294=2,"Good",Z294=3,"Better",Z294=4,"Best")</f>
        <v>Good</v>
      </c>
      <c r="AM294" t="str" cm="1">
        <f t="array" ref="AM294">_xlfn.IFS(W294=0,"No_stock",W294=1,"Low",W294=2,"Medium",W294=3,"High")</f>
        <v>Low</v>
      </c>
      <c r="AN294" t="str">
        <f t="shared" si="4"/>
        <v>Near</v>
      </c>
    </row>
    <row r="295" spans="1:40" x14ac:dyDescent="0.45">
      <c r="A295">
        <v>26</v>
      </c>
      <c r="B295" t="s">
        <v>30</v>
      </c>
      <c r="C295" t="s">
        <v>31</v>
      </c>
      <c r="D295">
        <v>950</v>
      </c>
      <c r="E295" t="s">
        <v>32</v>
      </c>
      <c r="F295">
        <v>4</v>
      </c>
      <c r="G295">
        <v>4</v>
      </c>
      <c r="H295" t="s">
        <v>53</v>
      </c>
      <c r="I295">
        <v>401</v>
      </c>
      <c r="J295">
        <v>4</v>
      </c>
      <c r="K295" t="s">
        <v>40</v>
      </c>
      <c r="L295">
        <v>2</v>
      </c>
      <c r="M295">
        <v>2</v>
      </c>
      <c r="N295" t="s">
        <v>35</v>
      </c>
      <c r="O295">
        <v>4</v>
      </c>
      <c r="P295" t="s">
        <v>36</v>
      </c>
      <c r="Q295">
        <v>5828</v>
      </c>
      <c r="R295">
        <v>1</v>
      </c>
      <c r="S295" t="s">
        <v>30</v>
      </c>
      <c r="T295">
        <v>12</v>
      </c>
      <c r="U295">
        <v>3</v>
      </c>
      <c r="V295">
        <v>2</v>
      </c>
      <c r="W295">
        <v>0</v>
      </c>
      <c r="X295">
        <v>8</v>
      </c>
      <c r="Y295">
        <v>0</v>
      </c>
      <c r="Z295">
        <v>3</v>
      </c>
      <c r="AA295">
        <v>8</v>
      </c>
      <c r="AB295">
        <v>7</v>
      </c>
      <c r="AC295">
        <v>7</v>
      </c>
      <c r="AD295">
        <v>4</v>
      </c>
      <c r="AE295" t="str" cm="1">
        <f t="array" ref="AE295">_xlfn.IFS(G295=1,"Before College",G295=2,"College",G295=3,"Bachelor",G295=4,"Master",G295=5,"Doctor")</f>
        <v>Master</v>
      </c>
      <c r="AF295" t="str" cm="1">
        <f t="array" ref="AF295">_xlfn.IFS(J295=1,"Low",J295=2,"Medium",J295=3,"High",J295=4,"Very High")</f>
        <v>Very High</v>
      </c>
      <c r="AG295" t="str" cm="1">
        <f t="array" ref="AG295">_xlfn.IFS(L295=1,"Low",L295=2,"Medium",L295=3,"High",L295=4,"Very High")</f>
        <v>Medium</v>
      </c>
      <c r="AH295" t="str" cm="1">
        <f t="array" ref="AH295">_xlfn.IFS(M295=1,"Junior employee",M295=2,"Mid-level",M295=3,"Senior",M295=4,"Manager",M295=5,"Executive")</f>
        <v>Mid-level</v>
      </c>
      <c r="AI295" t="str" cm="1">
        <f t="array" ref="AI295">_xlfn.IFS(O295=1,"Low",O295=2,"Medium",O295=3,"High",O295=4,"Very High")</f>
        <v>Very High</v>
      </c>
      <c r="AJ295" t="str" cm="1">
        <f t="array" ref="AJ295">_xlfn.IFS(U295=1,"Low",U295=2,"Good",U295=3,"Excellent",U295=4,"Outstanding")</f>
        <v>Excellent</v>
      </c>
      <c r="AK295" t="str" cm="1">
        <f t="array" ref="AK295">_xlfn.IFS(V295=1,"Low",V295=2,"Medium",V295=3,"High",V295=4,"Very High")</f>
        <v>Medium</v>
      </c>
      <c r="AL295" t="str" cm="1">
        <f t="array" ref="AL295">_xlfn.IFS(Z295=1,"Bad",Z295=2,"Good",Z295=3,"Better",Z295=4,"Best")</f>
        <v>Better</v>
      </c>
      <c r="AM295" t="str" cm="1">
        <f t="array" ref="AM295">_xlfn.IFS(W295=0,"No_stock",W295=1,"Low",W295=2,"Medium",W295=3,"High")</f>
        <v>No_stock</v>
      </c>
      <c r="AN295" t="str">
        <f t="shared" si="4"/>
        <v>Near</v>
      </c>
    </row>
    <row r="296" spans="1:40" x14ac:dyDescent="0.45">
      <c r="A296">
        <v>37</v>
      </c>
      <c r="B296" t="s">
        <v>37</v>
      </c>
      <c r="C296" t="s">
        <v>38</v>
      </c>
      <c r="D296">
        <v>889</v>
      </c>
      <c r="E296" t="s">
        <v>39</v>
      </c>
      <c r="F296">
        <v>9</v>
      </c>
      <c r="G296">
        <v>3</v>
      </c>
      <c r="H296" t="s">
        <v>45</v>
      </c>
      <c r="I296">
        <v>403</v>
      </c>
      <c r="J296">
        <v>2</v>
      </c>
      <c r="K296" t="s">
        <v>40</v>
      </c>
      <c r="L296">
        <v>3</v>
      </c>
      <c r="M296">
        <v>1</v>
      </c>
      <c r="N296" t="s">
        <v>41</v>
      </c>
      <c r="O296">
        <v>4</v>
      </c>
      <c r="P296" t="s">
        <v>42</v>
      </c>
      <c r="Q296">
        <v>2326</v>
      </c>
      <c r="R296">
        <v>1</v>
      </c>
      <c r="S296" t="s">
        <v>30</v>
      </c>
      <c r="T296">
        <v>12</v>
      </c>
      <c r="U296">
        <v>3</v>
      </c>
      <c r="V296">
        <v>3</v>
      </c>
      <c r="W296">
        <v>3</v>
      </c>
      <c r="X296">
        <v>4</v>
      </c>
      <c r="Y296">
        <v>3</v>
      </c>
      <c r="Z296">
        <v>2</v>
      </c>
      <c r="AA296">
        <v>4</v>
      </c>
      <c r="AB296">
        <v>2</v>
      </c>
      <c r="AC296">
        <v>1</v>
      </c>
      <c r="AD296">
        <v>2</v>
      </c>
      <c r="AE296" t="str" cm="1">
        <f t="array" ref="AE296">_xlfn.IFS(G296=1,"Before College",G296=2,"College",G296=3,"Bachelor",G296=4,"Master",G296=5,"Doctor")</f>
        <v>Bachelor</v>
      </c>
      <c r="AF296" t="str" cm="1">
        <f t="array" ref="AF296">_xlfn.IFS(J296=1,"Low",J296=2,"Medium",J296=3,"High",J296=4,"Very High")</f>
        <v>Medium</v>
      </c>
      <c r="AG296" t="str" cm="1">
        <f t="array" ref="AG296">_xlfn.IFS(L296=1,"Low",L296=2,"Medium",L296=3,"High",L296=4,"Very High")</f>
        <v>High</v>
      </c>
      <c r="AH296" t="str" cm="1">
        <f t="array" ref="AH296">_xlfn.IFS(M296=1,"Junior employee",M296=2,"Mid-level",M296=3,"Senior",M296=4,"Manager",M296=5,"Executive")</f>
        <v>Junior employee</v>
      </c>
      <c r="AI296" t="str" cm="1">
        <f t="array" ref="AI296">_xlfn.IFS(O296=1,"Low",O296=2,"Medium",O296=3,"High",O296=4,"Very High")</f>
        <v>Very High</v>
      </c>
      <c r="AJ296" t="str" cm="1">
        <f t="array" ref="AJ296">_xlfn.IFS(U296=1,"Low",U296=2,"Good",U296=3,"Excellent",U296=4,"Outstanding")</f>
        <v>Excellent</v>
      </c>
      <c r="AK296" t="str" cm="1">
        <f t="array" ref="AK296">_xlfn.IFS(V296=1,"Low",V296=2,"Medium",V296=3,"High",V296=4,"Very High")</f>
        <v>High</v>
      </c>
      <c r="AL296" t="str" cm="1">
        <f t="array" ref="AL296">_xlfn.IFS(Z296=1,"Bad",Z296=2,"Good",Z296=3,"Better",Z296=4,"Best")</f>
        <v>Good</v>
      </c>
      <c r="AM296" t="str" cm="1">
        <f t="array" ref="AM296">_xlfn.IFS(W296=0,"No_stock",W296=1,"Low",W296=2,"Medium",W296=3,"High")</f>
        <v>High</v>
      </c>
      <c r="AN296" t="str">
        <f t="shared" si="4"/>
        <v>Medium</v>
      </c>
    </row>
    <row r="297" spans="1:40" x14ac:dyDescent="0.45">
      <c r="A297">
        <v>42</v>
      </c>
      <c r="B297" t="s">
        <v>37</v>
      </c>
      <c r="C297" t="s">
        <v>38</v>
      </c>
      <c r="D297">
        <v>555</v>
      </c>
      <c r="E297" t="s">
        <v>32</v>
      </c>
      <c r="F297">
        <v>26</v>
      </c>
      <c r="G297">
        <v>3</v>
      </c>
      <c r="H297" t="s">
        <v>53</v>
      </c>
      <c r="I297">
        <v>404</v>
      </c>
      <c r="J297">
        <v>3</v>
      </c>
      <c r="K297" t="s">
        <v>34</v>
      </c>
      <c r="L297">
        <v>3</v>
      </c>
      <c r="M297">
        <v>4</v>
      </c>
      <c r="N297" t="s">
        <v>35</v>
      </c>
      <c r="O297">
        <v>2</v>
      </c>
      <c r="P297" t="s">
        <v>42</v>
      </c>
      <c r="Q297">
        <v>13525</v>
      </c>
      <c r="R297">
        <v>5</v>
      </c>
      <c r="S297" t="s">
        <v>37</v>
      </c>
      <c r="T297">
        <v>14</v>
      </c>
      <c r="U297">
        <v>3</v>
      </c>
      <c r="V297">
        <v>4</v>
      </c>
      <c r="W297">
        <v>1</v>
      </c>
      <c r="X297">
        <v>23</v>
      </c>
      <c r="Y297">
        <v>2</v>
      </c>
      <c r="Z297">
        <v>4</v>
      </c>
      <c r="AA297">
        <v>20</v>
      </c>
      <c r="AB297">
        <v>4</v>
      </c>
      <c r="AC297">
        <v>4</v>
      </c>
      <c r="AD297">
        <v>8</v>
      </c>
      <c r="AE297" t="str" cm="1">
        <f t="array" ref="AE297">_xlfn.IFS(G297=1,"Before College",G297=2,"College",G297=3,"Bachelor",G297=4,"Master",G297=5,"Doctor")</f>
        <v>Bachelor</v>
      </c>
      <c r="AF297" t="str" cm="1">
        <f t="array" ref="AF297">_xlfn.IFS(J297=1,"Low",J297=2,"Medium",J297=3,"High",J297=4,"Very High")</f>
        <v>High</v>
      </c>
      <c r="AG297" t="str" cm="1">
        <f t="array" ref="AG297">_xlfn.IFS(L297=1,"Low",L297=2,"Medium",L297=3,"High",L297=4,"Very High")</f>
        <v>High</v>
      </c>
      <c r="AH297" t="str" cm="1">
        <f t="array" ref="AH297">_xlfn.IFS(M297=1,"Junior employee",M297=2,"Mid-level",M297=3,"Senior",M297=4,"Manager",M297=5,"Executive")</f>
        <v>Manager</v>
      </c>
      <c r="AI297" t="str" cm="1">
        <f t="array" ref="AI297">_xlfn.IFS(O297=1,"Low",O297=2,"Medium",O297=3,"High",O297=4,"Very High")</f>
        <v>Medium</v>
      </c>
      <c r="AJ297" t="str" cm="1">
        <f t="array" ref="AJ297">_xlfn.IFS(U297=1,"Low",U297=2,"Good",U297=3,"Excellent",U297=4,"Outstanding")</f>
        <v>Excellent</v>
      </c>
      <c r="AK297" t="str" cm="1">
        <f t="array" ref="AK297">_xlfn.IFS(V297=1,"Low",V297=2,"Medium",V297=3,"High",V297=4,"Very High")</f>
        <v>Very High</v>
      </c>
      <c r="AL297" t="str" cm="1">
        <f t="array" ref="AL297">_xlfn.IFS(Z297=1,"Bad",Z297=2,"Good",Z297=3,"Better",Z297=4,"Best")</f>
        <v>Best</v>
      </c>
      <c r="AM297" t="str" cm="1">
        <f t="array" ref="AM297">_xlfn.IFS(W297=0,"No_stock",W297=1,"Low",W297=2,"Medium",W297=3,"High")</f>
        <v>Low</v>
      </c>
      <c r="AN297" t="str">
        <f t="shared" si="4"/>
        <v>Far</v>
      </c>
    </row>
    <row r="298" spans="1:40" x14ac:dyDescent="0.45">
      <c r="A298">
        <v>18</v>
      </c>
      <c r="B298" t="s">
        <v>30</v>
      </c>
      <c r="C298" t="s">
        <v>31</v>
      </c>
      <c r="D298">
        <v>230</v>
      </c>
      <c r="E298" t="s">
        <v>39</v>
      </c>
      <c r="F298">
        <v>3</v>
      </c>
      <c r="G298">
        <v>3</v>
      </c>
      <c r="H298" t="s">
        <v>33</v>
      </c>
      <c r="I298">
        <v>405</v>
      </c>
      <c r="J298">
        <v>3</v>
      </c>
      <c r="K298" t="s">
        <v>40</v>
      </c>
      <c r="L298">
        <v>3</v>
      </c>
      <c r="M298">
        <v>1</v>
      </c>
      <c r="N298" t="s">
        <v>44</v>
      </c>
      <c r="O298">
        <v>3</v>
      </c>
      <c r="P298" t="s">
        <v>36</v>
      </c>
      <c r="Q298">
        <v>1420</v>
      </c>
      <c r="R298">
        <v>1</v>
      </c>
      <c r="S298" t="s">
        <v>37</v>
      </c>
      <c r="T298">
        <v>13</v>
      </c>
      <c r="U298">
        <v>3</v>
      </c>
      <c r="V298">
        <v>3</v>
      </c>
      <c r="W298">
        <v>0</v>
      </c>
      <c r="X298">
        <v>0</v>
      </c>
      <c r="Y298">
        <v>2</v>
      </c>
      <c r="Z298">
        <v>3</v>
      </c>
      <c r="AA298">
        <v>0</v>
      </c>
      <c r="AB298">
        <v>0</v>
      </c>
      <c r="AC298">
        <v>0</v>
      </c>
      <c r="AD298">
        <v>0</v>
      </c>
      <c r="AE298" t="str" cm="1">
        <f t="array" ref="AE298">_xlfn.IFS(G298=1,"Before College",G298=2,"College",G298=3,"Bachelor",G298=4,"Master",G298=5,"Doctor")</f>
        <v>Bachelor</v>
      </c>
      <c r="AF298" t="str" cm="1">
        <f t="array" ref="AF298">_xlfn.IFS(J298=1,"Low",J298=2,"Medium",J298=3,"High",J298=4,"Very High")</f>
        <v>High</v>
      </c>
      <c r="AG298" t="str" cm="1">
        <f t="array" ref="AG298">_xlfn.IFS(L298=1,"Low",L298=2,"Medium",L298=3,"High",L298=4,"Very High")</f>
        <v>High</v>
      </c>
      <c r="AH298" t="str" cm="1">
        <f t="array" ref="AH298">_xlfn.IFS(M298=1,"Junior employee",M298=2,"Mid-level",M298=3,"Senior",M298=4,"Manager",M298=5,"Executive")</f>
        <v>Junior employee</v>
      </c>
      <c r="AI298" t="str" cm="1">
        <f t="array" ref="AI298">_xlfn.IFS(O298=1,"Low",O298=2,"Medium",O298=3,"High",O298=4,"Very High")</f>
        <v>High</v>
      </c>
      <c r="AJ298" t="str" cm="1">
        <f t="array" ref="AJ298">_xlfn.IFS(U298=1,"Low",U298=2,"Good",U298=3,"Excellent",U298=4,"Outstanding")</f>
        <v>Excellent</v>
      </c>
      <c r="AK298" t="str" cm="1">
        <f t="array" ref="AK298">_xlfn.IFS(V298=1,"Low",V298=2,"Medium",V298=3,"High",V298=4,"Very High")</f>
        <v>High</v>
      </c>
      <c r="AL298" t="str" cm="1">
        <f t="array" ref="AL298">_xlfn.IFS(Z298=1,"Bad",Z298=2,"Good",Z298=3,"Better",Z298=4,"Best")</f>
        <v>Better</v>
      </c>
      <c r="AM298" t="str" cm="1">
        <f t="array" ref="AM298">_xlfn.IFS(W298=0,"No_stock",W298=1,"Low",W298=2,"Medium",W298=3,"High")</f>
        <v>No_stock</v>
      </c>
      <c r="AN298" t="str">
        <f t="shared" si="4"/>
        <v>Near</v>
      </c>
    </row>
    <row r="299" spans="1:40" x14ac:dyDescent="0.45">
      <c r="A299">
        <v>35</v>
      </c>
      <c r="B299" t="s">
        <v>37</v>
      </c>
      <c r="C299" t="s">
        <v>31</v>
      </c>
      <c r="D299">
        <v>1232</v>
      </c>
      <c r="E299" t="s">
        <v>32</v>
      </c>
      <c r="F299">
        <v>16</v>
      </c>
      <c r="G299">
        <v>3</v>
      </c>
      <c r="H299" t="s">
        <v>53</v>
      </c>
      <c r="I299">
        <v>406</v>
      </c>
      <c r="J299">
        <v>3</v>
      </c>
      <c r="K299" t="s">
        <v>40</v>
      </c>
      <c r="L299">
        <v>3</v>
      </c>
      <c r="M299">
        <v>3</v>
      </c>
      <c r="N299" t="s">
        <v>35</v>
      </c>
      <c r="O299">
        <v>2</v>
      </c>
      <c r="P299" t="s">
        <v>42</v>
      </c>
      <c r="Q299">
        <v>8020</v>
      </c>
      <c r="R299">
        <v>0</v>
      </c>
      <c r="S299" t="s">
        <v>37</v>
      </c>
      <c r="T299">
        <v>15</v>
      </c>
      <c r="U299">
        <v>3</v>
      </c>
      <c r="V299">
        <v>3</v>
      </c>
      <c r="W299">
        <v>2</v>
      </c>
      <c r="X299">
        <v>12</v>
      </c>
      <c r="Y299">
        <v>3</v>
      </c>
      <c r="Z299">
        <v>2</v>
      </c>
      <c r="AA299">
        <v>11</v>
      </c>
      <c r="AB299">
        <v>9</v>
      </c>
      <c r="AC299">
        <v>6</v>
      </c>
      <c r="AD299">
        <v>9</v>
      </c>
      <c r="AE299" t="str" cm="1">
        <f t="array" ref="AE299">_xlfn.IFS(G299=1,"Before College",G299=2,"College",G299=3,"Bachelor",G299=4,"Master",G299=5,"Doctor")</f>
        <v>Bachelor</v>
      </c>
      <c r="AF299" t="str" cm="1">
        <f t="array" ref="AF299">_xlfn.IFS(J299=1,"Low",J299=2,"Medium",J299=3,"High",J299=4,"Very High")</f>
        <v>High</v>
      </c>
      <c r="AG299" t="str" cm="1">
        <f t="array" ref="AG299">_xlfn.IFS(L299=1,"Low",L299=2,"Medium",L299=3,"High",L299=4,"Very High")</f>
        <v>High</v>
      </c>
      <c r="AH299" t="str" cm="1">
        <f t="array" ref="AH299">_xlfn.IFS(M299=1,"Junior employee",M299=2,"Mid-level",M299=3,"Senior",M299=4,"Manager",M299=5,"Executive")</f>
        <v>Senior</v>
      </c>
      <c r="AI299" t="str" cm="1">
        <f t="array" ref="AI299">_xlfn.IFS(O299=1,"Low",O299=2,"Medium",O299=3,"High",O299=4,"Very High")</f>
        <v>Medium</v>
      </c>
      <c r="AJ299" t="str" cm="1">
        <f t="array" ref="AJ299">_xlfn.IFS(U299=1,"Low",U299=2,"Good",U299=3,"Excellent",U299=4,"Outstanding")</f>
        <v>Excellent</v>
      </c>
      <c r="AK299" t="str" cm="1">
        <f t="array" ref="AK299">_xlfn.IFS(V299=1,"Low",V299=2,"Medium",V299=3,"High",V299=4,"Very High")</f>
        <v>High</v>
      </c>
      <c r="AL299" t="str" cm="1">
        <f t="array" ref="AL299">_xlfn.IFS(Z299=1,"Bad",Z299=2,"Good",Z299=3,"Better",Z299=4,"Best")</f>
        <v>Good</v>
      </c>
      <c r="AM299" t="str" cm="1">
        <f t="array" ref="AM299">_xlfn.IFS(W299=0,"No_stock",W299=1,"Low",W299=2,"Medium",W299=3,"High")</f>
        <v>Medium</v>
      </c>
      <c r="AN299" t="str">
        <f t="shared" si="4"/>
        <v>Far</v>
      </c>
    </row>
    <row r="300" spans="1:40" x14ac:dyDescent="0.45">
      <c r="A300">
        <v>36</v>
      </c>
      <c r="B300" t="s">
        <v>37</v>
      </c>
      <c r="C300" t="s">
        <v>38</v>
      </c>
      <c r="D300">
        <v>566</v>
      </c>
      <c r="E300" t="s">
        <v>39</v>
      </c>
      <c r="F300">
        <v>18</v>
      </c>
      <c r="G300">
        <v>4</v>
      </c>
      <c r="H300" t="s">
        <v>33</v>
      </c>
      <c r="I300">
        <v>407</v>
      </c>
      <c r="J300">
        <v>3</v>
      </c>
      <c r="K300" t="s">
        <v>40</v>
      </c>
      <c r="L300">
        <v>4</v>
      </c>
      <c r="M300">
        <v>1</v>
      </c>
      <c r="N300" t="s">
        <v>44</v>
      </c>
      <c r="O300">
        <v>4</v>
      </c>
      <c r="P300" t="s">
        <v>42</v>
      </c>
      <c r="Q300">
        <v>3688</v>
      </c>
      <c r="R300">
        <v>4</v>
      </c>
      <c r="S300" t="s">
        <v>37</v>
      </c>
      <c r="T300">
        <v>18</v>
      </c>
      <c r="U300">
        <v>3</v>
      </c>
      <c r="V300">
        <v>4</v>
      </c>
      <c r="W300">
        <v>2</v>
      </c>
      <c r="X300">
        <v>4</v>
      </c>
      <c r="Y300">
        <v>2</v>
      </c>
      <c r="Z300">
        <v>3</v>
      </c>
      <c r="AA300">
        <v>1</v>
      </c>
      <c r="AB300">
        <v>0</v>
      </c>
      <c r="AC300">
        <v>0</v>
      </c>
      <c r="AD300">
        <v>0</v>
      </c>
      <c r="AE300" t="str" cm="1">
        <f t="array" ref="AE300">_xlfn.IFS(G300=1,"Before College",G300=2,"College",G300=3,"Bachelor",G300=4,"Master",G300=5,"Doctor")</f>
        <v>Master</v>
      </c>
      <c r="AF300" t="str" cm="1">
        <f t="array" ref="AF300">_xlfn.IFS(J300=1,"Low",J300=2,"Medium",J300=3,"High",J300=4,"Very High")</f>
        <v>High</v>
      </c>
      <c r="AG300" t="str" cm="1">
        <f t="array" ref="AG300">_xlfn.IFS(L300=1,"Low",L300=2,"Medium",L300=3,"High",L300=4,"Very High")</f>
        <v>Very High</v>
      </c>
      <c r="AH300" t="str" cm="1">
        <f t="array" ref="AH300">_xlfn.IFS(M300=1,"Junior employee",M300=2,"Mid-level",M300=3,"Senior",M300=4,"Manager",M300=5,"Executive")</f>
        <v>Junior employee</v>
      </c>
      <c r="AI300" t="str" cm="1">
        <f t="array" ref="AI300">_xlfn.IFS(O300=1,"Low",O300=2,"Medium",O300=3,"High",O300=4,"Very High")</f>
        <v>Very High</v>
      </c>
      <c r="AJ300" t="str" cm="1">
        <f t="array" ref="AJ300">_xlfn.IFS(U300=1,"Low",U300=2,"Good",U300=3,"Excellent",U300=4,"Outstanding")</f>
        <v>Excellent</v>
      </c>
      <c r="AK300" t="str" cm="1">
        <f t="array" ref="AK300">_xlfn.IFS(V300=1,"Low",V300=2,"Medium",V300=3,"High",V300=4,"Very High")</f>
        <v>Very High</v>
      </c>
      <c r="AL300" t="str" cm="1">
        <f t="array" ref="AL300">_xlfn.IFS(Z300=1,"Bad",Z300=2,"Good",Z300=3,"Better",Z300=4,"Best")</f>
        <v>Better</v>
      </c>
      <c r="AM300" t="str" cm="1">
        <f t="array" ref="AM300">_xlfn.IFS(W300=0,"No_stock",W300=1,"Low",W300=2,"Medium",W300=3,"High")</f>
        <v>Medium</v>
      </c>
      <c r="AN300" t="str">
        <f t="shared" si="4"/>
        <v>Far</v>
      </c>
    </row>
    <row r="301" spans="1:40" x14ac:dyDescent="0.45">
      <c r="A301">
        <v>51</v>
      </c>
      <c r="B301" t="s">
        <v>37</v>
      </c>
      <c r="C301" t="s">
        <v>31</v>
      </c>
      <c r="D301">
        <v>1302</v>
      </c>
      <c r="E301" t="s">
        <v>39</v>
      </c>
      <c r="F301">
        <v>2</v>
      </c>
      <c r="G301">
        <v>3</v>
      </c>
      <c r="H301" t="s">
        <v>45</v>
      </c>
      <c r="I301">
        <v>408</v>
      </c>
      <c r="J301">
        <v>4</v>
      </c>
      <c r="K301" t="s">
        <v>40</v>
      </c>
      <c r="L301">
        <v>1</v>
      </c>
      <c r="M301">
        <v>2</v>
      </c>
      <c r="N301" t="s">
        <v>47</v>
      </c>
      <c r="O301">
        <v>2</v>
      </c>
      <c r="P301" t="s">
        <v>46</v>
      </c>
      <c r="Q301">
        <v>5482</v>
      </c>
      <c r="R301">
        <v>5</v>
      </c>
      <c r="S301" t="s">
        <v>37</v>
      </c>
      <c r="T301">
        <v>18</v>
      </c>
      <c r="U301">
        <v>3</v>
      </c>
      <c r="V301">
        <v>4</v>
      </c>
      <c r="W301">
        <v>1</v>
      </c>
      <c r="X301">
        <v>13</v>
      </c>
      <c r="Y301">
        <v>3</v>
      </c>
      <c r="Z301">
        <v>3</v>
      </c>
      <c r="AA301">
        <v>4</v>
      </c>
      <c r="AB301">
        <v>1</v>
      </c>
      <c r="AC301">
        <v>1</v>
      </c>
      <c r="AD301">
        <v>2</v>
      </c>
      <c r="AE301" t="str" cm="1">
        <f t="array" ref="AE301">_xlfn.IFS(G301=1,"Before College",G301=2,"College",G301=3,"Bachelor",G301=4,"Master",G301=5,"Doctor")</f>
        <v>Bachelor</v>
      </c>
      <c r="AF301" t="str" cm="1">
        <f t="array" ref="AF301">_xlfn.IFS(J301=1,"Low",J301=2,"Medium",J301=3,"High",J301=4,"Very High")</f>
        <v>Very High</v>
      </c>
      <c r="AG301" t="str" cm="1">
        <f t="array" ref="AG301">_xlfn.IFS(L301=1,"Low",L301=2,"Medium",L301=3,"High",L301=4,"Very High")</f>
        <v>Low</v>
      </c>
      <c r="AH301" t="str" cm="1">
        <f t="array" ref="AH301">_xlfn.IFS(M301=1,"Junior employee",M301=2,"Mid-level",M301=3,"Senior",M301=4,"Manager",M301=5,"Executive")</f>
        <v>Mid-level</v>
      </c>
      <c r="AI301" t="str" cm="1">
        <f t="array" ref="AI301">_xlfn.IFS(O301=1,"Low",O301=2,"Medium",O301=3,"High",O301=4,"Very High")</f>
        <v>Medium</v>
      </c>
      <c r="AJ301" t="str" cm="1">
        <f t="array" ref="AJ301">_xlfn.IFS(U301=1,"Low",U301=2,"Good",U301=3,"Excellent",U301=4,"Outstanding")</f>
        <v>Excellent</v>
      </c>
      <c r="AK301" t="str" cm="1">
        <f t="array" ref="AK301">_xlfn.IFS(V301=1,"Low",V301=2,"Medium",V301=3,"High",V301=4,"Very High")</f>
        <v>Very High</v>
      </c>
      <c r="AL301" t="str" cm="1">
        <f t="array" ref="AL301">_xlfn.IFS(Z301=1,"Bad",Z301=2,"Good",Z301=3,"Better",Z301=4,"Best")</f>
        <v>Better</v>
      </c>
      <c r="AM301" t="str" cm="1">
        <f t="array" ref="AM301">_xlfn.IFS(W301=0,"No_stock",W301=1,"Low",W301=2,"Medium",W301=3,"High")</f>
        <v>Low</v>
      </c>
      <c r="AN301" t="str">
        <f t="shared" si="4"/>
        <v>Near</v>
      </c>
    </row>
    <row r="302" spans="1:40" x14ac:dyDescent="0.45">
      <c r="A302">
        <v>41</v>
      </c>
      <c r="B302" t="s">
        <v>37</v>
      </c>
      <c r="C302" t="s">
        <v>31</v>
      </c>
      <c r="D302">
        <v>334</v>
      </c>
      <c r="E302" t="s">
        <v>32</v>
      </c>
      <c r="F302">
        <v>2</v>
      </c>
      <c r="G302">
        <v>4</v>
      </c>
      <c r="H302" t="s">
        <v>33</v>
      </c>
      <c r="I302">
        <v>410</v>
      </c>
      <c r="J302">
        <v>4</v>
      </c>
      <c r="K302" t="s">
        <v>40</v>
      </c>
      <c r="L302">
        <v>3</v>
      </c>
      <c r="M302">
        <v>4</v>
      </c>
      <c r="N302" t="s">
        <v>50</v>
      </c>
      <c r="O302">
        <v>2</v>
      </c>
      <c r="P302" t="s">
        <v>36</v>
      </c>
      <c r="Q302">
        <v>16015</v>
      </c>
      <c r="R302">
        <v>1</v>
      </c>
      <c r="S302" t="s">
        <v>37</v>
      </c>
      <c r="T302">
        <v>19</v>
      </c>
      <c r="U302">
        <v>3</v>
      </c>
      <c r="V302">
        <v>2</v>
      </c>
      <c r="W302">
        <v>0</v>
      </c>
      <c r="X302">
        <v>22</v>
      </c>
      <c r="Y302">
        <v>2</v>
      </c>
      <c r="Z302">
        <v>3</v>
      </c>
      <c r="AA302">
        <v>22</v>
      </c>
      <c r="AB302">
        <v>10</v>
      </c>
      <c r="AC302">
        <v>0</v>
      </c>
      <c r="AD302">
        <v>4</v>
      </c>
      <c r="AE302" t="str" cm="1">
        <f t="array" ref="AE302">_xlfn.IFS(G302=1,"Before College",G302=2,"College",G302=3,"Bachelor",G302=4,"Master",G302=5,"Doctor")</f>
        <v>Master</v>
      </c>
      <c r="AF302" t="str" cm="1">
        <f t="array" ref="AF302">_xlfn.IFS(J302=1,"Low",J302=2,"Medium",J302=3,"High",J302=4,"Very High")</f>
        <v>Very High</v>
      </c>
      <c r="AG302" t="str" cm="1">
        <f t="array" ref="AG302">_xlfn.IFS(L302=1,"Low",L302=2,"Medium",L302=3,"High",L302=4,"Very High")</f>
        <v>High</v>
      </c>
      <c r="AH302" t="str" cm="1">
        <f t="array" ref="AH302">_xlfn.IFS(M302=1,"Junior employee",M302=2,"Mid-level",M302=3,"Senior",M302=4,"Manager",M302=5,"Executive")</f>
        <v>Manager</v>
      </c>
      <c r="AI302" t="str" cm="1">
        <f t="array" ref="AI302">_xlfn.IFS(O302=1,"Low",O302=2,"Medium",O302=3,"High",O302=4,"Very High")</f>
        <v>Medium</v>
      </c>
      <c r="AJ302" t="str" cm="1">
        <f t="array" ref="AJ302">_xlfn.IFS(U302=1,"Low",U302=2,"Good",U302=3,"Excellent",U302=4,"Outstanding")</f>
        <v>Excellent</v>
      </c>
      <c r="AK302" t="str" cm="1">
        <f t="array" ref="AK302">_xlfn.IFS(V302=1,"Low",V302=2,"Medium",V302=3,"High",V302=4,"Very High")</f>
        <v>Medium</v>
      </c>
      <c r="AL302" t="str" cm="1">
        <f t="array" ref="AL302">_xlfn.IFS(Z302=1,"Bad",Z302=2,"Good",Z302=3,"Better",Z302=4,"Best")</f>
        <v>Better</v>
      </c>
      <c r="AM302" t="str" cm="1">
        <f t="array" ref="AM302">_xlfn.IFS(W302=0,"No_stock",W302=1,"Low",W302=2,"Medium",W302=3,"High")</f>
        <v>No_stock</v>
      </c>
      <c r="AN302" t="str">
        <f t="shared" si="4"/>
        <v>Near</v>
      </c>
    </row>
    <row r="303" spans="1:40" x14ac:dyDescent="0.45">
      <c r="A303">
        <v>18</v>
      </c>
      <c r="B303" t="s">
        <v>37</v>
      </c>
      <c r="C303" t="s">
        <v>31</v>
      </c>
      <c r="D303">
        <v>812</v>
      </c>
      <c r="E303" t="s">
        <v>32</v>
      </c>
      <c r="F303">
        <v>10</v>
      </c>
      <c r="G303">
        <v>3</v>
      </c>
      <c r="H303" t="s">
        <v>45</v>
      </c>
      <c r="I303">
        <v>411</v>
      </c>
      <c r="J303">
        <v>4</v>
      </c>
      <c r="K303" t="s">
        <v>34</v>
      </c>
      <c r="L303">
        <v>2</v>
      </c>
      <c r="M303">
        <v>1</v>
      </c>
      <c r="N303" t="s">
        <v>51</v>
      </c>
      <c r="O303">
        <v>3</v>
      </c>
      <c r="P303" t="s">
        <v>36</v>
      </c>
      <c r="Q303">
        <v>1200</v>
      </c>
      <c r="R303">
        <v>1</v>
      </c>
      <c r="S303" t="s">
        <v>37</v>
      </c>
      <c r="T303">
        <v>12</v>
      </c>
      <c r="U303">
        <v>3</v>
      </c>
      <c r="V303">
        <v>1</v>
      </c>
      <c r="W303">
        <v>0</v>
      </c>
      <c r="X303">
        <v>0</v>
      </c>
      <c r="Y303">
        <v>2</v>
      </c>
      <c r="Z303">
        <v>3</v>
      </c>
      <c r="AA303">
        <v>0</v>
      </c>
      <c r="AB303">
        <v>0</v>
      </c>
      <c r="AC303">
        <v>0</v>
      </c>
      <c r="AD303">
        <v>0</v>
      </c>
      <c r="AE303" t="str" cm="1">
        <f t="array" ref="AE303">_xlfn.IFS(G303=1,"Before College",G303=2,"College",G303=3,"Bachelor",G303=4,"Master",G303=5,"Doctor")</f>
        <v>Bachelor</v>
      </c>
      <c r="AF303" t="str" cm="1">
        <f t="array" ref="AF303">_xlfn.IFS(J303=1,"Low",J303=2,"Medium",J303=3,"High",J303=4,"Very High")</f>
        <v>Very High</v>
      </c>
      <c r="AG303" t="str" cm="1">
        <f t="array" ref="AG303">_xlfn.IFS(L303=1,"Low",L303=2,"Medium",L303=3,"High",L303=4,"Very High")</f>
        <v>Medium</v>
      </c>
      <c r="AH303" t="str" cm="1">
        <f t="array" ref="AH303">_xlfn.IFS(M303=1,"Junior employee",M303=2,"Mid-level",M303=3,"Senior",M303=4,"Manager",M303=5,"Executive")</f>
        <v>Junior employee</v>
      </c>
      <c r="AI303" t="str" cm="1">
        <f t="array" ref="AI303">_xlfn.IFS(O303=1,"Low",O303=2,"Medium",O303=3,"High",O303=4,"Very High")</f>
        <v>High</v>
      </c>
      <c r="AJ303" t="str" cm="1">
        <f t="array" ref="AJ303">_xlfn.IFS(U303=1,"Low",U303=2,"Good",U303=3,"Excellent",U303=4,"Outstanding")</f>
        <v>Excellent</v>
      </c>
      <c r="AK303" t="str" cm="1">
        <f t="array" ref="AK303">_xlfn.IFS(V303=1,"Low",V303=2,"Medium",V303=3,"High",V303=4,"Very High")</f>
        <v>Low</v>
      </c>
      <c r="AL303" t="str" cm="1">
        <f t="array" ref="AL303">_xlfn.IFS(Z303=1,"Bad",Z303=2,"Good",Z303=3,"Better",Z303=4,"Best")</f>
        <v>Better</v>
      </c>
      <c r="AM303" t="str" cm="1">
        <f t="array" ref="AM303">_xlfn.IFS(W303=0,"No_stock",W303=1,"Low",W303=2,"Medium",W303=3,"High")</f>
        <v>No_stock</v>
      </c>
      <c r="AN303" t="str">
        <f t="shared" si="4"/>
        <v>Medium</v>
      </c>
    </row>
    <row r="304" spans="1:40" x14ac:dyDescent="0.45">
      <c r="A304">
        <v>28</v>
      </c>
      <c r="B304" t="s">
        <v>37</v>
      </c>
      <c r="C304" t="s">
        <v>31</v>
      </c>
      <c r="D304">
        <v>1476</v>
      </c>
      <c r="E304" t="s">
        <v>39</v>
      </c>
      <c r="F304">
        <v>16</v>
      </c>
      <c r="G304">
        <v>2</v>
      </c>
      <c r="H304" t="s">
        <v>45</v>
      </c>
      <c r="I304">
        <v>412</v>
      </c>
      <c r="J304">
        <v>2</v>
      </c>
      <c r="K304" t="s">
        <v>40</v>
      </c>
      <c r="L304">
        <v>4</v>
      </c>
      <c r="M304">
        <v>2</v>
      </c>
      <c r="N304" t="s">
        <v>48</v>
      </c>
      <c r="O304">
        <v>1</v>
      </c>
      <c r="P304" t="s">
        <v>36</v>
      </c>
      <c r="Q304">
        <v>5661</v>
      </c>
      <c r="R304">
        <v>0</v>
      </c>
      <c r="S304" t="s">
        <v>37</v>
      </c>
      <c r="T304">
        <v>19</v>
      </c>
      <c r="U304">
        <v>3</v>
      </c>
      <c r="V304">
        <v>3</v>
      </c>
      <c r="W304">
        <v>0</v>
      </c>
      <c r="X304">
        <v>9</v>
      </c>
      <c r="Y304">
        <v>2</v>
      </c>
      <c r="Z304">
        <v>3</v>
      </c>
      <c r="AA304">
        <v>8</v>
      </c>
      <c r="AB304">
        <v>3</v>
      </c>
      <c r="AC304">
        <v>0</v>
      </c>
      <c r="AD304">
        <v>7</v>
      </c>
      <c r="AE304" t="str" cm="1">
        <f t="array" ref="AE304">_xlfn.IFS(G304=1,"Before College",G304=2,"College",G304=3,"Bachelor",G304=4,"Master",G304=5,"Doctor")</f>
        <v>College</v>
      </c>
      <c r="AF304" t="str" cm="1">
        <f t="array" ref="AF304">_xlfn.IFS(J304=1,"Low",J304=2,"Medium",J304=3,"High",J304=4,"Very High")</f>
        <v>Medium</v>
      </c>
      <c r="AG304" t="str" cm="1">
        <f t="array" ref="AG304">_xlfn.IFS(L304=1,"Low",L304=2,"Medium",L304=3,"High",L304=4,"Very High")</f>
        <v>Very High</v>
      </c>
      <c r="AH304" t="str" cm="1">
        <f t="array" ref="AH304">_xlfn.IFS(M304=1,"Junior employee",M304=2,"Mid-level",M304=3,"Senior",M304=4,"Manager",M304=5,"Executive")</f>
        <v>Mid-level</v>
      </c>
      <c r="AI304" t="str" cm="1">
        <f t="array" ref="AI304">_xlfn.IFS(O304=1,"Low",O304=2,"Medium",O304=3,"High",O304=4,"Very High")</f>
        <v>Low</v>
      </c>
      <c r="AJ304" t="str" cm="1">
        <f t="array" ref="AJ304">_xlfn.IFS(U304=1,"Low",U304=2,"Good",U304=3,"Excellent",U304=4,"Outstanding")</f>
        <v>Excellent</v>
      </c>
      <c r="AK304" t="str" cm="1">
        <f t="array" ref="AK304">_xlfn.IFS(V304=1,"Low",V304=2,"Medium",V304=3,"High",V304=4,"Very High")</f>
        <v>High</v>
      </c>
      <c r="AL304" t="str" cm="1">
        <f t="array" ref="AL304">_xlfn.IFS(Z304=1,"Bad",Z304=2,"Good",Z304=3,"Better",Z304=4,"Best")</f>
        <v>Better</v>
      </c>
      <c r="AM304" t="str" cm="1">
        <f t="array" ref="AM304">_xlfn.IFS(W304=0,"No_stock",W304=1,"Low",W304=2,"Medium",W304=3,"High")</f>
        <v>No_stock</v>
      </c>
      <c r="AN304" t="str">
        <f t="shared" si="4"/>
        <v>Far</v>
      </c>
    </row>
    <row r="305" spans="1:40" x14ac:dyDescent="0.45">
      <c r="A305">
        <v>31</v>
      </c>
      <c r="B305" t="s">
        <v>37</v>
      </c>
      <c r="C305" t="s">
        <v>31</v>
      </c>
      <c r="D305">
        <v>218</v>
      </c>
      <c r="E305" t="s">
        <v>32</v>
      </c>
      <c r="F305">
        <v>7</v>
      </c>
      <c r="G305">
        <v>3</v>
      </c>
      <c r="H305" t="s">
        <v>54</v>
      </c>
      <c r="I305">
        <v>416</v>
      </c>
      <c r="J305">
        <v>2</v>
      </c>
      <c r="K305" t="s">
        <v>40</v>
      </c>
      <c r="L305">
        <v>4</v>
      </c>
      <c r="M305">
        <v>2</v>
      </c>
      <c r="N305" t="s">
        <v>35</v>
      </c>
      <c r="O305">
        <v>4</v>
      </c>
      <c r="P305" t="s">
        <v>42</v>
      </c>
      <c r="Q305">
        <v>6929</v>
      </c>
      <c r="R305">
        <v>4</v>
      </c>
      <c r="S305" t="s">
        <v>37</v>
      </c>
      <c r="T305">
        <v>11</v>
      </c>
      <c r="U305">
        <v>3</v>
      </c>
      <c r="V305">
        <v>2</v>
      </c>
      <c r="W305">
        <v>1</v>
      </c>
      <c r="X305">
        <v>10</v>
      </c>
      <c r="Y305">
        <v>3</v>
      </c>
      <c r="Z305">
        <v>2</v>
      </c>
      <c r="AA305">
        <v>8</v>
      </c>
      <c r="AB305">
        <v>7</v>
      </c>
      <c r="AC305">
        <v>7</v>
      </c>
      <c r="AD305">
        <v>7</v>
      </c>
      <c r="AE305" t="str" cm="1">
        <f t="array" ref="AE305">_xlfn.IFS(G305=1,"Before College",G305=2,"College",G305=3,"Bachelor",G305=4,"Master",G305=5,"Doctor")</f>
        <v>Bachelor</v>
      </c>
      <c r="AF305" t="str" cm="1">
        <f t="array" ref="AF305">_xlfn.IFS(J305=1,"Low",J305=2,"Medium",J305=3,"High",J305=4,"Very High")</f>
        <v>Medium</v>
      </c>
      <c r="AG305" t="str" cm="1">
        <f t="array" ref="AG305">_xlfn.IFS(L305=1,"Low",L305=2,"Medium",L305=3,"High",L305=4,"Very High")</f>
        <v>Very High</v>
      </c>
      <c r="AH305" t="str" cm="1">
        <f t="array" ref="AH305">_xlfn.IFS(M305=1,"Junior employee",M305=2,"Mid-level",M305=3,"Senior",M305=4,"Manager",M305=5,"Executive")</f>
        <v>Mid-level</v>
      </c>
      <c r="AI305" t="str" cm="1">
        <f t="array" ref="AI305">_xlfn.IFS(O305=1,"Low",O305=2,"Medium",O305=3,"High",O305=4,"Very High")</f>
        <v>Very High</v>
      </c>
      <c r="AJ305" t="str" cm="1">
        <f t="array" ref="AJ305">_xlfn.IFS(U305=1,"Low",U305=2,"Good",U305=3,"Excellent",U305=4,"Outstanding")</f>
        <v>Excellent</v>
      </c>
      <c r="AK305" t="str" cm="1">
        <f t="array" ref="AK305">_xlfn.IFS(V305=1,"Low",V305=2,"Medium",V305=3,"High",V305=4,"Very High")</f>
        <v>Medium</v>
      </c>
      <c r="AL305" t="str" cm="1">
        <f t="array" ref="AL305">_xlfn.IFS(Z305=1,"Bad",Z305=2,"Good",Z305=3,"Better",Z305=4,"Best")</f>
        <v>Good</v>
      </c>
      <c r="AM305" t="str" cm="1">
        <f t="array" ref="AM305">_xlfn.IFS(W305=0,"No_stock",W305=1,"Low",W305=2,"Medium",W305=3,"High")</f>
        <v>Low</v>
      </c>
      <c r="AN305" t="str">
        <f t="shared" si="4"/>
        <v>Medium</v>
      </c>
    </row>
    <row r="306" spans="1:40" x14ac:dyDescent="0.45">
      <c r="A306">
        <v>39</v>
      </c>
      <c r="B306" t="s">
        <v>37</v>
      </c>
      <c r="C306" t="s">
        <v>31</v>
      </c>
      <c r="D306">
        <v>1132</v>
      </c>
      <c r="E306" t="s">
        <v>39</v>
      </c>
      <c r="F306">
        <v>1</v>
      </c>
      <c r="G306">
        <v>3</v>
      </c>
      <c r="H306" t="s">
        <v>45</v>
      </c>
      <c r="I306">
        <v>417</v>
      </c>
      <c r="J306">
        <v>3</v>
      </c>
      <c r="K306" t="s">
        <v>40</v>
      </c>
      <c r="L306">
        <v>4</v>
      </c>
      <c r="M306">
        <v>3</v>
      </c>
      <c r="N306" t="s">
        <v>48</v>
      </c>
      <c r="O306">
        <v>4</v>
      </c>
      <c r="P306" t="s">
        <v>46</v>
      </c>
      <c r="Q306">
        <v>9613</v>
      </c>
      <c r="R306">
        <v>0</v>
      </c>
      <c r="S306" t="s">
        <v>37</v>
      </c>
      <c r="T306">
        <v>17</v>
      </c>
      <c r="U306">
        <v>3</v>
      </c>
      <c r="V306">
        <v>1</v>
      </c>
      <c r="W306">
        <v>3</v>
      </c>
      <c r="X306">
        <v>19</v>
      </c>
      <c r="Y306">
        <v>5</v>
      </c>
      <c r="Z306">
        <v>2</v>
      </c>
      <c r="AA306">
        <v>18</v>
      </c>
      <c r="AB306">
        <v>10</v>
      </c>
      <c r="AC306">
        <v>3</v>
      </c>
      <c r="AD306">
        <v>7</v>
      </c>
      <c r="AE306" t="str" cm="1">
        <f t="array" ref="AE306">_xlfn.IFS(G306=1,"Before College",G306=2,"College",G306=3,"Bachelor",G306=4,"Master",G306=5,"Doctor")</f>
        <v>Bachelor</v>
      </c>
      <c r="AF306" t="str" cm="1">
        <f t="array" ref="AF306">_xlfn.IFS(J306=1,"Low",J306=2,"Medium",J306=3,"High",J306=4,"Very High")</f>
        <v>High</v>
      </c>
      <c r="AG306" t="str" cm="1">
        <f t="array" ref="AG306">_xlfn.IFS(L306=1,"Low",L306=2,"Medium",L306=3,"High",L306=4,"Very High")</f>
        <v>Very High</v>
      </c>
      <c r="AH306" t="str" cm="1">
        <f t="array" ref="AH306">_xlfn.IFS(M306=1,"Junior employee",M306=2,"Mid-level",M306=3,"Senior",M306=4,"Manager",M306=5,"Executive")</f>
        <v>Senior</v>
      </c>
      <c r="AI306" t="str" cm="1">
        <f t="array" ref="AI306">_xlfn.IFS(O306=1,"Low",O306=2,"Medium",O306=3,"High",O306=4,"Very High")</f>
        <v>Very High</v>
      </c>
      <c r="AJ306" t="str" cm="1">
        <f t="array" ref="AJ306">_xlfn.IFS(U306=1,"Low",U306=2,"Good",U306=3,"Excellent",U306=4,"Outstanding")</f>
        <v>Excellent</v>
      </c>
      <c r="AK306" t="str" cm="1">
        <f t="array" ref="AK306">_xlfn.IFS(V306=1,"Low",V306=2,"Medium",V306=3,"High",V306=4,"Very High")</f>
        <v>Low</v>
      </c>
      <c r="AL306" t="str" cm="1">
        <f t="array" ref="AL306">_xlfn.IFS(Z306=1,"Bad",Z306=2,"Good",Z306=3,"Better",Z306=4,"Best")</f>
        <v>Good</v>
      </c>
      <c r="AM306" t="str" cm="1">
        <f t="array" ref="AM306">_xlfn.IFS(W306=0,"No_stock",W306=1,"Low",W306=2,"Medium",W306=3,"High")</f>
        <v>High</v>
      </c>
      <c r="AN306" t="str">
        <f t="shared" si="4"/>
        <v>Near</v>
      </c>
    </row>
    <row r="307" spans="1:40" x14ac:dyDescent="0.45">
      <c r="A307">
        <v>36</v>
      </c>
      <c r="B307" t="s">
        <v>37</v>
      </c>
      <c r="C307" t="s">
        <v>49</v>
      </c>
      <c r="D307">
        <v>1105</v>
      </c>
      <c r="E307" t="s">
        <v>39</v>
      </c>
      <c r="F307">
        <v>24</v>
      </c>
      <c r="G307">
        <v>4</v>
      </c>
      <c r="H307" t="s">
        <v>33</v>
      </c>
      <c r="I307">
        <v>419</v>
      </c>
      <c r="J307">
        <v>2</v>
      </c>
      <c r="K307" t="s">
        <v>34</v>
      </c>
      <c r="L307">
        <v>3</v>
      </c>
      <c r="M307">
        <v>2</v>
      </c>
      <c r="N307" t="s">
        <v>44</v>
      </c>
      <c r="O307">
        <v>2</v>
      </c>
      <c r="P307" t="s">
        <v>42</v>
      </c>
      <c r="Q307">
        <v>5674</v>
      </c>
      <c r="R307">
        <v>7</v>
      </c>
      <c r="S307" t="s">
        <v>37</v>
      </c>
      <c r="T307">
        <v>15</v>
      </c>
      <c r="U307">
        <v>3</v>
      </c>
      <c r="V307">
        <v>3</v>
      </c>
      <c r="W307">
        <v>1</v>
      </c>
      <c r="X307">
        <v>11</v>
      </c>
      <c r="Y307">
        <v>3</v>
      </c>
      <c r="Z307">
        <v>3</v>
      </c>
      <c r="AA307">
        <v>9</v>
      </c>
      <c r="AB307">
        <v>8</v>
      </c>
      <c r="AC307">
        <v>0</v>
      </c>
      <c r="AD307">
        <v>8</v>
      </c>
      <c r="AE307" t="str" cm="1">
        <f t="array" ref="AE307">_xlfn.IFS(G307=1,"Before College",G307=2,"College",G307=3,"Bachelor",G307=4,"Master",G307=5,"Doctor")</f>
        <v>Master</v>
      </c>
      <c r="AF307" t="str" cm="1">
        <f t="array" ref="AF307">_xlfn.IFS(J307=1,"Low",J307=2,"Medium",J307=3,"High",J307=4,"Very High")</f>
        <v>Medium</v>
      </c>
      <c r="AG307" t="str" cm="1">
        <f t="array" ref="AG307">_xlfn.IFS(L307=1,"Low",L307=2,"Medium",L307=3,"High",L307=4,"Very High")</f>
        <v>High</v>
      </c>
      <c r="AH307" t="str" cm="1">
        <f t="array" ref="AH307">_xlfn.IFS(M307=1,"Junior employee",M307=2,"Mid-level",M307=3,"Senior",M307=4,"Manager",M307=5,"Executive")</f>
        <v>Mid-level</v>
      </c>
      <c r="AI307" t="str" cm="1">
        <f t="array" ref="AI307">_xlfn.IFS(O307=1,"Low",O307=2,"Medium",O307=3,"High",O307=4,"Very High")</f>
        <v>Medium</v>
      </c>
      <c r="AJ307" t="str" cm="1">
        <f t="array" ref="AJ307">_xlfn.IFS(U307=1,"Low",U307=2,"Good",U307=3,"Excellent",U307=4,"Outstanding")</f>
        <v>Excellent</v>
      </c>
      <c r="AK307" t="str" cm="1">
        <f t="array" ref="AK307">_xlfn.IFS(V307=1,"Low",V307=2,"Medium",V307=3,"High",V307=4,"Very High")</f>
        <v>High</v>
      </c>
      <c r="AL307" t="str" cm="1">
        <f t="array" ref="AL307">_xlfn.IFS(Z307=1,"Bad",Z307=2,"Good",Z307=3,"Better",Z307=4,"Best")</f>
        <v>Better</v>
      </c>
      <c r="AM307" t="str" cm="1">
        <f t="array" ref="AM307">_xlfn.IFS(W307=0,"No_stock",W307=1,"Low",W307=2,"Medium",W307=3,"High")</f>
        <v>Low</v>
      </c>
      <c r="AN307" t="str">
        <f t="shared" si="4"/>
        <v>Far</v>
      </c>
    </row>
    <row r="308" spans="1:40" x14ac:dyDescent="0.45">
      <c r="A308">
        <v>32</v>
      </c>
      <c r="B308" t="s">
        <v>37</v>
      </c>
      <c r="C308" t="s">
        <v>31</v>
      </c>
      <c r="D308">
        <v>906</v>
      </c>
      <c r="E308" t="s">
        <v>32</v>
      </c>
      <c r="F308">
        <v>7</v>
      </c>
      <c r="G308">
        <v>3</v>
      </c>
      <c r="H308" t="s">
        <v>33</v>
      </c>
      <c r="I308">
        <v>420</v>
      </c>
      <c r="J308">
        <v>4</v>
      </c>
      <c r="K308" t="s">
        <v>40</v>
      </c>
      <c r="L308">
        <v>2</v>
      </c>
      <c r="M308">
        <v>2</v>
      </c>
      <c r="N308" t="s">
        <v>35</v>
      </c>
      <c r="O308">
        <v>3</v>
      </c>
      <c r="P308" t="s">
        <v>42</v>
      </c>
      <c r="Q308">
        <v>5484</v>
      </c>
      <c r="R308">
        <v>1</v>
      </c>
      <c r="S308" t="s">
        <v>37</v>
      </c>
      <c r="T308">
        <v>14</v>
      </c>
      <c r="U308">
        <v>3</v>
      </c>
      <c r="V308">
        <v>3</v>
      </c>
      <c r="W308">
        <v>1</v>
      </c>
      <c r="X308">
        <v>13</v>
      </c>
      <c r="Y308">
        <v>3</v>
      </c>
      <c r="Z308">
        <v>2</v>
      </c>
      <c r="AA308">
        <v>13</v>
      </c>
      <c r="AB308">
        <v>8</v>
      </c>
      <c r="AC308">
        <v>4</v>
      </c>
      <c r="AD308">
        <v>8</v>
      </c>
      <c r="AE308" t="str" cm="1">
        <f t="array" ref="AE308">_xlfn.IFS(G308=1,"Before College",G308=2,"College",G308=3,"Bachelor",G308=4,"Master",G308=5,"Doctor")</f>
        <v>Bachelor</v>
      </c>
      <c r="AF308" t="str" cm="1">
        <f t="array" ref="AF308">_xlfn.IFS(J308=1,"Low",J308=2,"Medium",J308=3,"High",J308=4,"Very High")</f>
        <v>Very High</v>
      </c>
      <c r="AG308" t="str" cm="1">
        <f t="array" ref="AG308">_xlfn.IFS(L308=1,"Low",L308=2,"Medium",L308=3,"High",L308=4,"Very High")</f>
        <v>Medium</v>
      </c>
      <c r="AH308" t="str" cm="1">
        <f t="array" ref="AH308">_xlfn.IFS(M308=1,"Junior employee",M308=2,"Mid-level",M308=3,"Senior",M308=4,"Manager",M308=5,"Executive")</f>
        <v>Mid-level</v>
      </c>
      <c r="AI308" t="str" cm="1">
        <f t="array" ref="AI308">_xlfn.IFS(O308=1,"Low",O308=2,"Medium",O308=3,"High",O308=4,"Very High")</f>
        <v>High</v>
      </c>
      <c r="AJ308" t="str" cm="1">
        <f t="array" ref="AJ308">_xlfn.IFS(U308=1,"Low",U308=2,"Good",U308=3,"Excellent",U308=4,"Outstanding")</f>
        <v>Excellent</v>
      </c>
      <c r="AK308" t="str" cm="1">
        <f t="array" ref="AK308">_xlfn.IFS(V308=1,"Low",V308=2,"Medium",V308=3,"High",V308=4,"Very High")</f>
        <v>High</v>
      </c>
      <c r="AL308" t="str" cm="1">
        <f t="array" ref="AL308">_xlfn.IFS(Z308=1,"Bad",Z308=2,"Good",Z308=3,"Better",Z308=4,"Best")</f>
        <v>Good</v>
      </c>
      <c r="AM308" t="str" cm="1">
        <f t="array" ref="AM308">_xlfn.IFS(W308=0,"No_stock",W308=1,"Low",W308=2,"Medium",W308=3,"High")</f>
        <v>Low</v>
      </c>
      <c r="AN308" t="str">
        <f t="shared" si="4"/>
        <v>Medium</v>
      </c>
    </row>
    <row r="309" spans="1:40" x14ac:dyDescent="0.45">
      <c r="A309">
        <v>38</v>
      </c>
      <c r="B309" t="s">
        <v>37</v>
      </c>
      <c r="C309" t="s">
        <v>31</v>
      </c>
      <c r="D309">
        <v>849</v>
      </c>
      <c r="E309" t="s">
        <v>39</v>
      </c>
      <c r="F309">
        <v>25</v>
      </c>
      <c r="G309">
        <v>2</v>
      </c>
      <c r="H309" t="s">
        <v>33</v>
      </c>
      <c r="I309">
        <v>421</v>
      </c>
      <c r="J309">
        <v>1</v>
      </c>
      <c r="K309" t="s">
        <v>34</v>
      </c>
      <c r="L309">
        <v>2</v>
      </c>
      <c r="M309">
        <v>3</v>
      </c>
      <c r="N309" t="s">
        <v>52</v>
      </c>
      <c r="O309">
        <v>2</v>
      </c>
      <c r="P309" t="s">
        <v>42</v>
      </c>
      <c r="Q309">
        <v>12061</v>
      </c>
      <c r="R309">
        <v>3</v>
      </c>
      <c r="S309" t="s">
        <v>37</v>
      </c>
      <c r="T309">
        <v>17</v>
      </c>
      <c r="U309">
        <v>3</v>
      </c>
      <c r="V309">
        <v>3</v>
      </c>
      <c r="W309">
        <v>1</v>
      </c>
      <c r="X309">
        <v>19</v>
      </c>
      <c r="Y309">
        <v>2</v>
      </c>
      <c r="Z309">
        <v>3</v>
      </c>
      <c r="AA309">
        <v>10</v>
      </c>
      <c r="AB309">
        <v>8</v>
      </c>
      <c r="AC309">
        <v>0</v>
      </c>
      <c r="AD309">
        <v>1</v>
      </c>
      <c r="AE309" t="str" cm="1">
        <f t="array" ref="AE309">_xlfn.IFS(G309=1,"Before College",G309=2,"College",G309=3,"Bachelor",G309=4,"Master",G309=5,"Doctor")</f>
        <v>College</v>
      </c>
      <c r="AF309" t="str" cm="1">
        <f t="array" ref="AF309">_xlfn.IFS(J309=1,"Low",J309=2,"Medium",J309=3,"High",J309=4,"Very High")</f>
        <v>Low</v>
      </c>
      <c r="AG309" t="str" cm="1">
        <f t="array" ref="AG309">_xlfn.IFS(L309=1,"Low",L309=2,"Medium",L309=3,"High",L309=4,"Very High")</f>
        <v>Medium</v>
      </c>
      <c r="AH309" t="str" cm="1">
        <f t="array" ref="AH309">_xlfn.IFS(M309=1,"Junior employee",M309=2,"Mid-level",M309=3,"Senior",M309=4,"Manager",M309=5,"Executive")</f>
        <v>Senior</v>
      </c>
      <c r="AI309" t="str" cm="1">
        <f t="array" ref="AI309">_xlfn.IFS(O309=1,"Low",O309=2,"Medium",O309=3,"High",O309=4,"Very High")</f>
        <v>Medium</v>
      </c>
      <c r="AJ309" t="str" cm="1">
        <f t="array" ref="AJ309">_xlfn.IFS(U309=1,"Low",U309=2,"Good",U309=3,"Excellent",U309=4,"Outstanding")</f>
        <v>Excellent</v>
      </c>
      <c r="AK309" t="str" cm="1">
        <f t="array" ref="AK309">_xlfn.IFS(V309=1,"Low",V309=2,"Medium",V309=3,"High",V309=4,"Very High")</f>
        <v>High</v>
      </c>
      <c r="AL309" t="str" cm="1">
        <f t="array" ref="AL309">_xlfn.IFS(Z309=1,"Bad",Z309=2,"Good",Z309=3,"Better",Z309=4,"Best")</f>
        <v>Better</v>
      </c>
      <c r="AM309" t="str" cm="1">
        <f t="array" ref="AM309">_xlfn.IFS(W309=0,"No_stock",W309=1,"Low",W309=2,"Medium",W309=3,"High")</f>
        <v>Low</v>
      </c>
      <c r="AN309" t="str">
        <f t="shared" si="4"/>
        <v>Far</v>
      </c>
    </row>
    <row r="310" spans="1:40" x14ac:dyDescent="0.45">
      <c r="A310">
        <v>58</v>
      </c>
      <c r="B310" t="s">
        <v>37</v>
      </c>
      <c r="C310" t="s">
        <v>49</v>
      </c>
      <c r="D310">
        <v>390</v>
      </c>
      <c r="E310" t="s">
        <v>39</v>
      </c>
      <c r="F310">
        <v>1</v>
      </c>
      <c r="G310">
        <v>4</v>
      </c>
      <c r="H310" t="s">
        <v>33</v>
      </c>
      <c r="I310">
        <v>422</v>
      </c>
      <c r="J310">
        <v>4</v>
      </c>
      <c r="K310" t="s">
        <v>40</v>
      </c>
      <c r="L310">
        <v>1</v>
      </c>
      <c r="M310">
        <v>2</v>
      </c>
      <c r="N310" t="s">
        <v>48</v>
      </c>
      <c r="O310">
        <v>3</v>
      </c>
      <c r="P310" t="s">
        <v>46</v>
      </c>
      <c r="Q310">
        <v>5660</v>
      </c>
      <c r="R310">
        <v>2</v>
      </c>
      <c r="S310" t="s">
        <v>30</v>
      </c>
      <c r="T310">
        <v>13</v>
      </c>
      <c r="U310">
        <v>3</v>
      </c>
      <c r="V310">
        <v>4</v>
      </c>
      <c r="W310">
        <v>1</v>
      </c>
      <c r="X310">
        <v>12</v>
      </c>
      <c r="Y310">
        <v>2</v>
      </c>
      <c r="Z310">
        <v>3</v>
      </c>
      <c r="AA310">
        <v>5</v>
      </c>
      <c r="AB310">
        <v>3</v>
      </c>
      <c r="AC310">
        <v>1</v>
      </c>
      <c r="AD310">
        <v>2</v>
      </c>
      <c r="AE310" t="str" cm="1">
        <f t="array" ref="AE310">_xlfn.IFS(G310=1,"Before College",G310=2,"College",G310=3,"Bachelor",G310=4,"Master",G310=5,"Doctor")</f>
        <v>Master</v>
      </c>
      <c r="AF310" t="str" cm="1">
        <f t="array" ref="AF310">_xlfn.IFS(J310=1,"Low",J310=2,"Medium",J310=3,"High",J310=4,"Very High")</f>
        <v>Very High</v>
      </c>
      <c r="AG310" t="str" cm="1">
        <f t="array" ref="AG310">_xlfn.IFS(L310=1,"Low",L310=2,"Medium",L310=3,"High",L310=4,"Very High")</f>
        <v>Low</v>
      </c>
      <c r="AH310" t="str" cm="1">
        <f t="array" ref="AH310">_xlfn.IFS(M310=1,"Junior employee",M310=2,"Mid-level",M310=3,"Senior",M310=4,"Manager",M310=5,"Executive")</f>
        <v>Mid-level</v>
      </c>
      <c r="AI310" t="str" cm="1">
        <f t="array" ref="AI310">_xlfn.IFS(O310=1,"Low",O310=2,"Medium",O310=3,"High",O310=4,"Very High")</f>
        <v>High</v>
      </c>
      <c r="AJ310" t="str" cm="1">
        <f t="array" ref="AJ310">_xlfn.IFS(U310=1,"Low",U310=2,"Good",U310=3,"Excellent",U310=4,"Outstanding")</f>
        <v>Excellent</v>
      </c>
      <c r="AK310" t="str" cm="1">
        <f t="array" ref="AK310">_xlfn.IFS(V310=1,"Low",V310=2,"Medium",V310=3,"High",V310=4,"Very High")</f>
        <v>Very High</v>
      </c>
      <c r="AL310" t="str" cm="1">
        <f t="array" ref="AL310">_xlfn.IFS(Z310=1,"Bad",Z310=2,"Good",Z310=3,"Better",Z310=4,"Best")</f>
        <v>Better</v>
      </c>
      <c r="AM310" t="str" cm="1">
        <f t="array" ref="AM310">_xlfn.IFS(W310=0,"No_stock",W310=1,"Low",W310=2,"Medium",W310=3,"High")</f>
        <v>Low</v>
      </c>
      <c r="AN310" t="str">
        <f t="shared" si="4"/>
        <v>Near</v>
      </c>
    </row>
    <row r="311" spans="1:40" x14ac:dyDescent="0.45">
      <c r="A311">
        <v>31</v>
      </c>
      <c r="B311" t="s">
        <v>37</v>
      </c>
      <c r="C311" t="s">
        <v>31</v>
      </c>
      <c r="D311">
        <v>691</v>
      </c>
      <c r="E311" t="s">
        <v>39</v>
      </c>
      <c r="F311">
        <v>5</v>
      </c>
      <c r="G311">
        <v>4</v>
      </c>
      <c r="H311" t="s">
        <v>54</v>
      </c>
      <c r="I311">
        <v>423</v>
      </c>
      <c r="J311">
        <v>3</v>
      </c>
      <c r="K311" t="s">
        <v>40</v>
      </c>
      <c r="L311">
        <v>3</v>
      </c>
      <c r="M311">
        <v>1</v>
      </c>
      <c r="N311" t="s">
        <v>41</v>
      </c>
      <c r="O311">
        <v>4</v>
      </c>
      <c r="P311" t="s">
        <v>42</v>
      </c>
      <c r="Q311">
        <v>4821</v>
      </c>
      <c r="R311">
        <v>0</v>
      </c>
      <c r="S311" t="s">
        <v>30</v>
      </c>
      <c r="T311">
        <v>12</v>
      </c>
      <c r="U311">
        <v>3</v>
      </c>
      <c r="V311">
        <v>3</v>
      </c>
      <c r="W311">
        <v>1</v>
      </c>
      <c r="X311">
        <v>6</v>
      </c>
      <c r="Y311">
        <v>4</v>
      </c>
      <c r="Z311">
        <v>3</v>
      </c>
      <c r="AA311">
        <v>5</v>
      </c>
      <c r="AB311">
        <v>2</v>
      </c>
      <c r="AC311">
        <v>0</v>
      </c>
      <c r="AD311">
        <v>3</v>
      </c>
      <c r="AE311" t="str" cm="1">
        <f t="array" ref="AE311">_xlfn.IFS(G311=1,"Before College",G311=2,"College",G311=3,"Bachelor",G311=4,"Master",G311=5,"Doctor")</f>
        <v>Master</v>
      </c>
      <c r="AF311" t="str" cm="1">
        <f t="array" ref="AF311">_xlfn.IFS(J311=1,"Low",J311=2,"Medium",J311=3,"High",J311=4,"Very High")</f>
        <v>High</v>
      </c>
      <c r="AG311" t="str" cm="1">
        <f t="array" ref="AG311">_xlfn.IFS(L311=1,"Low",L311=2,"Medium",L311=3,"High",L311=4,"Very High")</f>
        <v>High</v>
      </c>
      <c r="AH311" t="str" cm="1">
        <f t="array" ref="AH311">_xlfn.IFS(M311=1,"Junior employee",M311=2,"Mid-level",M311=3,"Senior",M311=4,"Manager",M311=5,"Executive")</f>
        <v>Junior employee</v>
      </c>
      <c r="AI311" t="str" cm="1">
        <f t="array" ref="AI311">_xlfn.IFS(O311=1,"Low",O311=2,"Medium",O311=3,"High",O311=4,"Very High")</f>
        <v>Very High</v>
      </c>
      <c r="AJ311" t="str" cm="1">
        <f t="array" ref="AJ311">_xlfn.IFS(U311=1,"Low",U311=2,"Good",U311=3,"Excellent",U311=4,"Outstanding")</f>
        <v>Excellent</v>
      </c>
      <c r="AK311" t="str" cm="1">
        <f t="array" ref="AK311">_xlfn.IFS(V311=1,"Low",V311=2,"Medium",V311=3,"High",V311=4,"Very High")</f>
        <v>High</v>
      </c>
      <c r="AL311" t="str" cm="1">
        <f t="array" ref="AL311">_xlfn.IFS(Z311=1,"Bad",Z311=2,"Good",Z311=3,"Better",Z311=4,"Best")</f>
        <v>Better</v>
      </c>
      <c r="AM311" t="str" cm="1">
        <f t="array" ref="AM311">_xlfn.IFS(W311=0,"No_stock",W311=1,"Low",W311=2,"Medium",W311=3,"High")</f>
        <v>Low</v>
      </c>
      <c r="AN311" t="str">
        <f t="shared" si="4"/>
        <v>Near</v>
      </c>
    </row>
    <row r="312" spans="1:40" x14ac:dyDescent="0.45">
      <c r="A312">
        <v>31</v>
      </c>
      <c r="B312" t="s">
        <v>37</v>
      </c>
      <c r="C312" t="s">
        <v>31</v>
      </c>
      <c r="D312">
        <v>106</v>
      </c>
      <c r="E312" t="s">
        <v>55</v>
      </c>
      <c r="F312">
        <v>2</v>
      </c>
      <c r="G312">
        <v>3</v>
      </c>
      <c r="H312" t="s">
        <v>55</v>
      </c>
      <c r="I312">
        <v>424</v>
      </c>
      <c r="J312">
        <v>1</v>
      </c>
      <c r="K312" t="s">
        <v>40</v>
      </c>
      <c r="L312">
        <v>2</v>
      </c>
      <c r="M312">
        <v>2</v>
      </c>
      <c r="N312" t="s">
        <v>55</v>
      </c>
      <c r="O312">
        <v>1</v>
      </c>
      <c r="P312" t="s">
        <v>42</v>
      </c>
      <c r="Q312">
        <v>6410</v>
      </c>
      <c r="R312">
        <v>3</v>
      </c>
      <c r="S312" t="s">
        <v>37</v>
      </c>
      <c r="T312">
        <v>12</v>
      </c>
      <c r="U312">
        <v>3</v>
      </c>
      <c r="V312">
        <v>4</v>
      </c>
      <c r="W312">
        <v>0</v>
      </c>
      <c r="X312">
        <v>9</v>
      </c>
      <c r="Y312">
        <v>1</v>
      </c>
      <c r="Z312">
        <v>3</v>
      </c>
      <c r="AA312">
        <v>2</v>
      </c>
      <c r="AB312">
        <v>2</v>
      </c>
      <c r="AC312">
        <v>1</v>
      </c>
      <c r="AD312">
        <v>0</v>
      </c>
      <c r="AE312" t="str" cm="1">
        <f t="array" ref="AE312">_xlfn.IFS(G312=1,"Before College",G312=2,"College",G312=3,"Bachelor",G312=4,"Master",G312=5,"Doctor")</f>
        <v>Bachelor</v>
      </c>
      <c r="AF312" t="str" cm="1">
        <f t="array" ref="AF312">_xlfn.IFS(J312=1,"Low",J312=2,"Medium",J312=3,"High",J312=4,"Very High")</f>
        <v>Low</v>
      </c>
      <c r="AG312" t="str" cm="1">
        <f t="array" ref="AG312">_xlfn.IFS(L312=1,"Low",L312=2,"Medium",L312=3,"High",L312=4,"Very High")</f>
        <v>Medium</v>
      </c>
      <c r="AH312" t="str" cm="1">
        <f t="array" ref="AH312">_xlfn.IFS(M312=1,"Junior employee",M312=2,"Mid-level",M312=3,"Senior",M312=4,"Manager",M312=5,"Executive")</f>
        <v>Mid-level</v>
      </c>
      <c r="AI312" t="str" cm="1">
        <f t="array" ref="AI312">_xlfn.IFS(O312=1,"Low",O312=2,"Medium",O312=3,"High",O312=4,"Very High")</f>
        <v>Low</v>
      </c>
      <c r="AJ312" t="str" cm="1">
        <f t="array" ref="AJ312">_xlfn.IFS(U312=1,"Low",U312=2,"Good",U312=3,"Excellent",U312=4,"Outstanding")</f>
        <v>Excellent</v>
      </c>
      <c r="AK312" t="str" cm="1">
        <f t="array" ref="AK312">_xlfn.IFS(V312=1,"Low",V312=2,"Medium",V312=3,"High",V312=4,"Very High")</f>
        <v>Very High</v>
      </c>
      <c r="AL312" t="str" cm="1">
        <f t="array" ref="AL312">_xlfn.IFS(Z312=1,"Bad",Z312=2,"Good",Z312=3,"Better",Z312=4,"Best")</f>
        <v>Better</v>
      </c>
      <c r="AM312" t="str" cm="1">
        <f t="array" ref="AM312">_xlfn.IFS(W312=0,"No_stock",W312=1,"Low",W312=2,"Medium",W312=3,"High")</f>
        <v>No_stock</v>
      </c>
      <c r="AN312" t="str">
        <f t="shared" si="4"/>
        <v>Near</v>
      </c>
    </row>
    <row r="313" spans="1:40" x14ac:dyDescent="0.45">
      <c r="A313">
        <v>45</v>
      </c>
      <c r="B313" t="s">
        <v>37</v>
      </c>
      <c r="C313" t="s">
        <v>38</v>
      </c>
      <c r="D313">
        <v>1249</v>
      </c>
      <c r="E313" t="s">
        <v>39</v>
      </c>
      <c r="F313">
        <v>7</v>
      </c>
      <c r="G313">
        <v>3</v>
      </c>
      <c r="H313" t="s">
        <v>33</v>
      </c>
      <c r="I313">
        <v>425</v>
      </c>
      <c r="J313">
        <v>1</v>
      </c>
      <c r="K313" t="s">
        <v>40</v>
      </c>
      <c r="L313">
        <v>3</v>
      </c>
      <c r="M313">
        <v>3</v>
      </c>
      <c r="N313" t="s">
        <v>44</v>
      </c>
      <c r="O313">
        <v>1</v>
      </c>
      <c r="P313" t="s">
        <v>46</v>
      </c>
      <c r="Q313">
        <v>5210</v>
      </c>
      <c r="R313">
        <v>1</v>
      </c>
      <c r="S313" t="s">
        <v>37</v>
      </c>
      <c r="T313">
        <v>18</v>
      </c>
      <c r="U313">
        <v>3</v>
      </c>
      <c r="V313">
        <v>1</v>
      </c>
      <c r="W313">
        <v>1</v>
      </c>
      <c r="X313">
        <v>24</v>
      </c>
      <c r="Y313">
        <v>2</v>
      </c>
      <c r="Z313">
        <v>3</v>
      </c>
      <c r="AA313">
        <v>24</v>
      </c>
      <c r="AB313">
        <v>9</v>
      </c>
      <c r="AC313">
        <v>9</v>
      </c>
      <c r="AD313">
        <v>11</v>
      </c>
      <c r="AE313" t="str" cm="1">
        <f t="array" ref="AE313">_xlfn.IFS(G313=1,"Before College",G313=2,"College",G313=3,"Bachelor",G313=4,"Master",G313=5,"Doctor")</f>
        <v>Bachelor</v>
      </c>
      <c r="AF313" t="str" cm="1">
        <f t="array" ref="AF313">_xlfn.IFS(J313=1,"Low",J313=2,"Medium",J313=3,"High",J313=4,"Very High")</f>
        <v>Low</v>
      </c>
      <c r="AG313" t="str" cm="1">
        <f t="array" ref="AG313">_xlfn.IFS(L313=1,"Low",L313=2,"Medium",L313=3,"High",L313=4,"Very High")</f>
        <v>High</v>
      </c>
      <c r="AH313" t="str" cm="1">
        <f t="array" ref="AH313">_xlfn.IFS(M313=1,"Junior employee",M313=2,"Mid-level",M313=3,"Senior",M313=4,"Manager",M313=5,"Executive")</f>
        <v>Senior</v>
      </c>
      <c r="AI313" t="str" cm="1">
        <f t="array" ref="AI313">_xlfn.IFS(O313=1,"Low",O313=2,"Medium",O313=3,"High",O313=4,"Very High")</f>
        <v>Low</v>
      </c>
      <c r="AJ313" t="str" cm="1">
        <f t="array" ref="AJ313">_xlfn.IFS(U313=1,"Low",U313=2,"Good",U313=3,"Excellent",U313=4,"Outstanding")</f>
        <v>Excellent</v>
      </c>
      <c r="AK313" t="str" cm="1">
        <f t="array" ref="AK313">_xlfn.IFS(V313=1,"Low",V313=2,"Medium",V313=3,"High",V313=4,"Very High")</f>
        <v>Low</v>
      </c>
      <c r="AL313" t="str" cm="1">
        <f t="array" ref="AL313">_xlfn.IFS(Z313=1,"Bad",Z313=2,"Good",Z313=3,"Better",Z313=4,"Best")</f>
        <v>Better</v>
      </c>
      <c r="AM313" t="str" cm="1">
        <f t="array" ref="AM313">_xlfn.IFS(W313=0,"No_stock",W313=1,"Low",W313=2,"Medium",W313=3,"High")</f>
        <v>Low</v>
      </c>
      <c r="AN313" t="str">
        <f t="shared" si="4"/>
        <v>Medium</v>
      </c>
    </row>
    <row r="314" spans="1:40" x14ac:dyDescent="0.45">
      <c r="A314">
        <v>31</v>
      </c>
      <c r="B314" t="s">
        <v>37</v>
      </c>
      <c r="C314" t="s">
        <v>31</v>
      </c>
      <c r="D314">
        <v>192</v>
      </c>
      <c r="E314" t="s">
        <v>39</v>
      </c>
      <c r="F314">
        <v>2</v>
      </c>
      <c r="G314">
        <v>4</v>
      </c>
      <c r="H314" t="s">
        <v>33</v>
      </c>
      <c r="I314">
        <v>426</v>
      </c>
      <c r="J314">
        <v>3</v>
      </c>
      <c r="K314" t="s">
        <v>40</v>
      </c>
      <c r="L314">
        <v>3</v>
      </c>
      <c r="M314">
        <v>1</v>
      </c>
      <c r="N314" t="s">
        <v>41</v>
      </c>
      <c r="O314">
        <v>4</v>
      </c>
      <c r="P314" t="s">
        <v>46</v>
      </c>
      <c r="Q314">
        <v>2695</v>
      </c>
      <c r="R314">
        <v>0</v>
      </c>
      <c r="S314" t="s">
        <v>30</v>
      </c>
      <c r="T314">
        <v>18</v>
      </c>
      <c r="U314">
        <v>3</v>
      </c>
      <c r="V314">
        <v>2</v>
      </c>
      <c r="W314">
        <v>1</v>
      </c>
      <c r="X314">
        <v>3</v>
      </c>
      <c r="Y314">
        <v>2</v>
      </c>
      <c r="Z314">
        <v>1</v>
      </c>
      <c r="AA314">
        <v>2</v>
      </c>
      <c r="AB314">
        <v>2</v>
      </c>
      <c r="AC314">
        <v>2</v>
      </c>
      <c r="AD314">
        <v>2</v>
      </c>
      <c r="AE314" t="str" cm="1">
        <f t="array" ref="AE314">_xlfn.IFS(G314=1,"Before College",G314=2,"College",G314=3,"Bachelor",G314=4,"Master",G314=5,"Doctor")</f>
        <v>Master</v>
      </c>
      <c r="AF314" t="str" cm="1">
        <f t="array" ref="AF314">_xlfn.IFS(J314=1,"Low",J314=2,"Medium",J314=3,"High",J314=4,"Very High")</f>
        <v>High</v>
      </c>
      <c r="AG314" t="str" cm="1">
        <f t="array" ref="AG314">_xlfn.IFS(L314=1,"Low",L314=2,"Medium",L314=3,"High",L314=4,"Very High")</f>
        <v>High</v>
      </c>
      <c r="AH314" t="str" cm="1">
        <f t="array" ref="AH314">_xlfn.IFS(M314=1,"Junior employee",M314=2,"Mid-level",M314=3,"Senior",M314=4,"Manager",M314=5,"Executive")</f>
        <v>Junior employee</v>
      </c>
      <c r="AI314" t="str" cm="1">
        <f t="array" ref="AI314">_xlfn.IFS(O314=1,"Low",O314=2,"Medium",O314=3,"High",O314=4,"Very High")</f>
        <v>Very High</v>
      </c>
      <c r="AJ314" t="str" cm="1">
        <f t="array" ref="AJ314">_xlfn.IFS(U314=1,"Low",U314=2,"Good",U314=3,"Excellent",U314=4,"Outstanding")</f>
        <v>Excellent</v>
      </c>
      <c r="AK314" t="str" cm="1">
        <f t="array" ref="AK314">_xlfn.IFS(V314=1,"Low",V314=2,"Medium",V314=3,"High",V314=4,"Very High")</f>
        <v>Medium</v>
      </c>
      <c r="AL314" t="str" cm="1">
        <f t="array" ref="AL314">_xlfn.IFS(Z314=1,"Bad",Z314=2,"Good",Z314=3,"Better",Z314=4,"Best")</f>
        <v>Bad</v>
      </c>
      <c r="AM314" t="str" cm="1">
        <f t="array" ref="AM314">_xlfn.IFS(W314=0,"No_stock",W314=1,"Low",W314=2,"Medium",W314=3,"High")</f>
        <v>Low</v>
      </c>
      <c r="AN314" t="str">
        <f t="shared" si="4"/>
        <v>Near</v>
      </c>
    </row>
    <row r="315" spans="1:40" x14ac:dyDescent="0.45">
      <c r="A315">
        <v>33</v>
      </c>
      <c r="B315" t="s">
        <v>37</v>
      </c>
      <c r="C315" t="s">
        <v>38</v>
      </c>
      <c r="D315">
        <v>553</v>
      </c>
      <c r="E315" t="s">
        <v>39</v>
      </c>
      <c r="F315">
        <v>5</v>
      </c>
      <c r="G315">
        <v>4</v>
      </c>
      <c r="H315" t="s">
        <v>33</v>
      </c>
      <c r="I315">
        <v>428</v>
      </c>
      <c r="J315">
        <v>4</v>
      </c>
      <c r="K315" t="s">
        <v>34</v>
      </c>
      <c r="L315">
        <v>3</v>
      </c>
      <c r="M315">
        <v>3</v>
      </c>
      <c r="N315" t="s">
        <v>50</v>
      </c>
      <c r="O315">
        <v>2</v>
      </c>
      <c r="P315" t="s">
        <v>42</v>
      </c>
      <c r="Q315">
        <v>11878</v>
      </c>
      <c r="R315">
        <v>6</v>
      </c>
      <c r="S315" t="s">
        <v>37</v>
      </c>
      <c r="T315">
        <v>11</v>
      </c>
      <c r="U315">
        <v>3</v>
      </c>
      <c r="V315">
        <v>2</v>
      </c>
      <c r="W315">
        <v>2</v>
      </c>
      <c r="X315">
        <v>12</v>
      </c>
      <c r="Y315">
        <v>2</v>
      </c>
      <c r="Z315">
        <v>3</v>
      </c>
      <c r="AA315">
        <v>10</v>
      </c>
      <c r="AB315">
        <v>6</v>
      </c>
      <c r="AC315">
        <v>8</v>
      </c>
      <c r="AD315">
        <v>8</v>
      </c>
      <c r="AE315" t="str" cm="1">
        <f t="array" ref="AE315">_xlfn.IFS(G315=1,"Before College",G315=2,"College",G315=3,"Bachelor",G315=4,"Master",G315=5,"Doctor")</f>
        <v>Master</v>
      </c>
      <c r="AF315" t="str" cm="1">
        <f t="array" ref="AF315">_xlfn.IFS(J315=1,"Low",J315=2,"Medium",J315=3,"High",J315=4,"Very High")</f>
        <v>Very High</v>
      </c>
      <c r="AG315" t="str" cm="1">
        <f t="array" ref="AG315">_xlfn.IFS(L315=1,"Low",L315=2,"Medium",L315=3,"High",L315=4,"Very High")</f>
        <v>High</v>
      </c>
      <c r="AH315" t="str" cm="1">
        <f t="array" ref="AH315">_xlfn.IFS(M315=1,"Junior employee",M315=2,"Mid-level",M315=3,"Senior",M315=4,"Manager",M315=5,"Executive")</f>
        <v>Senior</v>
      </c>
      <c r="AI315" t="str" cm="1">
        <f t="array" ref="AI315">_xlfn.IFS(O315=1,"Low",O315=2,"Medium",O315=3,"High",O315=4,"Very High")</f>
        <v>Medium</v>
      </c>
      <c r="AJ315" t="str" cm="1">
        <f t="array" ref="AJ315">_xlfn.IFS(U315=1,"Low",U315=2,"Good",U315=3,"Excellent",U315=4,"Outstanding")</f>
        <v>Excellent</v>
      </c>
      <c r="AK315" t="str" cm="1">
        <f t="array" ref="AK315">_xlfn.IFS(V315=1,"Low",V315=2,"Medium",V315=3,"High",V315=4,"Very High")</f>
        <v>Medium</v>
      </c>
      <c r="AL315" t="str" cm="1">
        <f t="array" ref="AL315">_xlfn.IFS(Z315=1,"Bad",Z315=2,"Good",Z315=3,"Better",Z315=4,"Best")</f>
        <v>Better</v>
      </c>
      <c r="AM315" t="str" cm="1">
        <f t="array" ref="AM315">_xlfn.IFS(W315=0,"No_stock",W315=1,"Low",W315=2,"Medium",W315=3,"High")</f>
        <v>Medium</v>
      </c>
      <c r="AN315" t="str">
        <f t="shared" si="4"/>
        <v>Near</v>
      </c>
    </row>
    <row r="316" spans="1:40" x14ac:dyDescent="0.45">
      <c r="A316">
        <v>39</v>
      </c>
      <c r="B316" t="s">
        <v>37</v>
      </c>
      <c r="C316" t="s">
        <v>31</v>
      </c>
      <c r="D316">
        <v>117</v>
      </c>
      <c r="E316" t="s">
        <v>39</v>
      </c>
      <c r="F316">
        <v>10</v>
      </c>
      <c r="G316">
        <v>1</v>
      </c>
      <c r="H316" t="s">
        <v>45</v>
      </c>
      <c r="I316">
        <v>429</v>
      </c>
      <c r="J316">
        <v>3</v>
      </c>
      <c r="K316" t="s">
        <v>40</v>
      </c>
      <c r="L316">
        <v>3</v>
      </c>
      <c r="M316">
        <v>4</v>
      </c>
      <c r="N316" t="s">
        <v>50</v>
      </c>
      <c r="O316">
        <v>1</v>
      </c>
      <c r="P316" t="s">
        <v>42</v>
      </c>
      <c r="Q316">
        <v>17068</v>
      </c>
      <c r="R316">
        <v>1</v>
      </c>
      <c r="S316" t="s">
        <v>30</v>
      </c>
      <c r="T316">
        <v>14</v>
      </c>
      <c r="U316">
        <v>3</v>
      </c>
      <c r="V316">
        <v>4</v>
      </c>
      <c r="W316">
        <v>0</v>
      </c>
      <c r="X316">
        <v>21</v>
      </c>
      <c r="Y316">
        <v>3</v>
      </c>
      <c r="Z316">
        <v>3</v>
      </c>
      <c r="AA316">
        <v>21</v>
      </c>
      <c r="AB316">
        <v>9</v>
      </c>
      <c r="AC316">
        <v>11</v>
      </c>
      <c r="AD316">
        <v>10</v>
      </c>
      <c r="AE316" t="str" cm="1">
        <f t="array" ref="AE316">_xlfn.IFS(G316=1,"Before College",G316=2,"College",G316=3,"Bachelor",G316=4,"Master",G316=5,"Doctor")</f>
        <v>Before College</v>
      </c>
      <c r="AF316" t="str" cm="1">
        <f t="array" ref="AF316">_xlfn.IFS(J316=1,"Low",J316=2,"Medium",J316=3,"High",J316=4,"Very High")</f>
        <v>High</v>
      </c>
      <c r="AG316" t="str" cm="1">
        <f t="array" ref="AG316">_xlfn.IFS(L316=1,"Low",L316=2,"Medium",L316=3,"High",L316=4,"Very High")</f>
        <v>High</v>
      </c>
      <c r="AH316" t="str" cm="1">
        <f t="array" ref="AH316">_xlfn.IFS(M316=1,"Junior employee",M316=2,"Mid-level",M316=3,"Senior",M316=4,"Manager",M316=5,"Executive")</f>
        <v>Manager</v>
      </c>
      <c r="AI316" t="str" cm="1">
        <f t="array" ref="AI316">_xlfn.IFS(O316=1,"Low",O316=2,"Medium",O316=3,"High",O316=4,"Very High")</f>
        <v>Low</v>
      </c>
      <c r="AJ316" t="str" cm="1">
        <f t="array" ref="AJ316">_xlfn.IFS(U316=1,"Low",U316=2,"Good",U316=3,"Excellent",U316=4,"Outstanding")</f>
        <v>Excellent</v>
      </c>
      <c r="AK316" t="str" cm="1">
        <f t="array" ref="AK316">_xlfn.IFS(V316=1,"Low",V316=2,"Medium",V316=3,"High",V316=4,"Very High")</f>
        <v>Very High</v>
      </c>
      <c r="AL316" t="str" cm="1">
        <f t="array" ref="AL316">_xlfn.IFS(Z316=1,"Bad",Z316=2,"Good",Z316=3,"Better",Z316=4,"Best")</f>
        <v>Better</v>
      </c>
      <c r="AM316" t="str" cm="1">
        <f t="array" ref="AM316">_xlfn.IFS(W316=0,"No_stock",W316=1,"Low",W316=2,"Medium",W316=3,"High")</f>
        <v>No_stock</v>
      </c>
      <c r="AN316" t="str">
        <f t="shared" si="4"/>
        <v>Medium</v>
      </c>
    </row>
    <row r="317" spans="1:40" x14ac:dyDescent="0.45">
      <c r="A317">
        <v>43</v>
      </c>
      <c r="B317" t="s">
        <v>37</v>
      </c>
      <c r="C317" t="s">
        <v>38</v>
      </c>
      <c r="D317">
        <v>185</v>
      </c>
      <c r="E317" t="s">
        <v>39</v>
      </c>
      <c r="F317">
        <v>10</v>
      </c>
      <c r="G317">
        <v>4</v>
      </c>
      <c r="H317" t="s">
        <v>33</v>
      </c>
      <c r="I317">
        <v>430</v>
      </c>
      <c r="J317">
        <v>3</v>
      </c>
      <c r="K317" t="s">
        <v>34</v>
      </c>
      <c r="L317">
        <v>3</v>
      </c>
      <c r="M317">
        <v>1</v>
      </c>
      <c r="N317" t="s">
        <v>44</v>
      </c>
      <c r="O317">
        <v>4</v>
      </c>
      <c r="P317" t="s">
        <v>36</v>
      </c>
      <c r="Q317">
        <v>2455</v>
      </c>
      <c r="R317">
        <v>0</v>
      </c>
      <c r="S317" t="s">
        <v>37</v>
      </c>
      <c r="T317">
        <v>19</v>
      </c>
      <c r="U317">
        <v>3</v>
      </c>
      <c r="V317">
        <v>1</v>
      </c>
      <c r="W317">
        <v>0</v>
      </c>
      <c r="X317">
        <v>9</v>
      </c>
      <c r="Y317">
        <v>5</v>
      </c>
      <c r="Z317">
        <v>3</v>
      </c>
      <c r="AA317">
        <v>8</v>
      </c>
      <c r="AB317">
        <v>7</v>
      </c>
      <c r="AC317">
        <v>1</v>
      </c>
      <c r="AD317">
        <v>7</v>
      </c>
      <c r="AE317" t="str" cm="1">
        <f t="array" ref="AE317">_xlfn.IFS(G317=1,"Before College",G317=2,"College",G317=3,"Bachelor",G317=4,"Master",G317=5,"Doctor")</f>
        <v>Master</v>
      </c>
      <c r="AF317" t="str" cm="1">
        <f t="array" ref="AF317">_xlfn.IFS(J317=1,"Low",J317=2,"Medium",J317=3,"High",J317=4,"Very High")</f>
        <v>High</v>
      </c>
      <c r="AG317" t="str" cm="1">
        <f t="array" ref="AG317">_xlfn.IFS(L317=1,"Low",L317=2,"Medium",L317=3,"High",L317=4,"Very High")</f>
        <v>High</v>
      </c>
      <c r="AH317" t="str" cm="1">
        <f t="array" ref="AH317">_xlfn.IFS(M317=1,"Junior employee",M317=2,"Mid-level",M317=3,"Senior",M317=4,"Manager",M317=5,"Executive")</f>
        <v>Junior employee</v>
      </c>
      <c r="AI317" t="str" cm="1">
        <f t="array" ref="AI317">_xlfn.IFS(O317=1,"Low",O317=2,"Medium",O317=3,"High",O317=4,"Very High")</f>
        <v>Very High</v>
      </c>
      <c r="AJ317" t="str" cm="1">
        <f t="array" ref="AJ317">_xlfn.IFS(U317=1,"Low",U317=2,"Good",U317=3,"Excellent",U317=4,"Outstanding")</f>
        <v>Excellent</v>
      </c>
      <c r="AK317" t="str" cm="1">
        <f t="array" ref="AK317">_xlfn.IFS(V317=1,"Low",V317=2,"Medium",V317=3,"High",V317=4,"Very High")</f>
        <v>Low</v>
      </c>
      <c r="AL317" t="str" cm="1">
        <f t="array" ref="AL317">_xlfn.IFS(Z317=1,"Bad",Z317=2,"Good",Z317=3,"Better",Z317=4,"Best")</f>
        <v>Better</v>
      </c>
      <c r="AM317" t="str" cm="1">
        <f t="array" ref="AM317">_xlfn.IFS(W317=0,"No_stock",W317=1,"Low",W317=2,"Medium",W317=3,"High")</f>
        <v>No_stock</v>
      </c>
      <c r="AN317" t="str">
        <f t="shared" si="4"/>
        <v>Medium</v>
      </c>
    </row>
    <row r="318" spans="1:40" x14ac:dyDescent="0.45">
      <c r="A318">
        <v>49</v>
      </c>
      <c r="B318" t="s">
        <v>37</v>
      </c>
      <c r="C318" t="s">
        <v>31</v>
      </c>
      <c r="D318">
        <v>1091</v>
      </c>
      <c r="E318" t="s">
        <v>39</v>
      </c>
      <c r="F318">
        <v>1</v>
      </c>
      <c r="G318">
        <v>2</v>
      </c>
      <c r="H318" t="s">
        <v>54</v>
      </c>
      <c r="I318">
        <v>431</v>
      </c>
      <c r="J318">
        <v>3</v>
      </c>
      <c r="K318" t="s">
        <v>34</v>
      </c>
      <c r="L318">
        <v>2</v>
      </c>
      <c r="M318">
        <v>4</v>
      </c>
      <c r="N318" t="s">
        <v>48</v>
      </c>
      <c r="O318">
        <v>3</v>
      </c>
      <c r="P318" t="s">
        <v>36</v>
      </c>
      <c r="Q318">
        <v>13964</v>
      </c>
      <c r="R318">
        <v>7</v>
      </c>
      <c r="S318" t="s">
        <v>30</v>
      </c>
      <c r="T318">
        <v>12</v>
      </c>
      <c r="U318">
        <v>3</v>
      </c>
      <c r="V318">
        <v>4</v>
      </c>
      <c r="W318">
        <v>0</v>
      </c>
      <c r="X318">
        <v>25</v>
      </c>
      <c r="Y318">
        <v>2</v>
      </c>
      <c r="Z318">
        <v>3</v>
      </c>
      <c r="AA318">
        <v>7</v>
      </c>
      <c r="AB318">
        <v>1</v>
      </c>
      <c r="AC318">
        <v>0</v>
      </c>
      <c r="AD318">
        <v>7</v>
      </c>
      <c r="AE318" t="str" cm="1">
        <f t="array" ref="AE318">_xlfn.IFS(G318=1,"Before College",G318=2,"College",G318=3,"Bachelor",G318=4,"Master",G318=5,"Doctor")</f>
        <v>College</v>
      </c>
      <c r="AF318" t="str" cm="1">
        <f t="array" ref="AF318">_xlfn.IFS(J318=1,"Low",J318=2,"Medium",J318=3,"High",J318=4,"Very High")</f>
        <v>High</v>
      </c>
      <c r="AG318" t="str" cm="1">
        <f t="array" ref="AG318">_xlfn.IFS(L318=1,"Low",L318=2,"Medium",L318=3,"High",L318=4,"Very High")</f>
        <v>Medium</v>
      </c>
      <c r="AH318" t="str" cm="1">
        <f t="array" ref="AH318">_xlfn.IFS(M318=1,"Junior employee",M318=2,"Mid-level",M318=3,"Senior",M318=4,"Manager",M318=5,"Executive")</f>
        <v>Manager</v>
      </c>
      <c r="AI318" t="str" cm="1">
        <f t="array" ref="AI318">_xlfn.IFS(O318=1,"Low",O318=2,"Medium",O318=3,"High",O318=4,"Very High")</f>
        <v>High</v>
      </c>
      <c r="AJ318" t="str" cm="1">
        <f t="array" ref="AJ318">_xlfn.IFS(U318=1,"Low",U318=2,"Good",U318=3,"Excellent",U318=4,"Outstanding")</f>
        <v>Excellent</v>
      </c>
      <c r="AK318" t="str" cm="1">
        <f t="array" ref="AK318">_xlfn.IFS(V318=1,"Low",V318=2,"Medium",V318=3,"High",V318=4,"Very High")</f>
        <v>Very High</v>
      </c>
      <c r="AL318" t="str" cm="1">
        <f t="array" ref="AL318">_xlfn.IFS(Z318=1,"Bad",Z318=2,"Good",Z318=3,"Better",Z318=4,"Best")</f>
        <v>Better</v>
      </c>
      <c r="AM318" t="str" cm="1">
        <f t="array" ref="AM318">_xlfn.IFS(W318=0,"No_stock",W318=1,"Low",W318=2,"Medium",W318=3,"High")</f>
        <v>No_stock</v>
      </c>
      <c r="AN318" t="str">
        <f t="shared" si="4"/>
        <v>Near</v>
      </c>
    </row>
    <row r="319" spans="1:40" x14ac:dyDescent="0.45">
      <c r="A319">
        <v>52</v>
      </c>
      <c r="B319" t="s">
        <v>30</v>
      </c>
      <c r="C319" t="s">
        <v>31</v>
      </c>
      <c r="D319">
        <v>723</v>
      </c>
      <c r="E319" t="s">
        <v>39</v>
      </c>
      <c r="F319">
        <v>8</v>
      </c>
      <c r="G319">
        <v>4</v>
      </c>
      <c r="H319" t="s">
        <v>45</v>
      </c>
      <c r="I319">
        <v>433</v>
      </c>
      <c r="J319">
        <v>3</v>
      </c>
      <c r="K319" t="s">
        <v>40</v>
      </c>
      <c r="L319">
        <v>2</v>
      </c>
      <c r="M319">
        <v>2</v>
      </c>
      <c r="N319" t="s">
        <v>41</v>
      </c>
      <c r="O319">
        <v>2</v>
      </c>
      <c r="P319" t="s">
        <v>42</v>
      </c>
      <c r="Q319">
        <v>4941</v>
      </c>
      <c r="R319">
        <v>2</v>
      </c>
      <c r="S319" t="s">
        <v>37</v>
      </c>
      <c r="T319">
        <v>15</v>
      </c>
      <c r="U319">
        <v>3</v>
      </c>
      <c r="V319">
        <v>1</v>
      </c>
      <c r="W319">
        <v>0</v>
      </c>
      <c r="X319">
        <v>11</v>
      </c>
      <c r="Y319">
        <v>3</v>
      </c>
      <c r="Z319">
        <v>2</v>
      </c>
      <c r="AA319">
        <v>8</v>
      </c>
      <c r="AB319">
        <v>2</v>
      </c>
      <c r="AC319">
        <v>7</v>
      </c>
      <c r="AD319">
        <v>7</v>
      </c>
      <c r="AE319" t="str" cm="1">
        <f t="array" ref="AE319">_xlfn.IFS(G319=1,"Before College",G319=2,"College",G319=3,"Bachelor",G319=4,"Master",G319=5,"Doctor")</f>
        <v>Master</v>
      </c>
      <c r="AF319" t="str" cm="1">
        <f t="array" ref="AF319">_xlfn.IFS(J319=1,"Low",J319=2,"Medium",J319=3,"High",J319=4,"Very High")</f>
        <v>High</v>
      </c>
      <c r="AG319" t="str" cm="1">
        <f t="array" ref="AG319">_xlfn.IFS(L319=1,"Low",L319=2,"Medium",L319=3,"High",L319=4,"Very High")</f>
        <v>Medium</v>
      </c>
      <c r="AH319" t="str" cm="1">
        <f t="array" ref="AH319">_xlfn.IFS(M319=1,"Junior employee",M319=2,"Mid-level",M319=3,"Senior",M319=4,"Manager",M319=5,"Executive")</f>
        <v>Mid-level</v>
      </c>
      <c r="AI319" t="str" cm="1">
        <f t="array" ref="AI319">_xlfn.IFS(O319=1,"Low",O319=2,"Medium",O319=3,"High",O319=4,"Very High")</f>
        <v>Medium</v>
      </c>
      <c r="AJ319" t="str" cm="1">
        <f t="array" ref="AJ319">_xlfn.IFS(U319=1,"Low",U319=2,"Good",U319=3,"Excellent",U319=4,"Outstanding")</f>
        <v>Excellent</v>
      </c>
      <c r="AK319" t="str" cm="1">
        <f t="array" ref="AK319">_xlfn.IFS(V319=1,"Low",V319=2,"Medium",V319=3,"High",V319=4,"Very High")</f>
        <v>Low</v>
      </c>
      <c r="AL319" t="str" cm="1">
        <f t="array" ref="AL319">_xlfn.IFS(Z319=1,"Bad",Z319=2,"Good",Z319=3,"Better",Z319=4,"Best")</f>
        <v>Good</v>
      </c>
      <c r="AM319" t="str" cm="1">
        <f t="array" ref="AM319">_xlfn.IFS(W319=0,"No_stock",W319=1,"Low",W319=2,"Medium",W319=3,"High")</f>
        <v>No_stock</v>
      </c>
      <c r="AN319" t="str">
        <f t="shared" si="4"/>
        <v>Medium</v>
      </c>
    </row>
    <row r="320" spans="1:40" x14ac:dyDescent="0.45">
      <c r="A320">
        <v>27</v>
      </c>
      <c r="B320" t="s">
        <v>37</v>
      </c>
      <c r="C320" t="s">
        <v>31</v>
      </c>
      <c r="D320">
        <v>1220</v>
      </c>
      <c r="E320" t="s">
        <v>39</v>
      </c>
      <c r="F320">
        <v>5</v>
      </c>
      <c r="G320">
        <v>3</v>
      </c>
      <c r="H320" t="s">
        <v>33</v>
      </c>
      <c r="I320">
        <v>434</v>
      </c>
      <c r="J320">
        <v>3</v>
      </c>
      <c r="K320" t="s">
        <v>34</v>
      </c>
      <c r="L320">
        <v>3</v>
      </c>
      <c r="M320">
        <v>1</v>
      </c>
      <c r="N320" t="s">
        <v>41</v>
      </c>
      <c r="O320">
        <v>2</v>
      </c>
      <c r="P320" t="s">
        <v>36</v>
      </c>
      <c r="Q320">
        <v>2478</v>
      </c>
      <c r="R320">
        <v>1</v>
      </c>
      <c r="S320" t="s">
        <v>30</v>
      </c>
      <c r="T320">
        <v>12</v>
      </c>
      <c r="U320">
        <v>3</v>
      </c>
      <c r="V320">
        <v>2</v>
      </c>
      <c r="W320">
        <v>0</v>
      </c>
      <c r="X320">
        <v>4</v>
      </c>
      <c r="Y320">
        <v>2</v>
      </c>
      <c r="Z320">
        <v>2</v>
      </c>
      <c r="AA320">
        <v>4</v>
      </c>
      <c r="AB320">
        <v>3</v>
      </c>
      <c r="AC320">
        <v>1</v>
      </c>
      <c r="AD320">
        <v>2</v>
      </c>
      <c r="AE320" t="str" cm="1">
        <f t="array" ref="AE320">_xlfn.IFS(G320=1,"Before College",G320=2,"College",G320=3,"Bachelor",G320=4,"Master",G320=5,"Doctor")</f>
        <v>Bachelor</v>
      </c>
      <c r="AF320" t="str" cm="1">
        <f t="array" ref="AF320">_xlfn.IFS(J320=1,"Low",J320=2,"Medium",J320=3,"High",J320=4,"Very High")</f>
        <v>High</v>
      </c>
      <c r="AG320" t="str" cm="1">
        <f t="array" ref="AG320">_xlfn.IFS(L320=1,"Low",L320=2,"Medium",L320=3,"High",L320=4,"Very High")</f>
        <v>High</v>
      </c>
      <c r="AH320" t="str" cm="1">
        <f t="array" ref="AH320">_xlfn.IFS(M320=1,"Junior employee",M320=2,"Mid-level",M320=3,"Senior",M320=4,"Manager",M320=5,"Executive")</f>
        <v>Junior employee</v>
      </c>
      <c r="AI320" t="str" cm="1">
        <f t="array" ref="AI320">_xlfn.IFS(O320=1,"Low",O320=2,"Medium",O320=3,"High",O320=4,"Very High")</f>
        <v>Medium</v>
      </c>
      <c r="AJ320" t="str" cm="1">
        <f t="array" ref="AJ320">_xlfn.IFS(U320=1,"Low",U320=2,"Good",U320=3,"Excellent",U320=4,"Outstanding")</f>
        <v>Excellent</v>
      </c>
      <c r="AK320" t="str" cm="1">
        <f t="array" ref="AK320">_xlfn.IFS(V320=1,"Low",V320=2,"Medium",V320=3,"High",V320=4,"Very High")</f>
        <v>Medium</v>
      </c>
      <c r="AL320" t="str" cm="1">
        <f t="array" ref="AL320">_xlfn.IFS(Z320=1,"Bad",Z320=2,"Good",Z320=3,"Better",Z320=4,"Best")</f>
        <v>Good</v>
      </c>
      <c r="AM320" t="str" cm="1">
        <f t="array" ref="AM320">_xlfn.IFS(W320=0,"No_stock",W320=1,"Low",W320=2,"Medium",W320=3,"High")</f>
        <v>No_stock</v>
      </c>
      <c r="AN320" t="str">
        <f t="shared" si="4"/>
        <v>Near</v>
      </c>
    </row>
    <row r="321" spans="1:40" x14ac:dyDescent="0.45">
      <c r="A321">
        <v>32</v>
      </c>
      <c r="B321" t="s">
        <v>37</v>
      </c>
      <c r="C321" t="s">
        <v>31</v>
      </c>
      <c r="D321">
        <v>588</v>
      </c>
      <c r="E321" t="s">
        <v>32</v>
      </c>
      <c r="F321">
        <v>8</v>
      </c>
      <c r="G321">
        <v>2</v>
      </c>
      <c r="H321" t="s">
        <v>54</v>
      </c>
      <c r="I321">
        <v>436</v>
      </c>
      <c r="J321">
        <v>3</v>
      </c>
      <c r="K321" t="s">
        <v>34</v>
      </c>
      <c r="L321">
        <v>2</v>
      </c>
      <c r="M321">
        <v>2</v>
      </c>
      <c r="N321" t="s">
        <v>35</v>
      </c>
      <c r="O321">
        <v>2</v>
      </c>
      <c r="P321" t="s">
        <v>42</v>
      </c>
      <c r="Q321">
        <v>5228</v>
      </c>
      <c r="R321">
        <v>1</v>
      </c>
      <c r="S321" t="s">
        <v>30</v>
      </c>
      <c r="T321">
        <v>11</v>
      </c>
      <c r="U321">
        <v>3</v>
      </c>
      <c r="V321">
        <v>4</v>
      </c>
      <c r="W321">
        <v>0</v>
      </c>
      <c r="X321">
        <v>13</v>
      </c>
      <c r="Y321">
        <v>2</v>
      </c>
      <c r="Z321">
        <v>3</v>
      </c>
      <c r="AA321">
        <v>13</v>
      </c>
      <c r="AB321">
        <v>12</v>
      </c>
      <c r="AC321">
        <v>11</v>
      </c>
      <c r="AD321">
        <v>9</v>
      </c>
      <c r="AE321" t="str" cm="1">
        <f t="array" ref="AE321">_xlfn.IFS(G321=1,"Before College",G321=2,"College",G321=3,"Bachelor",G321=4,"Master",G321=5,"Doctor")</f>
        <v>College</v>
      </c>
      <c r="AF321" t="str" cm="1">
        <f t="array" ref="AF321">_xlfn.IFS(J321=1,"Low",J321=2,"Medium",J321=3,"High",J321=4,"Very High")</f>
        <v>High</v>
      </c>
      <c r="AG321" t="str" cm="1">
        <f t="array" ref="AG321">_xlfn.IFS(L321=1,"Low",L321=2,"Medium",L321=3,"High",L321=4,"Very High")</f>
        <v>Medium</v>
      </c>
      <c r="AH321" t="str" cm="1">
        <f t="array" ref="AH321">_xlfn.IFS(M321=1,"Junior employee",M321=2,"Mid-level",M321=3,"Senior",M321=4,"Manager",M321=5,"Executive")</f>
        <v>Mid-level</v>
      </c>
      <c r="AI321" t="str" cm="1">
        <f t="array" ref="AI321">_xlfn.IFS(O321=1,"Low",O321=2,"Medium",O321=3,"High",O321=4,"Very High")</f>
        <v>Medium</v>
      </c>
      <c r="AJ321" t="str" cm="1">
        <f t="array" ref="AJ321">_xlfn.IFS(U321=1,"Low",U321=2,"Good",U321=3,"Excellent",U321=4,"Outstanding")</f>
        <v>Excellent</v>
      </c>
      <c r="AK321" t="str" cm="1">
        <f t="array" ref="AK321">_xlfn.IFS(V321=1,"Low",V321=2,"Medium",V321=3,"High",V321=4,"Very High")</f>
        <v>Very High</v>
      </c>
      <c r="AL321" t="str" cm="1">
        <f t="array" ref="AL321">_xlfn.IFS(Z321=1,"Bad",Z321=2,"Good",Z321=3,"Better",Z321=4,"Best")</f>
        <v>Better</v>
      </c>
      <c r="AM321" t="str" cm="1">
        <f t="array" ref="AM321">_xlfn.IFS(W321=0,"No_stock",W321=1,"Low",W321=2,"Medium",W321=3,"High")</f>
        <v>No_stock</v>
      </c>
      <c r="AN321" t="str">
        <f t="shared" si="4"/>
        <v>Medium</v>
      </c>
    </row>
    <row r="322" spans="1:40" x14ac:dyDescent="0.45">
      <c r="A322">
        <v>27</v>
      </c>
      <c r="B322" t="s">
        <v>37</v>
      </c>
      <c r="C322" t="s">
        <v>31</v>
      </c>
      <c r="D322">
        <v>1377</v>
      </c>
      <c r="E322" t="s">
        <v>32</v>
      </c>
      <c r="F322">
        <v>2</v>
      </c>
      <c r="G322">
        <v>3</v>
      </c>
      <c r="H322" t="s">
        <v>33</v>
      </c>
      <c r="I322">
        <v>437</v>
      </c>
      <c r="J322">
        <v>4</v>
      </c>
      <c r="K322" t="s">
        <v>40</v>
      </c>
      <c r="L322">
        <v>3</v>
      </c>
      <c r="M322">
        <v>2</v>
      </c>
      <c r="N322" t="s">
        <v>35</v>
      </c>
      <c r="O322">
        <v>3</v>
      </c>
      <c r="P322" t="s">
        <v>36</v>
      </c>
      <c r="Q322">
        <v>4478</v>
      </c>
      <c r="R322">
        <v>1</v>
      </c>
      <c r="S322" t="s">
        <v>30</v>
      </c>
      <c r="T322">
        <v>11</v>
      </c>
      <c r="U322">
        <v>3</v>
      </c>
      <c r="V322">
        <v>1</v>
      </c>
      <c r="W322">
        <v>0</v>
      </c>
      <c r="X322">
        <v>5</v>
      </c>
      <c r="Y322">
        <v>3</v>
      </c>
      <c r="Z322">
        <v>3</v>
      </c>
      <c r="AA322">
        <v>5</v>
      </c>
      <c r="AB322">
        <v>4</v>
      </c>
      <c r="AC322">
        <v>0</v>
      </c>
      <c r="AD322">
        <v>4</v>
      </c>
      <c r="AE322" t="str" cm="1">
        <f t="array" ref="AE322">_xlfn.IFS(G322=1,"Before College",G322=2,"College",G322=3,"Bachelor",G322=4,"Master",G322=5,"Doctor")</f>
        <v>Bachelor</v>
      </c>
      <c r="AF322" t="str" cm="1">
        <f t="array" ref="AF322">_xlfn.IFS(J322=1,"Low",J322=2,"Medium",J322=3,"High",J322=4,"Very High")</f>
        <v>Very High</v>
      </c>
      <c r="AG322" t="str" cm="1">
        <f t="array" ref="AG322">_xlfn.IFS(L322=1,"Low",L322=2,"Medium",L322=3,"High",L322=4,"Very High")</f>
        <v>High</v>
      </c>
      <c r="AH322" t="str" cm="1">
        <f t="array" ref="AH322">_xlfn.IFS(M322=1,"Junior employee",M322=2,"Mid-level",M322=3,"Senior",M322=4,"Manager",M322=5,"Executive")</f>
        <v>Mid-level</v>
      </c>
      <c r="AI322" t="str" cm="1">
        <f t="array" ref="AI322">_xlfn.IFS(O322=1,"Low",O322=2,"Medium",O322=3,"High",O322=4,"Very High")</f>
        <v>High</v>
      </c>
      <c r="AJ322" t="str" cm="1">
        <f t="array" ref="AJ322">_xlfn.IFS(U322=1,"Low",U322=2,"Good",U322=3,"Excellent",U322=4,"Outstanding")</f>
        <v>Excellent</v>
      </c>
      <c r="AK322" t="str" cm="1">
        <f t="array" ref="AK322">_xlfn.IFS(V322=1,"Low",V322=2,"Medium",V322=3,"High",V322=4,"Very High")</f>
        <v>Low</v>
      </c>
      <c r="AL322" t="str" cm="1">
        <f t="array" ref="AL322">_xlfn.IFS(Z322=1,"Bad",Z322=2,"Good",Z322=3,"Better",Z322=4,"Best")</f>
        <v>Better</v>
      </c>
      <c r="AM322" t="str" cm="1">
        <f t="array" ref="AM322">_xlfn.IFS(W322=0,"No_stock",W322=1,"Low",W322=2,"Medium",W322=3,"High")</f>
        <v>No_stock</v>
      </c>
      <c r="AN322" t="str">
        <f t="shared" ref="AN322:AN385" si="5">IF(F322&lt;=5,"Near",IF(F322&lt;=15,"Medium","Far"))</f>
        <v>Near</v>
      </c>
    </row>
    <row r="323" spans="1:40" x14ac:dyDescent="0.45">
      <c r="A323">
        <v>31</v>
      </c>
      <c r="B323" t="s">
        <v>37</v>
      </c>
      <c r="C323" t="s">
        <v>31</v>
      </c>
      <c r="D323">
        <v>691</v>
      </c>
      <c r="E323" t="s">
        <v>32</v>
      </c>
      <c r="F323">
        <v>7</v>
      </c>
      <c r="G323">
        <v>3</v>
      </c>
      <c r="H323" t="s">
        <v>53</v>
      </c>
      <c r="I323">
        <v>438</v>
      </c>
      <c r="J323">
        <v>4</v>
      </c>
      <c r="K323" t="s">
        <v>40</v>
      </c>
      <c r="L323">
        <v>3</v>
      </c>
      <c r="M323">
        <v>2</v>
      </c>
      <c r="N323" t="s">
        <v>35</v>
      </c>
      <c r="O323">
        <v>4</v>
      </c>
      <c r="P323" t="s">
        <v>46</v>
      </c>
      <c r="Q323">
        <v>7547</v>
      </c>
      <c r="R323">
        <v>4</v>
      </c>
      <c r="S323" t="s">
        <v>37</v>
      </c>
      <c r="T323">
        <v>12</v>
      </c>
      <c r="U323">
        <v>3</v>
      </c>
      <c r="V323">
        <v>4</v>
      </c>
      <c r="W323">
        <v>3</v>
      </c>
      <c r="X323">
        <v>13</v>
      </c>
      <c r="Y323">
        <v>3</v>
      </c>
      <c r="Z323">
        <v>3</v>
      </c>
      <c r="AA323">
        <v>7</v>
      </c>
      <c r="AB323">
        <v>7</v>
      </c>
      <c r="AC323">
        <v>1</v>
      </c>
      <c r="AD323">
        <v>7</v>
      </c>
      <c r="AE323" t="str" cm="1">
        <f t="array" ref="AE323">_xlfn.IFS(G323=1,"Before College",G323=2,"College",G323=3,"Bachelor",G323=4,"Master",G323=5,"Doctor")</f>
        <v>Bachelor</v>
      </c>
      <c r="AF323" t="str" cm="1">
        <f t="array" ref="AF323">_xlfn.IFS(J323=1,"Low",J323=2,"Medium",J323=3,"High",J323=4,"Very High")</f>
        <v>Very High</v>
      </c>
      <c r="AG323" t="str" cm="1">
        <f t="array" ref="AG323">_xlfn.IFS(L323=1,"Low",L323=2,"Medium",L323=3,"High",L323=4,"Very High")</f>
        <v>High</v>
      </c>
      <c r="AH323" t="str" cm="1">
        <f t="array" ref="AH323">_xlfn.IFS(M323=1,"Junior employee",M323=2,"Mid-level",M323=3,"Senior",M323=4,"Manager",M323=5,"Executive")</f>
        <v>Mid-level</v>
      </c>
      <c r="AI323" t="str" cm="1">
        <f t="array" ref="AI323">_xlfn.IFS(O323=1,"Low",O323=2,"Medium",O323=3,"High",O323=4,"Very High")</f>
        <v>Very High</v>
      </c>
      <c r="AJ323" t="str" cm="1">
        <f t="array" ref="AJ323">_xlfn.IFS(U323=1,"Low",U323=2,"Good",U323=3,"Excellent",U323=4,"Outstanding")</f>
        <v>Excellent</v>
      </c>
      <c r="AK323" t="str" cm="1">
        <f t="array" ref="AK323">_xlfn.IFS(V323=1,"Low",V323=2,"Medium",V323=3,"High",V323=4,"Very High")</f>
        <v>Very High</v>
      </c>
      <c r="AL323" t="str" cm="1">
        <f t="array" ref="AL323">_xlfn.IFS(Z323=1,"Bad",Z323=2,"Good",Z323=3,"Better",Z323=4,"Best")</f>
        <v>Better</v>
      </c>
      <c r="AM323" t="str" cm="1">
        <f t="array" ref="AM323">_xlfn.IFS(W323=0,"No_stock",W323=1,"Low",W323=2,"Medium",W323=3,"High")</f>
        <v>High</v>
      </c>
      <c r="AN323" t="str">
        <f t="shared" si="5"/>
        <v>Medium</v>
      </c>
    </row>
    <row r="324" spans="1:40" x14ac:dyDescent="0.45">
      <c r="A324">
        <v>32</v>
      </c>
      <c r="B324" t="s">
        <v>37</v>
      </c>
      <c r="C324" t="s">
        <v>31</v>
      </c>
      <c r="D324">
        <v>1018</v>
      </c>
      <c r="E324" t="s">
        <v>39</v>
      </c>
      <c r="F324">
        <v>2</v>
      </c>
      <c r="G324">
        <v>4</v>
      </c>
      <c r="H324" t="s">
        <v>45</v>
      </c>
      <c r="I324">
        <v>439</v>
      </c>
      <c r="J324">
        <v>1</v>
      </c>
      <c r="K324" t="s">
        <v>34</v>
      </c>
      <c r="L324">
        <v>4</v>
      </c>
      <c r="M324">
        <v>2</v>
      </c>
      <c r="N324" t="s">
        <v>41</v>
      </c>
      <c r="O324">
        <v>4</v>
      </c>
      <c r="P324" t="s">
        <v>36</v>
      </c>
      <c r="Q324">
        <v>5055</v>
      </c>
      <c r="R324">
        <v>7</v>
      </c>
      <c r="S324" t="s">
        <v>37</v>
      </c>
      <c r="T324">
        <v>16</v>
      </c>
      <c r="U324">
        <v>3</v>
      </c>
      <c r="V324">
        <v>3</v>
      </c>
      <c r="W324">
        <v>0</v>
      </c>
      <c r="X324">
        <v>10</v>
      </c>
      <c r="Y324">
        <v>0</v>
      </c>
      <c r="Z324">
        <v>2</v>
      </c>
      <c r="AA324">
        <v>7</v>
      </c>
      <c r="AB324">
        <v>7</v>
      </c>
      <c r="AC324">
        <v>0</v>
      </c>
      <c r="AD324">
        <v>7</v>
      </c>
      <c r="AE324" t="str" cm="1">
        <f t="array" ref="AE324">_xlfn.IFS(G324=1,"Before College",G324=2,"College",G324=3,"Bachelor",G324=4,"Master",G324=5,"Doctor")</f>
        <v>Master</v>
      </c>
      <c r="AF324" t="str" cm="1">
        <f t="array" ref="AF324">_xlfn.IFS(J324=1,"Low",J324=2,"Medium",J324=3,"High",J324=4,"Very High")</f>
        <v>Low</v>
      </c>
      <c r="AG324" t="str" cm="1">
        <f t="array" ref="AG324">_xlfn.IFS(L324=1,"Low",L324=2,"Medium",L324=3,"High",L324=4,"Very High")</f>
        <v>Very High</v>
      </c>
      <c r="AH324" t="str" cm="1">
        <f t="array" ref="AH324">_xlfn.IFS(M324=1,"Junior employee",M324=2,"Mid-level",M324=3,"Senior",M324=4,"Manager",M324=5,"Executive")</f>
        <v>Mid-level</v>
      </c>
      <c r="AI324" t="str" cm="1">
        <f t="array" ref="AI324">_xlfn.IFS(O324=1,"Low",O324=2,"Medium",O324=3,"High",O324=4,"Very High")</f>
        <v>Very High</v>
      </c>
      <c r="AJ324" t="str" cm="1">
        <f t="array" ref="AJ324">_xlfn.IFS(U324=1,"Low",U324=2,"Good",U324=3,"Excellent",U324=4,"Outstanding")</f>
        <v>Excellent</v>
      </c>
      <c r="AK324" t="str" cm="1">
        <f t="array" ref="AK324">_xlfn.IFS(V324=1,"Low",V324=2,"Medium",V324=3,"High",V324=4,"Very High")</f>
        <v>High</v>
      </c>
      <c r="AL324" t="str" cm="1">
        <f t="array" ref="AL324">_xlfn.IFS(Z324=1,"Bad",Z324=2,"Good",Z324=3,"Better",Z324=4,"Best")</f>
        <v>Good</v>
      </c>
      <c r="AM324" t="str" cm="1">
        <f t="array" ref="AM324">_xlfn.IFS(W324=0,"No_stock",W324=1,"Low",W324=2,"Medium",W324=3,"High")</f>
        <v>No_stock</v>
      </c>
      <c r="AN324" t="str">
        <f t="shared" si="5"/>
        <v>Near</v>
      </c>
    </row>
    <row r="325" spans="1:40" x14ac:dyDescent="0.45">
      <c r="A325">
        <v>28</v>
      </c>
      <c r="B325" t="s">
        <v>30</v>
      </c>
      <c r="C325" t="s">
        <v>31</v>
      </c>
      <c r="D325">
        <v>1157</v>
      </c>
      <c r="E325" t="s">
        <v>39</v>
      </c>
      <c r="F325">
        <v>2</v>
      </c>
      <c r="G325">
        <v>4</v>
      </c>
      <c r="H325" t="s">
        <v>45</v>
      </c>
      <c r="I325">
        <v>440</v>
      </c>
      <c r="J325">
        <v>1</v>
      </c>
      <c r="K325" t="s">
        <v>40</v>
      </c>
      <c r="L325">
        <v>1</v>
      </c>
      <c r="M325">
        <v>1</v>
      </c>
      <c r="N325" t="s">
        <v>41</v>
      </c>
      <c r="O325">
        <v>4</v>
      </c>
      <c r="P325" t="s">
        <v>42</v>
      </c>
      <c r="Q325">
        <v>3464</v>
      </c>
      <c r="R325">
        <v>5</v>
      </c>
      <c r="S325" t="s">
        <v>30</v>
      </c>
      <c r="T325">
        <v>13</v>
      </c>
      <c r="U325">
        <v>3</v>
      </c>
      <c r="V325">
        <v>4</v>
      </c>
      <c r="W325">
        <v>0</v>
      </c>
      <c r="X325">
        <v>5</v>
      </c>
      <c r="Y325">
        <v>4</v>
      </c>
      <c r="Z325">
        <v>2</v>
      </c>
      <c r="AA325">
        <v>3</v>
      </c>
      <c r="AB325">
        <v>2</v>
      </c>
      <c r="AC325">
        <v>2</v>
      </c>
      <c r="AD325">
        <v>2</v>
      </c>
      <c r="AE325" t="str" cm="1">
        <f t="array" ref="AE325">_xlfn.IFS(G325=1,"Before College",G325=2,"College",G325=3,"Bachelor",G325=4,"Master",G325=5,"Doctor")</f>
        <v>Master</v>
      </c>
      <c r="AF325" t="str" cm="1">
        <f t="array" ref="AF325">_xlfn.IFS(J325=1,"Low",J325=2,"Medium",J325=3,"High",J325=4,"Very High")</f>
        <v>Low</v>
      </c>
      <c r="AG325" t="str" cm="1">
        <f t="array" ref="AG325">_xlfn.IFS(L325=1,"Low",L325=2,"Medium",L325=3,"High",L325=4,"Very High")</f>
        <v>Low</v>
      </c>
      <c r="AH325" t="str" cm="1">
        <f t="array" ref="AH325">_xlfn.IFS(M325=1,"Junior employee",M325=2,"Mid-level",M325=3,"Senior",M325=4,"Manager",M325=5,"Executive")</f>
        <v>Junior employee</v>
      </c>
      <c r="AI325" t="str" cm="1">
        <f t="array" ref="AI325">_xlfn.IFS(O325=1,"Low",O325=2,"Medium",O325=3,"High",O325=4,"Very High")</f>
        <v>Very High</v>
      </c>
      <c r="AJ325" t="str" cm="1">
        <f t="array" ref="AJ325">_xlfn.IFS(U325=1,"Low",U325=2,"Good",U325=3,"Excellent",U325=4,"Outstanding")</f>
        <v>Excellent</v>
      </c>
      <c r="AK325" t="str" cm="1">
        <f t="array" ref="AK325">_xlfn.IFS(V325=1,"Low",V325=2,"Medium",V325=3,"High",V325=4,"Very High")</f>
        <v>Very High</v>
      </c>
      <c r="AL325" t="str" cm="1">
        <f t="array" ref="AL325">_xlfn.IFS(Z325=1,"Bad",Z325=2,"Good",Z325=3,"Better",Z325=4,"Best")</f>
        <v>Good</v>
      </c>
      <c r="AM325" t="str" cm="1">
        <f t="array" ref="AM325">_xlfn.IFS(W325=0,"No_stock",W325=1,"Low",W325=2,"Medium",W325=3,"High")</f>
        <v>No_stock</v>
      </c>
      <c r="AN325" t="str">
        <f t="shared" si="5"/>
        <v>Near</v>
      </c>
    </row>
    <row r="326" spans="1:40" x14ac:dyDescent="0.45">
      <c r="A326">
        <v>30</v>
      </c>
      <c r="B326" t="s">
        <v>37</v>
      </c>
      <c r="C326" t="s">
        <v>31</v>
      </c>
      <c r="D326">
        <v>1275</v>
      </c>
      <c r="E326" t="s">
        <v>39</v>
      </c>
      <c r="F326">
        <v>28</v>
      </c>
      <c r="G326">
        <v>2</v>
      </c>
      <c r="H326" t="s">
        <v>45</v>
      </c>
      <c r="I326">
        <v>441</v>
      </c>
      <c r="J326">
        <v>4</v>
      </c>
      <c r="K326" t="s">
        <v>34</v>
      </c>
      <c r="L326">
        <v>3</v>
      </c>
      <c r="M326">
        <v>2</v>
      </c>
      <c r="N326" t="s">
        <v>41</v>
      </c>
      <c r="O326">
        <v>4</v>
      </c>
      <c r="P326" t="s">
        <v>42</v>
      </c>
      <c r="Q326">
        <v>5775</v>
      </c>
      <c r="R326">
        <v>1</v>
      </c>
      <c r="S326" t="s">
        <v>37</v>
      </c>
      <c r="T326">
        <v>13</v>
      </c>
      <c r="U326">
        <v>3</v>
      </c>
      <c r="V326">
        <v>4</v>
      </c>
      <c r="W326">
        <v>2</v>
      </c>
      <c r="X326">
        <v>11</v>
      </c>
      <c r="Y326">
        <v>2</v>
      </c>
      <c r="Z326">
        <v>3</v>
      </c>
      <c r="AA326">
        <v>10</v>
      </c>
      <c r="AB326">
        <v>8</v>
      </c>
      <c r="AC326">
        <v>1</v>
      </c>
      <c r="AD326">
        <v>9</v>
      </c>
      <c r="AE326" t="str" cm="1">
        <f t="array" ref="AE326">_xlfn.IFS(G326=1,"Before College",G326=2,"College",G326=3,"Bachelor",G326=4,"Master",G326=5,"Doctor")</f>
        <v>College</v>
      </c>
      <c r="AF326" t="str" cm="1">
        <f t="array" ref="AF326">_xlfn.IFS(J326=1,"Low",J326=2,"Medium",J326=3,"High",J326=4,"Very High")</f>
        <v>Very High</v>
      </c>
      <c r="AG326" t="str" cm="1">
        <f t="array" ref="AG326">_xlfn.IFS(L326=1,"Low",L326=2,"Medium",L326=3,"High",L326=4,"Very High")</f>
        <v>High</v>
      </c>
      <c r="AH326" t="str" cm="1">
        <f t="array" ref="AH326">_xlfn.IFS(M326=1,"Junior employee",M326=2,"Mid-level",M326=3,"Senior",M326=4,"Manager",M326=5,"Executive")</f>
        <v>Mid-level</v>
      </c>
      <c r="AI326" t="str" cm="1">
        <f t="array" ref="AI326">_xlfn.IFS(O326=1,"Low",O326=2,"Medium",O326=3,"High",O326=4,"Very High")</f>
        <v>Very High</v>
      </c>
      <c r="AJ326" t="str" cm="1">
        <f t="array" ref="AJ326">_xlfn.IFS(U326=1,"Low",U326=2,"Good",U326=3,"Excellent",U326=4,"Outstanding")</f>
        <v>Excellent</v>
      </c>
      <c r="AK326" t="str" cm="1">
        <f t="array" ref="AK326">_xlfn.IFS(V326=1,"Low",V326=2,"Medium",V326=3,"High",V326=4,"Very High")</f>
        <v>Very High</v>
      </c>
      <c r="AL326" t="str" cm="1">
        <f t="array" ref="AL326">_xlfn.IFS(Z326=1,"Bad",Z326=2,"Good",Z326=3,"Better",Z326=4,"Best")</f>
        <v>Better</v>
      </c>
      <c r="AM326" t="str" cm="1">
        <f t="array" ref="AM326">_xlfn.IFS(W326=0,"No_stock",W326=1,"Low",W326=2,"Medium",W326=3,"High")</f>
        <v>Medium</v>
      </c>
      <c r="AN326" t="str">
        <f t="shared" si="5"/>
        <v>Far</v>
      </c>
    </row>
    <row r="327" spans="1:40" x14ac:dyDescent="0.45">
      <c r="A327">
        <v>31</v>
      </c>
      <c r="B327" t="s">
        <v>37</v>
      </c>
      <c r="C327" t="s">
        <v>38</v>
      </c>
      <c r="D327">
        <v>798</v>
      </c>
      <c r="E327" t="s">
        <v>39</v>
      </c>
      <c r="F327">
        <v>7</v>
      </c>
      <c r="G327">
        <v>2</v>
      </c>
      <c r="H327" t="s">
        <v>33</v>
      </c>
      <c r="I327">
        <v>442</v>
      </c>
      <c r="J327">
        <v>3</v>
      </c>
      <c r="K327" t="s">
        <v>34</v>
      </c>
      <c r="L327">
        <v>2</v>
      </c>
      <c r="M327">
        <v>3</v>
      </c>
      <c r="N327" t="s">
        <v>47</v>
      </c>
      <c r="O327">
        <v>3</v>
      </c>
      <c r="P327" t="s">
        <v>42</v>
      </c>
      <c r="Q327">
        <v>8943</v>
      </c>
      <c r="R327">
        <v>1</v>
      </c>
      <c r="S327" t="s">
        <v>37</v>
      </c>
      <c r="T327">
        <v>24</v>
      </c>
      <c r="U327">
        <v>4</v>
      </c>
      <c r="V327">
        <v>1</v>
      </c>
      <c r="W327">
        <v>1</v>
      </c>
      <c r="X327">
        <v>10</v>
      </c>
      <c r="Y327">
        <v>2</v>
      </c>
      <c r="Z327">
        <v>3</v>
      </c>
      <c r="AA327">
        <v>10</v>
      </c>
      <c r="AB327">
        <v>9</v>
      </c>
      <c r="AC327">
        <v>8</v>
      </c>
      <c r="AD327">
        <v>9</v>
      </c>
      <c r="AE327" t="str" cm="1">
        <f t="array" ref="AE327">_xlfn.IFS(G327=1,"Before College",G327=2,"College",G327=3,"Bachelor",G327=4,"Master",G327=5,"Doctor")</f>
        <v>College</v>
      </c>
      <c r="AF327" t="str" cm="1">
        <f t="array" ref="AF327">_xlfn.IFS(J327=1,"Low",J327=2,"Medium",J327=3,"High",J327=4,"Very High")</f>
        <v>High</v>
      </c>
      <c r="AG327" t="str" cm="1">
        <f t="array" ref="AG327">_xlfn.IFS(L327=1,"Low",L327=2,"Medium",L327=3,"High",L327=4,"Very High")</f>
        <v>Medium</v>
      </c>
      <c r="AH327" t="str" cm="1">
        <f t="array" ref="AH327">_xlfn.IFS(M327=1,"Junior employee",M327=2,"Mid-level",M327=3,"Senior",M327=4,"Manager",M327=5,"Executive")</f>
        <v>Senior</v>
      </c>
      <c r="AI327" t="str" cm="1">
        <f t="array" ref="AI327">_xlfn.IFS(O327=1,"Low",O327=2,"Medium",O327=3,"High",O327=4,"Very High")</f>
        <v>High</v>
      </c>
      <c r="AJ327" t="str" cm="1">
        <f t="array" ref="AJ327">_xlfn.IFS(U327=1,"Low",U327=2,"Good",U327=3,"Excellent",U327=4,"Outstanding")</f>
        <v>Outstanding</v>
      </c>
      <c r="AK327" t="str" cm="1">
        <f t="array" ref="AK327">_xlfn.IFS(V327=1,"Low",V327=2,"Medium",V327=3,"High",V327=4,"Very High")</f>
        <v>Low</v>
      </c>
      <c r="AL327" t="str" cm="1">
        <f t="array" ref="AL327">_xlfn.IFS(Z327=1,"Bad",Z327=2,"Good",Z327=3,"Better",Z327=4,"Best")</f>
        <v>Better</v>
      </c>
      <c r="AM327" t="str" cm="1">
        <f t="array" ref="AM327">_xlfn.IFS(W327=0,"No_stock",W327=1,"Low",W327=2,"Medium",W327=3,"High")</f>
        <v>Low</v>
      </c>
      <c r="AN327" t="str">
        <f t="shared" si="5"/>
        <v>Medium</v>
      </c>
    </row>
    <row r="328" spans="1:40" x14ac:dyDescent="0.45">
      <c r="A328">
        <v>39</v>
      </c>
      <c r="B328" t="s">
        <v>37</v>
      </c>
      <c r="C328" t="s">
        <v>38</v>
      </c>
      <c r="D328">
        <v>672</v>
      </c>
      <c r="E328" t="s">
        <v>39</v>
      </c>
      <c r="F328">
        <v>7</v>
      </c>
      <c r="G328">
        <v>2</v>
      </c>
      <c r="H328" t="s">
        <v>45</v>
      </c>
      <c r="I328">
        <v>444</v>
      </c>
      <c r="J328">
        <v>3</v>
      </c>
      <c r="K328" t="s">
        <v>40</v>
      </c>
      <c r="L328">
        <v>2</v>
      </c>
      <c r="M328">
        <v>5</v>
      </c>
      <c r="N328" t="s">
        <v>50</v>
      </c>
      <c r="O328">
        <v>4</v>
      </c>
      <c r="P328" t="s">
        <v>42</v>
      </c>
      <c r="Q328">
        <v>19272</v>
      </c>
      <c r="R328">
        <v>1</v>
      </c>
      <c r="S328" t="s">
        <v>37</v>
      </c>
      <c r="T328">
        <v>15</v>
      </c>
      <c r="U328">
        <v>3</v>
      </c>
      <c r="V328">
        <v>1</v>
      </c>
      <c r="W328">
        <v>1</v>
      </c>
      <c r="X328">
        <v>21</v>
      </c>
      <c r="Y328">
        <v>2</v>
      </c>
      <c r="Z328">
        <v>3</v>
      </c>
      <c r="AA328">
        <v>21</v>
      </c>
      <c r="AB328">
        <v>9</v>
      </c>
      <c r="AC328">
        <v>13</v>
      </c>
      <c r="AD328">
        <v>3</v>
      </c>
      <c r="AE328" t="str" cm="1">
        <f t="array" ref="AE328">_xlfn.IFS(G328=1,"Before College",G328=2,"College",G328=3,"Bachelor",G328=4,"Master",G328=5,"Doctor")</f>
        <v>College</v>
      </c>
      <c r="AF328" t="str" cm="1">
        <f t="array" ref="AF328">_xlfn.IFS(J328=1,"Low",J328=2,"Medium",J328=3,"High",J328=4,"Very High")</f>
        <v>High</v>
      </c>
      <c r="AG328" t="str" cm="1">
        <f t="array" ref="AG328">_xlfn.IFS(L328=1,"Low",L328=2,"Medium",L328=3,"High",L328=4,"Very High")</f>
        <v>Medium</v>
      </c>
      <c r="AH328" t="str" cm="1">
        <f t="array" ref="AH328">_xlfn.IFS(M328=1,"Junior employee",M328=2,"Mid-level",M328=3,"Senior",M328=4,"Manager",M328=5,"Executive")</f>
        <v>Executive</v>
      </c>
      <c r="AI328" t="str" cm="1">
        <f t="array" ref="AI328">_xlfn.IFS(O328=1,"Low",O328=2,"Medium",O328=3,"High",O328=4,"Very High")</f>
        <v>Very High</v>
      </c>
      <c r="AJ328" t="str" cm="1">
        <f t="array" ref="AJ328">_xlfn.IFS(U328=1,"Low",U328=2,"Good",U328=3,"Excellent",U328=4,"Outstanding")</f>
        <v>Excellent</v>
      </c>
      <c r="AK328" t="str" cm="1">
        <f t="array" ref="AK328">_xlfn.IFS(V328=1,"Low",V328=2,"Medium",V328=3,"High",V328=4,"Very High")</f>
        <v>Low</v>
      </c>
      <c r="AL328" t="str" cm="1">
        <f t="array" ref="AL328">_xlfn.IFS(Z328=1,"Bad",Z328=2,"Good",Z328=3,"Better",Z328=4,"Best")</f>
        <v>Better</v>
      </c>
      <c r="AM328" t="str" cm="1">
        <f t="array" ref="AM328">_xlfn.IFS(W328=0,"No_stock",W328=1,"Low",W328=2,"Medium",W328=3,"High")</f>
        <v>Low</v>
      </c>
      <c r="AN328" t="str">
        <f t="shared" si="5"/>
        <v>Medium</v>
      </c>
    </row>
    <row r="329" spans="1:40" x14ac:dyDescent="0.45">
      <c r="A329">
        <v>39</v>
      </c>
      <c r="B329" t="s">
        <v>30</v>
      </c>
      <c r="C329" t="s">
        <v>31</v>
      </c>
      <c r="D329">
        <v>1162</v>
      </c>
      <c r="E329" t="s">
        <v>32</v>
      </c>
      <c r="F329">
        <v>3</v>
      </c>
      <c r="G329">
        <v>2</v>
      </c>
      <c r="H329" t="s">
        <v>45</v>
      </c>
      <c r="I329">
        <v>445</v>
      </c>
      <c r="J329">
        <v>4</v>
      </c>
      <c r="K329" t="s">
        <v>34</v>
      </c>
      <c r="L329">
        <v>3</v>
      </c>
      <c r="M329">
        <v>2</v>
      </c>
      <c r="N329" t="s">
        <v>35</v>
      </c>
      <c r="O329">
        <v>3</v>
      </c>
      <c r="P329" t="s">
        <v>42</v>
      </c>
      <c r="Q329">
        <v>5238</v>
      </c>
      <c r="R329">
        <v>4</v>
      </c>
      <c r="S329" t="s">
        <v>30</v>
      </c>
      <c r="T329">
        <v>18</v>
      </c>
      <c r="U329">
        <v>3</v>
      </c>
      <c r="V329">
        <v>1</v>
      </c>
      <c r="W329">
        <v>0</v>
      </c>
      <c r="X329">
        <v>12</v>
      </c>
      <c r="Y329">
        <v>3</v>
      </c>
      <c r="Z329">
        <v>2</v>
      </c>
      <c r="AA329">
        <v>1</v>
      </c>
      <c r="AB329">
        <v>0</v>
      </c>
      <c r="AC329">
        <v>0</v>
      </c>
      <c r="AD329">
        <v>0</v>
      </c>
      <c r="AE329" t="str" cm="1">
        <f t="array" ref="AE329">_xlfn.IFS(G329=1,"Before College",G329=2,"College",G329=3,"Bachelor",G329=4,"Master",G329=5,"Doctor")</f>
        <v>College</v>
      </c>
      <c r="AF329" t="str" cm="1">
        <f t="array" ref="AF329">_xlfn.IFS(J329=1,"Low",J329=2,"Medium",J329=3,"High",J329=4,"Very High")</f>
        <v>Very High</v>
      </c>
      <c r="AG329" t="str" cm="1">
        <f t="array" ref="AG329">_xlfn.IFS(L329=1,"Low",L329=2,"Medium",L329=3,"High",L329=4,"Very High")</f>
        <v>High</v>
      </c>
      <c r="AH329" t="str" cm="1">
        <f t="array" ref="AH329">_xlfn.IFS(M329=1,"Junior employee",M329=2,"Mid-level",M329=3,"Senior",M329=4,"Manager",M329=5,"Executive")</f>
        <v>Mid-level</v>
      </c>
      <c r="AI329" t="str" cm="1">
        <f t="array" ref="AI329">_xlfn.IFS(O329=1,"Low",O329=2,"Medium",O329=3,"High",O329=4,"Very High")</f>
        <v>High</v>
      </c>
      <c r="AJ329" t="str" cm="1">
        <f t="array" ref="AJ329">_xlfn.IFS(U329=1,"Low",U329=2,"Good",U329=3,"Excellent",U329=4,"Outstanding")</f>
        <v>Excellent</v>
      </c>
      <c r="AK329" t="str" cm="1">
        <f t="array" ref="AK329">_xlfn.IFS(V329=1,"Low",V329=2,"Medium",V329=3,"High",V329=4,"Very High")</f>
        <v>Low</v>
      </c>
      <c r="AL329" t="str" cm="1">
        <f t="array" ref="AL329">_xlfn.IFS(Z329=1,"Bad",Z329=2,"Good",Z329=3,"Better",Z329=4,"Best")</f>
        <v>Good</v>
      </c>
      <c r="AM329" t="str" cm="1">
        <f t="array" ref="AM329">_xlfn.IFS(W329=0,"No_stock",W329=1,"Low",W329=2,"Medium",W329=3,"High")</f>
        <v>No_stock</v>
      </c>
      <c r="AN329" t="str">
        <f t="shared" si="5"/>
        <v>Near</v>
      </c>
    </row>
    <row r="330" spans="1:40" x14ac:dyDescent="0.45">
      <c r="A330">
        <v>33</v>
      </c>
      <c r="B330" t="s">
        <v>37</v>
      </c>
      <c r="C330" t="s">
        <v>38</v>
      </c>
      <c r="D330">
        <v>508</v>
      </c>
      <c r="E330" t="s">
        <v>32</v>
      </c>
      <c r="F330">
        <v>10</v>
      </c>
      <c r="G330">
        <v>3</v>
      </c>
      <c r="H330" t="s">
        <v>53</v>
      </c>
      <c r="I330">
        <v>446</v>
      </c>
      <c r="J330">
        <v>2</v>
      </c>
      <c r="K330" t="s">
        <v>40</v>
      </c>
      <c r="L330">
        <v>2</v>
      </c>
      <c r="M330">
        <v>2</v>
      </c>
      <c r="N330" t="s">
        <v>35</v>
      </c>
      <c r="O330">
        <v>4</v>
      </c>
      <c r="P330" t="s">
        <v>36</v>
      </c>
      <c r="Q330">
        <v>4682</v>
      </c>
      <c r="R330">
        <v>3</v>
      </c>
      <c r="S330" t="s">
        <v>37</v>
      </c>
      <c r="T330">
        <v>14</v>
      </c>
      <c r="U330">
        <v>3</v>
      </c>
      <c r="V330">
        <v>3</v>
      </c>
      <c r="W330">
        <v>0</v>
      </c>
      <c r="X330">
        <v>9</v>
      </c>
      <c r="Y330">
        <v>6</v>
      </c>
      <c r="Z330">
        <v>2</v>
      </c>
      <c r="AA330">
        <v>7</v>
      </c>
      <c r="AB330">
        <v>7</v>
      </c>
      <c r="AC330">
        <v>0</v>
      </c>
      <c r="AD330">
        <v>1</v>
      </c>
      <c r="AE330" t="str" cm="1">
        <f t="array" ref="AE330">_xlfn.IFS(G330=1,"Before College",G330=2,"College",G330=3,"Bachelor",G330=4,"Master",G330=5,"Doctor")</f>
        <v>Bachelor</v>
      </c>
      <c r="AF330" t="str" cm="1">
        <f t="array" ref="AF330">_xlfn.IFS(J330=1,"Low",J330=2,"Medium",J330=3,"High",J330=4,"Very High")</f>
        <v>Medium</v>
      </c>
      <c r="AG330" t="str" cm="1">
        <f t="array" ref="AG330">_xlfn.IFS(L330=1,"Low",L330=2,"Medium",L330=3,"High",L330=4,"Very High")</f>
        <v>Medium</v>
      </c>
      <c r="AH330" t="str" cm="1">
        <f t="array" ref="AH330">_xlfn.IFS(M330=1,"Junior employee",M330=2,"Mid-level",M330=3,"Senior",M330=4,"Manager",M330=5,"Executive")</f>
        <v>Mid-level</v>
      </c>
      <c r="AI330" t="str" cm="1">
        <f t="array" ref="AI330">_xlfn.IFS(O330=1,"Low",O330=2,"Medium",O330=3,"High",O330=4,"Very High")</f>
        <v>Very High</v>
      </c>
      <c r="AJ330" t="str" cm="1">
        <f t="array" ref="AJ330">_xlfn.IFS(U330=1,"Low",U330=2,"Good",U330=3,"Excellent",U330=4,"Outstanding")</f>
        <v>Excellent</v>
      </c>
      <c r="AK330" t="str" cm="1">
        <f t="array" ref="AK330">_xlfn.IFS(V330=1,"Low",V330=2,"Medium",V330=3,"High",V330=4,"Very High")</f>
        <v>High</v>
      </c>
      <c r="AL330" t="str" cm="1">
        <f t="array" ref="AL330">_xlfn.IFS(Z330=1,"Bad",Z330=2,"Good",Z330=3,"Better",Z330=4,"Best")</f>
        <v>Good</v>
      </c>
      <c r="AM330" t="str" cm="1">
        <f t="array" ref="AM330">_xlfn.IFS(W330=0,"No_stock",W330=1,"Low",W330=2,"Medium",W330=3,"High")</f>
        <v>No_stock</v>
      </c>
      <c r="AN330" t="str">
        <f t="shared" si="5"/>
        <v>Medium</v>
      </c>
    </row>
    <row r="331" spans="1:40" x14ac:dyDescent="0.45">
      <c r="A331">
        <v>47</v>
      </c>
      <c r="B331" t="s">
        <v>37</v>
      </c>
      <c r="C331" t="s">
        <v>31</v>
      </c>
      <c r="D331">
        <v>1482</v>
      </c>
      <c r="E331" t="s">
        <v>39</v>
      </c>
      <c r="F331">
        <v>5</v>
      </c>
      <c r="G331">
        <v>5</v>
      </c>
      <c r="H331" t="s">
        <v>33</v>
      </c>
      <c r="I331">
        <v>447</v>
      </c>
      <c r="J331">
        <v>4</v>
      </c>
      <c r="K331" t="s">
        <v>40</v>
      </c>
      <c r="L331">
        <v>3</v>
      </c>
      <c r="M331">
        <v>5</v>
      </c>
      <c r="N331" t="s">
        <v>52</v>
      </c>
      <c r="O331">
        <v>3</v>
      </c>
      <c r="P331" t="s">
        <v>42</v>
      </c>
      <c r="Q331">
        <v>18300</v>
      </c>
      <c r="R331">
        <v>4</v>
      </c>
      <c r="S331" t="s">
        <v>37</v>
      </c>
      <c r="T331">
        <v>11</v>
      </c>
      <c r="U331">
        <v>3</v>
      </c>
      <c r="V331">
        <v>2</v>
      </c>
      <c r="W331">
        <v>1</v>
      </c>
      <c r="X331">
        <v>21</v>
      </c>
      <c r="Y331">
        <v>2</v>
      </c>
      <c r="Z331">
        <v>3</v>
      </c>
      <c r="AA331">
        <v>3</v>
      </c>
      <c r="AB331">
        <v>2</v>
      </c>
      <c r="AC331">
        <v>1</v>
      </c>
      <c r="AD331">
        <v>1</v>
      </c>
      <c r="AE331" t="str" cm="1">
        <f t="array" ref="AE331">_xlfn.IFS(G331=1,"Before College",G331=2,"College",G331=3,"Bachelor",G331=4,"Master",G331=5,"Doctor")</f>
        <v>Doctor</v>
      </c>
      <c r="AF331" t="str" cm="1">
        <f t="array" ref="AF331">_xlfn.IFS(J331=1,"Low",J331=2,"Medium",J331=3,"High",J331=4,"Very High")</f>
        <v>Very High</v>
      </c>
      <c r="AG331" t="str" cm="1">
        <f t="array" ref="AG331">_xlfn.IFS(L331=1,"Low",L331=2,"Medium",L331=3,"High",L331=4,"Very High")</f>
        <v>High</v>
      </c>
      <c r="AH331" t="str" cm="1">
        <f t="array" ref="AH331">_xlfn.IFS(M331=1,"Junior employee",M331=2,"Mid-level",M331=3,"Senior",M331=4,"Manager",M331=5,"Executive")</f>
        <v>Executive</v>
      </c>
      <c r="AI331" t="str" cm="1">
        <f t="array" ref="AI331">_xlfn.IFS(O331=1,"Low",O331=2,"Medium",O331=3,"High",O331=4,"Very High")</f>
        <v>High</v>
      </c>
      <c r="AJ331" t="str" cm="1">
        <f t="array" ref="AJ331">_xlfn.IFS(U331=1,"Low",U331=2,"Good",U331=3,"Excellent",U331=4,"Outstanding")</f>
        <v>Excellent</v>
      </c>
      <c r="AK331" t="str" cm="1">
        <f t="array" ref="AK331">_xlfn.IFS(V331=1,"Low",V331=2,"Medium",V331=3,"High",V331=4,"Very High")</f>
        <v>Medium</v>
      </c>
      <c r="AL331" t="str" cm="1">
        <f t="array" ref="AL331">_xlfn.IFS(Z331=1,"Bad",Z331=2,"Good",Z331=3,"Better",Z331=4,"Best")</f>
        <v>Better</v>
      </c>
      <c r="AM331" t="str" cm="1">
        <f t="array" ref="AM331">_xlfn.IFS(W331=0,"No_stock",W331=1,"Low",W331=2,"Medium",W331=3,"High")</f>
        <v>Low</v>
      </c>
      <c r="AN331" t="str">
        <f t="shared" si="5"/>
        <v>Near</v>
      </c>
    </row>
    <row r="332" spans="1:40" x14ac:dyDescent="0.45">
      <c r="A332">
        <v>43</v>
      </c>
      <c r="B332" t="s">
        <v>37</v>
      </c>
      <c r="C332" t="s">
        <v>38</v>
      </c>
      <c r="D332">
        <v>559</v>
      </c>
      <c r="E332" t="s">
        <v>39</v>
      </c>
      <c r="F332">
        <v>10</v>
      </c>
      <c r="G332">
        <v>4</v>
      </c>
      <c r="H332" t="s">
        <v>33</v>
      </c>
      <c r="I332">
        <v>448</v>
      </c>
      <c r="J332">
        <v>3</v>
      </c>
      <c r="K332" t="s">
        <v>34</v>
      </c>
      <c r="L332">
        <v>2</v>
      </c>
      <c r="M332">
        <v>2</v>
      </c>
      <c r="N332" t="s">
        <v>44</v>
      </c>
      <c r="O332">
        <v>3</v>
      </c>
      <c r="P332" t="s">
        <v>46</v>
      </c>
      <c r="Q332">
        <v>5257</v>
      </c>
      <c r="R332">
        <v>1</v>
      </c>
      <c r="S332" t="s">
        <v>37</v>
      </c>
      <c r="T332">
        <v>11</v>
      </c>
      <c r="U332">
        <v>3</v>
      </c>
      <c r="V332">
        <v>2</v>
      </c>
      <c r="W332">
        <v>1</v>
      </c>
      <c r="X332">
        <v>9</v>
      </c>
      <c r="Y332">
        <v>3</v>
      </c>
      <c r="Z332">
        <v>4</v>
      </c>
      <c r="AA332">
        <v>9</v>
      </c>
      <c r="AB332">
        <v>7</v>
      </c>
      <c r="AC332">
        <v>0</v>
      </c>
      <c r="AD332">
        <v>0</v>
      </c>
      <c r="AE332" t="str" cm="1">
        <f t="array" ref="AE332">_xlfn.IFS(G332=1,"Before College",G332=2,"College",G332=3,"Bachelor",G332=4,"Master",G332=5,"Doctor")</f>
        <v>Master</v>
      </c>
      <c r="AF332" t="str" cm="1">
        <f t="array" ref="AF332">_xlfn.IFS(J332=1,"Low",J332=2,"Medium",J332=3,"High",J332=4,"Very High")</f>
        <v>High</v>
      </c>
      <c r="AG332" t="str" cm="1">
        <f t="array" ref="AG332">_xlfn.IFS(L332=1,"Low",L332=2,"Medium",L332=3,"High",L332=4,"Very High")</f>
        <v>Medium</v>
      </c>
      <c r="AH332" t="str" cm="1">
        <f t="array" ref="AH332">_xlfn.IFS(M332=1,"Junior employee",M332=2,"Mid-level",M332=3,"Senior",M332=4,"Manager",M332=5,"Executive")</f>
        <v>Mid-level</v>
      </c>
      <c r="AI332" t="str" cm="1">
        <f t="array" ref="AI332">_xlfn.IFS(O332=1,"Low",O332=2,"Medium",O332=3,"High",O332=4,"Very High")</f>
        <v>High</v>
      </c>
      <c r="AJ332" t="str" cm="1">
        <f t="array" ref="AJ332">_xlfn.IFS(U332=1,"Low",U332=2,"Good",U332=3,"Excellent",U332=4,"Outstanding")</f>
        <v>Excellent</v>
      </c>
      <c r="AK332" t="str" cm="1">
        <f t="array" ref="AK332">_xlfn.IFS(V332=1,"Low",V332=2,"Medium",V332=3,"High",V332=4,"Very High")</f>
        <v>Medium</v>
      </c>
      <c r="AL332" t="str" cm="1">
        <f t="array" ref="AL332">_xlfn.IFS(Z332=1,"Bad",Z332=2,"Good",Z332=3,"Better",Z332=4,"Best")</f>
        <v>Best</v>
      </c>
      <c r="AM332" t="str" cm="1">
        <f t="array" ref="AM332">_xlfn.IFS(W332=0,"No_stock",W332=1,"Low",W332=2,"Medium",W332=3,"High")</f>
        <v>Low</v>
      </c>
      <c r="AN332" t="str">
        <f t="shared" si="5"/>
        <v>Medium</v>
      </c>
    </row>
    <row r="333" spans="1:40" x14ac:dyDescent="0.45">
      <c r="A333">
        <v>27</v>
      </c>
      <c r="B333" t="s">
        <v>37</v>
      </c>
      <c r="C333" t="s">
        <v>49</v>
      </c>
      <c r="D333">
        <v>210</v>
      </c>
      <c r="E333" t="s">
        <v>32</v>
      </c>
      <c r="F333">
        <v>1</v>
      </c>
      <c r="G333">
        <v>1</v>
      </c>
      <c r="H333" t="s">
        <v>53</v>
      </c>
      <c r="I333">
        <v>449</v>
      </c>
      <c r="J333">
        <v>3</v>
      </c>
      <c r="K333" t="s">
        <v>40</v>
      </c>
      <c r="L333">
        <v>3</v>
      </c>
      <c r="M333">
        <v>2</v>
      </c>
      <c r="N333" t="s">
        <v>35</v>
      </c>
      <c r="O333">
        <v>2</v>
      </c>
      <c r="P333" t="s">
        <v>42</v>
      </c>
      <c r="Q333">
        <v>6349</v>
      </c>
      <c r="R333">
        <v>0</v>
      </c>
      <c r="S333" t="s">
        <v>30</v>
      </c>
      <c r="T333">
        <v>13</v>
      </c>
      <c r="U333">
        <v>3</v>
      </c>
      <c r="V333">
        <v>4</v>
      </c>
      <c r="W333">
        <v>1</v>
      </c>
      <c r="X333">
        <v>6</v>
      </c>
      <c r="Y333">
        <v>0</v>
      </c>
      <c r="Z333">
        <v>3</v>
      </c>
      <c r="AA333">
        <v>5</v>
      </c>
      <c r="AB333">
        <v>4</v>
      </c>
      <c r="AC333">
        <v>1</v>
      </c>
      <c r="AD333">
        <v>4</v>
      </c>
      <c r="AE333" t="str" cm="1">
        <f t="array" ref="AE333">_xlfn.IFS(G333=1,"Before College",G333=2,"College",G333=3,"Bachelor",G333=4,"Master",G333=5,"Doctor")</f>
        <v>Before College</v>
      </c>
      <c r="AF333" t="str" cm="1">
        <f t="array" ref="AF333">_xlfn.IFS(J333=1,"Low",J333=2,"Medium",J333=3,"High",J333=4,"Very High")</f>
        <v>High</v>
      </c>
      <c r="AG333" t="str" cm="1">
        <f t="array" ref="AG333">_xlfn.IFS(L333=1,"Low",L333=2,"Medium",L333=3,"High",L333=4,"Very High")</f>
        <v>High</v>
      </c>
      <c r="AH333" t="str" cm="1">
        <f t="array" ref="AH333">_xlfn.IFS(M333=1,"Junior employee",M333=2,"Mid-level",M333=3,"Senior",M333=4,"Manager",M333=5,"Executive")</f>
        <v>Mid-level</v>
      </c>
      <c r="AI333" t="str" cm="1">
        <f t="array" ref="AI333">_xlfn.IFS(O333=1,"Low",O333=2,"Medium",O333=3,"High",O333=4,"Very High")</f>
        <v>Medium</v>
      </c>
      <c r="AJ333" t="str" cm="1">
        <f t="array" ref="AJ333">_xlfn.IFS(U333=1,"Low",U333=2,"Good",U333=3,"Excellent",U333=4,"Outstanding")</f>
        <v>Excellent</v>
      </c>
      <c r="AK333" t="str" cm="1">
        <f t="array" ref="AK333">_xlfn.IFS(V333=1,"Low",V333=2,"Medium",V333=3,"High",V333=4,"Very High")</f>
        <v>Very High</v>
      </c>
      <c r="AL333" t="str" cm="1">
        <f t="array" ref="AL333">_xlfn.IFS(Z333=1,"Bad",Z333=2,"Good",Z333=3,"Better",Z333=4,"Best")</f>
        <v>Better</v>
      </c>
      <c r="AM333" t="str" cm="1">
        <f t="array" ref="AM333">_xlfn.IFS(W333=0,"No_stock",W333=1,"Low",W333=2,"Medium",W333=3,"High")</f>
        <v>Low</v>
      </c>
      <c r="AN333" t="str">
        <f t="shared" si="5"/>
        <v>Near</v>
      </c>
    </row>
    <row r="334" spans="1:40" x14ac:dyDescent="0.45">
      <c r="A334">
        <v>54</v>
      </c>
      <c r="B334" t="s">
        <v>37</v>
      </c>
      <c r="C334" t="s">
        <v>38</v>
      </c>
      <c r="D334">
        <v>928</v>
      </c>
      <c r="E334" t="s">
        <v>39</v>
      </c>
      <c r="F334">
        <v>20</v>
      </c>
      <c r="G334">
        <v>4</v>
      </c>
      <c r="H334" t="s">
        <v>33</v>
      </c>
      <c r="I334">
        <v>450</v>
      </c>
      <c r="J334">
        <v>4</v>
      </c>
      <c r="K334" t="s">
        <v>34</v>
      </c>
      <c r="L334">
        <v>3</v>
      </c>
      <c r="M334">
        <v>2</v>
      </c>
      <c r="N334" t="s">
        <v>41</v>
      </c>
      <c r="O334">
        <v>3</v>
      </c>
      <c r="P334" t="s">
        <v>36</v>
      </c>
      <c r="Q334">
        <v>4869</v>
      </c>
      <c r="R334">
        <v>3</v>
      </c>
      <c r="S334" t="s">
        <v>37</v>
      </c>
      <c r="T334">
        <v>12</v>
      </c>
      <c r="U334">
        <v>3</v>
      </c>
      <c r="V334">
        <v>4</v>
      </c>
      <c r="W334">
        <v>0</v>
      </c>
      <c r="X334">
        <v>20</v>
      </c>
      <c r="Y334">
        <v>4</v>
      </c>
      <c r="Z334">
        <v>2</v>
      </c>
      <c r="AA334">
        <v>4</v>
      </c>
      <c r="AB334">
        <v>3</v>
      </c>
      <c r="AC334">
        <v>0</v>
      </c>
      <c r="AD334">
        <v>3</v>
      </c>
      <c r="AE334" t="str" cm="1">
        <f t="array" ref="AE334">_xlfn.IFS(G334=1,"Before College",G334=2,"College",G334=3,"Bachelor",G334=4,"Master",G334=5,"Doctor")</f>
        <v>Master</v>
      </c>
      <c r="AF334" t="str" cm="1">
        <f t="array" ref="AF334">_xlfn.IFS(J334=1,"Low",J334=2,"Medium",J334=3,"High",J334=4,"Very High")</f>
        <v>Very High</v>
      </c>
      <c r="AG334" t="str" cm="1">
        <f t="array" ref="AG334">_xlfn.IFS(L334=1,"Low",L334=2,"Medium",L334=3,"High",L334=4,"Very High")</f>
        <v>High</v>
      </c>
      <c r="AH334" t="str" cm="1">
        <f t="array" ref="AH334">_xlfn.IFS(M334=1,"Junior employee",M334=2,"Mid-level",M334=3,"Senior",M334=4,"Manager",M334=5,"Executive")</f>
        <v>Mid-level</v>
      </c>
      <c r="AI334" t="str" cm="1">
        <f t="array" ref="AI334">_xlfn.IFS(O334=1,"Low",O334=2,"Medium",O334=3,"High",O334=4,"Very High")</f>
        <v>High</v>
      </c>
      <c r="AJ334" t="str" cm="1">
        <f t="array" ref="AJ334">_xlfn.IFS(U334=1,"Low",U334=2,"Good",U334=3,"Excellent",U334=4,"Outstanding")</f>
        <v>Excellent</v>
      </c>
      <c r="AK334" t="str" cm="1">
        <f t="array" ref="AK334">_xlfn.IFS(V334=1,"Low",V334=2,"Medium",V334=3,"High",V334=4,"Very High")</f>
        <v>Very High</v>
      </c>
      <c r="AL334" t="str" cm="1">
        <f t="array" ref="AL334">_xlfn.IFS(Z334=1,"Bad",Z334=2,"Good",Z334=3,"Better",Z334=4,"Best")</f>
        <v>Good</v>
      </c>
      <c r="AM334" t="str" cm="1">
        <f t="array" ref="AM334">_xlfn.IFS(W334=0,"No_stock",W334=1,"Low",W334=2,"Medium",W334=3,"High")</f>
        <v>No_stock</v>
      </c>
      <c r="AN334" t="str">
        <f t="shared" si="5"/>
        <v>Far</v>
      </c>
    </row>
    <row r="335" spans="1:40" x14ac:dyDescent="0.45">
      <c r="A335">
        <v>43</v>
      </c>
      <c r="B335" t="s">
        <v>37</v>
      </c>
      <c r="C335" t="s">
        <v>31</v>
      </c>
      <c r="D335">
        <v>1001</v>
      </c>
      <c r="E335" t="s">
        <v>39</v>
      </c>
      <c r="F335">
        <v>7</v>
      </c>
      <c r="G335">
        <v>3</v>
      </c>
      <c r="H335" t="s">
        <v>33</v>
      </c>
      <c r="I335">
        <v>451</v>
      </c>
      <c r="J335">
        <v>3</v>
      </c>
      <c r="K335" t="s">
        <v>34</v>
      </c>
      <c r="L335">
        <v>3</v>
      </c>
      <c r="M335">
        <v>3</v>
      </c>
      <c r="N335" t="s">
        <v>48</v>
      </c>
      <c r="O335">
        <v>1</v>
      </c>
      <c r="P335" t="s">
        <v>42</v>
      </c>
      <c r="Q335">
        <v>9985</v>
      </c>
      <c r="R335">
        <v>8</v>
      </c>
      <c r="S335" t="s">
        <v>37</v>
      </c>
      <c r="T335">
        <v>16</v>
      </c>
      <c r="U335">
        <v>3</v>
      </c>
      <c r="V335">
        <v>1</v>
      </c>
      <c r="W335">
        <v>1</v>
      </c>
      <c r="X335">
        <v>10</v>
      </c>
      <c r="Y335">
        <v>1</v>
      </c>
      <c r="Z335">
        <v>2</v>
      </c>
      <c r="AA335">
        <v>1</v>
      </c>
      <c r="AB335">
        <v>0</v>
      </c>
      <c r="AC335">
        <v>0</v>
      </c>
      <c r="AD335">
        <v>0</v>
      </c>
      <c r="AE335" t="str" cm="1">
        <f t="array" ref="AE335">_xlfn.IFS(G335=1,"Before College",G335=2,"College",G335=3,"Bachelor",G335=4,"Master",G335=5,"Doctor")</f>
        <v>Bachelor</v>
      </c>
      <c r="AF335" t="str" cm="1">
        <f t="array" ref="AF335">_xlfn.IFS(J335=1,"Low",J335=2,"Medium",J335=3,"High",J335=4,"Very High")</f>
        <v>High</v>
      </c>
      <c r="AG335" t="str" cm="1">
        <f t="array" ref="AG335">_xlfn.IFS(L335=1,"Low",L335=2,"Medium",L335=3,"High",L335=4,"Very High")</f>
        <v>High</v>
      </c>
      <c r="AH335" t="str" cm="1">
        <f t="array" ref="AH335">_xlfn.IFS(M335=1,"Junior employee",M335=2,"Mid-level",M335=3,"Senior",M335=4,"Manager",M335=5,"Executive")</f>
        <v>Senior</v>
      </c>
      <c r="AI335" t="str" cm="1">
        <f t="array" ref="AI335">_xlfn.IFS(O335=1,"Low",O335=2,"Medium",O335=3,"High",O335=4,"Very High")</f>
        <v>Low</v>
      </c>
      <c r="AJ335" t="str" cm="1">
        <f t="array" ref="AJ335">_xlfn.IFS(U335=1,"Low",U335=2,"Good",U335=3,"Excellent",U335=4,"Outstanding")</f>
        <v>Excellent</v>
      </c>
      <c r="AK335" t="str" cm="1">
        <f t="array" ref="AK335">_xlfn.IFS(V335=1,"Low",V335=2,"Medium",V335=3,"High",V335=4,"Very High")</f>
        <v>Low</v>
      </c>
      <c r="AL335" t="str" cm="1">
        <f t="array" ref="AL335">_xlfn.IFS(Z335=1,"Bad",Z335=2,"Good",Z335=3,"Better",Z335=4,"Best")</f>
        <v>Good</v>
      </c>
      <c r="AM335" t="str" cm="1">
        <f t="array" ref="AM335">_xlfn.IFS(W335=0,"No_stock",W335=1,"Low",W335=2,"Medium",W335=3,"High")</f>
        <v>Low</v>
      </c>
      <c r="AN335" t="str">
        <f t="shared" si="5"/>
        <v>Medium</v>
      </c>
    </row>
    <row r="336" spans="1:40" x14ac:dyDescent="0.45">
      <c r="A336">
        <v>45</v>
      </c>
      <c r="B336" t="s">
        <v>37</v>
      </c>
      <c r="C336" t="s">
        <v>31</v>
      </c>
      <c r="D336">
        <v>549</v>
      </c>
      <c r="E336" t="s">
        <v>39</v>
      </c>
      <c r="F336">
        <v>8</v>
      </c>
      <c r="G336">
        <v>4</v>
      </c>
      <c r="H336" t="s">
        <v>43</v>
      </c>
      <c r="I336">
        <v>452</v>
      </c>
      <c r="J336">
        <v>4</v>
      </c>
      <c r="K336" t="s">
        <v>40</v>
      </c>
      <c r="L336">
        <v>3</v>
      </c>
      <c r="M336">
        <v>2</v>
      </c>
      <c r="N336" t="s">
        <v>41</v>
      </c>
      <c r="O336">
        <v>4</v>
      </c>
      <c r="P336" t="s">
        <v>42</v>
      </c>
      <c r="Q336">
        <v>3697</v>
      </c>
      <c r="R336">
        <v>9</v>
      </c>
      <c r="S336" t="s">
        <v>37</v>
      </c>
      <c r="T336">
        <v>14</v>
      </c>
      <c r="U336">
        <v>3</v>
      </c>
      <c r="V336">
        <v>1</v>
      </c>
      <c r="W336">
        <v>2</v>
      </c>
      <c r="X336">
        <v>12</v>
      </c>
      <c r="Y336">
        <v>3</v>
      </c>
      <c r="Z336">
        <v>3</v>
      </c>
      <c r="AA336">
        <v>10</v>
      </c>
      <c r="AB336">
        <v>9</v>
      </c>
      <c r="AC336">
        <v>9</v>
      </c>
      <c r="AD336">
        <v>8</v>
      </c>
      <c r="AE336" t="str" cm="1">
        <f t="array" ref="AE336">_xlfn.IFS(G336=1,"Before College",G336=2,"College",G336=3,"Bachelor",G336=4,"Master",G336=5,"Doctor")</f>
        <v>Master</v>
      </c>
      <c r="AF336" t="str" cm="1">
        <f t="array" ref="AF336">_xlfn.IFS(J336=1,"Low",J336=2,"Medium",J336=3,"High",J336=4,"Very High")</f>
        <v>Very High</v>
      </c>
      <c r="AG336" t="str" cm="1">
        <f t="array" ref="AG336">_xlfn.IFS(L336=1,"Low",L336=2,"Medium",L336=3,"High",L336=4,"Very High")</f>
        <v>High</v>
      </c>
      <c r="AH336" t="str" cm="1">
        <f t="array" ref="AH336">_xlfn.IFS(M336=1,"Junior employee",M336=2,"Mid-level",M336=3,"Senior",M336=4,"Manager",M336=5,"Executive")</f>
        <v>Mid-level</v>
      </c>
      <c r="AI336" t="str" cm="1">
        <f t="array" ref="AI336">_xlfn.IFS(O336=1,"Low",O336=2,"Medium",O336=3,"High",O336=4,"Very High")</f>
        <v>Very High</v>
      </c>
      <c r="AJ336" t="str" cm="1">
        <f t="array" ref="AJ336">_xlfn.IFS(U336=1,"Low",U336=2,"Good",U336=3,"Excellent",U336=4,"Outstanding")</f>
        <v>Excellent</v>
      </c>
      <c r="AK336" t="str" cm="1">
        <f t="array" ref="AK336">_xlfn.IFS(V336=1,"Low",V336=2,"Medium",V336=3,"High",V336=4,"Very High")</f>
        <v>Low</v>
      </c>
      <c r="AL336" t="str" cm="1">
        <f t="array" ref="AL336">_xlfn.IFS(Z336=1,"Bad",Z336=2,"Good",Z336=3,"Better",Z336=4,"Best")</f>
        <v>Better</v>
      </c>
      <c r="AM336" t="str" cm="1">
        <f t="array" ref="AM336">_xlfn.IFS(W336=0,"No_stock",W336=1,"Low",W336=2,"Medium",W336=3,"High")</f>
        <v>Medium</v>
      </c>
      <c r="AN336" t="str">
        <f t="shared" si="5"/>
        <v>Medium</v>
      </c>
    </row>
    <row r="337" spans="1:40" x14ac:dyDescent="0.45">
      <c r="A337">
        <v>40</v>
      </c>
      <c r="B337" t="s">
        <v>37</v>
      </c>
      <c r="C337" t="s">
        <v>31</v>
      </c>
      <c r="D337">
        <v>1124</v>
      </c>
      <c r="E337" t="s">
        <v>32</v>
      </c>
      <c r="F337">
        <v>1</v>
      </c>
      <c r="G337">
        <v>2</v>
      </c>
      <c r="H337" t="s">
        <v>45</v>
      </c>
      <c r="I337">
        <v>453</v>
      </c>
      <c r="J337">
        <v>2</v>
      </c>
      <c r="K337" t="s">
        <v>40</v>
      </c>
      <c r="L337">
        <v>1</v>
      </c>
      <c r="M337">
        <v>2</v>
      </c>
      <c r="N337" t="s">
        <v>35</v>
      </c>
      <c r="O337">
        <v>4</v>
      </c>
      <c r="P337" t="s">
        <v>42</v>
      </c>
      <c r="Q337">
        <v>7457</v>
      </c>
      <c r="R337">
        <v>2</v>
      </c>
      <c r="S337" t="s">
        <v>30</v>
      </c>
      <c r="T337">
        <v>22</v>
      </c>
      <c r="U337">
        <v>4</v>
      </c>
      <c r="V337">
        <v>3</v>
      </c>
      <c r="W337">
        <v>3</v>
      </c>
      <c r="X337">
        <v>6</v>
      </c>
      <c r="Y337">
        <v>2</v>
      </c>
      <c r="Z337">
        <v>2</v>
      </c>
      <c r="AA337">
        <v>4</v>
      </c>
      <c r="AB337">
        <v>3</v>
      </c>
      <c r="AC337">
        <v>0</v>
      </c>
      <c r="AD337">
        <v>2</v>
      </c>
      <c r="AE337" t="str" cm="1">
        <f t="array" ref="AE337">_xlfn.IFS(G337=1,"Before College",G337=2,"College",G337=3,"Bachelor",G337=4,"Master",G337=5,"Doctor")</f>
        <v>College</v>
      </c>
      <c r="AF337" t="str" cm="1">
        <f t="array" ref="AF337">_xlfn.IFS(J337=1,"Low",J337=2,"Medium",J337=3,"High",J337=4,"Very High")</f>
        <v>Medium</v>
      </c>
      <c r="AG337" t="str" cm="1">
        <f t="array" ref="AG337">_xlfn.IFS(L337=1,"Low",L337=2,"Medium",L337=3,"High",L337=4,"Very High")</f>
        <v>Low</v>
      </c>
      <c r="AH337" t="str" cm="1">
        <f t="array" ref="AH337">_xlfn.IFS(M337=1,"Junior employee",M337=2,"Mid-level",M337=3,"Senior",M337=4,"Manager",M337=5,"Executive")</f>
        <v>Mid-level</v>
      </c>
      <c r="AI337" t="str" cm="1">
        <f t="array" ref="AI337">_xlfn.IFS(O337=1,"Low",O337=2,"Medium",O337=3,"High",O337=4,"Very High")</f>
        <v>Very High</v>
      </c>
      <c r="AJ337" t="str" cm="1">
        <f t="array" ref="AJ337">_xlfn.IFS(U337=1,"Low",U337=2,"Good",U337=3,"Excellent",U337=4,"Outstanding")</f>
        <v>Outstanding</v>
      </c>
      <c r="AK337" t="str" cm="1">
        <f t="array" ref="AK337">_xlfn.IFS(V337=1,"Low",V337=2,"Medium",V337=3,"High",V337=4,"Very High")</f>
        <v>High</v>
      </c>
      <c r="AL337" t="str" cm="1">
        <f t="array" ref="AL337">_xlfn.IFS(Z337=1,"Bad",Z337=2,"Good",Z337=3,"Better",Z337=4,"Best")</f>
        <v>Good</v>
      </c>
      <c r="AM337" t="str" cm="1">
        <f t="array" ref="AM337">_xlfn.IFS(W337=0,"No_stock",W337=1,"Low",W337=2,"Medium",W337=3,"High")</f>
        <v>High</v>
      </c>
      <c r="AN337" t="str">
        <f t="shared" si="5"/>
        <v>Near</v>
      </c>
    </row>
    <row r="338" spans="1:40" x14ac:dyDescent="0.45">
      <c r="A338">
        <v>29</v>
      </c>
      <c r="B338" t="s">
        <v>30</v>
      </c>
      <c r="C338" t="s">
        <v>31</v>
      </c>
      <c r="D338">
        <v>318</v>
      </c>
      <c r="E338" t="s">
        <v>39</v>
      </c>
      <c r="F338">
        <v>8</v>
      </c>
      <c r="G338">
        <v>4</v>
      </c>
      <c r="H338" t="s">
        <v>43</v>
      </c>
      <c r="I338">
        <v>454</v>
      </c>
      <c r="J338">
        <v>2</v>
      </c>
      <c r="K338" t="s">
        <v>40</v>
      </c>
      <c r="L338">
        <v>1</v>
      </c>
      <c r="M338">
        <v>1</v>
      </c>
      <c r="N338" t="s">
        <v>44</v>
      </c>
      <c r="O338">
        <v>1</v>
      </c>
      <c r="P338" t="s">
        <v>42</v>
      </c>
      <c r="Q338">
        <v>2119</v>
      </c>
      <c r="R338">
        <v>1</v>
      </c>
      <c r="S338" t="s">
        <v>30</v>
      </c>
      <c r="T338">
        <v>11</v>
      </c>
      <c r="U338">
        <v>3</v>
      </c>
      <c r="V338">
        <v>4</v>
      </c>
      <c r="W338">
        <v>0</v>
      </c>
      <c r="X338">
        <v>7</v>
      </c>
      <c r="Y338">
        <v>4</v>
      </c>
      <c r="Z338">
        <v>2</v>
      </c>
      <c r="AA338">
        <v>7</v>
      </c>
      <c r="AB338">
        <v>7</v>
      </c>
      <c r="AC338">
        <v>0</v>
      </c>
      <c r="AD338">
        <v>7</v>
      </c>
      <c r="AE338" t="str" cm="1">
        <f t="array" ref="AE338">_xlfn.IFS(G338=1,"Before College",G338=2,"College",G338=3,"Bachelor",G338=4,"Master",G338=5,"Doctor")</f>
        <v>Master</v>
      </c>
      <c r="AF338" t="str" cm="1">
        <f t="array" ref="AF338">_xlfn.IFS(J338=1,"Low",J338=2,"Medium",J338=3,"High",J338=4,"Very High")</f>
        <v>Medium</v>
      </c>
      <c r="AG338" t="str" cm="1">
        <f t="array" ref="AG338">_xlfn.IFS(L338=1,"Low",L338=2,"Medium",L338=3,"High",L338=4,"Very High")</f>
        <v>Low</v>
      </c>
      <c r="AH338" t="str" cm="1">
        <f t="array" ref="AH338">_xlfn.IFS(M338=1,"Junior employee",M338=2,"Mid-level",M338=3,"Senior",M338=4,"Manager",M338=5,"Executive")</f>
        <v>Junior employee</v>
      </c>
      <c r="AI338" t="str" cm="1">
        <f t="array" ref="AI338">_xlfn.IFS(O338=1,"Low",O338=2,"Medium",O338=3,"High",O338=4,"Very High")</f>
        <v>Low</v>
      </c>
      <c r="AJ338" t="str" cm="1">
        <f t="array" ref="AJ338">_xlfn.IFS(U338=1,"Low",U338=2,"Good",U338=3,"Excellent",U338=4,"Outstanding")</f>
        <v>Excellent</v>
      </c>
      <c r="AK338" t="str" cm="1">
        <f t="array" ref="AK338">_xlfn.IFS(V338=1,"Low",V338=2,"Medium",V338=3,"High",V338=4,"Very High")</f>
        <v>Very High</v>
      </c>
      <c r="AL338" t="str" cm="1">
        <f t="array" ref="AL338">_xlfn.IFS(Z338=1,"Bad",Z338=2,"Good",Z338=3,"Better",Z338=4,"Best")</f>
        <v>Good</v>
      </c>
      <c r="AM338" t="str" cm="1">
        <f t="array" ref="AM338">_xlfn.IFS(W338=0,"No_stock",W338=1,"Low",W338=2,"Medium",W338=3,"High")</f>
        <v>No_stock</v>
      </c>
      <c r="AN338" t="str">
        <f t="shared" si="5"/>
        <v>Medium</v>
      </c>
    </row>
    <row r="339" spans="1:40" x14ac:dyDescent="0.45">
      <c r="A339">
        <v>29</v>
      </c>
      <c r="B339" t="s">
        <v>37</v>
      </c>
      <c r="C339" t="s">
        <v>31</v>
      </c>
      <c r="D339">
        <v>738</v>
      </c>
      <c r="E339" t="s">
        <v>39</v>
      </c>
      <c r="F339">
        <v>9</v>
      </c>
      <c r="G339">
        <v>5</v>
      </c>
      <c r="H339" t="s">
        <v>43</v>
      </c>
      <c r="I339">
        <v>455</v>
      </c>
      <c r="J339">
        <v>2</v>
      </c>
      <c r="K339" t="s">
        <v>40</v>
      </c>
      <c r="L339">
        <v>2</v>
      </c>
      <c r="M339">
        <v>1</v>
      </c>
      <c r="N339" t="s">
        <v>44</v>
      </c>
      <c r="O339">
        <v>4</v>
      </c>
      <c r="P339" t="s">
        <v>36</v>
      </c>
      <c r="Q339">
        <v>3983</v>
      </c>
      <c r="R339">
        <v>0</v>
      </c>
      <c r="S339" t="s">
        <v>37</v>
      </c>
      <c r="T339">
        <v>17</v>
      </c>
      <c r="U339">
        <v>3</v>
      </c>
      <c r="V339">
        <v>3</v>
      </c>
      <c r="W339">
        <v>0</v>
      </c>
      <c r="X339">
        <v>4</v>
      </c>
      <c r="Y339">
        <v>2</v>
      </c>
      <c r="Z339">
        <v>3</v>
      </c>
      <c r="AA339">
        <v>3</v>
      </c>
      <c r="AB339">
        <v>2</v>
      </c>
      <c r="AC339">
        <v>2</v>
      </c>
      <c r="AD339">
        <v>2</v>
      </c>
      <c r="AE339" t="str" cm="1">
        <f t="array" ref="AE339">_xlfn.IFS(G339=1,"Before College",G339=2,"College",G339=3,"Bachelor",G339=4,"Master",G339=5,"Doctor")</f>
        <v>Doctor</v>
      </c>
      <c r="AF339" t="str" cm="1">
        <f t="array" ref="AF339">_xlfn.IFS(J339=1,"Low",J339=2,"Medium",J339=3,"High",J339=4,"Very High")</f>
        <v>Medium</v>
      </c>
      <c r="AG339" t="str" cm="1">
        <f t="array" ref="AG339">_xlfn.IFS(L339=1,"Low",L339=2,"Medium",L339=3,"High",L339=4,"Very High")</f>
        <v>Medium</v>
      </c>
      <c r="AH339" t="str" cm="1">
        <f t="array" ref="AH339">_xlfn.IFS(M339=1,"Junior employee",M339=2,"Mid-level",M339=3,"Senior",M339=4,"Manager",M339=5,"Executive")</f>
        <v>Junior employee</v>
      </c>
      <c r="AI339" t="str" cm="1">
        <f t="array" ref="AI339">_xlfn.IFS(O339=1,"Low",O339=2,"Medium",O339=3,"High",O339=4,"Very High")</f>
        <v>Very High</v>
      </c>
      <c r="AJ339" t="str" cm="1">
        <f t="array" ref="AJ339">_xlfn.IFS(U339=1,"Low",U339=2,"Good",U339=3,"Excellent",U339=4,"Outstanding")</f>
        <v>Excellent</v>
      </c>
      <c r="AK339" t="str" cm="1">
        <f t="array" ref="AK339">_xlfn.IFS(V339=1,"Low",V339=2,"Medium",V339=3,"High",V339=4,"Very High")</f>
        <v>High</v>
      </c>
      <c r="AL339" t="str" cm="1">
        <f t="array" ref="AL339">_xlfn.IFS(Z339=1,"Bad",Z339=2,"Good",Z339=3,"Better",Z339=4,"Best")</f>
        <v>Better</v>
      </c>
      <c r="AM339" t="str" cm="1">
        <f t="array" ref="AM339">_xlfn.IFS(W339=0,"No_stock",W339=1,"Low",W339=2,"Medium",W339=3,"High")</f>
        <v>No_stock</v>
      </c>
      <c r="AN339" t="str">
        <f t="shared" si="5"/>
        <v>Medium</v>
      </c>
    </row>
    <row r="340" spans="1:40" x14ac:dyDescent="0.45">
      <c r="A340">
        <v>30</v>
      </c>
      <c r="B340" t="s">
        <v>37</v>
      </c>
      <c r="C340" t="s">
        <v>31</v>
      </c>
      <c r="D340">
        <v>570</v>
      </c>
      <c r="E340" t="s">
        <v>32</v>
      </c>
      <c r="F340">
        <v>5</v>
      </c>
      <c r="G340">
        <v>3</v>
      </c>
      <c r="H340" t="s">
        <v>53</v>
      </c>
      <c r="I340">
        <v>456</v>
      </c>
      <c r="J340">
        <v>4</v>
      </c>
      <c r="K340" t="s">
        <v>34</v>
      </c>
      <c r="L340">
        <v>2</v>
      </c>
      <c r="M340">
        <v>2</v>
      </c>
      <c r="N340" t="s">
        <v>35</v>
      </c>
      <c r="O340">
        <v>3</v>
      </c>
      <c r="P340" t="s">
        <v>46</v>
      </c>
      <c r="Q340">
        <v>6118</v>
      </c>
      <c r="R340">
        <v>1</v>
      </c>
      <c r="S340" t="s">
        <v>37</v>
      </c>
      <c r="T340">
        <v>13</v>
      </c>
      <c r="U340">
        <v>3</v>
      </c>
      <c r="V340">
        <v>3</v>
      </c>
      <c r="W340">
        <v>3</v>
      </c>
      <c r="X340">
        <v>10</v>
      </c>
      <c r="Y340">
        <v>2</v>
      </c>
      <c r="Z340">
        <v>3</v>
      </c>
      <c r="AA340">
        <v>10</v>
      </c>
      <c r="AB340">
        <v>9</v>
      </c>
      <c r="AC340">
        <v>1</v>
      </c>
      <c r="AD340">
        <v>2</v>
      </c>
      <c r="AE340" t="str" cm="1">
        <f t="array" ref="AE340">_xlfn.IFS(G340=1,"Before College",G340=2,"College",G340=3,"Bachelor",G340=4,"Master",G340=5,"Doctor")</f>
        <v>Bachelor</v>
      </c>
      <c r="AF340" t="str" cm="1">
        <f t="array" ref="AF340">_xlfn.IFS(J340=1,"Low",J340=2,"Medium",J340=3,"High",J340=4,"Very High")</f>
        <v>Very High</v>
      </c>
      <c r="AG340" t="str" cm="1">
        <f t="array" ref="AG340">_xlfn.IFS(L340=1,"Low",L340=2,"Medium",L340=3,"High",L340=4,"Very High")</f>
        <v>Medium</v>
      </c>
      <c r="AH340" t="str" cm="1">
        <f t="array" ref="AH340">_xlfn.IFS(M340=1,"Junior employee",M340=2,"Mid-level",M340=3,"Senior",M340=4,"Manager",M340=5,"Executive")</f>
        <v>Mid-level</v>
      </c>
      <c r="AI340" t="str" cm="1">
        <f t="array" ref="AI340">_xlfn.IFS(O340=1,"Low",O340=2,"Medium",O340=3,"High",O340=4,"Very High")</f>
        <v>High</v>
      </c>
      <c r="AJ340" t="str" cm="1">
        <f t="array" ref="AJ340">_xlfn.IFS(U340=1,"Low",U340=2,"Good",U340=3,"Excellent",U340=4,"Outstanding")</f>
        <v>Excellent</v>
      </c>
      <c r="AK340" t="str" cm="1">
        <f t="array" ref="AK340">_xlfn.IFS(V340=1,"Low",V340=2,"Medium",V340=3,"High",V340=4,"Very High")</f>
        <v>High</v>
      </c>
      <c r="AL340" t="str" cm="1">
        <f t="array" ref="AL340">_xlfn.IFS(Z340=1,"Bad",Z340=2,"Good",Z340=3,"Better",Z340=4,"Best")</f>
        <v>Better</v>
      </c>
      <c r="AM340" t="str" cm="1">
        <f t="array" ref="AM340">_xlfn.IFS(W340=0,"No_stock",W340=1,"Low",W340=2,"Medium",W340=3,"High")</f>
        <v>High</v>
      </c>
      <c r="AN340" t="str">
        <f t="shared" si="5"/>
        <v>Near</v>
      </c>
    </row>
    <row r="341" spans="1:40" x14ac:dyDescent="0.45">
      <c r="A341">
        <v>27</v>
      </c>
      <c r="B341" t="s">
        <v>37</v>
      </c>
      <c r="C341" t="s">
        <v>31</v>
      </c>
      <c r="D341">
        <v>1130</v>
      </c>
      <c r="E341" t="s">
        <v>32</v>
      </c>
      <c r="F341">
        <v>8</v>
      </c>
      <c r="G341">
        <v>4</v>
      </c>
      <c r="H341" t="s">
        <v>53</v>
      </c>
      <c r="I341">
        <v>458</v>
      </c>
      <c r="J341">
        <v>2</v>
      </c>
      <c r="K341" t="s">
        <v>34</v>
      </c>
      <c r="L341">
        <v>3</v>
      </c>
      <c r="M341">
        <v>2</v>
      </c>
      <c r="N341" t="s">
        <v>35</v>
      </c>
      <c r="O341">
        <v>2</v>
      </c>
      <c r="P341" t="s">
        <v>42</v>
      </c>
      <c r="Q341">
        <v>6214</v>
      </c>
      <c r="R341">
        <v>1</v>
      </c>
      <c r="S341" t="s">
        <v>37</v>
      </c>
      <c r="T341">
        <v>18</v>
      </c>
      <c r="U341">
        <v>3</v>
      </c>
      <c r="V341">
        <v>1</v>
      </c>
      <c r="W341">
        <v>1</v>
      </c>
      <c r="X341">
        <v>8</v>
      </c>
      <c r="Y341">
        <v>3</v>
      </c>
      <c r="Z341">
        <v>3</v>
      </c>
      <c r="AA341">
        <v>8</v>
      </c>
      <c r="AB341">
        <v>7</v>
      </c>
      <c r="AC341">
        <v>0</v>
      </c>
      <c r="AD341">
        <v>7</v>
      </c>
      <c r="AE341" t="str" cm="1">
        <f t="array" ref="AE341">_xlfn.IFS(G341=1,"Before College",G341=2,"College",G341=3,"Bachelor",G341=4,"Master",G341=5,"Doctor")</f>
        <v>Master</v>
      </c>
      <c r="AF341" t="str" cm="1">
        <f t="array" ref="AF341">_xlfn.IFS(J341=1,"Low",J341=2,"Medium",J341=3,"High",J341=4,"Very High")</f>
        <v>Medium</v>
      </c>
      <c r="AG341" t="str" cm="1">
        <f t="array" ref="AG341">_xlfn.IFS(L341=1,"Low",L341=2,"Medium",L341=3,"High",L341=4,"Very High")</f>
        <v>High</v>
      </c>
      <c r="AH341" t="str" cm="1">
        <f t="array" ref="AH341">_xlfn.IFS(M341=1,"Junior employee",M341=2,"Mid-level",M341=3,"Senior",M341=4,"Manager",M341=5,"Executive")</f>
        <v>Mid-level</v>
      </c>
      <c r="AI341" t="str" cm="1">
        <f t="array" ref="AI341">_xlfn.IFS(O341=1,"Low",O341=2,"Medium",O341=3,"High",O341=4,"Very High")</f>
        <v>Medium</v>
      </c>
      <c r="AJ341" t="str" cm="1">
        <f t="array" ref="AJ341">_xlfn.IFS(U341=1,"Low",U341=2,"Good",U341=3,"Excellent",U341=4,"Outstanding")</f>
        <v>Excellent</v>
      </c>
      <c r="AK341" t="str" cm="1">
        <f t="array" ref="AK341">_xlfn.IFS(V341=1,"Low",V341=2,"Medium",V341=3,"High",V341=4,"Very High")</f>
        <v>Low</v>
      </c>
      <c r="AL341" t="str" cm="1">
        <f t="array" ref="AL341">_xlfn.IFS(Z341=1,"Bad",Z341=2,"Good",Z341=3,"Better",Z341=4,"Best")</f>
        <v>Better</v>
      </c>
      <c r="AM341" t="str" cm="1">
        <f t="array" ref="AM341">_xlfn.IFS(W341=0,"No_stock",W341=1,"Low",W341=2,"Medium",W341=3,"High")</f>
        <v>Low</v>
      </c>
      <c r="AN341" t="str">
        <f t="shared" si="5"/>
        <v>Medium</v>
      </c>
    </row>
    <row r="342" spans="1:40" x14ac:dyDescent="0.45">
      <c r="A342">
        <v>37</v>
      </c>
      <c r="B342" t="s">
        <v>37</v>
      </c>
      <c r="C342" t="s">
        <v>31</v>
      </c>
      <c r="D342">
        <v>1192</v>
      </c>
      <c r="E342" t="s">
        <v>39</v>
      </c>
      <c r="F342">
        <v>5</v>
      </c>
      <c r="G342">
        <v>2</v>
      </c>
      <c r="H342" t="s">
        <v>45</v>
      </c>
      <c r="I342">
        <v>460</v>
      </c>
      <c r="J342">
        <v>4</v>
      </c>
      <c r="K342" t="s">
        <v>40</v>
      </c>
      <c r="L342">
        <v>3</v>
      </c>
      <c r="M342">
        <v>2</v>
      </c>
      <c r="N342" t="s">
        <v>47</v>
      </c>
      <c r="O342">
        <v>4</v>
      </c>
      <c r="P342" t="s">
        <v>46</v>
      </c>
      <c r="Q342">
        <v>6347</v>
      </c>
      <c r="R342">
        <v>7</v>
      </c>
      <c r="S342" t="s">
        <v>37</v>
      </c>
      <c r="T342">
        <v>16</v>
      </c>
      <c r="U342">
        <v>3</v>
      </c>
      <c r="V342">
        <v>3</v>
      </c>
      <c r="W342">
        <v>2</v>
      </c>
      <c r="X342">
        <v>8</v>
      </c>
      <c r="Y342">
        <v>2</v>
      </c>
      <c r="Z342">
        <v>2</v>
      </c>
      <c r="AA342">
        <v>6</v>
      </c>
      <c r="AB342">
        <v>2</v>
      </c>
      <c r="AC342">
        <v>0</v>
      </c>
      <c r="AD342">
        <v>4</v>
      </c>
      <c r="AE342" t="str" cm="1">
        <f t="array" ref="AE342">_xlfn.IFS(G342=1,"Before College",G342=2,"College",G342=3,"Bachelor",G342=4,"Master",G342=5,"Doctor")</f>
        <v>College</v>
      </c>
      <c r="AF342" t="str" cm="1">
        <f t="array" ref="AF342">_xlfn.IFS(J342=1,"Low",J342=2,"Medium",J342=3,"High",J342=4,"Very High")</f>
        <v>Very High</v>
      </c>
      <c r="AG342" t="str" cm="1">
        <f t="array" ref="AG342">_xlfn.IFS(L342=1,"Low",L342=2,"Medium",L342=3,"High",L342=4,"Very High")</f>
        <v>High</v>
      </c>
      <c r="AH342" t="str" cm="1">
        <f t="array" ref="AH342">_xlfn.IFS(M342=1,"Junior employee",M342=2,"Mid-level",M342=3,"Senior",M342=4,"Manager",M342=5,"Executive")</f>
        <v>Mid-level</v>
      </c>
      <c r="AI342" t="str" cm="1">
        <f t="array" ref="AI342">_xlfn.IFS(O342=1,"Low",O342=2,"Medium",O342=3,"High",O342=4,"Very High")</f>
        <v>Very High</v>
      </c>
      <c r="AJ342" t="str" cm="1">
        <f t="array" ref="AJ342">_xlfn.IFS(U342=1,"Low",U342=2,"Good",U342=3,"Excellent",U342=4,"Outstanding")</f>
        <v>Excellent</v>
      </c>
      <c r="AK342" t="str" cm="1">
        <f t="array" ref="AK342">_xlfn.IFS(V342=1,"Low",V342=2,"Medium",V342=3,"High",V342=4,"Very High")</f>
        <v>High</v>
      </c>
      <c r="AL342" t="str" cm="1">
        <f t="array" ref="AL342">_xlfn.IFS(Z342=1,"Bad",Z342=2,"Good",Z342=3,"Better",Z342=4,"Best")</f>
        <v>Good</v>
      </c>
      <c r="AM342" t="str" cm="1">
        <f t="array" ref="AM342">_xlfn.IFS(W342=0,"No_stock",W342=1,"Low",W342=2,"Medium",W342=3,"High")</f>
        <v>Medium</v>
      </c>
      <c r="AN342" t="str">
        <f t="shared" si="5"/>
        <v>Near</v>
      </c>
    </row>
    <row r="343" spans="1:40" x14ac:dyDescent="0.45">
      <c r="A343">
        <v>38</v>
      </c>
      <c r="B343" t="s">
        <v>37</v>
      </c>
      <c r="C343" t="s">
        <v>31</v>
      </c>
      <c r="D343">
        <v>343</v>
      </c>
      <c r="E343" t="s">
        <v>39</v>
      </c>
      <c r="F343">
        <v>15</v>
      </c>
      <c r="G343">
        <v>2</v>
      </c>
      <c r="H343" t="s">
        <v>33</v>
      </c>
      <c r="I343">
        <v>461</v>
      </c>
      <c r="J343">
        <v>3</v>
      </c>
      <c r="K343" t="s">
        <v>40</v>
      </c>
      <c r="L343">
        <v>2</v>
      </c>
      <c r="M343">
        <v>3</v>
      </c>
      <c r="N343" t="s">
        <v>52</v>
      </c>
      <c r="O343">
        <v>4</v>
      </c>
      <c r="P343" t="s">
        <v>46</v>
      </c>
      <c r="Q343">
        <v>11510</v>
      </c>
      <c r="R343">
        <v>0</v>
      </c>
      <c r="S343" t="s">
        <v>30</v>
      </c>
      <c r="T343">
        <v>14</v>
      </c>
      <c r="U343">
        <v>3</v>
      </c>
      <c r="V343">
        <v>2</v>
      </c>
      <c r="W343">
        <v>1</v>
      </c>
      <c r="X343">
        <v>12</v>
      </c>
      <c r="Y343">
        <v>3</v>
      </c>
      <c r="Z343">
        <v>3</v>
      </c>
      <c r="AA343">
        <v>11</v>
      </c>
      <c r="AB343">
        <v>10</v>
      </c>
      <c r="AC343">
        <v>2</v>
      </c>
      <c r="AD343">
        <v>9</v>
      </c>
      <c r="AE343" t="str" cm="1">
        <f t="array" ref="AE343">_xlfn.IFS(G343=1,"Before College",G343=2,"College",G343=3,"Bachelor",G343=4,"Master",G343=5,"Doctor")</f>
        <v>College</v>
      </c>
      <c r="AF343" t="str" cm="1">
        <f t="array" ref="AF343">_xlfn.IFS(J343=1,"Low",J343=2,"Medium",J343=3,"High",J343=4,"Very High")</f>
        <v>High</v>
      </c>
      <c r="AG343" t="str" cm="1">
        <f t="array" ref="AG343">_xlfn.IFS(L343=1,"Low",L343=2,"Medium",L343=3,"High",L343=4,"Very High")</f>
        <v>Medium</v>
      </c>
      <c r="AH343" t="str" cm="1">
        <f t="array" ref="AH343">_xlfn.IFS(M343=1,"Junior employee",M343=2,"Mid-level",M343=3,"Senior",M343=4,"Manager",M343=5,"Executive")</f>
        <v>Senior</v>
      </c>
      <c r="AI343" t="str" cm="1">
        <f t="array" ref="AI343">_xlfn.IFS(O343=1,"Low",O343=2,"Medium",O343=3,"High",O343=4,"Very High")</f>
        <v>Very High</v>
      </c>
      <c r="AJ343" t="str" cm="1">
        <f t="array" ref="AJ343">_xlfn.IFS(U343=1,"Low",U343=2,"Good",U343=3,"Excellent",U343=4,"Outstanding")</f>
        <v>Excellent</v>
      </c>
      <c r="AK343" t="str" cm="1">
        <f t="array" ref="AK343">_xlfn.IFS(V343=1,"Low",V343=2,"Medium",V343=3,"High",V343=4,"Very High")</f>
        <v>Medium</v>
      </c>
      <c r="AL343" t="str" cm="1">
        <f t="array" ref="AL343">_xlfn.IFS(Z343=1,"Bad",Z343=2,"Good",Z343=3,"Better",Z343=4,"Best")</f>
        <v>Better</v>
      </c>
      <c r="AM343" t="str" cm="1">
        <f t="array" ref="AM343">_xlfn.IFS(W343=0,"No_stock",W343=1,"Low",W343=2,"Medium",W343=3,"High")</f>
        <v>Low</v>
      </c>
      <c r="AN343" t="str">
        <f t="shared" si="5"/>
        <v>Medium</v>
      </c>
    </row>
    <row r="344" spans="1:40" x14ac:dyDescent="0.45">
      <c r="A344">
        <v>31</v>
      </c>
      <c r="B344" t="s">
        <v>37</v>
      </c>
      <c r="C344" t="s">
        <v>31</v>
      </c>
      <c r="D344">
        <v>1232</v>
      </c>
      <c r="E344" t="s">
        <v>39</v>
      </c>
      <c r="F344">
        <v>7</v>
      </c>
      <c r="G344">
        <v>4</v>
      </c>
      <c r="H344" t="s">
        <v>45</v>
      </c>
      <c r="I344">
        <v>462</v>
      </c>
      <c r="J344">
        <v>3</v>
      </c>
      <c r="K344" t="s">
        <v>34</v>
      </c>
      <c r="L344">
        <v>3</v>
      </c>
      <c r="M344">
        <v>3</v>
      </c>
      <c r="N344" t="s">
        <v>47</v>
      </c>
      <c r="O344">
        <v>4</v>
      </c>
      <c r="P344" t="s">
        <v>36</v>
      </c>
      <c r="Q344">
        <v>7143</v>
      </c>
      <c r="R344">
        <v>1</v>
      </c>
      <c r="S344" t="s">
        <v>30</v>
      </c>
      <c r="T344">
        <v>14</v>
      </c>
      <c r="U344">
        <v>3</v>
      </c>
      <c r="V344">
        <v>3</v>
      </c>
      <c r="W344">
        <v>0</v>
      </c>
      <c r="X344">
        <v>11</v>
      </c>
      <c r="Y344">
        <v>2</v>
      </c>
      <c r="Z344">
        <v>2</v>
      </c>
      <c r="AA344">
        <v>11</v>
      </c>
      <c r="AB344">
        <v>9</v>
      </c>
      <c r="AC344">
        <v>4</v>
      </c>
      <c r="AD344">
        <v>10</v>
      </c>
      <c r="AE344" t="str" cm="1">
        <f t="array" ref="AE344">_xlfn.IFS(G344=1,"Before College",G344=2,"College",G344=3,"Bachelor",G344=4,"Master",G344=5,"Doctor")</f>
        <v>Master</v>
      </c>
      <c r="AF344" t="str" cm="1">
        <f t="array" ref="AF344">_xlfn.IFS(J344=1,"Low",J344=2,"Medium",J344=3,"High",J344=4,"Very High")</f>
        <v>High</v>
      </c>
      <c r="AG344" t="str" cm="1">
        <f t="array" ref="AG344">_xlfn.IFS(L344=1,"Low",L344=2,"Medium",L344=3,"High",L344=4,"Very High")</f>
        <v>High</v>
      </c>
      <c r="AH344" t="str" cm="1">
        <f t="array" ref="AH344">_xlfn.IFS(M344=1,"Junior employee",M344=2,"Mid-level",M344=3,"Senior",M344=4,"Manager",M344=5,"Executive")</f>
        <v>Senior</v>
      </c>
      <c r="AI344" t="str" cm="1">
        <f t="array" ref="AI344">_xlfn.IFS(O344=1,"Low",O344=2,"Medium",O344=3,"High",O344=4,"Very High")</f>
        <v>Very High</v>
      </c>
      <c r="AJ344" t="str" cm="1">
        <f t="array" ref="AJ344">_xlfn.IFS(U344=1,"Low",U344=2,"Good",U344=3,"Excellent",U344=4,"Outstanding")</f>
        <v>Excellent</v>
      </c>
      <c r="AK344" t="str" cm="1">
        <f t="array" ref="AK344">_xlfn.IFS(V344=1,"Low",V344=2,"Medium",V344=3,"High",V344=4,"Very High")</f>
        <v>High</v>
      </c>
      <c r="AL344" t="str" cm="1">
        <f t="array" ref="AL344">_xlfn.IFS(Z344=1,"Bad",Z344=2,"Good",Z344=3,"Better",Z344=4,"Best")</f>
        <v>Good</v>
      </c>
      <c r="AM344" t="str" cm="1">
        <f t="array" ref="AM344">_xlfn.IFS(W344=0,"No_stock",W344=1,"Low",W344=2,"Medium",W344=3,"High")</f>
        <v>No_stock</v>
      </c>
      <c r="AN344" t="str">
        <f t="shared" si="5"/>
        <v>Medium</v>
      </c>
    </row>
    <row r="345" spans="1:40" x14ac:dyDescent="0.45">
      <c r="A345">
        <v>29</v>
      </c>
      <c r="B345" t="s">
        <v>37</v>
      </c>
      <c r="C345" t="s">
        <v>31</v>
      </c>
      <c r="D345">
        <v>144</v>
      </c>
      <c r="E345" t="s">
        <v>32</v>
      </c>
      <c r="F345">
        <v>10</v>
      </c>
      <c r="G345">
        <v>1</v>
      </c>
      <c r="H345" t="s">
        <v>53</v>
      </c>
      <c r="I345">
        <v>463</v>
      </c>
      <c r="J345">
        <v>4</v>
      </c>
      <c r="K345" t="s">
        <v>34</v>
      </c>
      <c r="L345">
        <v>2</v>
      </c>
      <c r="M345">
        <v>2</v>
      </c>
      <c r="N345" t="s">
        <v>35</v>
      </c>
      <c r="O345">
        <v>2</v>
      </c>
      <c r="P345" t="s">
        <v>46</v>
      </c>
      <c r="Q345">
        <v>8268</v>
      </c>
      <c r="R345">
        <v>1</v>
      </c>
      <c r="S345" t="s">
        <v>30</v>
      </c>
      <c r="T345">
        <v>14</v>
      </c>
      <c r="U345">
        <v>3</v>
      </c>
      <c r="V345">
        <v>1</v>
      </c>
      <c r="W345">
        <v>2</v>
      </c>
      <c r="X345">
        <v>7</v>
      </c>
      <c r="Y345">
        <v>2</v>
      </c>
      <c r="Z345">
        <v>3</v>
      </c>
      <c r="AA345">
        <v>7</v>
      </c>
      <c r="AB345">
        <v>7</v>
      </c>
      <c r="AC345">
        <v>1</v>
      </c>
      <c r="AD345">
        <v>7</v>
      </c>
      <c r="AE345" t="str" cm="1">
        <f t="array" ref="AE345">_xlfn.IFS(G345=1,"Before College",G345=2,"College",G345=3,"Bachelor",G345=4,"Master",G345=5,"Doctor")</f>
        <v>Before College</v>
      </c>
      <c r="AF345" t="str" cm="1">
        <f t="array" ref="AF345">_xlfn.IFS(J345=1,"Low",J345=2,"Medium",J345=3,"High",J345=4,"Very High")</f>
        <v>Very High</v>
      </c>
      <c r="AG345" t="str" cm="1">
        <f t="array" ref="AG345">_xlfn.IFS(L345=1,"Low",L345=2,"Medium",L345=3,"High",L345=4,"Very High")</f>
        <v>Medium</v>
      </c>
      <c r="AH345" t="str" cm="1">
        <f t="array" ref="AH345">_xlfn.IFS(M345=1,"Junior employee",M345=2,"Mid-level",M345=3,"Senior",M345=4,"Manager",M345=5,"Executive")</f>
        <v>Mid-level</v>
      </c>
      <c r="AI345" t="str" cm="1">
        <f t="array" ref="AI345">_xlfn.IFS(O345=1,"Low",O345=2,"Medium",O345=3,"High",O345=4,"Very High")</f>
        <v>Medium</v>
      </c>
      <c r="AJ345" t="str" cm="1">
        <f t="array" ref="AJ345">_xlfn.IFS(U345=1,"Low",U345=2,"Good",U345=3,"Excellent",U345=4,"Outstanding")</f>
        <v>Excellent</v>
      </c>
      <c r="AK345" t="str" cm="1">
        <f t="array" ref="AK345">_xlfn.IFS(V345=1,"Low",V345=2,"Medium",V345=3,"High",V345=4,"Very High")</f>
        <v>Low</v>
      </c>
      <c r="AL345" t="str" cm="1">
        <f t="array" ref="AL345">_xlfn.IFS(Z345=1,"Bad",Z345=2,"Good",Z345=3,"Better",Z345=4,"Best")</f>
        <v>Better</v>
      </c>
      <c r="AM345" t="str" cm="1">
        <f t="array" ref="AM345">_xlfn.IFS(W345=0,"No_stock",W345=1,"Low",W345=2,"Medium",W345=3,"High")</f>
        <v>Medium</v>
      </c>
      <c r="AN345" t="str">
        <f t="shared" si="5"/>
        <v>Medium</v>
      </c>
    </row>
    <row r="346" spans="1:40" x14ac:dyDescent="0.45">
      <c r="A346">
        <v>35</v>
      </c>
      <c r="B346" t="s">
        <v>37</v>
      </c>
      <c r="C346" t="s">
        <v>31</v>
      </c>
      <c r="D346">
        <v>1296</v>
      </c>
      <c r="E346" t="s">
        <v>39</v>
      </c>
      <c r="F346">
        <v>5</v>
      </c>
      <c r="G346">
        <v>4</v>
      </c>
      <c r="H346" t="s">
        <v>54</v>
      </c>
      <c r="I346">
        <v>464</v>
      </c>
      <c r="J346">
        <v>3</v>
      </c>
      <c r="K346" t="s">
        <v>40</v>
      </c>
      <c r="L346">
        <v>3</v>
      </c>
      <c r="M346">
        <v>3</v>
      </c>
      <c r="N346" t="s">
        <v>47</v>
      </c>
      <c r="O346">
        <v>2</v>
      </c>
      <c r="P346" t="s">
        <v>36</v>
      </c>
      <c r="Q346">
        <v>8095</v>
      </c>
      <c r="R346">
        <v>0</v>
      </c>
      <c r="S346" t="s">
        <v>37</v>
      </c>
      <c r="T346">
        <v>13</v>
      </c>
      <c r="U346">
        <v>3</v>
      </c>
      <c r="V346">
        <v>4</v>
      </c>
      <c r="W346">
        <v>0</v>
      </c>
      <c r="X346">
        <v>17</v>
      </c>
      <c r="Y346">
        <v>5</v>
      </c>
      <c r="Z346">
        <v>3</v>
      </c>
      <c r="AA346">
        <v>16</v>
      </c>
      <c r="AB346">
        <v>6</v>
      </c>
      <c r="AC346">
        <v>0</v>
      </c>
      <c r="AD346">
        <v>13</v>
      </c>
      <c r="AE346" t="str" cm="1">
        <f t="array" ref="AE346">_xlfn.IFS(G346=1,"Before College",G346=2,"College",G346=3,"Bachelor",G346=4,"Master",G346=5,"Doctor")</f>
        <v>Master</v>
      </c>
      <c r="AF346" t="str" cm="1">
        <f t="array" ref="AF346">_xlfn.IFS(J346=1,"Low",J346=2,"Medium",J346=3,"High",J346=4,"Very High")</f>
        <v>High</v>
      </c>
      <c r="AG346" t="str" cm="1">
        <f t="array" ref="AG346">_xlfn.IFS(L346=1,"Low",L346=2,"Medium",L346=3,"High",L346=4,"Very High")</f>
        <v>High</v>
      </c>
      <c r="AH346" t="str" cm="1">
        <f t="array" ref="AH346">_xlfn.IFS(M346=1,"Junior employee",M346=2,"Mid-level",M346=3,"Senior",M346=4,"Manager",M346=5,"Executive")</f>
        <v>Senior</v>
      </c>
      <c r="AI346" t="str" cm="1">
        <f t="array" ref="AI346">_xlfn.IFS(O346=1,"Low",O346=2,"Medium",O346=3,"High",O346=4,"Very High")</f>
        <v>Medium</v>
      </c>
      <c r="AJ346" t="str" cm="1">
        <f t="array" ref="AJ346">_xlfn.IFS(U346=1,"Low",U346=2,"Good",U346=3,"Excellent",U346=4,"Outstanding")</f>
        <v>Excellent</v>
      </c>
      <c r="AK346" t="str" cm="1">
        <f t="array" ref="AK346">_xlfn.IFS(V346=1,"Low",V346=2,"Medium",V346=3,"High",V346=4,"Very High")</f>
        <v>Very High</v>
      </c>
      <c r="AL346" t="str" cm="1">
        <f t="array" ref="AL346">_xlfn.IFS(Z346=1,"Bad",Z346=2,"Good",Z346=3,"Better",Z346=4,"Best")</f>
        <v>Better</v>
      </c>
      <c r="AM346" t="str" cm="1">
        <f t="array" ref="AM346">_xlfn.IFS(W346=0,"No_stock",W346=1,"Low",W346=2,"Medium",W346=3,"High")</f>
        <v>No_stock</v>
      </c>
      <c r="AN346" t="str">
        <f t="shared" si="5"/>
        <v>Near</v>
      </c>
    </row>
    <row r="347" spans="1:40" x14ac:dyDescent="0.45">
      <c r="A347">
        <v>23</v>
      </c>
      <c r="B347" t="s">
        <v>37</v>
      </c>
      <c r="C347" t="s">
        <v>31</v>
      </c>
      <c r="D347">
        <v>1309</v>
      </c>
      <c r="E347" t="s">
        <v>39</v>
      </c>
      <c r="F347">
        <v>26</v>
      </c>
      <c r="G347">
        <v>1</v>
      </c>
      <c r="H347" t="s">
        <v>33</v>
      </c>
      <c r="I347">
        <v>465</v>
      </c>
      <c r="J347">
        <v>3</v>
      </c>
      <c r="K347" t="s">
        <v>40</v>
      </c>
      <c r="L347">
        <v>3</v>
      </c>
      <c r="M347">
        <v>1</v>
      </c>
      <c r="N347" t="s">
        <v>41</v>
      </c>
      <c r="O347">
        <v>4</v>
      </c>
      <c r="P347" t="s">
        <v>46</v>
      </c>
      <c r="Q347">
        <v>2904</v>
      </c>
      <c r="R347">
        <v>1</v>
      </c>
      <c r="S347" t="s">
        <v>37</v>
      </c>
      <c r="T347">
        <v>12</v>
      </c>
      <c r="U347">
        <v>3</v>
      </c>
      <c r="V347">
        <v>3</v>
      </c>
      <c r="W347">
        <v>2</v>
      </c>
      <c r="X347">
        <v>4</v>
      </c>
      <c r="Y347">
        <v>2</v>
      </c>
      <c r="Z347">
        <v>2</v>
      </c>
      <c r="AA347">
        <v>4</v>
      </c>
      <c r="AB347">
        <v>2</v>
      </c>
      <c r="AC347">
        <v>0</v>
      </c>
      <c r="AD347">
        <v>2</v>
      </c>
      <c r="AE347" t="str" cm="1">
        <f t="array" ref="AE347">_xlfn.IFS(G347=1,"Before College",G347=2,"College",G347=3,"Bachelor",G347=4,"Master",G347=5,"Doctor")</f>
        <v>Before College</v>
      </c>
      <c r="AF347" t="str" cm="1">
        <f t="array" ref="AF347">_xlfn.IFS(J347=1,"Low",J347=2,"Medium",J347=3,"High",J347=4,"Very High")</f>
        <v>High</v>
      </c>
      <c r="AG347" t="str" cm="1">
        <f t="array" ref="AG347">_xlfn.IFS(L347=1,"Low",L347=2,"Medium",L347=3,"High",L347=4,"Very High")</f>
        <v>High</v>
      </c>
      <c r="AH347" t="str" cm="1">
        <f t="array" ref="AH347">_xlfn.IFS(M347=1,"Junior employee",M347=2,"Mid-level",M347=3,"Senior",M347=4,"Manager",M347=5,"Executive")</f>
        <v>Junior employee</v>
      </c>
      <c r="AI347" t="str" cm="1">
        <f t="array" ref="AI347">_xlfn.IFS(O347=1,"Low",O347=2,"Medium",O347=3,"High",O347=4,"Very High")</f>
        <v>Very High</v>
      </c>
      <c r="AJ347" t="str" cm="1">
        <f t="array" ref="AJ347">_xlfn.IFS(U347=1,"Low",U347=2,"Good",U347=3,"Excellent",U347=4,"Outstanding")</f>
        <v>Excellent</v>
      </c>
      <c r="AK347" t="str" cm="1">
        <f t="array" ref="AK347">_xlfn.IFS(V347=1,"Low",V347=2,"Medium",V347=3,"High",V347=4,"Very High")</f>
        <v>High</v>
      </c>
      <c r="AL347" t="str" cm="1">
        <f t="array" ref="AL347">_xlfn.IFS(Z347=1,"Bad",Z347=2,"Good",Z347=3,"Better",Z347=4,"Best")</f>
        <v>Good</v>
      </c>
      <c r="AM347" t="str" cm="1">
        <f t="array" ref="AM347">_xlfn.IFS(W347=0,"No_stock",W347=1,"Low",W347=2,"Medium",W347=3,"High")</f>
        <v>Medium</v>
      </c>
      <c r="AN347" t="str">
        <f t="shared" si="5"/>
        <v>Far</v>
      </c>
    </row>
    <row r="348" spans="1:40" x14ac:dyDescent="0.45">
      <c r="A348">
        <v>41</v>
      </c>
      <c r="B348" t="s">
        <v>37</v>
      </c>
      <c r="C348" t="s">
        <v>31</v>
      </c>
      <c r="D348">
        <v>483</v>
      </c>
      <c r="E348" t="s">
        <v>39</v>
      </c>
      <c r="F348">
        <v>6</v>
      </c>
      <c r="G348">
        <v>3</v>
      </c>
      <c r="H348" t="s">
        <v>45</v>
      </c>
      <c r="I348">
        <v>466</v>
      </c>
      <c r="J348">
        <v>4</v>
      </c>
      <c r="K348" t="s">
        <v>40</v>
      </c>
      <c r="L348">
        <v>2</v>
      </c>
      <c r="M348">
        <v>2</v>
      </c>
      <c r="N348" t="s">
        <v>47</v>
      </c>
      <c r="O348">
        <v>2</v>
      </c>
      <c r="P348" t="s">
        <v>36</v>
      </c>
      <c r="Q348">
        <v>6032</v>
      </c>
      <c r="R348">
        <v>6</v>
      </c>
      <c r="S348" t="s">
        <v>30</v>
      </c>
      <c r="T348">
        <v>15</v>
      </c>
      <c r="U348">
        <v>3</v>
      </c>
      <c r="V348">
        <v>4</v>
      </c>
      <c r="W348">
        <v>0</v>
      </c>
      <c r="X348">
        <v>8</v>
      </c>
      <c r="Y348">
        <v>3</v>
      </c>
      <c r="Z348">
        <v>3</v>
      </c>
      <c r="AA348">
        <v>5</v>
      </c>
      <c r="AB348">
        <v>4</v>
      </c>
      <c r="AC348">
        <v>1</v>
      </c>
      <c r="AD348">
        <v>2</v>
      </c>
      <c r="AE348" t="str" cm="1">
        <f t="array" ref="AE348">_xlfn.IFS(G348=1,"Before College",G348=2,"College",G348=3,"Bachelor",G348=4,"Master",G348=5,"Doctor")</f>
        <v>Bachelor</v>
      </c>
      <c r="AF348" t="str" cm="1">
        <f t="array" ref="AF348">_xlfn.IFS(J348=1,"Low",J348=2,"Medium",J348=3,"High",J348=4,"Very High")</f>
        <v>Very High</v>
      </c>
      <c r="AG348" t="str" cm="1">
        <f t="array" ref="AG348">_xlfn.IFS(L348=1,"Low",L348=2,"Medium",L348=3,"High",L348=4,"Very High")</f>
        <v>Medium</v>
      </c>
      <c r="AH348" t="str" cm="1">
        <f t="array" ref="AH348">_xlfn.IFS(M348=1,"Junior employee",M348=2,"Mid-level",M348=3,"Senior",M348=4,"Manager",M348=5,"Executive")</f>
        <v>Mid-level</v>
      </c>
      <c r="AI348" t="str" cm="1">
        <f t="array" ref="AI348">_xlfn.IFS(O348=1,"Low",O348=2,"Medium",O348=3,"High",O348=4,"Very High")</f>
        <v>Medium</v>
      </c>
      <c r="AJ348" t="str" cm="1">
        <f t="array" ref="AJ348">_xlfn.IFS(U348=1,"Low",U348=2,"Good",U348=3,"Excellent",U348=4,"Outstanding")</f>
        <v>Excellent</v>
      </c>
      <c r="AK348" t="str" cm="1">
        <f t="array" ref="AK348">_xlfn.IFS(V348=1,"Low",V348=2,"Medium",V348=3,"High",V348=4,"Very High")</f>
        <v>Very High</v>
      </c>
      <c r="AL348" t="str" cm="1">
        <f t="array" ref="AL348">_xlfn.IFS(Z348=1,"Bad",Z348=2,"Good",Z348=3,"Better",Z348=4,"Best")</f>
        <v>Better</v>
      </c>
      <c r="AM348" t="str" cm="1">
        <f t="array" ref="AM348">_xlfn.IFS(W348=0,"No_stock",W348=1,"Low",W348=2,"Medium",W348=3,"High")</f>
        <v>No_stock</v>
      </c>
      <c r="AN348" t="str">
        <f t="shared" si="5"/>
        <v>Medium</v>
      </c>
    </row>
    <row r="349" spans="1:40" x14ac:dyDescent="0.45">
      <c r="A349">
        <v>47</v>
      </c>
      <c r="B349" t="s">
        <v>37</v>
      </c>
      <c r="C349" t="s">
        <v>38</v>
      </c>
      <c r="D349">
        <v>1309</v>
      </c>
      <c r="E349" t="s">
        <v>32</v>
      </c>
      <c r="F349">
        <v>4</v>
      </c>
      <c r="G349">
        <v>1</v>
      </c>
      <c r="H349" t="s">
        <v>45</v>
      </c>
      <c r="I349">
        <v>467</v>
      </c>
      <c r="J349">
        <v>2</v>
      </c>
      <c r="K349" t="s">
        <v>40</v>
      </c>
      <c r="L349">
        <v>3</v>
      </c>
      <c r="M349">
        <v>2</v>
      </c>
      <c r="N349" t="s">
        <v>51</v>
      </c>
      <c r="O349">
        <v>3</v>
      </c>
      <c r="P349" t="s">
        <v>36</v>
      </c>
      <c r="Q349">
        <v>2976</v>
      </c>
      <c r="R349">
        <v>3</v>
      </c>
      <c r="S349" t="s">
        <v>37</v>
      </c>
      <c r="T349">
        <v>19</v>
      </c>
      <c r="U349">
        <v>3</v>
      </c>
      <c r="V349">
        <v>1</v>
      </c>
      <c r="W349">
        <v>0</v>
      </c>
      <c r="X349">
        <v>5</v>
      </c>
      <c r="Y349">
        <v>3</v>
      </c>
      <c r="Z349">
        <v>3</v>
      </c>
      <c r="AA349">
        <v>0</v>
      </c>
      <c r="AB349">
        <v>0</v>
      </c>
      <c r="AC349">
        <v>0</v>
      </c>
      <c r="AD349">
        <v>0</v>
      </c>
      <c r="AE349" t="str" cm="1">
        <f t="array" ref="AE349">_xlfn.IFS(G349=1,"Before College",G349=2,"College",G349=3,"Bachelor",G349=4,"Master",G349=5,"Doctor")</f>
        <v>Before College</v>
      </c>
      <c r="AF349" t="str" cm="1">
        <f t="array" ref="AF349">_xlfn.IFS(J349=1,"Low",J349=2,"Medium",J349=3,"High",J349=4,"Very High")</f>
        <v>Medium</v>
      </c>
      <c r="AG349" t="str" cm="1">
        <f t="array" ref="AG349">_xlfn.IFS(L349=1,"Low",L349=2,"Medium",L349=3,"High",L349=4,"Very High")</f>
        <v>High</v>
      </c>
      <c r="AH349" t="str" cm="1">
        <f t="array" ref="AH349">_xlfn.IFS(M349=1,"Junior employee",M349=2,"Mid-level",M349=3,"Senior",M349=4,"Manager",M349=5,"Executive")</f>
        <v>Mid-level</v>
      </c>
      <c r="AI349" t="str" cm="1">
        <f t="array" ref="AI349">_xlfn.IFS(O349=1,"Low",O349=2,"Medium",O349=3,"High",O349=4,"Very High")</f>
        <v>High</v>
      </c>
      <c r="AJ349" t="str" cm="1">
        <f t="array" ref="AJ349">_xlfn.IFS(U349=1,"Low",U349=2,"Good",U349=3,"Excellent",U349=4,"Outstanding")</f>
        <v>Excellent</v>
      </c>
      <c r="AK349" t="str" cm="1">
        <f t="array" ref="AK349">_xlfn.IFS(V349=1,"Low",V349=2,"Medium",V349=3,"High",V349=4,"Very High")</f>
        <v>Low</v>
      </c>
      <c r="AL349" t="str" cm="1">
        <f t="array" ref="AL349">_xlfn.IFS(Z349=1,"Bad",Z349=2,"Good",Z349=3,"Better",Z349=4,"Best")</f>
        <v>Better</v>
      </c>
      <c r="AM349" t="str" cm="1">
        <f t="array" ref="AM349">_xlfn.IFS(W349=0,"No_stock",W349=1,"Low",W349=2,"Medium",W349=3,"High")</f>
        <v>No_stock</v>
      </c>
      <c r="AN349" t="str">
        <f t="shared" si="5"/>
        <v>Near</v>
      </c>
    </row>
    <row r="350" spans="1:40" x14ac:dyDescent="0.45">
      <c r="A350">
        <v>42</v>
      </c>
      <c r="B350" t="s">
        <v>37</v>
      </c>
      <c r="C350" t="s">
        <v>31</v>
      </c>
      <c r="D350">
        <v>810</v>
      </c>
      <c r="E350" t="s">
        <v>39</v>
      </c>
      <c r="F350">
        <v>23</v>
      </c>
      <c r="G350">
        <v>5</v>
      </c>
      <c r="H350" t="s">
        <v>33</v>
      </c>
      <c r="I350">
        <v>468</v>
      </c>
      <c r="J350">
        <v>1</v>
      </c>
      <c r="K350" t="s">
        <v>34</v>
      </c>
      <c r="L350">
        <v>3</v>
      </c>
      <c r="M350">
        <v>4</v>
      </c>
      <c r="N350" t="s">
        <v>52</v>
      </c>
      <c r="O350">
        <v>4</v>
      </c>
      <c r="P350" t="s">
        <v>36</v>
      </c>
      <c r="Q350">
        <v>15992</v>
      </c>
      <c r="R350">
        <v>2</v>
      </c>
      <c r="S350" t="s">
        <v>37</v>
      </c>
      <c r="T350">
        <v>14</v>
      </c>
      <c r="U350">
        <v>3</v>
      </c>
      <c r="V350">
        <v>2</v>
      </c>
      <c r="W350">
        <v>0</v>
      </c>
      <c r="X350">
        <v>16</v>
      </c>
      <c r="Y350">
        <v>2</v>
      </c>
      <c r="Z350">
        <v>3</v>
      </c>
      <c r="AA350">
        <v>1</v>
      </c>
      <c r="AB350">
        <v>0</v>
      </c>
      <c r="AC350">
        <v>0</v>
      </c>
      <c r="AD350">
        <v>0</v>
      </c>
      <c r="AE350" t="str" cm="1">
        <f t="array" ref="AE350">_xlfn.IFS(G350=1,"Before College",G350=2,"College",G350=3,"Bachelor",G350=4,"Master",G350=5,"Doctor")</f>
        <v>Doctor</v>
      </c>
      <c r="AF350" t="str" cm="1">
        <f t="array" ref="AF350">_xlfn.IFS(J350=1,"Low",J350=2,"Medium",J350=3,"High",J350=4,"Very High")</f>
        <v>Low</v>
      </c>
      <c r="AG350" t="str" cm="1">
        <f t="array" ref="AG350">_xlfn.IFS(L350=1,"Low",L350=2,"Medium",L350=3,"High",L350=4,"Very High")</f>
        <v>High</v>
      </c>
      <c r="AH350" t="str" cm="1">
        <f t="array" ref="AH350">_xlfn.IFS(M350=1,"Junior employee",M350=2,"Mid-level",M350=3,"Senior",M350=4,"Manager",M350=5,"Executive")</f>
        <v>Manager</v>
      </c>
      <c r="AI350" t="str" cm="1">
        <f t="array" ref="AI350">_xlfn.IFS(O350=1,"Low",O350=2,"Medium",O350=3,"High",O350=4,"Very High")</f>
        <v>Very High</v>
      </c>
      <c r="AJ350" t="str" cm="1">
        <f t="array" ref="AJ350">_xlfn.IFS(U350=1,"Low",U350=2,"Good",U350=3,"Excellent",U350=4,"Outstanding")</f>
        <v>Excellent</v>
      </c>
      <c r="AK350" t="str" cm="1">
        <f t="array" ref="AK350">_xlfn.IFS(V350=1,"Low",V350=2,"Medium",V350=3,"High",V350=4,"Very High")</f>
        <v>Medium</v>
      </c>
      <c r="AL350" t="str" cm="1">
        <f t="array" ref="AL350">_xlfn.IFS(Z350=1,"Bad",Z350=2,"Good",Z350=3,"Better",Z350=4,"Best")</f>
        <v>Better</v>
      </c>
      <c r="AM350" t="str" cm="1">
        <f t="array" ref="AM350">_xlfn.IFS(W350=0,"No_stock",W350=1,"Low",W350=2,"Medium",W350=3,"High")</f>
        <v>No_stock</v>
      </c>
      <c r="AN350" t="str">
        <f t="shared" si="5"/>
        <v>Far</v>
      </c>
    </row>
    <row r="351" spans="1:40" x14ac:dyDescent="0.45">
      <c r="A351">
        <v>29</v>
      </c>
      <c r="B351" t="s">
        <v>37</v>
      </c>
      <c r="C351" t="s">
        <v>49</v>
      </c>
      <c r="D351">
        <v>746</v>
      </c>
      <c r="E351" t="s">
        <v>32</v>
      </c>
      <c r="F351">
        <v>2</v>
      </c>
      <c r="G351">
        <v>3</v>
      </c>
      <c r="H351" t="s">
        <v>33</v>
      </c>
      <c r="I351">
        <v>469</v>
      </c>
      <c r="J351">
        <v>4</v>
      </c>
      <c r="K351" t="s">
        <v>40</v>
      </c>
      <c r="L351">
        <v>3</v>
      </c>
      <c r="M351">
        <v>2</v>
      </c>
      <c r="N351" t="s">
        <v>35</v>
      </c>
      <c r="O351">
        <v>3</v>
      </c>
      <c r="P351" t="s">
        <v>42</v>
      </c>
      <c r="Q351">
        <v>4649</v>
      </c>
      <c r="R351">
        <v>1</v>
      </c>
      <c r="S351" t="s">
        <v>37</v>
      </c>
      <c r="T351">
        <v>14</v>
      </c>
      <c r="U351">
        <v>3</v>
      </c>
      <c r="V351">
        <v>1</v>
      </c>
      <c r="W351">
        <v>1</v>
      </c>
      <c r="X351">
        <v>4</v>
      </c>
      <c r="Y351">
        <v>3</v>
      </c>
      <c r="Z351">
        <v>2</v>
      </c>
      <c r="AA351">
        <v>4</v>
      </c>
      <c r="AB351">
        <v>3</v>
      </c>
      <c r="AC351">
        <v>0</v>
      </c>
      <c r="AD351">
        <v>2</v>
      </c>
      <c r="AE351" t="str" cm="1">
        <f t="array" ref="AE351">_xlfn.IFS(G351=1,"Before College",G351=2,"College",G351=3,"Bachelor",G351=4,"Master",G351=5,"Doctor")</f>
        <v>Bachelor</v>
      </c>
      <c r="AF351" t="str" cm="1">
        <f t="array" ref="AF351">_xlfn.IFS(J351=1,"Low",J351=2,"Medium",J351=3,"High",J351=4,"Very High")</f>
        <v>Very High</v>
      </c>
      <c r="AG351" t="str" cm="1">
        <f t="array" ref="AG351">_xlfn.IFS(L351=1,"Low",L351=2,"Medium",L351=3,"High",L351=4,"Very High")</f>
        <v>High</v>
      </c>
      <c r="AH351" t="str" cm="1">
        <f t="array" ref="AH351">_xlfn.IFS(M351=1,"Junior employee",M351=2,"Mid-level",M351=3,"Senior",M351=4,"Manager",M351=5,"Executive")</f>
        <v>Mid-level</v>
      </c>
      <c r="AI351" t="str" cm="1">
        <f t="array" ref="AI351">_xlfn.IFS(O351=1,"Low",O351=2,"Medium",O351=3,"High",O351=4,"Very High")</f>
        <v>High</v>
      </c>
      <c r="AJ351" t="str" cm="1">
        <f t="array" ref="AJ351">_xlfn.IFS(U351=1,"Low",U351=2,"Good",U351=3,"Excellent",U351=4,"Outstanding")</f>
        <v>Excellent</v>
      </c>
      <c r="AK351" t="str" cm="1">
        <f t="array" ref="AK351">_xlfn.IFS(V351=1,"Low",V351=2,"Medium",V351=3,"High",V351=4,"Very High")</f>
        <v>Low</v>
      </c>
      <c r="AL351" t="str" cm="1">
        <f t="array" ref="AL351">_xlfn.IFS(Z351=1,"Bad",Z351=2,"Good",Z351=3,"Better",Z351=4,"Best")</f>
        <v>Good</v>
      </c>
      <c r="AM351" t="str" cm="1">
        <f t="array" ref="AM351">_xlfn.IFS(W351=0,"No_stock",W351=1,"Low",W351=2,"Medium",W351=3,"High")</f>
        <v>Low</v>
      </c>
      <c r="AN351" t="str">
        <f t="shared" si="5"/>
        <v>Near</v>
      </c>
    </row>
    <row r="352" spans="1:40" x14ac:dyDescent="0.45">
      <c r="A352">
        <v>42</v>
      </c>
      <c r="B352" t="s">
        <v>37</v>
      </c>
      <c r="C352" t="s">
        <v>31</v>
      </c>
      <c r="D352">
        <v>544</v>
      </c>
      <c r="E352" t="s">
        <v>55</v>
      </c>
      <c r="F352">
        <v>2</v>
      </c>
      <c r="G352">
        <v>1</v>
      </c>
      <c r="H352" t="s">
        <v>54</v>
      </c>
      <c r="I352">
        <v>470</v>
      </c>
      <c r="J352">
        <v>3</v>
      </c>
      <c r="K352" t="s">
        <v>40</v>
      </c>
      <c r="L352">
        <v>3</v>
      </c>
      <c r="M352">
        <v>1</v>
      </c>
      <c r="N352" t="s">
        <v>55</v>
      </c>
      <c r="O352">
        <v>3</v>
      </c>
      <c r="P352" t="s">
        <v>46</v>
      </c>
      <c r="Q352">
        <v>2696</v>
      </c>
      <c r="R352">
        <v>0</v>
      </c>
      <c r="S352" t="s">
        <v>30</v>
      </c>
      <c r="T352">
        <v>11</v>
      </c>
      <c r="U352">
        <v>3</v>
      </c>
      <c r="V352">
        <v>3</v>
      </c>
      <c r="W352">
        <v>1</v>
      </c>
      <c r="X352">
        <v>4</v>
      </c>
      <c r="Y352">
        <v>5</v>
      </c>
      <c r="Z352">
        <v>3</v>
      </c>
      <c r="AA352">
        <v>3</v>
      </c>
      <c r="AB352">
        <v>2</v>
      </c>
      <c r="AC352">
        <v>1</v>
      </c>
      <c r="AD352">
        <v>0</v>
      </c>
      <c r="AE352" t="str" cm="1">
        <f t="array" ref="AE352">_xlfn.IFS(G352=1,"Before College",G352=2,"College",G352=3,"Bachelor",G352=4,"Master",G352=5,"Doctor")</f>
        <v>Before College</v>
      </c>
      <c r="AF352" t="str" cm="1">
        <f t="array" ref="AF352">_xlfn.IFS(J352=1,"Low",J352=2,"Medium",J352=3,"High",J352=4,"Very High")</f>
        <v>High</v>
      </c>
      <c r="AG352" t="str" cm="1">
        <f t="array" ref="AG352">_xlfn.IFS(L352=1,"Low",L352=2,"Medium",L352=3,"High",L352=4,"Very High")</f>
        <v>High</v>
      </c>
      <c r="AH352" t="str" cm="1">
        <f t="array" ref="AH352">_xlfn.IFS(M352=1,"Junior employee",M352=2,"Mid-level",M352=3,"Senior",M352=4,"Manager",M352=5,"Executive")</f>
        <v>Junior employee</v>
      </c>
      <c r="AI352" t="str" cm="1">
        <f t="array" ref="AI352">_xlfn.IFS(O352=1,"Low",O352=2,"Medium",O352=3,"High",O352=4,"Very High")</f>
        <v>High</v>
      </c>
      <c r="AJ352" t="str" cm="1">
        <f t="array" ref="AJ352">_xlfn.IFS(U352=1,"Low",U352=2,"Good",U352=3,"Excellent",U352=4,"Outstanding")</f>
        <v>Excellent</v>
      </c>
      <c r="AK352" t="str" cm="1">
        <f t="array" ref="AK352">_xlfn.IFS(V352=1,"Low",V352=2,"Medium",V352=3,"High",V352=4,"Very High")</f>
        <v>High</v>
      </c>
      <c r="AL352" t="str" cm="1">
        <f t="array" ref="AL352">_xlfn.IFS(Z352=1,"Bad",Z352=2,"Good",Z352=3,"Better",Z352=4,"Best")</f>
        <v>Better</v>
      </c>
      <c r="AM352" t="str" cm="1">
        <f t="array" ref="AM352">_xlfn.IFS(W352=0,"No_stock",W352=1,"Low",W352=2,"Medium",W352=3,"High")</f>
        <v>Low</v>
      </c>
      <c r="AN352" t="str">
        <f t="shared" si="5"/>
        <v>Near</v>
      </c>
    </row>
    <row r="353" spans="1:40" x14ac:dyDescent="0.45">
      <c r="A353">
        <v>32</v>
      </c>
      <c r="B353" t="s">
        <v>37</v>
      </c>
      <c r="C353" t="s">
        <v>31</v>
      </c>
      <c r="D353">
        <v>1062</v>
      </c>
      <c r="E353" t="s">
        <v>39</v>
      </c>
      <c r="F353">
        <v>2</v>
      </c>
      <c r="G353">
        <v>3</v>
      </c>
      <c r="H353" t="s">
        <v>45</v>
      </c>
      <c r="I353">
        <v>471</v>
      </c>
      <c r="J353">
        <v>3</v>
      </c>
      <c r="K353" t="s">
        <v>34</v>
      </c>
      <c r="L353">
        <v>3</v>
      </c>
      <c r="M353">
        <v>1</v>
      </c>
      <c r="N353" t="s">
        <v>44</v>
      </c>
      <c r="O353">
        <v>2</v>
      </c>
      <c r="P353" t="s">
        <v>42</v>
      </c>
      <c r="Q353">
        <v>2370</v>
      </c>
      <c r="R353">
        <v>1</v>
      </c>
      <c r="S353" t="s">
        <v>37</v>
      </c>
      <c r="T353">
        <v>13</v>
      </c>
      <c r="U353">
        <v>3</v>
      </c>
      <c r="V353">
        <v>3</v>
      </c>
      <c r="W353">
        <v>1</v>
      </c>
      <c r="X353">
        <v>8</v>
      </c>
      <c r="Y353">
        <v>4</v>
      </c>
      <c r="Z353">
        <v>3</v>
      </c>
      <c r="AA353">
        <v>8</v>
      </c>
      <c r="AB353">
        <v>0</v>
      </c>
      <c r="AC353">
        <v>0</v>
      </c>
      <c r="AD353">
        <v>7</v>
      </c>
      <c r="AE353" t="str" cm="1">
        <f t="array" ref="AE353">_xlfn.IFS(G353=1,"Before College",G353=2,"College",G353=3,"Bachelor",G353=4,"Master",G353=5,"Doctor")</f>
        <v>Bachelor</v>
      </c>
      <c r="AF353" t="str" cm="1">
        <f t="array" ref="AF353">_xlfn.IFS(J353=1,"Low",J353=2,"Medium",J353=3,"High",J353=4,"Very High")</f>
        <v>High</v>
      </c>
      <c r="AG353" t="str" cm="1">
        <f t="array" ref="AG353">_xlfn.IFS(L353=1,"Low",L353=2,"Medium",L353=3,"High",L353=4,"Very High")</f>
        <v>High</v>
      </c>
      <c r="AH353" t="str" cm="1">
        <f t="array" ref="AH353">_xlfn.IFS(M353=1,"Junior employee",M353=2,"Mid-level",M353=3,"Senior",M353=4,"Manager",M353=5,"Executive")</f>
        <v>Junior employee</v>
      </c>
      <c r="AI353" t="str" cm="1">
        <f t="array" ref="AI353">_xlfn.IFS(O353=1,"Low",O353=2,"Medium",O353=3,"High",O353=4,"Very High")</f>
        <v>Medium</v>
      </c>
      <c r="AJ353" t="str" cm="1">
        <f t="array" ref="AJ353">_xlfn.IFS(U353=1,"Low",U353=2,"Good",U353=3,"Excellent",U353=4,"Outstanding")</f>
        <v>Excellent</v>
      </c>
      <c r="AK353" t="str" cm="1">
        <f t="array" ref="AK353">_xlfn.IFS(V353=1,"Low",V353=2,"Medium",V353=3,"High",V353=4,"Very High")</f>
        <v>High</v>
      </c>
      <c r="AL353" t="str" cm="1">
        <f t="array" ref="AL353">_xlfn.IFS(Z353=1,"Bad",Z353=2,"Good",Z353=3,"Better",Z353=4,"Best")</f>
        <v>Better</v>
      </c>
      <c r="AM353" t="str" cm="1">
        <f t="array" ref="AM353">_xlfn.IFS(W353=0,"No_stock",W353=1,"Low",W353=2,"Medium",W353=3,"High")</f>
        <v>Low</v>
      </c>
      <c r="AN353" t="str">
        <f t="shared" si="5"/>
        <v>Near</v>
      </c>
    </row>
    <row r="354" spans="1:40" x14ac:dyDescent="0.45">
      <c r="A354">
        <v>48</v>
      </c>
      <c r="B354" t="s">
        <v>37</v>
      </c>
      <c r="C354" t="s">
        <v>31</v>
      </c>
      <c r="D354">
        <v>530</v>
      </c>
      <c r="E354" t="s">
        <v>32</v>
      </c>
      <c r="F354">
        <v>29</v>
      </c>
      <c r="G354">
        <v>1</v>
      </c>
      <c r="H354" t="s">
        <v>45</v>
      </c>
      <c r="I354">
        <v>473</v>
      </c>
      <c r="J354">
        <v>1</v>
      </c>
      <c r="K354" t="s">
        <v>34</v>
      </c>
      <c r="L354">
        <v>3</v>
      </c>
      <c r="M354">
        <v>3</v>
      </c>
      <c r="N354" t="s">
        <v>50</v>
      </c>
      <c r="O354">
        <v>3</v>
      </c>
      <c r="P354" t="s">
        <v>42</v>
      </c>
      <c r="Q354">
        <v>12504</v>
      </c>
      <c r="R354">
        <v>3</v>
      </c>
      <c r="S354" t="s">
        <v>37</v>
      </c>
      <c r="T354">
        <v>21</v>
      </c>
      <c r="U354">
        <v>4</v>
      </c>
      <c r="V354">
        <v>2</v>
      </c>
      <c r="W354">
        <v>1</v>
      </c>
      <c r="X354">
        <v>15</v>
      </c>
      <c r="Y354">
        <v>3</v>
      </c>
      <c r="Z354">
        <v>1</v>
      </c>
      <c r="AA354">
        <v>0</v>
      </c>
      <c r="AB354">
        <v>0</v>
      </c>
      <c r="AC354">
        <v>0</v>
      </c>
      <c r="AD354">
        <v>0</v>
      </c>
      <c r="AE354" t="str" cm="1">
        <f t="array" ref="AE354">_xlfn.IFS(G354=1,"Before College",G354=2,"College",G354=3,"Bachelor",G354=4,"Master",G354=5,"Doctor")</f>
        <v>Before College</v>
      </c>
      <c r="AF354" t="str" cm="1">
        <f t="array" ref="AF354">_xlfn.IFS(J354=1,"Low",J354=2,"Medium",J354=3,"High",J354=4,"Very High")</f>
        <v>Low</v>
      </c>
      <c r="AG354" t="str" cm="1">
        <f t="array" ref="AG354">_xlfn.IFS(L354=1,"Low",L354=2,"Medium",L354=3,"High",L354=4,"Very High")</f>
        <v>High</v>
      </c>
      <c r="AH354" t="str" cm="1">
        <f t="array" ref="AH354">_xlfn.IFS(M354=1,"Junior employee",M354=2,"Mid-level",M354=3,"Senior",M354=4,"Manager",M354=5,"Executive")</f>
        <v>Senior</v>
      </c>
      <c r="AI354" t="str" cm="1">
        <f t="array" ref="AI354">_xlfn.IFS(O354=1,"Low",O354=2,"Medium",O354=3,"High",O354=4,"Very High")</f>
        <v>High</v>
      </c>
      <c r="AJ354" t="str" cm="1">
        <f t="array" ref="AJ354">_xlfn.IFS(U354=1,"Low",U354=2,"Good",U354=3,"Excellent",U354=4,"Outstanding")</f>
        <v>Outstanding</v>
      </c>
      <c r="AK354" t="str" cm="1">
        <f t="array" ref="AK354">_xlfn.IFS(V354=1,"Low",V354=2,"Medium",V354=3,"High",V354=4,"Very High")</f>
        <v>Medium</v>
      </c>
      <c r="AL354" t="str" cm="1">
        <f t="array" ref="AL354">_xlfn.IFS(Z354=1,"Bad",Z354=2,"Good",Z354=3,"Better",Z354=4,"Best")</f>
        <v>Bad</v>
      </c>
      <c r="AM354" t="str" cm="1">
        <f t="array" ref="AM354">_xlfn.IFS(W354=0,"No_stock",W354=1,"Low",W354=2,"Medium",W354=3,"High")</f>
        <v>Low</v>
      </c>
      <c r="AN354" t="str">
        <f t="shared" si="5"/>
        <v>Far</v>
      </c>
    </row>
    <row r="355" spans="1:40" x14ac:dyDescent="0.45">
      <c r="A355">
        <v>37</v>
      </c>
      <c r="B355" t="s">
        <v>37</v>
      </c>
      <c r="C355" t="s">
        <v>31</v>
      </c>
      <c r="D355">
        <v>1319</v>
      </c>
      <c r="E355" t="s">
        <v>39</v>
      </c>
      <c r="F355">
        <v>6</v>
      </c>
      <c r="G355">
        <v>3</v>
      </c>
      <c r="H355" t="s">
        <v>45</v>
      </c>
      <c r="I355">
        <v>474</v>
      </c>
      <c r="J355">
        <v>3</v>
      </c>
      <c r="K355" t="s">
        <v>40</v>
      </c>
      <c r="L355">
        <v>4</v>
      </c>
      <c r="M355">
        <v>2</v>
      </c>
      <c r="N355" t="s">
        <v>41</v>
      </c>
      <c r="O355">
        <v>1</v>
      </c>
      <c r="P355" t="s">
        <v>46</v>
      </c>
      <c r="Q355">
        <v>5974</v>
      </c>
      <c r="R355">
        <v>4</v>
      </c>
      <c r="S355" t="s">
        <v>30</v>
      </c>
      <c r="T355">
        <v>13</v>
      </c>
      <c r="U355">
        <v>3</v>
      </c>
      <c r="V355">
        <v>1</v>
      </c>
      <c r="W355">
        <v>2</v>
      </c>
      <c r="X355">
        <v>13</v>
      </c>
      <c r="Y355">
        <v>2</v>
      </c>
      <c r="Z355">
        <v>3</v>
      </c>
      <c r="AA355">
        <v>7</v>
      </c>
      <c r="AB355">
        <v>7</v>
      </c>
      <c r="AC355">
        <v>6</v>
      </c>
      <c r="AD355">
        <v>7</v>
      </c>
      <c r="AE355" t="str" cm="1">
        <f t="array" ref="AE355">_xlfn.IFS(G355=1,"Before College",G355=2,"College",G355=3,"Bachelor",G355=4,"Master",G355=5,"Doctor")</f>
        <v>Bachelor</v>
      </c>
      <c r="AF355" t="str" cm="1">
        <f t="array" ref="AF355">_xlfn.IFS(J355=1,"Low",J355=2,"Medium",J355=3,"High",J355=4,"Very High")</f>
        <v>High</v>
      </c>
      <c r="AG355" t="str" cm="1">
        <f t="array" ref="AG355">_xlfn.IFS(L355=1,"Low",L355=2,"Medium",L355=3,"High",L355=4,"Very High")</f>
        <v>Very High</v>
      </c>
      <c r="AH355" t="str" cm="1">
        <f t="array" ref="AH355">_xlfn.IFS(M355=1,"Junior employee",M355=2,"Mid-level",M355=3,"Senior",M355=4,"Manager",M355=5,"Executive")</f>
        <v>Mid-level</v>
      </c>
      <c r="AI355" t="str" cm="1">
        <f t="array" ref="AI355">_xlfn.IFS(O355=1,"Low",O355=2,"Medium",O355=3,"High",O355=4,"Very High")</f>
        <v>Low</v>
      </c>
      <c r="AJ355" t="str" cm="1">
        <f t="array" ref="AJ355">_xlfn.IFS(U355=1,"Low",U355=2,"Good",U355=3,"Excellent",U355=4,"Outstanding")</f>
        <v>Excellent</v>
      </c>
      <c r="AK355" t="str" cm="1">
        <f t="array" ref="AK355">_xlfn.IFS(V355=1,"Low",V355=2,"Medium",V355=3,"High",V355=4,"Very High")</f>
        <v>Low</v>
      </c>
      <c r="AL355" t="str" cm="1">
        <f t="array" ref="AL355">_xlfn.IFS(Z355=1,"Bad",Z355=2,"Good",Z355=3,"Better",Z355=4,"Best")</f>
        <v>Better</v>
      </c>
      <c r="AM355" t="str" cm="1">
        <f t="array" ref="AM355">_xlfn.IFS(W355=0,"No_stock",W355=1,"Low",W355=2,"Medium",W355=3,"High")</f>
        <v>Medium</v>
      </c>
      <c r="AN355" t="str">
        <f t="shared" si="5"/>
        <v>Medium</v>
      </c>
    </row>
    <row r="356" spans="1:40" x14ac:dyDescent="0.45">
      <c r="A356">
        <v>30</v>
      </c>
      <c r="B356" t="s">
        <v>37</v>
      </c>
      <c r="C356" t="s">
        <v>49</v>
      </c>
      <c r="D356">
        <v>641</v>
      </c>
      <c r="E356" t="s">
        <v>32</v>
      </c>
      <c r="F356">
        <v>25</v>
      </c>
      <c r="G356">
        <v>2</v>
      </c>
      <c r="H356" t="s">
        <v>54</v>
      </c>
      <c r="I356">
        <v>475</v>
      </c>
      <c r="J356">
        <v>4</v>
      </c>
      <c r="K356" t="s">
        <v>34</v>
      </c>
      <c r="L356">
        <v>3</v>
      </c>
      <c r="M356">
        <v>2</v>
      </c>
      <c r="N356" t="s">
        <v>35</v>
      </c>
      <c r="O356">
        <v>3</v>
      </c>
      <c r="P356" t="s">
        <v>42</v>
      </c>
      <c r="Q356">
        <v>4736</v>
      </c>
      <c r="R356">
        <v>7</v>
      </c>
      <c r="S356" t="s">
        <v>30</v>
      </c>
      <c r="T356">
        <v>12</v>
      </c>
      <c r="U356">
        <v>3</v>
      </c>
      <c r="V356">
        <v>2</v>
      </c>
      <c r="W356">
        <v>1</v>
      </c>
      <c r="X356">
        <v>4</v>
      </c>
      <c r="Y356">
        <v>2</v>
      </c>
      <c r="Z356">
        <v>4</v>
      </c>
      <c r="AA356">
        <v>2</v>
      </c>
      <c r="AB356">
        <v>2</v>
      </c>
      <c r="AC356">
        <v>2</v>
      </c>
      <c r="AD356">
        <v>2</v>
      </c>
      <c r="AE356" t="str" cm="1">
        <f t="array" ref="AE356">_xlfn.IFS(G356=1,"Before College",G356=2,"College",G356=3,"Bachelor",G356=4,"Master",G356=5,"Doctor")</f>
        <v>College</v>
      </c>
      <c r="AF356" t="str" cm="1">
        <f t="array" ref="AF356">_xlfn.IFS(J356=1,"Low",J356=2,"Medium",J356=3,"High",J356=4,"Very High")</f>
        <v>Very High</v>
      </c>
      <c r="AG356" t="str" cm="1">
        <f t="array" ref="AG356">_xlfn.IFS(L356=1,"Low",L356=2,"Medium",L356=3,"High",L356=4,"Very High")</f>
        <v>High</v>
      </c>
      <c r="AH356" t="str" cm="1">
        <f t="array" ref="AH356">_xlfn.IFS(M356=1,"Junior employee",M356=2,"Mid-level",M356=3,"Senior",M356=4,"Manager",M356=5,"Executive")</f>
        <v>Mid-level</v>
      </c>
      <c r="AI356" t="str" cm="1">
        <f t="array" ref="AI356">_xlfn.IFS(O356=1,"Low",O356=2,"Medium",O356=3,"High",O356=4,"Very High")</f>
        <v>High</v>
      </c>
      <c r="AJ356" t="str" cm="1">
        <f t="array" ref="AJ356">_xlfn.IFS(U356=1,"Low",U356=2,"Good",U356=3,"Excellent",U356=4,"Outstanding")</f>
        <v>Excellent</v>
      </c>
      <c r="AK356" t="str" cm="1">
        <f t="array" ref="AK356">_xlfn.IFS(V356=1,"Low",V356=2,"Medium",V356=3,"High",V356=4,"Very High")</f>
        <v>Medium</v>
      </c>
      <c r="AL356" t="str" cm="1">
        <f t="array" ref="AL356">_xlfn.IFS(Z356=1,"Bad",Z356=2,"Good",Z356=3,"Better",Z356=4,"Best")</f>
        <v>Best</v>
      </c>
      <c r="AM356" t="str" cm="1">
        <f t="array" ref="AM356">_xlfn.IFS(W356=0,"No_stock",W356=1,"Low",W356=2,"Medium",W356=3,"High")</f>
        <v>Low</v>
      </c>
      <c r="AN356" t="str">
        <f t="shared" si="5"/>
        <v>Far</v>
      </c>
    </row>
    <row r="357" spans="1:40" x14ac:dyDescent="0.45">
      <c r="A357">
        <v>26</v>
      </c>
      <c r="B357" t="s">
        <v>37</v>
      </c>
      <c r="C357" t="s">
        <v>31</v>
      </c>
      <c r="D357">
        <v>933</v>
      </c>
      <c r="E357" t="s">
        <v>32</v>
      </c>
      <c r="F357">
        <v>1</v>
      </c>
      <c r="G357">
        <v>3</v>
      </c>
      <c r="H357" t="s">
        <v>33</v>
      </c>
      <c r="I357">
        <v>476</v>
      </c>
      <c r="J357">
        <v>3</v>
      </c>
      <c r="K357" t="s">
        <v>40</v>
      </c>
      <c r="L357">
        <v>3</v>
      </c>
      <c r="M357">
        <v>2</v>
      </c>
      <c r="N357" t="s">
        <v>35</v>
      </c>
      <c r="O357">
        <v>3</v>
      </c>
      <c r="P357" t="s">
        <v>42</v>
      </c>
      <c r="Q357">
        <v>5296</v>
      </c>
      <c r="R357">
        <v>1</v>
      </c>
      <c r="S357" t="s">
        <v>37</v>
      </c>
      <c r="T357">
        <v>17</v>
      </c>
      <c r="U357">
        <v>3</v>
      </c>
      <c r="V357">
        <v>2</v>
      </c>
      <c r="W357">
        <v>1</v>
      </c>
      <c r="X357">
        <v>8</v>
      </c>
      <c r="Y357">
        <v>3</v>
      </c>
      <c r="Z357">
        <v>3</v>
      </c>
      <c r="AA357">
        <v>8</v>
      </c>
      <c r="AB357">
        <v>7</v>
      </c>
      <c r="AC357">
        <v>7</v>
      </c>
      <c r="AD357">
        <v>7</v>
      </c>
      <c r="AE357" t="str" cm="1">
        <f t="array" ref="AE357">_xlfn.IFS(G357=1,"Before College",G357=2,"College",G357=3,"Bachelor",G357=4,"Master",G357=5,"Doctor")</f>
        <v>Bachelor</v>
      </c>
      <c r="AF357" t="str" cm="1">
        <f t="array" ref="AF357">_xlfn.IFS(J357=1,"Low",J357=2,"Medium",J357=3,"High",J357=4,"Very High")</f>
        <v>High</v>
      </c>
      <c r="AG357" t="str" cm="1">
        <f t="array" ref="AG357">_xlfn.IFS(L357=1,"Low",L357=2,"Medium",L357=3,"High",L357=4,"Very High")</f>
        <v>High</v>
      </c>
      <c r="AH357" t="str" cm="1">
        <f t="array" ref="AH357">_xlfn.IFS(M357=1,"Junior employee",M357=2,"Mid-level",M357=3,"Senior",M357=4,"Manager",M357=5,"Executive")</f>
        <v>Mid-level</v>
      </c>
      <c r="AI357" t="str" cm="1">
        <f t="array" ref="AI357">_xlfn.IFS(O357=1,"Low",O357=2,"Medium",O357=3,"High",O357=4,"Very High")</f>
        <v>High</v>
      </c>
      <c r="AJ357" t="str" cm="1">
        <f t="array" ref="AJ357">_xlfn.IFS(U357=1,"Low",U357=2,"Good",U357=3,"Excellent",U357=4,"Outstanding")</f>
        <v>Excellent</v>
      </c>
      <c r="AK357" t="str" cm="1">
        <f t="array" ref="AK357">_xlfn.IFS(V357=1,"Low",V357=2,"Medium",V357=3,"High",V357=4,"Very High")</f>
        <v>Medium</v>
      </c>
      <c r="AL357" t="str" cm="1">
        <f t="array" ref="AL357">_xlfn.IFS(Z357=1,"Bad",Z357=2,"Good",Z357=3,"Better",Z357=4,"Best")</f>
        <v>Better</v>
      </c>
      <c r="AM357" t="str" cm="1">
        <f t="array" ref="AM357">_xlfn.IFS(W357=0,"No_stock",W357=1,"Low",W357=2,"Medium",W357=3,"High")</f>
        <v>Low</v>
      </c>
      <c r="AN357" t="str">
        <f t="shared" si="5"/>
        <v>Near</v>
      </c>
    </row>
    <row r="358" spans="1:40" x14ac:dyDescent="0.45">
      <c r="A358">
        <v>42</v>
      </c>
      <c r="B358" t="s">
        <v>37</v>
      </c>
      <c r="C358" t="s">
        <v>31</v>
      </c>
      <c r="D358">
        <v>1332</v>
      </c>
      <c r="E358" t="s">
        <v>39</v>
      </c>
      <c r="F358">
        <v>2</v>
      </c>
      <c r="G358">
        <v>4</v>
      </c>
      <c r="H358" t="s">
        <v>43</v>
      </c>
      <c r="I358">
        <v>477</v>
      </c>
      <c r="J358">
        <v>1</v>
      </c>
      <c r="K358" t="s">
        <v>40</v>
      </c>
      <c r="L358">
        <v>2</v>
      </c>
      <c r="M358">
        <v>2</v>
      </c>
      <c r="N358" t="s">
        <v>48</v>
      </c>
      <c r="O358">
        <v>4</v>
      </c>
      <c r="P358" t="s">
        <v>36</v>
      </c>
      <c r="Q358">
        <v>6781</v>
      </c>
      <c r="R358">
        <v>3</v>
      </c>
      <c r="S358" t="s">
        <v>37</v>
      </c>
      <c r="T358">
        <v>23</v>
      </c>
      <c r="U358">
        <v>4</v>
      </c>
      <c r="V358">
        <v>2</v>
      </c>
      <c r="W358">
        <v>0</v>
      </c>
      <c r="X358">
        <v>14</v>
      </c>
      <c r="Y358">
        <v>6</v>
      </c>
      <c r="Z358">
        <v>3</v>
      </c>
      <c r="AA358">
        <v>1</v>
      </c>
      <c r="AB358">
        <v>0</v>
      </c>
      <c r="AC358">
        <v>0</v>
      </c>
      <c r="AD358">
        <v>0</v>
      </c>
      <c r="AE358" t="str" cm="1">
        <f t="array" ref="AE358">_xlfn.IFS(G358=1,"Before College",G358=2,"College",G358=3,"Bachelor",G358=4,"Master",G358=5,"Doctor")</f>
        <v>Master</v>
      </c>
      <c r="AF358" t="str" cm="1">
        <f t="array" ref="AF358">_xlfn.IFS(J358=1,"Low",J358=2,"Medium",J358=3,"High",J358=4,"Very High")</f>
        <v>Low</v>
      </c>
      <c r="AG358" t="str" cm="1">
        <f t="array" ref="AG358">_xlfn.IFS(L358=1,"Low",L358=2,"Medium",L358=3,"High",L358=4,"Very High")</f>
        <v>Medium</v>
      </c>
      <c r="AH358" t="str" cm="1">
        <f t="array" ref="AH358">_xlfn.IFS(M358=1,"Junior employee",M358=2,"Mid-level",M358=3,"Senior",M358=4,"Manager",M358=5,"Executive")</f>
        <v>Mid-level</v>
      </c>
      <c r="AI358" t="str" cm="1">
        <f t="array" ref="AI358">_xlfn.IFS(O358=1,"Low",O358=2,"Medium",O358=3,"High",O358=4,"Very High")</f>
        <v>Very High</v>
      </c>
      <c r="AJ358" t="str" cm="1">
        <f t="array" ref="AJ358">_xlfn.IFS(U358=1,"Low",U358=2,"Good",U358=3,"Excellent",U358=4,"Outstanding")</f>
        <v>Outstanding</v>
      </c>
      <c r="AK358" t="str" cm="1">
        <f t="array" ref="AK358">_xlfn.IFS(V358=1,"Low",V358=2,"Medium",V358=3,"High",V358=4,"Very High")</f>
        <v>Medium</v>
      </c>
      <c r="AL358" t="str" cm="1">
        <f t="array" ref="AL358">_xlfn.IFS(Z358=1,"Bad",Z358=2,"Good",Z358=3,"Better",Z358=4,"Best")</f>
        <v>Better</v>
      </c>
      <c r="AM358" t="str" cm="1">
        <f t="array" ref="AM358">_xlfn.IFS(W358=0,"No_stock",W358=1,"Low",W358=2,"Medium",W358=3,"High")</f>
        <v>No_stock</v>
      </c>
      <c r="AN358" t="str">
        <f t="shared" si="5"/>
        <v>Near</v>
      </c>
    </row>
    <row r="359" spans="1:40" x14ac:dyDescent="0.45">
      <c r="A359">
        <v>21</v>
      </c>
      <c r="B359" t="s">
        <v>30</v>
      </c>
      <c r="C359" t="s">
        <v>38</v>
      </c>
      <c r="D359">
        <v>756</v>
      </c>
      <c r="E359" t="s">
        <v>32</v>
      </c>
      <c r="F359">
        <v>1</v>
      </c>
      <c r="G359">
        <v>1</v>
      </c>
      <c r="H359" t="s">
        <v>54</v>
      </c>
      <c r="I359">
        <v>478</v>
      </c>
      <c r="J359">
        <v>1</v>
      </c>
      <c r="K359" t="s">
        <v>34</v>
      </c>
      <c r="L359">
        <v>2</v>
      </c>
      <c r="M359">
        <v>1</v>
      </c>
      <c r="N359" t="s">
        <v>51</v>
      </c>
      <c r="O359">
        <v>2</v>
      </c>
      <c r="P359" t="s">
        <v>36</v>
      </c>
      <c r="Q359">
        <v>2174</v>
      </c>
      <c r="R359">
        <v>1</v>
      </c>
      <c r="S359" t="s">
        <v>30</v>
      </c>
      <c r="T359">
        <v>11</v>
      </c>
      <c r="U359">
        <v>3</v>
      </c>
      <c r="V359">
        <v>3</v>
      </c>
      <c r="W359">
        <v>0</v>
      </c>
      <c r="X359">
        <v>3</v>
      </c>
      <c r="Y359">
        <v>3</v>
      </c>
      <c r="Z359">
        <v>3</v>
      </c>
      <c r="AA359">
        <v>3</v>
      </c>
      <c r="AB359">
        <v>2</v>
      </c>
      <c r="AC359">
        <v>1</v>
      </c>
      <c r="AD359">
        <v>2</v>
      </c>
      <c r="AE359" t="str" cm="1">
        <f t="array" ref="AE359">_xlfn.IFS(G359=1,"Before College",G359=2,"College",G359=3,"Bachelor",G359=4,"Master",G359=5,"Doctor")</f>
        <v>Before College</v>
      </c>
      <c r="AF359" t="str" cm="1">
        <f t="array" ref="AF359">_xlfn.IFS(J359=1,"Low",J359=2,"Medium",J359=3,"High",J359=4,"Very High")</f>
        <v>Low</v>
      </c>
      <c r="AG359" t="str" cm="1">
        <f t="array" ref="AG359">_xlfn.IFS(L359=1,"Low",L359=2,"Medium",L359=3,"High",L359=4,"Very High")</f>
        <v>Medium</v>
      </c>
      <c r="AH359" t="str" cm="1">
        <f t="array" ref="AH359">_xlfn.IFS(M359=1,"Junior employee",M359=2,"Mid-level",M359=3,"Senior",M359=4,"Manager",M359=5,"Executive")</f>
        <v>Junior employee</v>
      </c>
      <c r="AI359" t="str" cm="1">
        <f t="array" ref="AI359">_xlfn.IFS(O359=1,"Low",O359=2,"Medium",O359=3,"High",O359=4,"Very High")</f>
        <v>Medium</v>
      </c>
      <c r="AJ359" t="str" cm="1">
        <f t="array" ref="AJ359">_xlfn.IFS(U359=1,"Low",U359=2,"Good",U359=3,"Excellent",U359=4,"Outstanding")</f>
        <v>Excellent</v>
      </c>
      <c r="AK359" t="str" cm="1">
        <f t="array" ref="AK359">_xlfn.IFS(V359=1,"Low",V359=2,"Medium",V359=3,"High",V359=4,"Very High")</f>
        <v>High</v>
      </c>
      <c r="AL359" t="str" cm="1">
        <f t="array" ref="AL359">_xlfn.IFS(Z359=1,"Bad",Z359=2,"Good",Z359=3,"Better",Z359=4,"Best")</f>
        <v>Better</v>
      </c>
      <c r="AM359" t="str" cm="1">
        <f t="array" ref="AM359">_xlfn.IFS(W359=0,"No_stock",W359=1,"Low",W359=2,"Medium",W359=3,"High")</f>
        <v>No_stock</v>
      </c>
      <c r="AN359" t="str">
        <f t="shared" si="5"/>
        <v>Near</v>
      </c>
    </row>
    <row r="360" spans="1:40" x14ac:dyDescent="0.45">
      <c r="A360">
        <v>36</v>
      </c>
      <c r="B360" t="s">
        <v>37</v>
      </c>
      <c r="C360" t="s">
        <v>49</v>
      </c>
      <c r="D360">
        <v>845</v>
      </c>
      <c r="E360" t="s">
        <v>32</v>
      </c>
      <c r="F360">
        <v>1</v>
      </c>
      <c r="G360">
        <v>5</v>
      </c>
      <c r="H360" t="s">
        <v>45</v>
      </c>
      <c r="I360">
        <v>479</v>
      </c>
      <c r="J360">
        <v>4</v>
      </c>
      <c r="K360" t="s">
        <v>34</v>
      </c>
      <c r="L360">
        <v>3</v>
      </c>
      <c r="M360">
        <v>2</v>
      </c>
      <c r="N360" t="s">
        <v>35</v>
      </c>
      <c r="O360">
        <v>4</v>
      </c>
      <c r="P360" t="s">
        <v>36</v>
      </c>
      <c r="Q360">
        <v>6653</v>
      </c>
      <c r="R360">
        <v>4</v>
      </c>
      <c r="S360" t="s">
        <v>37</v>
      </c>
      <c r="T360">
        <v>15</v>
      </c>
      <c r="U360">
        <v>3</v>
      </c>
      <c r="V360">
        <v>2</v>
      </c>
      <c r="W360">
        <v>0</v>
      </c>
      <c r="X360">
        <v>7</v>
      </c>
      <c r="Y360">
        <v>6</v>
      </c>
      <c r="Z360">
        <v>3</v>
      </c>
      <c r="AA360">
        <v>1</v>
      </c>
      <c r="AB360">
        <v>0</v>
      </c>
      <c r="AC360">
        <v>0</v>
      </c>
      <c r="AD360">
        <v>0</v>
      </c>
      <c r="AE360" t="str" cm="1">
        <f t="array" ref="AE360">_xlfn.IFS(G360=1,"Before College",G360=2,"College",G360=3,"Bachelor",G360=4,"Master",G360=5,"Doctor")</f>
        <v>Doctor</v>
      </c>
      <c r="AF360" t="str" cm="1">
        <f t="array" ref="AF360">_xlfn.IFS(J360=1,"Low",J360=2,"Medium",J360=3,"High",J360=4,"Very High")</f>
        <v>Very High</v>
      </c>
      <c r="AG360" t="str" cm="1">
        <f t="array" ref="AG360">_xlfn.IFS(L360=1,"Low",L360=2,"Medium",L360=3,"High",L360=4,"Very High")</f>
        <v>High</v>
      </c>
      <c r="AH360" t="str" cm="1">
        <f t="array" ref="AH360">_xlfn.IFS(M360=1,"Junior employee",M360=2,"Mid-level",M360=3,"Senior",M360=4,"Manager",M360=5,"Executive")</f>
        <v>Mid-level</v>
      </c>
      <c r="AI360" t="str" cm="1">
        <f t="array" ref="AI360">_xlfn.IFS(O360=1,"Low",O360=2,"Medium",O360=3,"High",O360=4,"Very High")</f>
        <v>Very High</v>
      </c>
      <c r="AJ360" t="str" cm="1">
        <f t="array" ref="AJ360">_xlfn.IFS(U360=1,"Low",U360=2,"Good",U360=3,"Excellent",U360=4,"Outstanding")</f>
        <v>Excellent</v>
      </c>
      <c r="AK360" t="str" cm="1">
        <f t="array" ref="AK360">_xlfn.IFS(V360=1,"Low",V360=2,"Medium",V360=3,"High",V360=4,"Very High")</f>
        <v>Medium</v>
      </c>
      <c r="AL360" t="str" cm="1">
        <f t="array" ref="AL360">_xlfn.IFS(Z360=1,"Bad",Z360=2,"Good",Z360=3,"Better",Z360=4,"Best")</f>
        <v>Better</v>
      </c>
      <c r="AM360" t="str" cm="1">
        <f t="array" ref="AM360">_xlfn.IFS(W360=0,"No_stock",W360=1,"Low",W360=2,"Medium",W360=3,"High")</f>
        <v>No_stock</v>
      </c>
      <c r="AN360" t="str">
        <f t="shared" si="5"/>
        <v>Near</v>
      </c>
    </row>
    <row r="361" spans="1:40" x14ac:dyDescent="0.45">
      <c r="A361">
        <v>36</v>
      </c>
      <c r="B361" t="s">
        <v>37</v>
      </c>
      <c r="C361" t="s">
        <v>38</v>
      </c>
      <c r="D361">
        <v>541</v>
      </c>
      <c r="E361" t="s">
        <v>32</v>
      </c>
      <c r="F361">
        <v>3</v>
      </c>
      <c r="G361">
        <v>4</v>
      </c>
      <c r="H361" t="s">
        <v>45</v>
      </c>
      <c r="I361">
        <v>481</v>
      </c>
      <c r="J361">
        <v>1</v>
      </c>
      <c r="K361" t="s">
        <v>40</v>
      </c>
      <c r="L361">
        <v>2</v>
      </c>
      <c r="M361">
        <v>3</v>
      </c>
      <c r="N361" t="s">
        <v>35</v>
      </c>
      <c r="O361">
        <v>4</v>
      </c>
      <c r="P361" t="s">
        <v>42</v>
      </c>
      <c r="Q361">
        <v>9699</v>
      </c>
      <c r="R361">
        <v>4</v>
      </c>
      <c r="S361" t="s">
        <v>37</v>
      </c>
      <c r="T361">
        <v>11</v>
      </c>
      <c r="U361">
        <v>3</v>
      </c>
      <c r="V361">
        <v>1</v>
      </c>
      <c r="W361">
        <v>1</v>
      </c>
      <c r="X361">
        <v>16</v>
      </c>
      <c r="Y361">
        <v>2</v>
      </c>
      <c r="Z361">
        <v>3</v>
      </c>
      <c r="AA361">
        <v>13</v>
      </c>
      <c r="AB361">
        <v>9</v>
      </c>
      <c r="AC361">
        <v>1</v>
      </c>
      <c r="AD361">
        <v>12</v>
      </c>
      <c r="AE361" t="str" cm="1">
        <f t="array" ref="AE361">_xlfn.IFS(G361=1,"Before College",G361=2,"College",G361=3,"Bachelor",G361=4,"Master",G361=5,"Doctor")</f>
        <v>Master</v>
      </c>
      <c r="AF361" t="str" cm="1">
        <f t="array" ref="AF361">_xlfn.IFS(J361=1,"Low",J361=2,"Medium",J361=3,"High",J361=4,"Very High")</f>
        <v>Low</v>
      </c>
      <c r="AG361" t="str" cm="1">
        <f t="array" ref="AG361">_xlfn.IFS(L361=1,"Low",L361=2,"Medium",L361=3,"High",L361=4,"Very High")</f>
        <v>Medium</v>
      </c>
      <c r="AH361" t="str" cm="1">
        <f t="array" ref="AH361">_xlfn.IFS(M361=1,"Junior employee",M361=2,"Mid-level",M361=3,"Senior",M361=4,"Manager",M361=5,"Executive")</f>
        <v>Senior</v>
      </c>
      <c r="AI361" t="str" cm="1">
        <f t="array" ref="AI361">_xlfn.IFS(O361=1,"Low",O361=2,"Medium",O361=3,"High",O361=4,"Very High")</f>
        <v>Very High</v>
      </c>
      <c r="AJ361" t="str" cm="1">
        <f t="array" ref="AJ361">_xlfn.IFS(U361=1,"Low",U361=2,"Good",U361=3,"Excellent",U361=4,"Outstanding")</f>
        <v>Excellent</v>
      </c>
      <c r="AK361" t="str" cm="1">
        <f t="array" ref="AK361">_xlfn.IFS(V361=1,"Low",V361=2,"Medium",V361=3,"High",V361=4,"Very High")</f>
        <v>Low</v>
      </c>
      <c r="AL361" t="str" cm="1">
        <f t="array" ref="AL361">_xlfn.IFS(Z361=1,"Bad",Z361=2,"Good",Z361=3,"Better",Z361=4,"Best")</f>
        <v>Better</v>
      </c>
      <c r="AM361" t="str" cm="1">
        <f t="array" ref="AM361">_xlfn.IFS(W361=0,"No_stock",W361=1,"Low",W361=2,"Medium",W361=3,"High")</f>
        <v>Low</v>
      </c>
      <c r="AN361" t="str">
        <f t="shared" si="5"/>
        <v>Near</v>
      </c>
    </row>
    <row r="362" spans="1:40" x14ac:dyDescent="0.45">
      <c r="A362">
        <v>57</v>
      </c>
      <c r="B362" t="s">
        <v>37</v>
      </c>
      <c r="C362" t="s">
        <v>31</v>
      </c>
      <c r="D362">
        <v>593</v>
      </c>
      <c r="E362" t="s">
        <v>39</v>
      </c>
      <c r="F362">
        <v>1</v>
      </c>
      <c r="G362">
        <v>4</v>
      </c>
      <c r="H362" t="s">
        <v>45</v>
      </c>
      <c r="I362">
        <v>482</v>
      </c>
      <c r="J362">
        <v>4</v>
      </c>
      <c r="K362" t="s">
        <v>40</v>
      </c>
      <c r="L362">
        <v>3</v>
      </c>
      <c r="M362">
        <v>2</v>
      </c>
      <c r="N362" t="s">
        <v>48</v>
      </c>
      <c r="O362">
        <v>3</v>
      </c>
      <c r="P362" t="s">
        <v>42</v>
      </c>
      <c r="Q362">
        <v>6755</v>
      </c>
      <c r="R362">
        <v>2</v>
      </c>
      <c r="S362" t="s">
        <v>37</v>
      </c>
      <c r="T362">
        <v>11</v>
      </c>
      <c r="U362">
        <v>3</v>
      </c>
      <c r="V362">
        <v>3</v>
      </c>
      <c r="W362">
        <v>0</v>
      </c>
      <c r="X362">
        <v>15</v>
      </c>
      <c r="Y362">
        <v>2</v>
      </c>
      <c r="Z362">
        <v>3</v>
      </c>
      <c r="AA362">
        <v>3</v>
      </c>
      <c r="AB362">
        <v>2</v>
      </c>
      <c r="AC362">
        <v>1</v>
      </c>
      <c r="AD362">
        <v>2</v>
      </c>
      <c r="AE362" t="str" cm="1">
        <f t="array" ref="AE362">_xlfn.IFS(G362=1,"Before College",G362=2,"College",G362=3,"Bachelor",G362=4,"Master",G362=5,"Doctor")</f>
        <v>Master</v>
      </c>
      <c r="AF362" t="str" cm="1">
        <f t="array" ref="AF362">_xlfn.IFS(J362=1,"Low",J362=2,"Medium",J362=3,"High",J362=4,"Very High")</f>
        <v>Very High</v>
      </c>
      <c r="AG362" t="str" cm="1">
        <f t="array" ref="AG362">_xlfn.IFS(L362=1,"Low",L362=2,"Medium",L362=3,"High",L362=4,"Very High")</f>
        <v>High</v>
      </c>
      <c r="AH362" t="str" cm="1">
        <f t="array" ref="AH362">_xlfn.IFS(M362=1,"Junior employee",M362=2,"Mid-level",M362=3,"Senior",M362=4,"Manager",M362=5,"Executive")</f>
        <v>Mid-level</v>
      </c>
      <c r="AI362" t="str" cm="1">
        <f t="array" ref="AI362">_xlfn.IFS(O362=1,"Low",O362=2,"Medium",O362=3,"High",O362=4,"Very High")</f>
        <v>High</v>
      </c>
      <c r="AJ362" t="str" cm="1">
        <f t="array" ref="AJ362">_xlfn.IFS(U362=1,"Low",U362=2,"Good",U362=3,"Excellent",U362=4,"Outstanding")</f>
        <v>Excellent</v>
      </c>
      <c r="AK362" t="str" cm="1">
        <f t="array" ref="AK362">_xlfn.IFS(V362=1,"Low",V362=2,"Medium",V362=3,"High",V362=4,"Very High")</f>
        <v>High</v>
      </c>
      <c r="AL362" t="str" cm="1">
        <f t="array" ref="AL362">_xlfn.IFS(Z362=1,"Bad",Z362=2,"Good",Z362=3,"Better",Z362=4,"Best")</f>
        <v>Better</v>
      </c>
      <c r="AM362" t="str" cm="1">
        <f t="array" ref="AM362">_xlfn.IFS(W362=0,"No_stock",W362=1,"Low",W362=2,"Medium",W362=3,"High")</f>
        <v>No_stock</v>
      </c>
      <c r="AN362" t="str">
        <f t="shared" si="5"/>
        <v>Near</v>
      </c>
    </row>
    <row r="363" spans="1:40" x14ac:dyDescent="0.45">
      <c r="A363">
        <v>40</v>
      </c>
      <c r="B363" t="s">
        <v>37</v>
      </c>
      <c r="C363" t="s">
        <v>31</v>
      </c>
      <c r="D363">
        <v>1171</v>
      </c>
      <c r="E363" t="s">
        <v>39</v>
      </c>
      <c r="F363">
        <v>10</v>
      </c>
      <c r="G363">
        <v>4</v>
      </c>
      <c r="H363" t="s">
        <v>33</v>
      </c>
      <c r="I363">
        <v>483</v>
      </c>
      <c r="J363">
        <v>4</v>
      </c>
      <c r="K363" t="s">
        <v>34</v>
      </c>
      <c r="L363">
        <v>4</v>
      </c>
      <c r="M363">
        <v>1</v>
      </c>
      <c r="N363" t="s">
        <v>44</v>
      </c>
      <c r="O363">
        <v>3</v>
      </c>
      <c r="P363" t="s">
        <v>42</v>
      </c>
      <c r="Q363">
        <v>2213</v>
      </c>
      <c r="R363">
        <v>3</v>
      </c>
      <c r="S363" t="s">
        <v>30</v>
      </c>
      <c r="T363">
        <v>13</v>
      </c>
      <c r="U363">
        <v>3</v>
      </c>
      <c r="V363">
        <v>3</v>
      </c>
      <c r="W363">
        <v>1</v>
      </c>
      <c r="X363">
        <v>10</v>
      </c>
      <c r="Y363">
        <v>3</v>
      </c>
      <c r="Z363">
        <v>3</v>
      </c>
      <c r="AA363">
        <v>7</v>
      </c>
      <c r="AB363">
        <v>7</v>
      </c>
      <c r="AC363">
        <v>1</v>
      </c>
      <c r="AD363">
        <v>7</v>
      </c>
      <c r="AE363" t="str" cm="1">
        <f t="array" ref="AE363">_xlfn.IFS(G363=1,"Before College",G363=2,"College",G363=3,"Bachelor",G363=4,"Master",G363=5,"Doctor")</f>
        <v>Master</v>
      </c>
      <c r="AF363" t="str" cm="1">
        <f t="array" ref="AF363">_xlfn.IFS(J363=1,"Low",J363=2,"Medium",J363=3,"High",J363=4,"Very High")</f>
        <v>Very High</v>
      </c>
      <c r="AG363" t="str" cm="1">
        <f t="array" ref="AG363">_xlfn.IFS(L363=1,"Low",L363=2,"Medium",L363=3,"High",L363=4,"Very High")</f>
        <v>Very High</v>
      </c>
      <c r="AH363" t="str" cm="1">
        <f t="array" ref="AH363">_xlfn.IFS(M363=1,"Junior employee",M363=2,"Mid-level",M363=3,"Senior",M363=4,"Manager",M363=5,"Executive")</f>
        <v>Junior employee</v>
      </c>
      <c r="AI363" t="str" cm="1">
        <f t="array" ref="AI363">_xlfn.IFS(O363=1,"Low",O363=2,"Medium",O363=3,"High",O363=4,"Very High")</f>
        <v>High</v>
      </c>
      <c r="AJ363" t="str" cm="1">
        <f t="array" ref="AJ363">_xlfn.IFS(U363=1,"Low",U363=2,"Good",U363=3,"Excellent",U363=4,"Outstanding")</f>
        <v>Excellent</v>
      </c>
      <c r="AK363" t="str" cm="1">
        <f t="array" ref="AK363">_xlfn.IFS(V363=1,"Low",V363=2,"Medium",V363=3,"High",V363=4,"Very High")</f>
        <v>High</v>
      </c>
      <c r="AL363" t="str" cm="1">
        <f t="array" ref="AL363">_xlfn.IFS(Z363=1,"Bad",Z363=2,"Good",Z363=3,"Better",Z363=4,"Best")</f>
        <v>Better</v>
      </c>
      <c r="AM363" t="str" cm="1">
        <f t="array" ref="AM363">_xlfn.IFS(W363=0,"No_stock",W363=1,"Low",W363=2,"Medium",W363=3,"High")</f>
        <v>Low</v>
      </c>
      <c r="AN363" t="str">
        <f t="shared" si="5"/>
        <v>Medium</v>
      </c>
    </row>
    <row r="364" spans="1:40" x14ac:dyDescent="0.45">
      <c r="A364">
        <v>21</v>
      </c>
      <c r="B364" t="s">
        <v>37</v>
      </c>
      <c r="C364" t="s">
        <v>49</v>
      </c>
      <c r="D364">
        <v>895</v>
      </c>
      <c r="E364" t="s">
        <v>32</v>
      </c>
      <c r="F364">
        <v>9</v>
      </c>
      <c r="G364">
        <v>2</v>
      </c>
      <c r="H364" t="s">
        <v>45</v>
      </c>
      <c r="I364">
        <v>484</v>
      </c>
      <c r="J364">
        <v>1</v>
      </c>
      <c r="K364" t="s">
        <v>40</v>
      </c>
      <c r="L364">
        <v>3</v>
      </c>
      <c r="M364">
        <v>1</v>
      </c>
      <c r="N364" t="s">
        <v>51</v>
      </c>
      <c r="O364">
        <v>4</v>
      </c>
      <c r="P364" t="s">
        <v>36</v>
      </c>
      <c r="Q364">
        <v>2610</v>
      </c>
      <c r="R364">
        <v>1</v>
      </c>
      <c r="S364" t="s">
        <v>37</v>
      </c>
      <c r="T364">
        <v>24</v>
      </c>
      <c r="U364">
        <v>4</v>
      </c>
      <c r="V364">
        <v>3</v>
      </c>
      <c r="W364">
        <v>0</v>
      </c>
      <c r="X364">
        <v>3</v>
      </c>
      <c r="Y364">
        <v>3</v>
      </c>
      <c r="Z364">
        <v>2</v>
      </c>
      <c r="AA364">
        <v>3</v>
      </c>
      <c r="AB364">
        <v>2</v>
      </c>
      <c r="AC364">
        <v>2</v>
      </c>
      <c r="AD364">
        <v>2</v>
      </c>
      <c r="AE364" t="str" cm="1">
        <f t="array" ref="AE364">_xlfn.IFS(G364=1,"Before College",G364=2,"College",G364=3,"Bachelor",G364=4,"Master",G364=5,"Doctor")</f>
        <v>College</v>
      </c>
      <c r="AF364" t="str" cm="1">
        <f t="array" ref="AF364">_xlfn.IFS(J364=1,"Low",J364=2,"Medium",J364=3,"High",J364=4,"Very High")</f>
        <v>Low</v>
      </c>
      <c r="AG364" t="str" cm="1">
        <f t="array" ref="AG364">_xlfn.IFS(L364=1,"Low",L364=2,"Medium",L364=3,"High",L364=4,"Very High")</f>
        <v>High</v>
      </c>
      <c r="AH364" t="str" cm="1">
        <f t="array" ref="AH364">_xlfn.IFS(M364=1,"Junior employee",M364=2,"Mid-level",M364=3,"Senior",M364=4,"Manager",M364=5,"Executive")</f>
        <v>Junior employee</v>
      </c>
      <c r="AI364" t="str" cm="1">
        <f t="array" ref="AI364">_xlfn.IFS(O364=1,"Low",O364=2,"Medium",O364=3,"High",O364=4,"Very High")</f>
        <v>Very High</v>
      </c>
      <c r="AJ364" t="str" cm="1">
        <f t="array" ref="AJ364">_xlfn.IFS(U364=1,"Low",U364=2,"Good",U364=3,"Excellent",U364=4,"Outstanding")</f>
        <v>Outstanding</v>
      </c>
      <c r="AK364" t="str" cm="1">
        <f t="array" ref="AK364">_xlfn.IFS(V364=1,"Low",V364=2,"Medium",V364=3,"High",V364=4,"Very High")</f>
        <v>High</v>
      </c>
      <c r="AL364" t="str" cm="1">
        <f t="array" ref="AL364">_xlfn.IFS(Z364=1,"Bad",Z364=2,"Good",Z364=3,"Better",Z364=4,"Best")</f>
        <v>Good</v>
      </c>
      <c r="AM364" t="str" cm="1">
        <f t="array" ref="AM364">_xlfn.IFS(W364=0,"No_stock",W364=1,"Low",W364=2,"Medium",W364=3,"High")</f>
        <v>No_stock</v>
      </c>
      <c r="AN364" t="str">
        <f t="shared" si="5"/>
        <v>Medium</v>
      </c>
    </row>
    <row r="365" spans="1:40" x14ac:dyDescent="0.45">
      <c r="A365">
        <v>33</v>
      </c>
      <c r="B365" t="s">
        <v>30</v>
      </c>
      <c r="C365" t="s">
        <v>31</v>
      </c>
      <c r="D365">
        <v>350</v>
      </c>
      <c r="E365" t="s">
        <v>32</v>
      </c>
      <c r="F365">
        <v>5</v>
      </c>
      <c r="G365">
        <v>3</v>
      </c>
      <c r="H365" t="s">
        <v>53</v>
      </c>
      <c r="I365">
        <v>485</v>
      </c>
      <c r="J365">
        <v>4</v>
      </c>
      <c r="K365" t="s">
        <v>34</v>
      </c>
      <c r="L365">
        <v>3</v>
      </c>
      <c r="M365">
        <v>1</v>
      </c>
      <c r="N365" t="s">
        <v>51</v>
      </c>
      <c r="O365">
        <v>3</v>
      </c>
      <c r="P365" t="s">
        <v>36</v>
      </c>
      <c r="Q365">
        <v>2851</v>
      </c>
      <c r="R365">
        <v>1</v>
      </c>
      <c r="S365" t="s">
        <v>30</v>
      </c>
      <c r="T365">
        <v>13</v>
      </c>
      <c r="U365">
        <v>3</v>
      </c>
      <c r="V365">
        <v>2</v>
      </c>
      <c r="W365">
        <v>0</v>
      </c>
      <c r="X365">
        <v>1</v>
      </c>
      <c r="Y365">
        <v>2</v>
      </c>
      <c r="Z365">
        <v>3</v>
      </c>
      <c r="AA365">
        <v>1</v>
      </c>
      <c r="AB365">
        <v>0</v>
      </c>
      <c r="AC365">
        <v>0</v>
      </c>
      <c r="AD365">
        <v>0</v>
      </c>
      <c r="AE365" t="str" cm="1">
        <f t="array" ref="AE365">_xlfn.IFS(G365=1,"Before College",G365=2,"College",G365=3,"Bachelor",G365=4,"Master",G365=5,"Doctor")</f>
        <v>Bachelor</v>
      </c>
      <c r="AF365" t="str" cm="1">
        <f t="array" ref="AF365">_xlfn.IFS(J365=1,"Low",J365=2,"Medium",J365=3,"High",J365=4,"Very High")</f>
        <v>Very High</v>
      </c>
      <c r="AG365" t="str" cm="1">
        <f t="array" ref="AG365">_xlfn.IFS(L365=1,"Low",L365=2,"Medium",L365=3,"High",L365=4,"Very High")</f>
        <v>High</v>
      </c>
      <c r="AH365" t="str" cm="1">
        <f t="array" ref="AH365">_xlfn.IFS(M365=1,"Junior employee",M365=2,"Mid-level",M365=3,"Senior",M365=4,"Manager",M365=5,"Executive")</f>
        <v>Junior employee</v>
      </c>
      <c r="AI365" t="str" cm="1">
        <f t="array" ref="AI365">_xlfn.IFS(O365=1,"Low",O365=2,"Medium",O365=3,"High",O365=4,"Very High")</f>
        <v>High</v>
      </c>
      <c r="AJ365" t="str" cm="1">
        <f t="array" ref="AJ365">_xlfn.IFS(U365=1,"Low",U365=2,"Good",U365=3,"Excellent",U365=4,"Outstanding")</f>
        <v>Excellent</v>
      </c>
      <c r="AK365" t="str" cm="1">
        <f t="array" ref="AK365">_xlfn.IFS(V365=1,"Low",V365=2,"Medium",V365=3,"High",V365=4,"Very High")</f>
        <v>Medium</v>
      </c>
      <c r="AL365" t="str" cm="1">
        <f t="array" ref="AL365">_xlfn.IFS(Z365=1,"Bad",Z365=2,"Good",Z365=3,"Better",Z365=4,"Best")</f>
        <v>Better</v>
      </c>
      <c r="AM365" t="str" cm="1">
        <f t="array" ref="AM365">_xlfn.IFS(W365=0,"No_stock",W365=1,"Low",W365=2,"Medium",W365=3,"High")</f>
        <v>No_stock</v>
      </c>
      <c r="AN365" t="str">
        <f t="shared" si="5"/>
        <v>Near</v>
      </c>
    </row>
    <row r="366" spans="1:40" x14ac:dyDescent="0.45">
      <c r="A366">
        <v>37</v>
      </c>
      <c r="B366" t="s">
        <v>37</v>
      </c>
      <c r="C366" t="s">
        <v>31</v>
      </c>
      <c r="D366">
        <v>921</v>
      </c>
      <c r="E366" t="s">
        <v>39</v>
      </c>
      <c r="F366">
        <v>10</v>
      </c>
      <c r="G366">
        <v>3</v>
      </c>
      <c r="H366" t="s">
        <v>45</v>
      </c>
      <c r="I366">
        <v>486</v>
      </c>
      <c r="J366">
        <v>3</v>
      </c>
      <c r="K366" t="s">
        <v>34</v>
      </c>
      <c r="L366">
        <v>3</v>
      </c>
      <c r="M366">
        <v>1</v>
      </c>
      <c r="N366" t="s">
        <v>44</v>
      </c>
      <c r="O366">
        <v>1</v>
      </c>
      <c r="P366" t="s">
        <v>42</v>
      </c>
      <c r="Q366">
        <v>3452</v>
      </c>
      <c r="R366">
        <v>6</v>
      </c>
      <c r="S366" t="s">
        <v>37</v>
      </c>
      <c r="T366">
        <v>20</v>
      </c>
      <c r="U366">
        <v>4</v>
      </c>
      <c r="V366">
        <v>2</v>
      </c>
      <c r="W366">
        <v>1</v>
      </c>
      <c r="X366">
        <v>17</v>
      </c>
      <c r="Y366">
        <v>3</v>
      </c>
      <c r="Z366">
        <v>3</v>
      </c>
      <c r="AA366">
        <v>5</v>
      </c>
      <c r="AB366">
        <v>4</v>
      </c>
      <c r="AC366">
        <v>0</v>
      </c>
      <c r="AD366">
        <v>3</v>
      </c>
      <c r="AE366" t="str" cm="1">
        <f t="array" ref="AE366">_xlfn.IFS(G366=1,"Before College",G366=2,"College",G366=3,"Bachelor",G366=4,"Master",G366=5,"Doctor")</f>
        <v>Bachelor</v>
      </c>
      <c r="AF366" t="str" cm="1">
        <f t="array" ref="AF366">_xlfn.IFS(J366=1,"Low",J366=2,"Medium",J366=3,"High",J366=4,"Very High")</f>
        <v>High</v>
      </c>
      <c r="AG366" t="str" cm="1">
        <f t="array" ref="AG366">_xlfn.IFS(L366=1,"Low",L366=2,"Medium",L366=3,"High",L366=4,"Very High")</f>
        <v>High</v>
      </c>
      <c r="AH366" t="str" cm="1">
        <f t="array" ref="AH366">_xlfn.IFS(M366=1,"Junior employee",M366=2,"Mid-level",M366=3,"Senior",M366=4,"Manager",M366=5,"Executive")</f>
        <v>Junior employee</v>
      </c>
      <c r="AI366" t="str" cm="1">
        <f t="array" ref="AI366">_xlfn.IFS(O366=1,"Low",O366=2,"Medium",O366=3,"High",O366=4,"Very High")</f>
        <v>Low</v>
      </c>
      <c r="AJ366" t="str" cm="1">
        <f t="array" ref="AJ366">_xlfn.IFS(U366=1,"Low",U366=2,"Good",U366=3,"Excellent",U366=4,"Outstanding")</f>
        <v>Outstanding</v>
      </c>
      <c r="AK366" t="str" cm="1">
        <f t="array" ref="AK366">_xlfn.IFS(V366=1,"Low",V366=2,"Medium",V366=3,"High",V366=4,"Very High")</f>
        <v>Medium</v>
      </c>
      <c r="AL366" t="str" cm="1">
        <f t="array" ref="AL366">_xlfn.IFS(Z366=1,"Bad",Z366=2,"Good",Z366=3,"Better",Z366=4,"Best")</f>
        <v>Better</v>
      </c>
      <c r="AM366" t="str" cm="1">
        <f t="array" ref="AM366">_xlfn.IFS(W366=0,"No_stock",W366=1,"Low",W366=2,"Medium",W366=3,"High")</f>
        <v>Low</v>
      </c>
      <c r="AN366" t="str">
        <f t="shared" si="5"/>
        <v>Medium</v>
      </c>
    </row>
    <row r="367" spans="1:40" x14ac:dyDescent="0.45">
      <c r="A367">
        <v>46</v>
      </c>
      <c r="B367" t="s">
        <v>37</v>
      </c>
      <c r="C367" t="s">
        <v>49</v>
      </c>
      <c r="D367">
        <v>1144</v>
      </c>
      <c r="E367" t="s">
        <v>39</v>
      </c>
      <c r="F367">
        <v>7</v>
      </c>
      <c r="G367">
        <v>4</v>
      </c>
      <c r="H367" t="s">
        <v>45</v>
      </c>
      <c r="I367">
        <v>487</v>
      </c>
      <c r="J367">
        <v>3</v>
      </c>
      <c r="K367" t="s">
        <v>34</v>
      </c>
      <c r="L367">
        <v>3</v>
      </c>
      <c r="M367">
        <v>2</v>
      </c>
      <c r="N367" t="s">
        <v>47</v>
      </c>
      <c r="O367">
        <v>3</v>
      </c>
      <c r="P367" t="s">
        <v>42</v>
      </c>
      <c r="Q367">
        <v>5258</v>
      </c>
      <c r="R367">
        <v>2</v>
      </c>
      <c r="S367" t="s">
        <v>37</v>
      </c>
      <c r="T367">
        <v>14</v>
      </c>
      <c r="U367">
        <v>3</v>
      </c>
      <c r="V367">
        <v>3</v>
      </c>
      <c r="W367">
        <v>0</v>
      </c>
      <c r="X367">
        <v>7</v>
      </c>
      <c r="Y367">
        <v>2</v>
      </c>
      <c r="Z367">
        <v>4</v>
      </c>
      <c r="AA367">
        <v>1</v>
      </c>
      <c r="AB367">
        <v>0</v>
      </c>
      <c r="AC367">
        <v>0</v>
      </c>
      <c r="AD367">
        <v>0</v>
      </c>
      <c r="AE367" t="str" cm="1">
        <f t="array" ref="AE367">_xlfn.IFS(G367=1,"Before College",G367=2,"College",G367=3,"Bachelor",G367=4,"Master",G367=5,"Doctor")</f>
        <v>Master</v>
      </c>
      <c r="AF367" t="str" cm="1">
        <f t="array" ref="AF367">_xlfn.IFS(J367=1,"Low",J367=2,"Medium",J367=3,"High",J367=4,"Very High")</f>
        <v>High</v>
      </c>
      <c r="AG367" t="str" cm="1">
        <f t="array" ref="AG367">_xlfn.IFS(L367=1,"Low",L367=2,"Medium",L367=3,"High",L367=4,"Very High")</f>
        <v>High</v>
      </c>
      <c r="AH367" t="str" cm="1">
        <f t="array" ref="AH367">_xlfn.IFS(M367=1,"Junior employee",M367=2,"Mid-level",M367=3,"Senior",M367=4,"Manager",M367=5,"Executive")</f>
        <v>Mid-level</v>
      </c>
      <c r="AI367" t="str" cm="1">
        <f t="array" ref="AI367">_xlfn.IFS(O367=1,"Low",O367=2,"Medium",O367=3,"High",O367=4,"Very High")</f>
        <v>High</v>
      </c>
      <c r="AJ367" t="str" cm="1">
        <f t="array" ref="AJ367">_xlfn.IFS(U367=1,"Low",U367=2,"Good",U367=3,"Excellent",U367=4,"Outstanding")</f>
        <v>Excellent</v>
      </c>
      <c r="AK367" t="str" cm="1">
        <f t="array" ref="AK367">_xlfn.IFS(V367=1,"Low",V367=2,"Medium",V367=3,"High",V367=4,"Very High")</f>
        <v>High</v>
      </c>
      <c r="AL367" t="str" cm="1">
        <f t="array" ref="AL367">_xlfn.IFS(Z367=1,"Bad",Z367=2,"Good",Z367=3,"Better",Z367=4,"Best")</f>
        <v>Best</v>
      </c>
      <c r="AM367" t="str" cm="1">
        <f t="array" ref="AM367">_xlfn.IFS(W367=0,"No_stock",W367=1,"Low",W367=2,"Medium",W367=3,"High")</f>
        <v>No_stock</v>
      </c>
      <c r="AN367" t="str">
        <f t="shared" si="5"/>
        <v>Medium</v>
      </c>
    </row>
    <row r="368" spans="1:40" x14ac:dyDescent="0.45">
      <c r="A368">
        <v>41</v>
      </c>
      <c r="B368" t="s">
        <v>30</v>
      </c>
      <c r="C368" t="s">
        <v>38</v>
      </c>
      <c r="D368">
        <v>143</v>
      </c>
      <c r="E368" t="s">
        <v>32</v>
      </c>
      <c r="F368">
        <v>4</v>
      </c>
      <c r="G368">
        <v>3</v>
      </c>
      <c r="H368" t="s">
        <v>53</v>
      </c>
      <c r="I368">
        <v>488</v>
      </c>
      <c r="J368">
        <v>1</v>
      </c>
      <c r="K368" t="s">
        <v>40</v>
      </c>
      <c r="L368">
        <v>3</v>
      </c>
      <c r="M368">
        <v>2</v>
      </c>
      <c r="N368" t="s">
        <v>35</v>
      </c>
      <c r="O368">
        <v>2</v>
      </c>
      <c r="P368" t="s">
        <v>36</v>
      </c>
      <c r="Q368">
        <v>9355</v>
      </c>
      <c r="R368">
        <v>1</v>
      </c>
      <c r="S368" t="s">
        <v>37</v>
      </c>
      <c r="T368">
        <v>18</v>
      </c>
      <c r="U368">
        <v>3</v>
      </c>
      <c r="V368">
        <v>3</v>
      </c>
      <c r="W368">
        <v>0</v>
      </c>
      <c r="X368">
        <v>8</v>
      </c>
      <c r="Y368">
        <v>5</v>
      </c>
      <c r="Z368">
        <v>3</v>
      </c>
      <c r="AA368">
        <v>8</v>
      </c>
      <c r="AB368">
        <v>7</v>
      </c>
      <c r="AC368">
        <v>7</v>
      </c>
      <c r="AD368">
        <v>7</v>
      </c>
      <c r="AE368" t="str" cm="1">
        <f t="array" ref="AE368">_xlfn.IFS(G368=1,"Before College",G368=2,"College",G368=3,"Bachelor",G368=4,"Master",G368=5,"Doctor")</f>
        <v>Bachelor</v>
      </c>
      <c r="AF368" t="str" cm="1">
        <f t="array" ref="AF368">_xlfn.IFS(J368=1,"Low",J368=2,"Medium",J368=3,"High",J368=4,"Very High")</f>
        <v>Low</v>
      </c>
      <c r="AG368" t="str" cm="1">
        <f t="array" ref="AG368">_xlfn.IFS(L368=1,"Low",L368=2,"Medium",L368=3,"High",L368=4,"Very High")</f>
        <v>High</v>
      </c>
      <c r="AH368" t="str" cm="1">
        <f t="array" ref="AH368">_xlfn.IFS(M368=1,"Junior employee",M368=2,"Mid-level",M368=3,"Senior",M368=4,"Manager",M368=5,"Executive")</f>
        <v>Mid-level</v>
      </c>
      <c r="AI368" t="str" cm="1">
        <f t="array" ref="AI368">_xlfn.IFS(O368=1,"Low",O368=2,"Medium",O368=3,"High",O368=4,"Very High")</f>
        <v>Medium</v>
      </c>
      <c r="AJ368" t="str" cm="1">
        <f t="array" ref="AJ368">_xlfn.IFS(U368=1,"Low",U368=2,"Good",U368=3,"Excellent",U368=4,"Outstanding")</f>
        <v>Excellent</v>
      </c>
      <c r="AK368" t="str" cm="1">
        <f t="array" ref="AK368">_xlfn.IFS(V368=1,"Low",V368=2,"Medium",V368=3,"High",V368=4,"Very High")</f>
        <v>High</v>
      </c>
      <c r="AL368" t="str" cm="1">
        <f t="array" ref="AL368">_xlfn.IFS(Z368=1,"Bad",Z368=2,"Good",Z368=3,"Better",Z368=4,"Best")</f>
        <v>Better</v>
      </c>
      <c r="AM368" t="str" cm="1">
        <f t="array" ref="AM368">_xlfn.IFS(W368=0,"No_stock",W368=1,"Low",W368=2,"Medium",W368=3,"High")</f>
        <v>No_stock</v>
      </c>
      <c r="AN368" t="str">
        <f t="shared" si="5"/>
        <v>Near</v>
      </c>
    </row>
    <row r="369" spans="1:40" x14ac:dyDescent="0.45">
      <c r="A369">
        <v>50</v>
      </c>
      <c r="B369" t="s">
        <v>37</v>
      </c>
      <c r="C369" t="s">
        <v>31</v>
      </c>
      <c r="D369">
        <v>1046</v>
      </c>
      <c r="E369" t="s">
        <v>39</v>
      </c>
      <c r="F369">
        <v>10</v>
      </c>
      <c r="G369">
        <v>3</v>
      </c>
      <c r="H369" t="s">
        <v>54</v>
      </c>
      <c r="I369">
        <v>491</v>
      </c>
      <c r="J369">
        <v>4</v>
      </c>
      <c r="K369" t="s">
        <v>40</v>
      </c>
      <c r="L369">
        <v>2</v>
      </c>
      <c r="M369">
        <v>3</v>
      </c>
      <c r="N369" t="s">
        <v>48</v>
      </c>
      <c r="O369">
        <v>4</v>
      </c>
      <c r="P369" t="s">
        <v>36</v>
      </c>
      <c r="Q369">
        <v>10496</v>
      </c>
      <c r="R369">
        <v>6</v>
      </c>
      <c r="S369" t="s">
        <v>37</v>
      </c>
      <c r="T369">
        <v>15</v>
      </c>
      <c r="U369">
        <v>3</v>
      </c>
      <c r="V369">
        <v>4</v>
      </c>
      <c r="W369">
        <v>0</v>
      </c>
      <c r="X369">
        <v>20</v>
      </c>
      <c r="Y369">
        <v>2</v>
      </c>
      <c r="Z369">
        <v>3</v>
      </c>
      <c r="AA369">
        <v>4</v>
      </c>
      <c r="AB369">
        <v>3</v>
      </c>
      <c r="AC369">
        <v>1</v>
      </c>
      <c r="AD369">
        <v>3</v>
      </c>
      <c r="AE369" t="str" cm="1">
        <f t="array" ref="AE369">_xlfn.IFS(G369=1,"Before College",G369=2,"College",G369=3,"Bachelor",G369=4,"Master",G369=5,"Doctor")</f>
        <v>Bachelor</v>
      </c>
      <c r="AF369" t="str" cm="1">
        <f t="array" ref="AF369">_xlfn.IFS(J369=1,"Low",J369=2,"Medium",J369=3,"High",J369=4,"Very High")</f>
        <v>Very High</v>
      </c>
      <c r="AG369" t="str" cm="1">
        <f t="array" ref="AG369">_xlfn.IFS(L369=1,"Low",L369=2,"Medium",L369=3,"High",L369=4,"Very High")</f>
        <v>Medium</v>
      </c>
      <c r="AH369" t="str" cm="1">
        <f t="array" ref="AH369">_xlfn.IFS(M369=1,"Junior employee",M369=2,"Mid-level",M369=3,"Senior",M369=4,"Manager",M369=5,"Executive")</f>
        <v>Senior</v>
      </c>
      <c r="AI369" t="str" cm="1">
        <f t="array" ref="AI369">_xlfn.IFS(O369=1,"Low",O369=2,"Medium",O369=3,"High",O369=4,"Very High")</f>
        <v>Very High</v>
      </c>
      <c r="AJ369" t="str" cm="1">
        <f t="array" ref="AJ369">_xlfn.IFS(U369=1,"Low",U369=2,"Good",U369=3,"Excellent",U369=4,"Outstanding")</f>
        <v>Excellent</v>
      </c>
      <c r="AK369" t="str" cm="1">
        <f t="array" ref="AK369">_xlfn.IFS(V369=1,"Low",V369=2,"Medium",V369=3,"High",V369=4,"Very High")</f>
        <v>Very High</v>
      </c>
      <c r="AL369" t="str" cm="1">
        <f t="array" ref="AL369">_xlfn.IFS(Z369=1,"Bad",Z369=2,"Good",Z369=3,"Better",Z369=4,"Best")</f>
        <v>Better</v>
      </c>
      <c r="AM369" t="str" cm="1">
        <f t="array" ref="AM369">_xlfn.IFS(W369=0,"No_stock",W369=1,"Low",W369=2,"Medium",W369=3,"High")</f>
        <v>No_stock</v>
      </c>
      <c r="AN369" t="str">
        <f t="shared" si="5"/>
        <v>Medium</v>
      </c>
    </row>
    <row r="370" spans="1:40" x14ac:dyDescent="0.45">
      <c r="A370">
        <v>40</v>
      </c>
      <c r="B370" t="s">
        <v>30</v>
      </c>
      <c r="C370" t="s">
        <v>31</v>
      </c>
      <c r="D370">
        <v>575</v>
      </c>
      <c r="E370" t="s">
        <v>32</v>
      </c>
      <c r="F370">
        <v>22</v>
      </c>
      <c r="G370">
        <v>2</v>
      </c>
      <c r="H370" t="s">
        <v>53</v>
      </c>
      <c r="I370">
        <v>492</v>
      </c>
      <c r="J370">
        <v>3</v>
      </c>
      <c r="K370" t="s">
        <v>40</v>
      </c>
      <c r="L370">
        <v>2</v>
      </c>
      <c r="M370">
        <v>2</v>
      </c>
      <c r="N370" t="s">
        <v>35</v>
      </c>
      <c r="O370">
        <v>3</v>
      </c>
      <c r="P370" t="s">
        <v>42</v>
      </c>
      <c r="Q370">
        <v>6380</v>
      </c>
      <c r="R370">
        <v>2</v>
      </c>
      <c r="S370" t="s">
        <v>30</v>
      </c>
      <c r="T370">
        <v>12</v>
      </c>
      <c r="U370">
        <v>3</v>
      </c>
      <c r="V370">
        <v>1</v>
      </c>
      <c r="W370">
        <v>2</v>
      </c>
      <c r="X370">
        <v>8</v>
      </c>
      <c r="Y370">
        <v>6</v>
      </c>
      <c r="Z370">
        <v>3</v>
      </c>
      <c r="AA370">
        <v>6</v>
      </c>
      <c r="AB370">
        <v>4</v>
      </c>
      <c r="AC370">
        <v>1</v>
      </c>
      <c r="AD370">
        <v>0</v>
      </c>
      <c r="AE370" t="str" cm="1">
        <f t="array" ref="AE370">_xlfn.IFS(G370=1,"Before College",G370=2,"College",G370=3,"Bachelor",G370=4,"Master",G370=5,"Doctor")</f>
        <v>College</v>
      </c>
      <c r="AF370" t="str" cm="1">
        <f t="array" ref="AF370">_xlfn.IFS(J370=1,"Low",J370=2,"Medium",J370=3,"High",J370=4,"Very High")</f>
        <v>High</v>
      </c>
      <c r="AG370" t="str" cm="1">
        <f t="array" ref="AG370">_xlfn.IFS(L370=1,"Low",L370=2,"Medium",L370=3,"High",L370=4,"Very High")</f>
        <v>Medium</v>
      </c>
      <c r="AH370" t="str" cm="1">
        <f t="array" ref="AH370">_xlfn.IFS(M370=1,"Junior employee",M370=2,"Mid-level",M370=3,"Senior",M370=4,"Manager",M370=5,"Executive")</f>
        <v>Mid-level</v>
      </c>
      <c r="AI370" t="str" cm="1">
        <f t="array" ref="AI370">_xlfn.IFS(O370=1,"Low",O370=2,"Medium",O370=3,"High",O370=4,"Very High")</f>
        <v>High</v>
      </c>
      <c r="AJ370" t="str" cm="1">
        <f t="array" ref="AJ370">_xlfn.IFS(U370=1,"Low",U370=2,"Good",U370=3,"Excellent",U370=4,"Outstanding")</f>
        <v>Excellent</v>
      </c>
      <c r="AK370" t="str" cm="1">
        <f t="array" ref="AK370">_xlfn.IFS(V370=1,"Low",V370=2,"Medium",V370=3,"High",V370=4,"Very High")</f>
        <v>Low</v>
      </c>
      <c r="AL370" t="str" cm="1">
        <f t="array" ref="AL370">_xlfn.IFS(Z370=1,"Bad",Z370=2,"Good",Z370=3,"Better",Z370=4,"Best")</f>
        <v>Better</v>
      </c>
      <c r="AM370" t="str" cm="1">
        <f t="array" ref="AM370">_xlfn.IFS(W370=0,"No_stock",W370=1,"Low",W370=2,"Medium",W370=3,"High")</f>
        <v>Medium</v>
      </c>
      <c r="AN370" t="str">
        <f t="shared" si="5"/>
        <v>Far</v>
      </c>
    </row>
    <row r="371" spans="1:40" x14ac:dyDescent="0.45">
      <c r="A371">
        <v>31</v>
      </c>
      <c r="B371" t="s">
        <v>37</v>
      </c>
      <c r="C371" t="s">
        <v>31</v>
      </c>
      <c r="D371">
        <v>408</v>
      </c>
      <c r="E371" t="s">
        <v>39</v>
      </c>
      <c r="F371">
        <v>9</v>
      </c>
      <c r="G371">
        <v>4</v>
      </c>
      <c r="H371" t="s">
        <v>33</v>
      </c>
      <c r="I371">
        <v>493</v>
      </c>
      <c r="J371">
        <v>3</v>
      </c>
      <c r="K371" t="s">
        <v>40</v>
      </c>
      <c r="L371">
        <v>2</v>
      </c>
      <c r="M371">
        <v>1</v>
      </c>
      <c r="N371" t="s">
        <v>41</v>
      </c>
      <c r="O371">
        <v>2</v>
      </c>
      <c r="P371" t="s">
        <v>36</v>
      </c>
      <c r="Q371">
        <v>2657</v>
      </c>
      <c r="R371">
        <v>0</v>
      </c>
      <c r="S371" t="s">
        <v>30</v>
      </c>
      <c r="T371">
        <v>16</v>
      </c>
      <c r="U371">
        <v>3</v>
      </c>
      <c r="V371">
        <v>4</v>
      </c>
      <c r="W371">
        <v>0</v>
      </c>
      <c r="X371">
        <v>3</v>
      </c>
      <c r="Y371">
        <v>5</v>
      </c>
      <c r="Z371">
        <v>3</v>
      </c>
      <c r="AA371">
        <v>2</v>
      </c>
      <c r="AB371">
        <v>2</v>
      </c>
      <c r="AC371">
        <v>2</v>
      </c>
      <c r="AD371">
        <v>2</v>
      </c>
      <c r="AE371" t="str" cm="1">
        <f t="array" ref="AE371">_xlfn.IFS(G371=1,"Before College",G371=2,"College",G371=3,"Bachelor",G371=4,"Master",G371=5,"Doctor")</f>
        <v>Master</v>
      </c>
      <c r="AF371" t="str" cm="1">
        <f t="array" ref="AF371">_xlfn.IFS(J371=1,"Low",J371=2,"Medium",J371=3,"High",J371=4,"Very High")</f>
        <v>High</v>
      </c>
      <c r="AG371" t="str" cm="1">
        <f t="array" ref="AG371">_xlfn.IFS(L371=1,"Low",L371=2,"Medium",L371=3,"High",L371=4,"Very High")</f>
        <v>Medium</v>
      </c>
      <c r="AH371" t="str" cm="1">
        <f t="array" ref="AH371">_xlfn.IFS(M371=1,"Junior employee",M371=2,"Mid-level",M371=3,"Senior",M371=4,"Manager",M371=5,"Executive")</f>
        <v>Junior employee</v>
      </c>
      <c r="AI371" t="str" cm="1">
        <f t="array" ref="AI371">_xlfn.IFS(O371=1,"Low",O371=2,"Medium",O371=3,"High",O371=4,"Very High")</f>
        <v>Medium</v>
      </c>
      <c r="AJ371" t="str" cm="1">
        <f t="array" ref="AJ371">_xlfn.IFS(U371=1,"Low",U371=2,"Good",U371=3,"Excellent",U371=4,"Outstanding")</f>
        <v>Excellent</v>
      </c>
      <c r="AK371" t="str" cm="1">
        <f t="array" ref="AK371">_xlfn.IFS(V371=1,"Low",V371=2,"Medium",V371=3,"High",V371=4,"Very High")</f>
        <v>Very High</v>
      </c>
      <c r="AL371" t="str" cm="1">
        <f t="array" ref="AL371">_xlfn.IFS(Z371=1,"Bad",Z371=2,"Good",Z371=3,"Better",Z371=4,"Best")</f>
        <v>Better</v>
      </c>
      <c r="AM371" t="str" cm="1">
        <f t="array" ref="AM371">_xlfn.IFS(W371=0,"No_stock",W371=1,"Low",W371=2,"Medium",W371=3,"High")</f>
        <v>No_stock</v>
      </c>
      <c r="AN371" t="str">
        <f t="shared" si="5"/>
        <v>Medium</v>
      </c>
    </row>
    <row r="372" spans="1:40" x14ac:dyDescent="0.45">
      <c r="A372">
        <v>21</v>
      </c>
      <c r="B372" t="s">
        <v>30</v>
      </c>
      <c r="C372" t="s">
        <v>31</v>
      </c>
      <c r="D372">
        <v>156</v>
      </c>
      <c r="E372" t="s">
        <v>32</v>
      </c>
      <c r="F372">
        <v>12</v>
      </c>
      <c r="G372">
        <v>3</v>
      </c>
      <c r="H372" t="s">
        <v>33</v>
      </c>
      <c r="I372">
        <v>494</v>
      </c>
      <c r="J372">
        <v>3</v>
      </c>
      <c r="K372" t="s">
        <v>34</v>
      </c>
      <c r="L372">
        <v>4</v>
      </c>
      <c r="M372">
        <v>1</v>
      </c>
      <c r="N372" t="s">
        <v>51</v>
      </c>
      <c r="O372">
        <v>2</v>
      </c>
      <c r="P372" t="s">
        <v>36</v>
      </c>
      <c r="Q372">
        <v>2716</v>
      </c>
      <c r="R372">
        <v>1</v>
      </c>
      <c r="S372" t="s">
        <v>37</v>
      </c>
      <c r="T372">
        <v>15</v>
      </c>
      <c r="U372">
        <v>3</v>
      </c>
      <c r="V372">
        <v>4</v>
      </c>
      <c r="W372">
        <v>0</v>
      </c>
      <c r="X372">
        <v>1</v>
      </c>
      <c r="Y372">
        <v>0</v>
      </c>
      <c r="Z372">
        <v>3</v>
      </c>
      <c r="AA372">
        <v>1</v>
      </c>
      <c r="AB372">
        <v>0</v>
      </c>
      <c r="AC372">
        <v>0</v>
      </c>
      <c r="AD372">
        <v>0</v>
      </c>
      <c r="AE372" t="str" cm="1">
        <f t="array" ref="AE372">_xlfn.IFS(G372=1,"Before College",G372=2,"College",G372=3,"Bachelor",G372=4,"Master",G372=5,"Doctor")</f>
        <v>Bachelor</v>
      </c>
      <c r="AF372" t="str" cm="1">
        <f t="array" ref="AF372">_xlfn.IFS(J372=1,"Low",J372=2,"Medium",J372=3,"High",J372=4,"Very High")</f>
        <v>High</v>
      </c>
      <c r="AG372" t="str" cm="1">
        <f t="array" ref="AG372">_xlfn.IFS(L372=1,"Low",L372=2,"Medium",L372=3,"High",L372=4,"Very High")</f>
        <v>Very High</v>
      </c>
      <c r="AH372" t="str" cm="1">
        <f t="array" ref="AH372">_xlfn.IFS(M372=1,"Junior employee",M372=2,"Mid-level",M372=3,"Senior",M372=4,"Manager",M372=5,"Executive")</f>
        <v>Junior employee</v>
      </c>
      <c r="AI372" t="str" cm="1">
        <f t="array" ref="AI372">_xlfn.IFS(O372=1,"Low",O372=2,"Medium",O372=3,"High",O372=4,"Very High")</f>
        <v>Medium</v>
      </c>
      <c r="AJ372" t="str" cm="1">
        <f t="array" ref="AJ372">_xlfn.IFS(U372=1,"Low",U372=2,"Good",U372=3,"Excellent",U372=4,"Outstanding")</f>
        <v>Excellent</v>
      </c>
      <c r="AK372" t="str" cm="1">
        <f t="array" ref="AK372">_xlfn.IFS(V372=1,"Low",V372=2,"Medium",V372=3,"High",V372=4,"Very High")</f>
        <v>Very High</v>
      </c>
      <c r="AL372" t="str" cm="1">
        <f t="array" ref="AL372">_xlfn.IFS(Z372=1,"Bad",Z372=2,"Good",Z372=3,"Better",Z372=4,"Best")</f>
        <v>Better</v>
      </c>
      <c r="AM372" t="str" cm="1">
        <f t="array" ref="AM372">_xlfn.IFS(W372=0,"No_stock",W372=1,"Low",W372=2,"Medium",W372=3,"High")</f>
        <v>No_stock</v>
      </c>
      <c r="AN372" t="str">
        <f t="shared" si="5"/>
        <v>Medium</v>
      </c>
    </row>
    <row r="373" spans="1:40" x14ac:dyDescent="0.45">
      <c r="A373">
        <v>29</v>
      </c>
      <c r="B373" t="s">
        <v>37</v>
      </c>
      <c r="C373" t="s">
        <v>31</v>
      </c>
      <c r="D373">
        <v>1283</v>
      </c>
      <c r="E373" t="s">
        <v>39</v>
      </c>
      <c r="F373">
        <v>23</v>
      </c>
      <c r="G373">
        <v>3</v>
      </c>
      <c r="H373" t="s">
        <v>33</v>
      </c>
      <c r="I373">
        <v>495</v>
      </c>
      <c r="J373">
        <v>4</v>
      </c>
      <c r="K373" t="s">
        <v>40</v>
      </c>
      <c r="L373">
        <v>3</v>
      </c>
      <c r="M373">
        <v>1</v>
      </c>
      <c r="N373" t="s">
        <v>41</v>
      </c>
      <c r="O373">
        <v>4</v>
      </c>
      <c r="P373" t="s">
        <v>36</v>
      </c>
      <c r="Q373">
        <v>2201</v>
      </c>
      <c r="R373">
        <v>9</v>
      </c>
      <c r="S373" t="s">
        <v>37</v>
      </c>
      <c r="T373">
        <v>16</v>
      </c>
      <c r="U373">
        <v>3</v>
      </c>
      <c r="V373">
        <v>4</v>
      </c>
      <c r="W373">
        <v>0</v>
      </c>
      <c r="X373">
        <v>6</v>
      </c>
      <c r="Y373">
        <v>4</v>
      </c>
      <c r="Z373">
        <v>3</v>
      </c>
      <c r="AA373">
        <v>3</v>
      </c>
      <c r="AB373">
        <v>2</v>
      </c>
      <c r="AC373">
        <v>1</v>
      </c>
      <c r="AD373">
        <v>2</v>
      </c>
      <c r="AE373" t="str" cm="1">
        <f t="array" ref="AE373">_xlfn.IFS(G373=1,"Before College",G373=2,"College",G373=3,"Bachelor",G373=4,"Master",G373=5,"Doctor")</f>
        <v>Bachelor</v>
      </c>
      <c r="AF373" t="str" cm="1">
        <f t="array" ref="AF373">_xlfn.IFS(J373=1,"Low",J373=2,"Medium",J373=3,"High",J373=4,"Very High")</f>
        <v>Very High</v>
      </c>
      <c r="AG373" t="str" cm="1">
        <f t="array" ref="AG373">_xlfn.IFS(L373=1,"Low",L373=2,"Medium",L373=3,"High",L373=4,"Very High")</f>
        <v>High</v>
      </c>
      <c r="AH373" t="str" cm="1">
        <f t="array" ref="AH373">_xlfn.IFS(M373=1,"Junior employee",M373=2,"Mid-level",M373=3,"Senior",M373=4,"Manager",M373=5,"Executive")</f>
        <v>Junior employee</v>
      </c>
      <c r="AI373" t="str" cm="1">
        <f t="array" ref="AI373">_xlfn.IFS(O373=1,"Low",O373=2,"Medium",O373=3,"High",O373=4,"Very High")</f>
        <v>Very High</v>
      </c>
      <c r="AJ373" t="str" cm="1">
        <f t="array" ref="AJ373">_xlfn.IFS(U373=1,"Low",U373=2,"Good",U373=3,"Excellent",U373=4,"Outstanding")</f>
        <v>Excellent</v>
      </c>
      <c r="AK373" t="str" cm="1">
        <f t="array" ref="AK373">_xlfn.IFS(V373=1,"Low",V373=2,"Medium",V373=3,"High",V373=4,"Very High")</f>
        <v>Very High</v>
      </c>
      <c r="AL373" t="str" cm="1">
        <f t="array" ref="AL373">_xlfn.IFS(Z373=1,"Bad",Z373=2,"Good",Z373=3,"Better",Z373=4,"Best")</f>
        <v>Better</v>
      </c>
      <c r="AM373" t="str" cm="1">
        <f t="array" ref="AM373">_xlfn.IFS(W373=0,"No_stock",W373=1,"Low",W373=2,"Medium",W373=3,"High")</f>
        <v>No_stock</v>
      </c>
      <c r="AN373" t="str">
        <f t="shared" si="5"/>
        <v>Far</v>
      </c>
    </row>
    <row r="374" spans="1:40" x14ac:dyDescent="0.45">
      <c r="A374">
        <v>35</v>
      </c>
      <c r="B374" t="s">
        <v>37</v>
      </c>
      <c r="C374" t="s">
        <v>31</v>
      </c>
      <c r="D374">
        <v>755</v>
      </c>
      <c r="E374" t="s">
        <v>39</v>
      </c>
      <c r="F374">
        <v>9</v>
      </c>
      <c r="G374">
        <v>4</v>
      </c>
      <c r="H374" t="s">
        <v>33</v>
      </c>
      <c r="I374">
        <v>496</v>
      </c>
      <c r="J374">
        <v>3</v>
      </c>
      <c r="K374" t="s">
        <v>40</v>
      </c>
      <c r="L374">
        <v>2</v>
      </c>
      <c r="M374">
        <v>2</v>
      </c>
      <c r="N374" t="s">
        <v>48</v>
      </c>
      <c r="O374">
        <v>2</v>
      </c>
      <c r="P374" t="s">
        <v>36</v>
      </c>
      <c r="Q374">
        <v>6540</v>
      </c>
      <c r="R374">
        <v>9</v>
      </c>
      <c r="S374" t="s">
        <v>37</v>
      </c>
      <c r="T374">
        <v>19</v>
      </c>
      <c r="U374">
        <v>3</v>
      </c>
      <c r="V374">
        <v>3</v>
      </c>
      <c r="W374">
        <v>0</v>
      </c>
      <c r="X374">
        <v>10</v>
      </c>
      <c r="Y374">
        <v>5</v>
      </c>
      <c r="Z374">
        <v>3</v>
      </c>
      <c r="AA374">
        <v>1</v>
      </c>
      <c r="AB374">
        <v>1</v>
      </c>
      <c r="AC374">
        <v>0</v>
      </c>
      <c r="AD374">
        <v>0</v>
      </c>
      <c r="AE374" t="str" cm="1">
        <f t="array" ref="AE374">_xlfn.IFS(G374=1,"Before College",G374=2,"College",G374=3,"Bachelor",G374=4,"Master",G374=5,"Doctor")</f>
        <v>Master</v>
      </c>
      <c r="AF374" t="str" cm="1">
        <f t="array" ref="AF374">_xlfn.IFS(J374=1,"Low",J374=2,"Medium",J374=3,"High",J374=4,"Very High")</f>
        <v>High</v>
      </c>
      <c r="AG374" t="str" cm="1">
        <f t="array" ref="AG374">_xlfn.IFS(L374=1,"Low",L374=2,"Medium",L374=3,"High",L374=4,"Very High")</f>
        <v>Medium</v>
      </c>
      <c r="AH374" t="str" cm="1">
        <f t="array" ref="AH374">_xlfn.IFS(M374=1,"Junior employee",M374=2,"Mid-level",M374=3,"Senior",M374=4,"Manager",M374=5,"Executive")</f>
        <v>Mid-level</v>
      </c>
      <c r="AI374" t="str" cm="1">
        <f t="array" ref="AI374">_xlfn.IFS(O374=1,"Low",O374=2,"Medium",O374=3,"High",O374=4,"Very High")</f>
        <v>Medium</v>
      </c>
      <c r="AJ374" t="str" cm="1">
        <f t="array" ref="AJ374">_xlfn.IFS(U374=1,"Low",U374=2,"Good",U374=3,"Excellent",U374=4,"Outstanding")</f>
        <v>Excellent</v>
      </c>
      <c r="AK374" t="str" cm="1">
        <f t="array" ref="AK374">_xlfn.IFS(V374=1,"Low",V374=2,"Medium",V374=3,"High",V374=4,"Very High")</f>
        <v>High</v>
      </c>
      <c r="AL374" t="str" cm="1">
        <f t="array" ref="AL374">_xlfn.IFS(Z374=1,"Bad",Z374=2,"Good",Z374=3,"Better",Z374=4,"Best")</f>
        <v>Better</v>
      </c>
      <c r="AM374" t="str" cm="1">
        <f t="array" ref="AM374">_xlfn.IFS(W374=0,"No_stock",W374=1,"Low",W374=2,"Medium",W374=3,"High")</f>
        <v>No_stock</v>
      </c>
      <c r="AN374" t="str">
        <f t="shared" si="5"/>
        <v>Medium</v>
      </c>
    </row>
    <row r="375" spans="1:40" x14ac:dyDescent="0.45">
      <c r="A375">
        <v>27</v>
      </c>
      <c r="B375" t="s">
        <v>37</v>
      </c>
      <c r="C375" t="s">
        <v>31</v>
      </c>
      <c r="D375">
        <v>1469</v>
      </c>
      <c r="E375" t="s">
        <v>39</v>
      </c>
      <c r="F375">
        <v>1</v>
      </c>
      <c r="G375">
        <v>2</v>
      </c>
      <c r="H375" t="s">
        <v>45</v>
      </c>
      <c r="I375">
        <v>497</v>
      </c>
      <c r="J375">
        <v>4</v>
      </c>
      <c r="K375" t="s">
        <v>40</v>
      </c>
      <c r="L375">
        <v>3</v>
      </c>
      <c r="M375">
        <v>1</v>
      </c>
      <c r="N375" t="s">
        <v>44</v>
      </c>
      <c r="O375">
        <v>2</v>
      </c>
      <c r="P375" t="s">
        <v>46</v>
      </c>
      <c r="Q375">
        <v>3816</v>
      </c>
      <c r="R375">
        <v>1</v>
      </c>
      <c r="S375" t="s">
        <v>37</v>
      </c>
      <c r="T375">
        <v>11</v>
      </c>
      <c r="U375">
        <v>3</v>
      </c>
      <c r="V375">
        <v>2</v>
      </c>
      <c r="W375">
        <v>1</v>
      </c>
      <c r="X375">
        <v>5</v>
      </c>
      <c r="Y375">
        <v>2</v>
      </c>
      <c r="Z375">
        <v>3</v>
      </c>
      <c r="AA375">
        <v>5</v>
      </c>
      <c r="AB375">
        <v>2</v>
      </c>
      <c r="AC375">
        <v>0</v>
      </c>
      <c r="AD375">
        <v>4</v>
      </c>
      <c r="AE375" t="str" cm="1">
        <f t="array" ref="AE375">_xlfn.IFS(G375=1,"Before College",G375=2,"College",G375=3,"Bachelor",G375=4,"Master",G375=5,"Doctor")</f>
        <v>College</v>
      </c>
      <c r="AF375" t="str" cm="1">
        <f t="array" ref="AF375">_xlfn.IFS(J375=1,"Low",J375=2,"Medium",J375=3,"High",J375=4,"Very High")</f>
        <v>Very High</v>
      </c>
      <c r="AG375" t="str" cm="1">
        <f t="array" ref="AG375">_xlfn.IFS(L375=1,"Low",L375=2,"Medium",L375=3,"High",L375=4,"Very High")</f>
        <v>High</v>
      </c>
      <c r="AH375" t="str" cm="1">
        <f t="array" ref="AH375">_xlfn.IFS(M375=1,"Junior employee",M375=2,"Mid-level",M375=3,"Senior",M375=4,"Manager",M375=5,"Executive")</f>
        <v>Junior employee</v>
      </c>
      <c r="AI375" t="str" cm="1">
        <f t="array" ref="AI375">_xlfn.IFS(O375=1,"Low",O375=2,"Medium",O375=3,"High",O375=4,"Very High")</f>
        <v>Medium</v>
      </c>
      <c r="AJ375" t="str" cm="1">
        <f t="array" ref="AJ375">_xlfn.IFS(U375=1,"Low",U375=2,"Good",U375=3,"Excellent",U375=4,"Outstanding")</f>
        <v>Excellent</v>
      </c>
      <c r="AK375" t="str" cm="1">
        <f t="array" ref="AK375">_xlfn.IFS(V375=1,"Low",V375=2,"Medium",V375=3,"High",V375=4,"Very High")</f>
        <v>Medium</v>
      </c>
      <c r="AL375" t="str" cm="1">
        <f t="array" ref="AL375">_xlfn.IFS(Z375=1,"Bad",Z375=2,"Good",Z375=3,"Better",Z375=4,"Best")</f>
        <v>Better</v>
      </c>
      <c r="AM375" t="str" cm="1">
        <f t="array" ref="AM375">_xlfn.IFS(W375=0,"No_stock",W375=1,"Low",W375=2,"Medium",W375=3,"High")</f>
        <v>Low</v>
      </c>
      <c r="AN375" t="str">
        <f t="shared" si="5"/>
        <v>Near</v>
      </c>
    </row>
    <row r="376" spans="1:40" x14ac:dyDescent="0.45">
      <c r="A376">
        <v>28</v>
      </c>
      <c r="B376" t="s">
        <v>37</v>
      </c>
      <c r="C376" t="s">
        <v>31</v>
      </c>
      <c r="D376">
        <v>304</v>
      </c>
      <c r="E376" t="s">
        <v>32</v>
      </c>
      <c r="F376">
        <v>9</v>
      </c>
      <c r="G376">
        <v>4</v>
      </c>
      <c r="H376" t="s">
        <v>33</v>
      </c>
      <c r="I376">
        <v>498</v>
      </c>
      <c r="J376">
        <v>2</v>
      </c>
      <c r="K376" t="s">
        <v>40</v>
      </c>
      <c r="L376">
        <v>3</v>
      </c>
      <c r="M376">
        <v>2</v>
      </c>
      <c r="N376" t="s">
        <v>35</v>
      </c>
      <c r="O376">
        <v>4</v>
      </c>
      <c r="P376" t="s">
        <v>36</v>
      </c>
      <c r="Q376">
        <v>5253</v>
      </c>
      <c r="R376">
        <v>1</v>
      </c>
      <c r="S376" t="s">
        <v>37</v>
      </c>
      <c r="T376">
        <v>16</v>
      </c>
      <c r="U376">
        <v>3</v>
      </c>
      <c r="V376">
        <v>4</v>
      </c>
      <c r="W376">
        <v>0</v>
      </c>
      <c r="X376">
        <v>7</v>
      </c>
      <c r="Y376">
        <v>1</v>
      </c>
      <c r="Z376">
        <v>3</v>
      </c>
      <c r="AA376">
        <v>7</v>
      </c>
      <c r="AB376">
        <v>5</v>
      </c>
      <c r="AC376">
        <v>0</v>
      </c>
      <c r="AD376">
        <v>7</v>
      </c>
      <c r="AE376" t="str" cm="1">
        <f t="array" ref="AE376">_xlfn.IFS(G376=1,"Before College",G376=2,"College",G376=3,"Bachelor",G376=4,"Master",G376=5,"Doctor")</f>
        <v>Master</v>
      </c>
      <c r="AF376" t="str" cm="1">
        <f t="array" ref="AF376">_xlfn.IFS(J376=1,"Low",J376=2,"Medium",J376=3,"High",J376=4,"Very High")</f>
        <v>Medium</v>
      </c>
      <c r="AG376" t="str" cm="1">
        <f t="array" ref="AG376">_xlfn.IFS(L376=1,"Low",L376=2,"Medium",L376=3,"High",L376=4,"Very High")</f>
        <v>High</v>
      </c>
      <c r="AH376" t="str" cm="1">
        <f t="array" ref="AH376">_xlfn.IFS(M376=1,"Junior employee",M376=2,"Mid-level",M376=3,"Senior",M376=4,"Manager",M376=5,"Executive")</f>
        <v>Mid-level</v>
      </c>
      <c r="AI376" t="str" cm="1">
        <f t="array" ref="AI376">_xlfn.IFS(O376=1,"Low",O376=2,"Medium",O376=3,"High",O376=4,"Very High")</f>
        <v>Very High</v>
      </c>
      <c r="AJ376" t="str" cm="1">
        <f t="array" ref="AJ376">_xlfn.IFS(U376=1,"Low",U376=2,"Good",U376=3,"Excellent",U376=4,"Outstanding")</f>
        <v>Excellent</v>
      </c>
      <c r="AK376" t="str" cm="1">
        <f t="array" ref="AK376">_xlfn.IFS(V376=1,"Low",V376=2,"Medium",V376=3,"High",V376=4,"Very High")</f>
        <v>Very High</v>
      </c>
      <c r="AL376" t="str" cm="1">
        <f t="array" ref="AL376">_xlfn.IFS(Z376=1,"Bad",Z376=2,"Good",Z376=3,"Better",Z376=4,"Best")</f>
        <v>Better</v>
      </c>
      <c r="AM376" t="str" cm="1">
        <f t="array" ref="AM376">_xlfn.IFS(W376=0,"No_stock",W376=1,"Low",W376=2,"Medium",W376=3,"High")</f>
        <v>No_stock</v>
      </c>
      <c r="AN376" t="str">
        <f t="shared" si="5"/>
        <v>Medium</v>
      </c>
    </row>
    <row r="377" spans="1:40" x14ac:dyDescent="0.45">
      <c r="A377">
        <v>49</v>
      </c>
      <c r="B377" t="s">
        <v>37</v>
      </c>
      <c r="C377" t="s">
        <v>31</v>
      </c>
      <c r="D377">
        <v>1261</v>
      </c>
      <c r="E377" t="s">
        <v>39</v>
      </c>
      <c r="F377">
        <v>7</v>
      </c>
      <c r="G377">
        <v>3</v>
      </c>
      <c r="H377" t="s">
        <v>43</v>
      </c>
      <c r="I377">
        <v>499</v>
      </c>
      <c r="J377">
        <v>2</v>
      </c>
      <c r="K377" t="s">
        <v>40</v>
      </c>
      <c r="L377">
        <v>2</v>
      </c>
      <c r="M377">
        <v>3</v>
      </c>
      <c r="N377" t="s">
        <v>48</v>
      </c>
      <c r="O377">
        <v>3</v>
      </c>
      <c r="P377" t="s">
        <v>36</v>
      </c>
      <c r="Q377">
        <v>10965</v>
      </c>
      <c r="R377">
        <v>8</v>
      </c>
      <c r="S377" t="s">
        <v>37</v>
      </c>
      <c r="T377">
        <v>24</v>
      </c>
      <c r="U377">
        <v>4</v>
      </c>
      <c r="V377">
        <v>3</v>
      </c>
      <c r="W377">
        <v>0</v>
      </c>
      <c r="X377">
        <v>26</v>
      </c>
      <c r="Y377">
        <v>2</v>
      </c>
      <c r="Z377">
        <v>3</v>
      </c>
      <c r="AA377">
        <v>5</v>
      </c>
      <c r="AB377">
        <v>2</v>
      </c>
      <c r="AC377">
        <v>0</v>
      </c>
      <c r="AD377">
        <v>0</v>
      </c>
      <c r="AE377" t="str" cm="1">
        <f t="array" ref="AE377">_xlfn.IFS(G377=1,"Before College",G377=2,"College",G377=3,"Bachelor",G377=4,"Master",G377=5,"Doctor")</f>
        <v>Bachelor</v>
      </c>
      <c r="AF377" t="str" cm="1">
        <f t="array" ref="AF377">_xlfn.IFS(J377=1,"Low",J377=2,"Medium",J377=3,"High",J377=4,"Very High")</f>
        <v>Medium</v>
      </c>
      <c r="AG377" t="str" cm="1">
        <f t="array" ref="AG377">_xlfn.IFS(L377=1,"Low",L377=2,"Medium",L377=3,"High",L377=4,"Very High")</f>
        <v>Medium</v>
      </c>
      <c r="AH377" t="str" cm="1">
        <f t="array" ref="AH377">_xlfn.IFS(M377=1,"Junior employee",M377=2,"Mid-level",M377=3,"Senior",M377=4,"Manager",M377=5,"Executive")</f>
        <v>Senior</v>
      </c>
      <c r="AI377" t="str" cm="1">
        <f t="array" ref="AI377">_xlfn.IFS(O377=1,"Low",O377=2,"Medium",O377=3,"High",O377=4,"Very High")</f>
        <v>High</v>
      </c>
      <c r="AJ377" t="str" cm="1">
        <f t="array" ref="AJ377">_xlfn.IFS(U377=1,"Low",U377=2,"Good",U377=3,"Excellent",U377=4,"Outstanding")</f>
        <v>Outstanding</v>
      </c>
      <c r="AK377" t="str" cm="1">
        <f t="array" ref="AK377">_xlfn.IFS(V377=1,"Low",V377=2,"Medium",V377=3,"High",V377=4,"Very High")</f>
        <v>High</v>
      </c>
      <c r="AL377" t="str" cm="1">
        <f t="array" ref="AL377">_xlfn.IFS(Z377=1,"Bad",Z377=2,"Good",Z377=3,"Better",Z377=4,"Best")</f>
        <v>Better</v>
      </c>
      <c r="AM377" t="str" cm="1">
        <f t="array" ref="AM377">_xlfn.IFS(W377=0,"No_stock",W377=1,"Low",W377=2,"Medium",W377=3,"High")</f>
        <v>No_stock</v>
      </c>
      <c r="AN377" t="str">
        <f t="shared" si="5"/>
        <v>Medium</v>
      </c>
    </row>
    <row r="378" spans="1:40" x14ac:dyDescent="0.45">
      <c r="A378">
        <v>51</v>
      </c>
      <c r="B378" t="s">
        <v>37</v>
      </c>
      <c r="C378" t="s">
        <v>31</v>
      </c>
      <c r="D378">
        <v>1178</v>
      </c>
      <c r="E378" t="s">
        <v>32</v>
      </c>
      <c r="F378">
        <v>14</v>
      </c>
      <c r="G378">
        <v>2</v>
      </c>
      <c r="H378" t="s">
        <v>33</v>
      </c>
      <c r="I378">
        <v>500</v>
      </c>
      <c r="J378">
        <v>3</v>
      </c>
      <c r="K378" t="s">
        <v>34</v>
      </c>
      <c r="L378">
        <v>3</v>
      </c>
      <c r="M378">
        <v>2</v>
      </c>
      <c r="N378" t="s">
        <v>35</v>
      </c>
      <c r="O378">
        <v>4</v>
      </c>
      <c r="P378" t="s">
        <v>42</v>
      </c>
      <c r="Q378">
        <v>4936</v>
      </c>
      <c r="R378">
        <v>4</v>
      </c>
      <c r="S378" t="s">
        <v>37</v>
      </c>
      <c r="T378">
        <v>11</v>
      </c>
      <c r="U378">
        <v>3</v>
      </c>
      <c r="V378">
        <v>3</v>
      </c>
      <c r="W378">
        <v>1</v>
      </c>
      <c r="X378">
        <v>18</v>
      </c>
      <c r="Y378">
        <v>2</v>
      </c>
      <c r="Z378">
        <v>2</v>
      </c>
      <c r="AA378">
        <v>7</v>
      </c>
      <c r="AB378">
        <v>7</v>
      </c>
      <c r="AC378">
        <v>0</v>
      </c>
      <c r="AD378">
        <v>7</v>
      </c>
      <c r="AE378" t="str" cm="1">
        <f t="array" ref="AE378">_xlfn.IFS(G378=1,"Before College",G378=2,"College",G378=3,"Bachelor",G378=4,"Master",G378=5,"Doctor")</f>
        <v>College</v>
      </c>
      <c r="AF378" t="str" cm="1">
        <f t="array" ref="AF378">_xlfn.IFS(J378=1,"Low",J378=2,"Medium",J378=3,"High",J378=4,"Very High")</f>
        <v>High</v>
      </c>
      <c r="AG378" t="str" cm="1">
        <f t="array" ref="AG378">_xlfn.IFS(L378=1,"Low",L378=2,"Medium",L378=3,"High",L378=4,"Very High")</f>
        <v>High</v>
      </c>
      <c r="AH378" t="str" cm="1">
        <f t="array" ref="AH378">_xlfn.IFS(M378=1,"Junior employee",M378=2,"Mid-level",M378=3,"Senior",M378=4,"Manager",M378=5,"Executive")</f>
        <v>Mid-level</v>
      </c>
      <c r="AI378" t="str" cm="1">
        <f t="array" ref="AI378">_xlfn.IFS(O378=1,"Low",O378=2,"Medium",O378=3,"High",O378=4,"Very High")</f>
        <v>Very High</v>
      </c>
      <c r="AJ378" t="str" cm="1">
        <f t="array" ref="AJ378">_xlfn.IFS(U378=1,"Low",U378=2,"Good",U378=3,"Excellent",U378=4,"Outstanding")</f>
        <v>Excellent</v>
      </c>
      <c r="AK378" t="str" cm="1">
        <f t="array" ref="AK378">_xlfn.IFS(V378=1,"Low",V378=2,"Medium",V378=3,"High",V378=4,"Very High")</f>
        <v>High</v>
      </c>
      <c r="AL378" t="str" cm="1">
        <f t="array" ref="AL378">_xlfn.IFS(Z378=1,"Bad",Z378=2,"Good",Z378=3,"Better",Z378=4,"Best")</f>
        <v>Good</v>
      </c>
      <c r="AM378" t="str" cm="1">
        <f t="array" ref="AM378">_xlfn.IFS(W378=0,"No_stock",W378=1,"Low",W378=2,"Medium",W378=3,"High")</f>
        <v>Low</v>
      </c>
      <c r="AN378" t="str">
        <f t="shared" si="5"/>
        <v>Medium</v>
      </c>
    </row>
    <row r="379" spans="1:40" x14ac:dyDescent="0.45">
      <c r="A379">
        <v>36</v>
      </c>
      <c r="B379" t="s">
        <v>37</v>
      </c>
      <c r="C379" t="s">
        <v>31</v>
      </c>
      <c r="D379">
        <v>329</v>
      </c>
      <c r="E379" t="s">
        <v>39</v>
      </c>
      <c r="F379">
        <v>2</v>
      </c>
      <c r="G379">
        <v>3</v>
      </c>
      <c r="H379" t="s">
        <v>33</v>
      </c>
      <c r="I379">
        <v>501</v>
      </c>
      <c r="J379">
        <v>4</v>
      </c>
      <c r="K379" t="s">
        <v>34</v>
      </c>
      <c r="L379">
        <v>3</v>
      </c>
      <c r="M379">
        <v>1</v>
      </c>
      <c r="N379" t="s">
        <v>41</v>
      </c>
      <c r="O379">
        <v>3</v>
      </c>
      <c r="P379" t="s">
        <v>42</v>
      </c>
      <c r="Q379">
        <v>2543</v>
      </c>
      <c r="R379">
        <v>4</v>
      </c>
      <c r="S379" t="s">
        <v>37</v>
      </c>
      <c r="T379">
        <v>13</v>
      </c>
      <c r="U379">
        <v>3</v>
      </c>
      <c r="V379">
        <v>2</v>
      </c>
      <c r="W379">
        <v>1</v>
      </c>
      <c r="X379">
        <v>6</v>
      </c>
      <c r="Y379">
        <v>3</v>
      </c>
      <c r="Z379">
        <v>3</v>
      </c>
      <c r="AA379">
        <v>2</v>
      </c>
      <c r="AB379">
        <v>2</v>
      </c>
      <c r="AC379">
        <v>2</v>
      </c>
      <c r="AD379">
        <v>2</v>
      </c>
      <c r="AE379" t="str" cm="1">
        <f t="array" ref="AE379">_xlfn.IFS(G379=1,"Before College",G379=2,"College",G379=3,"Bachelor",G379=4,"Master",G379=5,"Doctor")</f>
        <v>Bachelor</v>
      </c>
      <c r="AF379" t="str" cm="1">
        <f t="array" ref="AF379">_xlfn.IFS(J379=1,"Low",J379=2,"Medium",J379=3,"High",J379=4,"Very High")</f>
        <v>Very High</v>
      </c>
      <c r="AG379" t="str" cm="1">
        <f t="array" ref="AG379">_xlfn.IFS(L379=1,"Low",L379=2,"Medium",L379=3,"High",L379=4,"Very High")</f>
        <v>High</v>
      </c>
      <c r="AH379" t="str" cm="1">
        <f t="array" ref="AH379">_xlfn.IFS(M379=1,"Junior employee",M379=2,"Mid-level",M379=3,"Senior",M379=4,"Manager",M379=5,"Executive")</f>
        <v>Junior employee</v>
      </c>
      <c r="AI379" t="str" cm="1">
        <f t="array" ref="AI379">_xlfn.IFS(O379=1,"Low",O379=2,"Medium",O379=3,"High",O379=4,"Very High")</f>
        <v>High</v>
      </c>
      <c r="AJ379" t="str" cm="1">
        <f t="array" ref="AJ379">_xlfn.IFS(U379=1,"Low",U379=2,"Good",U379=3,"Excellent",U379=4,"Outstanding")</f>
        <v>Excellent</v>
      </c>
      <c r="AK379" t="str" cm="1">
        <f t="array" ref="AK379">_xlfn.IFS(V379=1,"Low",V379=2,"Medium",V379=3,"High",V379=4,"Very High")</f>
        <v>Medium</v>
      </c>
      <c r="AL379" t="str" cm="1">
        <f t="array" ref="AL379">_xlfn.IFS(Z379=1,"Bad",Z379=2,"Good",Z379=3,"Better",Z379=4,"Best")</f>
        <v>Better</v>
      </c>
      <c r="AM379" t="str" cm="1">
        <f t="array" ref="AM379">_xlfn.IFS(W379=0,"No_stock",W379=1,"Low",W379=2,"Medium",W379=3,"High")</f>
        <v>Low</v>
      </c>
      <c r="AN379" t="str">
        <f t="shared" si="5"/>
        <v>Near</v>
      </c>
    </row>
    <row r="380" spans="1:40" x14ac:dyDescent="0.45">
      <c r="A380">
        <v>34</v>
      </c>
      <c r="B380" t="s">
        <v>30</v>
      </c>
      <c r="C380" t="s">
        <v>49</v>
      </c>
      <c r="D380">
        <v>1362</v>
      </c>
      <c r="E380" t="s">
        <v>32</v>
      </c>
      <c r="F380">
        <v>19</v>
      </c>
      <c r="G380">
        <v>3</v>
      </c>
      <c r="H380" t="s">
        <v>53</v>
      </c>
      <c r="I380">
        <v>502</v>
      </c>
      <c r="J380">
        <v>1</v>
      </c>
      <c r="K380" t="s">
        <v>40</v>
      </c>
      <c r="L380">
        <v>4</v>
      </c>
      <c r="M380">
        <v>2</v>
      </c>
      <c r="N380" t="s">
        <v>35</v>
      </c>
      <c r="O380">
        <v>4</v>
      </c>
      <c r="P380" t="s">
        <v>36</v>
      </c>
      <c r="Q380">
        <v>5304</v>
      </c>
      <c r="R380">
        <v>8</v>
      </c>
      <c r="S380" t="s">
        <v>30</v>
      </c>
      <c r="T380">
        <v>13</v>
      </c>
      <c r="U380">
        <v>3</v>
      </c>
      <c r="V380">
        <v>2</v>
      </c>
      <c r="W380">
        <v>0</v>
      </c>
      <c r="X380">
        <v>9</v>
      </c>
      <c r="Y380">
        <v>3</v>
      </c>
      <c r="Z380">
        <v>2</v>
      </c>
      <c r="AA380">
        <v>5</v>
      </c>
      <c r="AB380">
        <v>2</v>
      </c>
      <c r="AC380">
        <v>0</v>
      </c>
      <c r="AD380">
        <v>4</v>
      </c>
      <c r="AE380" t="str" cm="1">
        <f t="array" ref="AE380">_xlfn.IFS(G380=1,"Before College",G380=2,"College",G380=3,"Bachelor",G380=4,"Master",G380=5,"Doctor")</f>
        <v>Bachelor</v>
      </c>
      <c r="AF380" t="str" cm="1">
        <f t="array" ref="AF380">_xlfn.IFS(J380=1,"Low",J380=2,"Medium",J380=3,"High",J380=4,"Very High")</f>
        <v>Low</v>
      </c>
      <c r="AG380" t="str" cm="1">
        <f t="array" ref="AG380">_xlfn.IFS(L380=1,"Low",L380=2,"Medium",L380=3,"High",L380=4,"Very High")</f>
        <v>Very High</v>
      </c>
      <c r="AH380" t="str" cm="1">
        <f t="array" ref="AH380">_xlfn.IFS(M380=1,"Junior employee",M380=2,"Mid-level",M380=3,"Senior",M380=4,"Manager",M380=5,"Executive")</f>
        <v>Mid-level</v>
      </c>
      <c r="AI380" t="str" cm="1">
        <f t="array" ref="AI380">_xlfn.IFS(O380=1,"Low",O380=2,"Medium",O380=3,"High",O380=4,"Very High")</f>
        <v>Very High</v>
      </c>
      <c r="AJ380" t="str" cm="1">
        <f t="array" ref="AJ380">_xlfn.IFS(U380=1,"Low",U380=2,"Good",U380=3,"Excellent",U380=4,"Outstanding")</f>
        <v>Excellent</v>
      </c>
      <c r="AK380" t="str" cm="1">
        <f t="array" ref="AK380">_xlfn.IFS(V380=1,"Low",V380=2,"Medium",V380=3,"High",V380=4,"Very High")</f>
        <v>Medium</v>
      </c>
      <c r="AL380" t="str" cm="1">
        <f t="array" ref="AL380">_xlfn.IFS(Z380=1,"Bad",Z380=2,"Good",Z380=3,"Better",Z380=4,"Best")</f>
        <v>Good</v>
      </c>
      <c r="AM380" t="str" cm="1">
        <f t="array" ref="AM380">_xlfn.IFS(W380=0,"No_stock",W380=1,"Low",W380=2,"Medium",W380=3,"High")</f>
        <v>No_stock</v>
      </c>
      <c r="AN380" t="str">
        <f t="shared" si="5"/>
        <v>Far</v>
      </c>
    </row>
    <row r="381" spans="1:40" x14ac:dyDescent="0.45">
      <c r="A381">
        <v>55</v>
      </c>
      <c r="B381" t="s">
        <v>37</v>
      </c>
      <c r="C381" t="s">
        <v>31</v>
      </c>
      <c r="D381">
        <v>1311</v>
      </c>
      <c r="E381" t="s">
        <v>39</v>
      </c>
      <c r="F381">
        <v>2</v>
      </c>
      <c r="G381">
        <v>3</v>
      </c>
      <c r="H381" t="s">
        <v>33</v>
      </c>
      <c r="I381">
        <v>505</v>
      </c>
      <c r="J381">
        <v>3</v>
      </c>
      <c r="K381" t="s">
        <v>34</v>
      </c>
      <c r="L381">
        <v>3</v>
      </c>
      <c r="M381">
        <v>4</v>
      </c>
      <c r="N381" t="s">
        <v>50</v>
      </c>
      <c r="O381">
        <v>4</v>
      </c>
      <c r="P381" t="s">
        <v>36</v>
      </c>
      <c r="Q381">
        <v>16659</v>
      </c>
      <c r="R381">
        <v>2</v>
      </c>
      <c r="S381" t="s">
        <v>30</v>
      </c>
      <c r="T381">
        <v>13</v>
      </c>
      <c r="U381">
        <v>3</v>
      </c>
      <c r="V381">
        <v>3</v>
      </c>
      <c r="W381">
        <v>0</v>
      </c>
      <c r="X381">
        <v>30</v>
      </c>
      <c r="Y381">
        <v>2</v>
      </c>
      <c r="Z381">
        <v>3</v>
      </c>
      <c r="AA381">
        <v>5</v>
      </c>
      <c r="AB381">
        <v>4</v>
      </c>
      <c r="AC381">
        <v>1</v>
      </c>
      <c r="AD381">
        <v>2</v>
      </c>
      <c r="AE381" t="str" cm="1">
        <f t="array" ref="AE381">_xlfn.IFS(G381=1,"Before College",G381=2,"College",G381=3,"Bachelor",G381=4,"Master",G381=5,"Doctor")</f>
        <v>Bachelor</v>
      </c>
      <c r="AF381" t="str" cm="1">
        <f t="array" ref="AF381">_xlfn.IFS(J381=1,"Low",J381=2,"Medium",J381=3,"High",J381=4,"Very High")</f>
        <v>High</v>
      </c>
      <c r="AG381" t="str" cm="1">
        <f t="array" ref="AG381">_xlfn.IFS(L381=1,"Low",L381=2,"Medium",L381=3,"High",L381=4,"Very High")</f>
        <v>High</v>
      </c>
      <c r="AH381" t="str" cm="1">
        <f t="array" ref="AH381">_xlfn.IFS(M381=1,"Junior employee",M381=2,"Mid-level",M381=3,"Senior",M381=4,"Manager",M381=5,"Executive")</f>
        <v>Manager</v>
      </c>
      <c r="AI381" t="str" cm="1">
        <f t="array" ref="AI381">_xlfn.IFS(O381=1,"Low",O381=2,"Medium",O381=3,"High",O381=4,"Very High")</f>
        <v>Very High</v>
      </c>
      <c r="AJ381" t="str" cm="1">
        <f t="array" ref="AJ381">_xlfn.IFS(U381=1,"Low",U381=2,"Good",U381=3,"Excellent",U381=4,"Outstanding")</f>
        <v>Excellent</v>
      </c>
      <c r="AK381" t="str" cm="1">
        <f t="array" ref="AK381">_xlfn.IFS(V381=1,"Low",V381=2,"Medium",V381=3,"High",V381=4,"Very High")</f>
        <v>High</v>
      </c>
      <c r="AL381" t="str" cm="1">
        <f t="array" ref="AL381">_xlfn.IFS(Z381=1,"Bad",Z381=2,"Good",Z381=3,"Better",Z381=4,"Best")</f>
        <v>Better</v>
      </c>
      <c r="AM381" t="str" cm="1">
        <f t="array" ref="AM381">_xlfn.IFS(W381=0,"No_stock",W381=1,"Low",W381=2,"Medium",W381=3,"High")</f>
        <v>No_stock</v>
      </c>
      <c r="AN381" t="str">
        <f t="shared" si="5"/>
        <v>Near</v>
      </c>
    </row>
    <row r="382" spans="1:40" x14ac:dyDescent="0.45">
      <c r="A382">
        <v>24</v>
      </c>
      <c r="B382" t="s">
        <v>37</v>
      </c>
      <c r="C382" t="s">
        <v>31</v>
      </c>
      <c r="D382">
        <v>1371</v>
      </c>
      <c r="E382" t="s">
        <v>32</v>
      </c>
      <c r="F382">
        <v>10</v>
      </c>
      <c r="G382">
        <v>4</v>
      </c>
      <c r="H382" t="s">
        <v>53</v>
      </c>
      <c r="I382">
        <v>507</v>
      </c>
      <c r="J382">
        <v>4</v>
      </c>
      <c r="K382" t="s">
        <v>34</v>
      </c>
      <c r="L382">
        <v>3</v>
      </c>
      <c r="M382">
        <v>2</v>
      </c>
      <c r="N382" t="s">
        <v>35</v>
      </c>
      <c r="O382">
        <v>3</v>
      </c>
      <c r="P382" t="s">
        <v>46</v>
      </c>
      <c r="Q382">
        <v>4260</v>
      </c>
      <c r="R382">
        <v>1</v>
      </c>
      <c r="S382" t="s">
        <v>30</v>
      </c>
      <c r="T382">
        <v>12</v>
      </c>
      <c r="U382">
        <v>3</v>
      </c>
      <c r="V382">
        <v>4</v>
      </c>
      <c r="W382">
        <v>1</v>
      </c>
      <c r="X382">
        <v>5</v>
      </c>
      <c r="Y382">
        <v>2</v>
      </c>
      <c r="Z382">
        <v>4</v>
      </c>
      <c r="AA382">
        <v>5</v>
      </c>
      <c r="AB382">
        <v>2</v>
      </c>
      <c r="AC382">
        <v>0</v>
      </c>
      <c r="AD382">
        <v>3</v>
      </c>
      <c r="AE382" t="str" cm="1">
        <f t="array" ref="AE382">_xlfn.IFS(G382=1,"Before College",G382=2,"College",G382=3,"Bachelor",G382=4,"Master",G382=5,"Doctor")</f>
        <v>Master</v>
      </c>
      <c r="AF382" t="str" cm="1">
        <f t="array" ref="AF382">_xlfn.IFS(J382=1,"Low",J382=2,"Medium",J382=3,"High",J382=4,"Very High")</f>
        <v>Very High</v>
      </c>
      <c r="AG382" t="str" cm="1">
        <f t="array" ref="AG382">_xlfn.IFS(L382=1,"Low",L382=2,"Medium",L382=3,"High",L382=4,"Very High")</f>
        <v>High</v>
      </c>
      <c r="AH382" t="str" cm="1">
        <f t="array" ref="AH382">_xlfn.IFS(M382=1,"Junior employee",M382=2,"Mid-level",M382=3,"Senior",M382=4,"Manager",M382=5,"Executive")</f>
        <v>Mid-level</v>
      </c>
      <c r="AI382" t="str" cm="1">
        <f t="array" ref="AI382">_xlfn.IFS(O382=1,"Low",O382=2,"Medium",O382=3,"High",O382=4,"Very High")</f>
        <v>High</v>
      </c>
      <c r="AJ382" t="str" cm="1">
        <f t="array" ref="AJ382">_xlfn.IFS(U382=1,"Low",U382=2,"Good",U382=3,"Excellent",U382=4,"Outstanding")</f>
        <v>Excellent</v>
      </c>
      <c r="AK382" t="str" cm="1">
        <f t="array" ref="AK382">_xlfn.IFS(V382=1,"Low",V382=2,"Medium",V382=3,"High",V382=4,"Very High")</f>
        <v>Very High</v>
      </c>
      <c r="AL382" t="str" cm="1">
        <f t="array" ref="AL382">_xlfn.IFS(Z382=1,"Bad",Z382=2,"Good",Z382=3,"Better",Z382=4,"Best")</f>
        <v>Best</v>
      </c>
      <c r="AM382" t="str" cm="1">
        <f t="array" ref="AM382">_xlfn.IFS(W382=0,"No_stock",W382=1,"Low",W382=2,"Medium",W382=3,"High")</f>
        <v>Low</v>
      </c>
      <c r="AN382" t="str">
        <f t="shared" si="5"/>
        <v>Medium</v>
      </c>
    </row>
    <row r="383" spans="1:40" x14ac:dyDescent="0.45">
      <c r="A383">
        <v>30</v>
      </c>
      <c r="B383" t="s">
        <v>37</v>
      </c>
      <c r="C383" t="s">
        <v>31</v>
      </c>
      <c r="D383">
        <v>202</v>
      </c>
      <c r="E383" t="s">
        <v>32</v>
      </c>
      <c r="F383">
        <v>2</v>
      </c>
      <c r="G383">
        <v>1</v>
      </c>
      <c r="H383" t="s">
        <v>54</v>
      </c>
      <c r="I383">
        <v>508</v>
      </c>
      <c r="J383">
        <v>3</v>
      </c>
      <c r="K383" t="s">
        <v>40</v>
      </c>
      <c r="L383">
        <v>3</v>
      </c>
      <c r="M383">
        <v>1</v>
      </c>
      <c r="N383" t="s">
        <v>51</v>
      </c>
      <c r="O383">
        <v>2</v>
      </c>
      <c r="P383" t="s">
        <v>42</v>
      </c>
      <c r="Q383">
        <v>2476</v>
      </c>
      <c r="R383">
        <v>1</v>
      </c>
      <c r="S383" t="s">
        <v>37</v>
      </c>
      <c r="T383">
        <v>18</v>
      </c>
      <c r="U383">
        <v>3</v>
      </c>
      <c r="V383">
        <v>1</v>
      </c>
      <c r="W383">
        <v>1</v>
      </c>
      <c r="X383">
        <v>1</v>
      </c>
      <c r="Y383">
        <v>3</v>
      </c>
      <c r="Z383">
        <v>3</v>
      </c>
      <c r="AA383">
        <v>1</v>
      </c>
      <c r="AB383">
        <v>0</v>
      </c>
      <c r="AC383">
        <v>0</v>
      </c>
      <c r="AD383">
        <v>0</v>
      </c>
      <c r="AE383" t="str" cm="1">
        <f t="array" ref="AE383">_xlfn.IFS(G383=1,"Before College",G383=2,"College",G383=3,"Bachelor",G383=4,"Master",G383=5,"Doctor")</f>
        <v>Before College</v>
      </c>
      <c r="AF383" t="str" cm="1">
        <f t="array" ref="AF383">_xlfn.IFS(J383=1,"Low",J383=2,"Medium",J383=3,"High",J383=4,"Very High")</f>
        <v>High</v>
      </c>
      <c r="AG383" t="str" cm="1">
        <f t="array" ref="AG383">_xlfn.IFS(L383=1,"Low",L383=2,"Medium",L383=3,"High",L383=4,"Very High")</f>
        <v>High</v>
      </c>
      <c r="AH383" t="str" cm="1">
        <f t="array" ref="AH383">_xlfn.IFS(M383=1,"Junior employee",M383=2,"Mid-level",M383=3,"Senior",M383=4,"Manager",M383=5,"Executive")</f>
        <v>Junior employee</v>
      </c>
      <c r="AI383" t="str" cm="1">
        <f t="array" ref="AI383">_xlfn.IFS(O383=1,"Low",O383=2,"Medium",O383=3,"High",O383=4,"Very High")</f>
        <v>Medium</v>
      </c>
      <c r="AJ383" t="str" cm="1">
        <f t="array" ref="AJ383">_xlfn.IFS(U383=1,"Low",U383=2,"Good",U383=3,"Excellent",U383=4,"Outstanding")</f>
        <v>Excellent</v>
      </c>
      <c r="AK383" t="str" cm="1">
        <f t="array" ref="AK383">_xlfn.IFS(V383=1,"Low",V383=2,"Medium",V383=3,"High",V383=4,"Very High")</f>
        <v>Low</v>
      </c>
      <c r="AL383" t="str" cm="1">
        <f t="array" ref="AL383">_xlfn.IFS(Z383=1,"Bad",Z383=2,"Good",Z383=3,"Better",Z383=4,"Best")</f>
        <v>Better</v>
      </c>
      <c r="AM383" t="str" cm="1">
        <f t="array" ref="AM383">_xlfn.IFS(W383=0,"No_stock",W383=1,"Low",W383=2,"Medium",W383=3,"High")</f>
        <v>Low</v>
      </c>
      <c r="AN383" t="str">
        <f t="shared" si="5"/>
        <v>Near</v>
      </c>
    </row>
    <row r="384" spans="1:40" x14ac:dyDescent="0.45">
      <c r="A384">
        <v>26</v>
      </c>
      <c r="B384" t="s">
        <v>30</v>
      </c>
      <c r="C384" t="s">
        <v>38</v>
      </c>
      <c r="D384">
        <v>575</v>
      </c>
      <c r="E384" t="s">
        <v>39</v>
      </c>
      <c r="F384">
        <v>3</v>
      </c>
      <c r="G384">
        <v>1</v>
      </c>
      <c r="H384" t="s">
        <v>54</v>
      </c>
      <c r="I384">
        <v>510</v>
      </c>
      <c r="J384">
        <v>3</v>
      </c>
      <c r="K384" t="s">
        <v>40</v>
      </c>
      <c r="L384">
        <v>3</v>
      </c>
      <c r="M384">
        <v>1</v>
      </c>
      <c r="N384" t="s">
        <v>41</v>
      </c>
      <c r="O384">
        <v>1</v>
      </c>
      <c r="P384" t="s">
        <v>36</v>
      </c>
      <c r="Q384">
        <v>3102</v>
      </c>
      <c r="R384">
        <v>0</v>
      </c>
      <c r="S384" t="s">
        <v>37</v>
      </c>
      <c r="T384">
        <v>22</v>
      </c>
      <c r="U384">
        <v>4</v>
      </c>
      <c r="V384">
        <v>3</v>
      </c>
      <c r="W384">
        <v>0</v>
      </c>
      <c r="X384">
        <v>7</v>
      </c>
      <c r="Y384">
        <v>2</v>
      </c>
      <c r="Z384">
        <v>3</v>
      </c>
      <c r="AA384">
        <v>6</v>
      </c>
      <c r="AB384">
        <v>4</v>
      </c>
      <c r="AC384">
        <v>0</v>
      </c>
      <c r="AD384">
        <v>4</v>
      </c>
      <c r="AE384" t="str" cm="1">
        <f t="array" ref="AE384">_xlfn.IFS(G384=1,"Before College",G384=2,"College",G384=3,"Bachelor",G384=4,"Master",G384=5,"Doctor")</f>
        <v>Before College</v>
      </c>
      <c r="AF384" t="str" cm="1">
        <f t="array" ref="AF384">_xlfn.IFS(J384=1,"Low",J384=2,"Medium",J384=3,"High",J384=4,"Very High")</f>
        <v>High</v>
      </c>
      <c r="AG384" t="str" cm="1">
        <f t="array" ref="AG384">_xlfn.IFS(L384=1,"Low",L384=2,"Medium",L384=3,"High",L384=4,"Very High")</f>
        <v>High</v>
      </c>
      <c r="AH384" t="str" cm="1">
        <f t="array" ref="AH384">_xlfn.IFS(M384=1,"Junior employee",M384=2,"Mid-level",M384=3,"Senior",M384=4,"Manager",M384=5,"Executive")</f>
        <v>Junior employee</v>
      </c>
      <c r="AI384" t="str" cm="1">
        <f t="array" ref="AI384">_xlfn.IFS(O384=1,"Low",O384=2,"Medium",O384=3,"High",O384=4,"Very High")</f>
        <v>Low</v>
      </c>
      <c r="AJ384" t="str" cm="1">
        <f t="array" ref="AJ384">_xlfn.IFS(U384=1,"Low",U384=2,"Good",U384=3,"Excellent",U384=4,"Outstanding")</f>
        <v>Outstanding</v>
      </c>
      <c r="AK384" t="str" cm="1">
        <f t="array" ref="AK384">_xlfn.IFS(V384=1,"Low",V384=2,"Medium",V384=3,"High",V384=4,"Very High")</f>
        <v>High</v>
      </c>
      <c r="AL384" t="str" cm="1">
        <f t="array" ref="AL384">_xlfn.IFS(Z384=1,"Bad",Z384=2,"Good",Z384=3,"Better",Z384=4,"Best")</f>
        <v>Better</v>
      </c>
      <c r="AM384" t="str" cm="1">
        <f t="array" ref="AM384">_xlfn.IFS(W384=0,"No_stock",W384=1,"Low",W384=2,"Medium",W384=3,"High")</f>
        <v>No_stock</v>
      </c>
      <c r="AN384" t="str">
        <f t="shared" si="5"/>
        <v>Near</v>
      </c>
    </row>
    <row r="385" spans="1:40" x14ac:dyDescent="0.45">
      <c r="A385">
        <v>22</v>
      </c>
      <c r="B385" t="s">
        <v>37</v>
      </c>
      <c r="C385" t="s">
        <v>31</v>
      </c>
      <c r="D385">
        <v>253</v>
      </c>
      <c r="E385" t="s">
        <v>39</v>
      </c>
      <c r="F385">
        <v>11</v>
      </c>
      <c r="G385">
        <v>3</v>
      </c>
      <c r="H385" t="s">
        <v>45</v>
      </c>
      <c r="I385">
        <v>511</v>
      </c>
      <c r="J385">
        <v>1</v>
      </c>
      <c r="K385" t="s">
        <v>34</v>
      </c>
      <c r="L385">
        <v>3</v>
      </c>
      <c r="M385">
        <v>1</v>
      </c>
      <c r="N385" t="s">
        <v>41</v>
      </c>
      <c r="O385">
        <v>2</v>
      </c>
      <c r="P385" t="s">
        <v>42</v>
      </c>
      <c r="Q385">
        <v>2244</v>
      </c>
      <c r="R385">
        <v>1</v>
      </c>
      <c r="S385" t="s">
        <v>37</v>
      </c>
      <c r="T385">
        <v>13</v>
      </c>
      <c r="U385">
        <v>3</v>
      </c>
      <c r="V385">
        <v>4</v>
      </c>
      <c r="W385">
        <v>1</v>
      </c>
      <c r="X385">
        <v>2</v>
      </c>
      <c r="Y385">
        <v>1</v>
      </c>
      <c r="Z385">
        <v>3</v>
      </c>
      <c r="AA385">
        <v>2</v>
      </c>
      <c r="AB385">
        <v>1</v>
      </c>
      <c r="AC385">
        <v>1</v>
      </c>
      <c r="AD385">
        <v>2</v>
      </c>
      <c r="AE385" t="str" cm="1">
        <f t="array" ref="AE385">_xlfn.IFS(G385=1,"Before College",G385=2,"College",G385=3,"Bachelor",G385=4,"Master",G385=5,"Doctor")</f>
        <v>Bachelor</v>
      </c>
      <c r="AF385" t="str" cm="1">
        <f t="array" ref="AF385">_xlfn.IFS(J385=1,"Low",J385=2,"Medium",J385=3,"High",J385=4,"Very High")</f>
        <v>Low</v>
      </c>
      <c r="AG385" t="str" cm="1">
        <f t="array" ref="AG385">_xlfn.IFS(L385=1,"Low",L385=2,"Medium",L385=3,"High",L385=4,"Very High")</f>
        <v>High</v>
      </c>
      <c r="AH385" t="str" cm="1">
        <f t="array" ref="AH385">_xlfn.IFS(M385=1,"Junior employee",M385=2,"Mid-level",M385=3,"Senior",M385=4,"Manager",M385=5,"Executive")</f>
        <v>Junior employee</v>
      </c>
      <c r="AI385" t="str" cm="1">
        <f t="array" ref="AI385">_xlfn.IFS(O385=1,"Low",O385=2,"Medium",O385=3,"High",O385=4,"Very High")</f>
        <v>Medium</v>
      </c>
      <c r="AJ385" t="str" cm="1">
        <f t="array" ref="AJ385">_xlfn.IFS(U385=1,"Low",U385=2,"Good",U385=3,"Excellent",U385=4,"Outstanding")</f>
        <v>Excellent</v>
      </c>
      <c r="AK385" t="str" cm="1">
        <f t="array" ref="AK385">_xlfn.IFS(V385=1,"Low",V385=2,"Medium",V385=3,"High",V385=4,"Very High")</f>
        <v>Very High</v>
      </c>
      <c r="AL385" t="str" cm="1">
        <f t="array" ref="AL385">_xlfn.IFS(Z385=1,"Bad",Z385=2,"Good",Z385=3,"Better",Z385=4,"Best")</f>
        <v>Better</v>
      </c>
      <c r="AM385" t="str" cm="1">
        <f t="array" ref="AM385">_xlfn.IFS(W385=0,"No_stock",W385=1,"Low",W385=2,"Medium",W385=3,"High")</f>
        <v>Low</v>
      </c>
      <c r="AN385" t="str">
        <f t="shared" si="5"/>
        <v>Medium</v>
      </c>
    </row>
    <row r="386" spans="1:40" x14ac:dyDescent="0.45">
      <c r="A386">
        <v>36</v>
      </c>
      <c r="B386" t="s">
        <v>37</v>
      </c>
      <c r="C386" t="s">
        <v>31</v>
      </c>
      <c r="D386">
        <v>164</v>
      </c>
      <c r="E386" t="s">
        <v>32</v>
      </c>
      <c r="F386">
        <v>2</v>
      </c>
      <c r="G386">
        <v>2</v>
      </c>
      <c r="H386" t="s">
        <v>45</v>
      </c>
      <c r="I386">
        <v>513</v>
      </c>
      <c r="J386">
        <v>2</v>
      </c>
      <c r="K386" t="s">
        <v>40</v>
      </c>
      <c r="L386">
        <v>2</v>
      </c>
      <c r="M386">
        <v>3</v>
      </c>
      <c r="N386" t="s">
        <v>35</v>
      </c>
      <c r="O386">
        <v>3</v>
      </c>
      <c r="P386" t="s">
        <v>42</v>
      </c>
      <c r="Q386">
        <v>7596</v>
      </c>
      <c r="R386">
        <v>1</v>
      </c>
      <c r="S386" t="s">
        <v>37</v>
      </c>
      <c r="T386">
        <v>13</v>
      </c>
      <c r="U386">
        <v>3</v>
      </c>
      <c r="V386">
        <v>2</v>
      </c>
      <c r="W386">
        <v>2</v>
      </c>
      <c r="X386">
        <v>10</v>
      </c>
      <c r="Y386">
        <v>2</v>
      </c>
      <c r="Z386">
        <v>3</v>
      </c>
      <c r="AA386">
        <v>10</v>
      </c>
      <c r="AB386">
        <v>9</v>
      </c>
      <c r="AC386">
        <v>9</v>
      </c>
      <c r="AD386">
        <v>0</v>
      </c>
      <c r="AE386" t="str" cm="1">
        <f t="array" ref="AE386">_xlfn.IFS(G386=1,"Before College",G386=2,"College",G386=3,"Bachelor",G386=4,"Master",G386=5,"Doctor")</f>
        <v>College</v>
      </c>
      <c r="AF386" t="str" cm="1">
        <f t="array" ref="AF386">_xlfn.IFS(J386=1,"Low",J386=2,"Medium",J386=3,"High",J386=4,"Very High")</f>
        <v>Medium</v>
      </c>
      <c r="AG386" t="str" cm="1">
        <f t="array" ref="AG386">_xlfn.IFS(L386=1,"Low",L386=2,"Medium",L386=3,"High",L386=4,"Very High")</f>
        <v>Medium</v>
      </c>
      <c r="AH386" t="str" cm="1">
        <f t="array" ref="AH386">_xlfn.IFS(M386=1,"Junior employee",M386=2,"Mid-level",M386=3,"Senior",M386=4,"Manager",M386=5,"Executive")</f>
        <v>Senior</v>
      </c>
      <c r="AI386" t="str" cm="1">
        <f t="array" ref="AI386">_xlfn.IFS(O386=1,"Low",O386=2,"Medium",O386=3,"High",O386=4,"Very High")</f>
        <v>High</v>
      </c>
      <c r="AJ386" t="str" cm="1">
        <f t="array" ref="AJ386">_xlfn.IFS(U386=1,"Low",U386=2,"Good",U386=3,"Excellent",U386=4,"Outstanding")</f>
        <v>Excellent</v>
      </c>
      <c r="AK386" t="str" cm="1">
        <f t="array" ref="AK386">_xlfn.IFS(V386=1,"Low",V386=2,"Medium",V386=3,"High",V386=4,"Very High")</f>
        <v>Medium</v>
      </c>
      <c r="AL386" t="str" cm="1">
        <f t="array" ref="AL386">_xlfn.IFS(Z386=1,"Bad",Z386=2,"Good",Z386=3,"Better",Z386=4,"Best")</f>
        <v>Better</v>
      </c>
      <c r="AM386" t="str" cm="1">
        <f t="array" ref="AM386">_xlfn.IFS(W386=0,"No_stock",W386=1,"Low",W386=2,"Medium",W386=3,"High")</f>
        <v>Medium</v>
      </c>
      <c r="AN386" t="str">
        <f t="shared" ref="AN386:AN449" si="6">IF(F386&lt;=5,"Near",IF(F386&lt;=15,"Medium","Far"))</f>
        <v>Near</v>
      </c>
    </row>
    <row r="387" spans="1:40" x14ac:dyDescent="0.45">
      <c r="A387">
        <v>30</v>
      </c>
      <c r="B387" t="s">
        <v>30</v>
      </c>
      <c r="C387" t="s">
        <v>38</v>
      </c>
      <c r="D387">
        <v>464</v>
      </c>
      <c r="E387" t="s">
        <v>39</v>
      </c>
      <c r="F387">
        <v>4</v>
      </c>
      <c r="G387">
        <v>3</v>
      </c>
      <c r="H387" t="s">
        <v>54</v>
      </c>
      <c r="I387">
        <v>514</v>
      </c>
      <c r="J387">
        <v>3</v>
      </c>
      <c r="K387" t="s">
        <v>40</v>
      </c>
      <c r="L387">
        <v>3</v>
      </c>
      <c r="M387">
        <v>1</v>
      </c>
      <c r="N387" t="s">
        <v>41</v>
      </c>
      <c r="O387">
        <v>4</v>
      </c>
      <c r="P387" t="s">
        <v>36</v>
      </c>
      <c r="Q387">
        <v>2285</v>
      </c>
      <c r="R387">
        <v>9</v>
      </c>
      <c r="S387" t="s">
        <v>30</v>
      </c>
      <c r="T387">
        <v>23</v>
      </c>
      <c r="U387">
        <v>4</v>
      </c>
      <c r="V387">
        <v>3</v>
      </c>
      <c r="W387">
        <v>0</v>
      </c>
      <c r="X387">
        <v>3</v>
      </c>
      <c r="Y387">
        <v>4</v>
      </c>
      <c r="Z387">
        <v>3</v>
      </c>
      <c r="AA387">
        <v>1</v>
      </c>
      <c r="AB387">
        <v>0</v>
      </c>
      <c r="AC387">
        <v>0</v>
      </c>
      <c r="AD387">
        <v>0</v>
      </c>
      <c r="AE387" t="str" cm="1">
        <f t="array" ref="AE387">_xlfn.IFS(G387=1,"Before College",G387=2,"College",G387=3,"Bachelor",G387=4,"Master",G387=5,"Doctor")</f>
        <v>Bachelor</v>
      </c>
      <c r="AF387" t="str" cm="1">
        <f t="array" ref="AF387">_xlfn.IFS(J387=1,"Low",J387=2,"Medium",J387=3,"High",J387=4,"Very High")</f>
        <v>High</v>
      </c>
      <c r="AG387" t="str" cm="1">
        <f t="array" ref="AG387">_xlfn.IFS(L387=1,"Low",L387=2,"Medium",L387=3,"High",L387=4,"Very High")</f>
        <v>High</v>
      </c>
      <c r="AH387" t="str" cm="1">
        <f t="array" ref="AH387">_xlfn.IFS(M387=1,"Junior employee",M387=2,"Mid-level",M387=3,"Senior",M387=4,"Manager",M387=5,"Executive")</f>
        <v>Junior employee</v>
      </c>
      <c r="AI387" t="str" cm="1">
        <f t="array" ref="AI387">_xlfn.IFS(O387=1,"Low",O387=2,"Medium",O387=3,"High",O387=4,"Very High")</f>
        <v>Very High</v>
      </c>
      <c r="AJ387" t="str" cm="1">
        <f t="array" ref="AJ387">_xlfn.IFS(U387=1,"Low",U387=2,"Good",U387=3,"Excellent",U387=4,"Outstanding")</f>
        <v>Outstanding</v>
      </c>
      <c r="AK387" t="str" cm="1">
        <f t="array" ref="AK387">_xlfn.IFS(V387=1,"Low",V387=2,"Medium",V387=3,"High",V387=4,"Very High")</f>
        <v>High</v>
      </c>
      <c r="AL387" t="str" cm="1">
        <f t="array" ref="AL387">_xlfn.IFS(Z387=1,"Bad",Z387=2,"Good",Z387=3,"Better",Z387=4,"Best")</f>
        <v>Better</v>
      </c>
      <c r="AM387" t="str" cm="1">
        <f t="array" ref="AM387">_xlfn.IFS(W387=0,"No_stock",W387=1,"Low",W387=2,"Medium",W387=3,"High")</f>
        <v>No_stock</v>
      </c>
      <c r="AN387" t="str">
        <f t="shared" si="6"/>
        <v>Near</v>
      </c>
    </row>
    <row r="388" spans="1:40" x14ac:dyDescent="0.45">
      <c r="A388">
        <v>37</v>
      </c>
      <c r="B388" t="s">
        <v>37</v>
      </c>
      <c r="C388" t="s">
        <v>31</v>
      </c>
      <c r="D388">
        <v>1107</v>
      </c>
      <c r="E388" t="s">
        <v>39</v>
      </c>
      <c r="F388">
        <v>14</v>
      </c>
      <c r="G388">
        <v>3</v>
      </c>
      <c r="H388" t="s">
        <v>33</v>
      </c>
      <c r="I388">
        <v>515</v>
      </c>
      <c r="J388">
        <v>4</v>
      </c>
      <c r="K388" t="s">
        <v>34</v>
      </c>
      <c r="L388">
        <v>3</v>
      </c>
      <c r="M388">
        <v>1</v>
      </c>
      <c r="N388" t="s">
        <v>44</v>
      </c>
      <c r="O388">
        <v>1</v>
      </c>
      <c r="P388" t="s">
        <v>46</v>
      </c>
      <c r="Q388">
        <v>3034</v>
      </c>
      <c r="R388">
        <v>1</v>
      </c>
      <c r="S388" t="s">
        <v>37</v>
      </c>
      <c r="T388">
        <v>12</v>
      </c>
      <c r="U388">
        <v>3</v>
      </c>
      <c r="V388">
        <v>3</v>
      </c>
      <c r="W388">
        <v>1</v>
      </c>
      <c r="X388">
        <v>18</v>
      </c>
      <c r="Y388">
        <v>2</v>
      </c>
      <c r="Z388">
        <v>2</v>
      </c>
      <c r="AA388">
        <v>18</v>
      </c>
      <c r="AB388">
        <v>7</v>
      </c>
      <c r="AC388">
        <v>12</v>
      </c>
      <c r="AD388">
        <v>17</v>
      </c>
      <c r="AE388" t="str" cm="1">
        <f t="array" ref="AE388">_xlfn.IFS(G388=1,"Before College",G388=2,"College",G388=3,"Bachelor",G388=4,"Master",G388=5,"Doctor")</f>
        <v>Bachelor</v>
      </c>
      <c r="AF388" t="str" cm="1">
        <f t="array" ref="AF388">_xlfn.IFS(J388=1,"Low",J388=2,"Medium",J388=3,"High",J388=4,"Very High")</f>
        <v>Very High</v>
      </c>
      <c r="AG388" t="str" cm="1">
        <f t="array" ref="AG388">_xlfn.IFS(L388=1,"Low",L388=2,"Medium",L388=3,"High",L388=4,"Very High")</f>
        <v>High</v>
      </c>
      <c r="AH388" t="str" cm="1">
        <f t="array" ref="AH388">_xlfn.IFS(M388=1,"Junior employee",M388=2,"Mid-level",M388=3,"Senior",M388=4,"Manager",M388=5,"Executive")</f>
        <v>Junior employee</v>
      </c>
      <c r="AI388" t="str" cm="1">
        <f t="array" ref="AI388">_xlfn.IFS(O388=1,"Low",O388=2,"Medium",O388=3,"High",O388=4,"Very High")</f>
        <v>Low</v>
      </c>
      <c r="AJ388" t="str" cm="1">
        <f t="array" ref="AJ388">_xlfn.IFS(U388=1,"Low",U388=2,"Good",U388=3,"Excellent",U388=4,"Outstanding")</f>
        <v>Excellent</v>
      </c>
      <c r="AK388" t="str" cm="1">
        <f t="array" ref="AK388">_xlfn.IFS(V388=1,"Low",V388=2,"Medium",V388=3,"High",V388=4,"Very High")</f>
        <v>High</v>
      </c>
      <c r="AL388" t="str" cm="1">
        <f t="array" ref="AL388">_xlfn.IFS(Z388=1,"Bad",Z388=2,"Good",Z388=3,"Better",Z388=4,"Best")</f>
        <v>Good</v>
      </c>
      <c r="AM388" t="str" cm="1">
        <f t="array" ref="AM388">_xlfn.IFS(W388=0,"No_stock",W388=1,"Low",W388=2,"Medium",W388=3,"High")</f>
        <v>Low</v>
      </c>
      <c r="AN388" t="str">
        <f t="shared" si="6"/>
        <v>Medium</v>
      </c>
    </row>
    <row r="389" spans="1:40" x14ac:dyDescent="0.45">
      <c r="A389">
        <v>40</v>
      </c>
      <c r="B389" t="s">
        <v>37</v>
      </c>
      <c r="C389" t="s">
        <v>31</v>
      </c>
      <c r="D389">
        <v>759</v>
      </c>
      <c r="E389" t="s">
        <v>32</v>
      </c>
      <c r="F389">
        <v>2</v>
      </c>
      <c r="G389">
        <v>2</v>
      </c>
      <c r="H389" t="s">
        <v>53</v>
      </c>
      <c r="I389">
        <v>516</v>
      </c>
      <c r="J389">
        <v>4</v>
      </c>
      <c r="K389" t="s">
        <v>34</v>
      </c>
      <c r="L389">
        <v>3</v>
      </c>
      <c r="M389">
        <v>2</v>
      </c>
      <c r="N389" t="s">
        <v>35</v>
      </c>
      <c r="O389">
        <v>2</v>
      </c>
      <c r="P389" t="s">
        <v>46</v>
      </c>
      <c r="Q389">
        <v>5715</v>
      </c>
      <c r="R389">
        <v>7</v>
      </c>
      <c r="S389" t="s">
        <v>37</v>
      </c>
      <c r="T389">
        <v>12</v>
      </c>
      <c r="U389">
        <v>3</v>
      </c>
      <c r="V389">
        <v>3</v>
      </c>
      <c r="W389">
        <v>2</v>
      </c>
      <c r="X389">
        <v>8</v>
      </c>
      <c r="Y389">
        <v>5</v>
      </c>
      <c r="Z389">
        <v>3</v>
      </c>
      <c r="AA389">
        <v>5</v>
      </c>
      <c r="AB389">
        <v>4</v>
      </c>
      <c r="AC389">
        <v>1</v>
      </c>
      <c r="AD389">
        <v>3</v>
      </c>
      <c r="AE389" t="str" cm="1">
        <f t="array" ref="AE389">_xlfn.IFS(G389=1,"Before College",G389=2,"College",G389=3,"Bachelor",G389=4,"Master",G389=5,"Doctor")</f>
        <v>College</v>
      </c>
      <c r="AF389" t="str" cm="1">
        <f t="array" ref="AF389">_xlfn.IFS(J389=1,"Low",J389=2,"Medium",J389=3,"High",J389=4,"Very High")</f>
        <v>Very High</v>
      </c>
      <c r="AG389" t="str" cm="1">
        <f t="array" ref="AG389">_xlfn.IFS(L389=1,"Low",L389=2,"Medium",L389=3,"High",L389=4,"Very High")</f>
        <v>High</v>
      </c>
      <c r="AH389" t="str" cm="1">
        <f t="array" ref="AH389">_xlfn.IFS(M389=1,"Junior employee",M389=2,"Mid-level",M389=3,"Senior",M389=4,"Manager",M389=5,"Executive")</f>
        <v>Mid-level</v>
      </c>
      <c r="AI389" t="str" cm="1">
        <f t="array" ref="AI389">_xlfn.IFS(O389=1,"Low",O389=2,"Medium",O389=3,"High",O389=4,"Very High")</f>
        <v>Medium</v>
      </c>
      <c r="AJ389" t="str" cm="1">
        <f t="array" ref="AJ389">_xlfn.IFS(U389=1,"Low",U389=2,"Good",U389=3,"Excellent",U389=4,"Outstanding")</f>
        <v>Excellent</v>
      </c>
      <c r="AK389" t="str" cm="1">
        <f t="array" ref="AK389">_xlfn.IFS(V389=1,"Low",V389=2,"Medium",V389=3,"High",V389=4,"Very High")</f>
        <v>High</v>
      </c>
      <c r="AL389" t="str" cm="1">
        <f t="array" ref="AL389">_xlfn.IFS(Z389=1,"Bad",Z389=2,"Good",Z389=3,"Better",Z389=4,"Best")</f>
        <v>Better</v>
      </c>
      <c r="AM389" t="str" cm="1">
        <f t="array" ref="AM389">_xlfn.IFS(W389=0,"No_stock",W389=1,"Low",W389=2,"Medium",W389=3,"High")</f>
        <v>Medium</v>
      </c>
      <c r="AN389" t="str">
        <f t="shared" si="6"/>
        <v>Near</v>
      </c>
    </row>
    <row r="390" spans="1:40" x14ac:dyDescent="0.45">
      <c r="A390">
        <v>42</v>
      </c>
      <c r="B390" t="s">
        <v>37</v>
      </c>
      <c r="C390" t="s">
        <v>31</v>
      </c>
      <c r="D390">
        <v>201</v>
      </c>
      <c r="E390" t="s">
        <v>39</v>
      </c>
      <c r="F390">
        <v>1</v>
      </c>
      <c r="G390">
        <v>4</v>
      </c>
      <c r="H390" t="s">
        <v>33</v>
      </c>
      <c r="I390">
        <v>517</v>
      </c>
      <c r="J390">
        <v>2</v>
      </c>
      <c r="K390" t="s">
        <v>34</v>
      </c>
      <c r="L390">
        <v>3</v>
      </c>
      <c r="M390">
        <v>1</v>
      </c>
      <c r="N390" t="s">
        <v>44</v>
      </c>
      <c r="O390">
        <v>1</v>
      </c>
      <c r="P390" t="s">
        <v>46</v>
      </c>
      <c r="Q390">
        <v>2576</v>
      </c>
      <c r="R390">
        <v>3</v>
      </c>
      <c r="S390" t="s">
        <v>37</v>
      </c>
      <c r="T390">
        <v>16</v>
      </c>
      <c r="U390">
        <v>3</v>
      </c>
      <c r="V390">
        <v>2</v>
      </c>
      <c r="W390">
        <v>1</v>
      </c>
      <c r="X390">
        <v>8</v>
      </c>
      <c r="Y390">
        <v>5</v>
      </c>
      <c r="Z390">
        <v>3</v>
      </c>
      <c r="AA390">
        <v>5</v>
      </c>
      <c r="AB390">
        <v>2</v>
      </c>
      <c r="AC390">
        <v>1</v>
      </c>
      <c r="AD390">
        <v>2</v>
      </c>
      <c r="AE390" t="str" cm="1">
        <f t="array" ref="AE390">_xlfn.IFS(G390=1,"Before College",G390=2,"College",G390=3,"Bachelor",G390=4,"Master",G390=5,"Doctor")</f>
        <v>Master</v>
      </c>
      <c r="AF390" t="str" cm="1">
        <f t="array" ref="AF390">_xlfn.IFS(J390=1,"Low",J390=2,"Medium",J390=3,"High",J390=4,"Very High")</f>
        <v>Medium</v>
      </c>
      <c r="AG390" t="str" cm="1">
        <f t="array" ref="AG390">_xlfn.IFS(L390=1,"Low",L390=2,"Medium",L390=3,"High",L390=4,"Very High")</f>
        <v>High</v>
      </c>
      <c r="AH390" t="str" cm="1">
        <f t="array" ref="AH390">_xlfn.IFS(M390=1,"Junior employee",M390=2,"Mid-level",M390=3,"Senior",M390=4,"Manager",M390=5,"Executive")</f>
        <v>Junior employee</v>
      </c>
      <c r="AI390" t="str" cm="1">
        <f t="array" ref="AI390">_xlfn.IFS(O390=1,"Low",O390=2,"Medium",O390=3,"High",O390=4,"Very High")</f>
        <v>Low</v>
      </c>
      <c r="AJ390" t="str" cm="1">
        <f t="array" ref="AJ390">_xlfn.IFS(U390=1,"Low",U390=2,"Good",U390=3,"Excellent",U390=4,"Outstanding")</f>
        <v>Excellent</v>
      </c>
      <c r="AK390" t="str" cm="1">
        <f t="array" ref="AK390">_xlfn.IFS(V390=1,"Low",V390=2,"Medium",V390=3,"High",V390=4,"Very High")</f>
        <v>Medium</v>
      </c>
      <c r="AL390" t="str" cm="1">
        <f t="array" ref="AL390">_xlfn.IFS(Z390=1,"Bad",Z390=2,"Good",Z390=3,"Better",Z390=4,"Best")</f>
        <v>Better</v>
      </c>
      <c r="AM390" t="str" cm="1">
        <f t="array" ref="AM390">_xlfn.IFS(W390=0,"No_stock",W390=1,"Low",W390=2,"Medium",W390=3,"High")</f>
        <v>Low</v>
      </c>
      <c r="AN390" t="str">
        <f t="shared" si="6"/>
        <v>Near</v>
      </c>
    </row>
    <row r="391" spans="1:40" x14ac:dyDescent="0.45">
      <c r="A391">
        <v>37</v>
      </c>
      <c r="B391" t="s">
        <v>37</v>
      </c>
      <c r="C391" t="s">
        <v>31</v>
      </c>
      <c r="D391">
        <v>1305</v>
      </c>
      <c r="E391" t="s">
        <v>39</v>
      </c>
      <c r="F391">
        <v>10</v>
      </c>
      <c r="G391">
        <v>4</v>
      </c>
      <c r="H391" t="s">
        <v>33</v>
      </c>
      <c r="I391">
        <v>518</v>
      </c>
      <c r="J391">
        <v>3</v>
      </c>
      <c r="K391" t="s">
        <v>40</v>
      </c>
      <c r="L391">
        <v>3</v>
      </c>
      <c r="M391">
        <v>2</v>
      </c>
      <c r="N391" t="s">
        <v>47</v>
      </c>
      <c r="O391">
        <v>2</v>
      </c>
      <c r="P391" t="s">
        <v>36</v>
      </c>
      <c r="Q391">
        <v>4197</v>
      </c>
      <c r="R391">
        <v>2</v>
      </c>
      <c r="S391" t="s">
        <v>30</v>
      </c>
      <c r="T391">
        <v>12</v>
      </c>
      <c r="U391">
        <v>3</v>
      </c>
      <c r="V391">
        <v>4</v>
      </c>
      <c r="W391">
        <v>0</v>
      </c>
      <c r="X391">
        <v>18</v>
      </c>
      <c r="Y391">
        <v>2</v>
      </c>
      <c r="Z391">
        <v>2</v>
      </c>
      <c r="AA391">
        <v>1</v>
      </c>
      <c r="AB391">
        <v>0</v>
      </c>
      <c r="AC391">
        <v>0</v>
      </c>
      <c r="AD391">
        <v>1</v>
      </c>
      <c r="AE391" t="str" cm="1">
        <f t="array" ref="AE391">_xlfn.IFS(G391=1,"Before College",G391=2,"College",G391=3,"Bachelor",G391=4,"Master",G391=5,"Doctor")</f>
        <v>Master</v>
      </c>
      <c r="AF391" t="str" cm="1">
        <f t="array" ref="AF391">_xlfn.IFS(J391=1,"Low",J391=2,"Medium",J391=3,"High",J391=4,"Very High")</f>
        <v>High</v>
      </c>
      <c r="AG391" t="str" cm="1">
        <f t="array" ref="AG391">_xlfn.IFS(L391=1,"Low",L391=2,"Medium",L391=3,"High",L391=4,"Very High")</f>
        <v>High</v>
      </c>
      <c r="AH391" t="str" cm="1">
        <f t="array" ref="AH391">_xlfn.IFS(M391=1,"Junior employee",M391=2,"Mid-level",M391=3,"Senior",M391=4,"Manager",M391=5,"Executive")</f>
        <v>Mid-level</v>
      </c>
      <c r="AI391" t="str" cm="1">
        <f t="array" ref="AI391">_xlfn.IFS(O391=1,"Low",O391=2,"Medium",O391=3,"High",O391=4,"Very High")</f>
        <v>Medium</v>
      </c>
      <c r="AJ391" t="str" cm="1">
        <f t="array" ref="AJ391">_xlfn.IFS(U391=1,"Low",U391=2,"Good",U391=3,"Excellent",U391=4,"Outstanding")</f>
        <v>Excellent</v>
      </c>
      <c r="AK391" t="str" cm="1">
        <f t="array" ref="AK391">_xlfn.IFS(V391=1,"Low",V391=2,"Medium",V391=3,"High",V391=4,"Very High")</f>
        <v>Very High</v>
      </c>
      <c r="AL391" t="str" cm="1">
        <f t="array" ref="AL391">_xlfn.IFS(Z391=1,"Bad",Z391=2,"Good",Z391=3,"Better",Z391=4,"Best")</f>
        <v>Good</v>
      </c>
      <c r="AM391" t="str" cm="1">
        <f t="array" ref="AM391">_xlfn.IFS(W391=0,"No_stock",W391=1,"Low",W391=2,"Medium",W391=3,"High")</f>
        <v>No_stock</v>
      </c>
      <c r="AN391" t="str">
        <f t="shared" si="6"/>
        <v>Medium</v>
      </c>
    </row>
    <row r="392" spans="1:40" x14ac:dyDescent="0.45">
      <c r="A392">
        <v>43</v>
      </c>
      <c r="B392" t="s">
        <v>37</v>
      </c>
      <c r="C392" t="s">
        <v>31</v>
      </c>
      <c r="D392">
        <v>982</v>
      </c>
      <c r="E392" t="s">
        <v>39</v>
      </c>
      <c r="F392">
        <v>12</v>
      </c>
      <c r="G392">
        <v>3</v>
      </c>
      <c r="H392" t="s">
        <v>33</v>
      </c>
      <c r="I392">
        <v>520</v>
      </c>
      <c r="J392">
        <v>1</v>
      </c>
      <c r="K392" t="s">
        <v>40</v>
      </c>
      <c r="L392">
        <v>2</v>
      </c>
      <c r="M392">
        <v>4</v>
      </c>
      <c r="N392" t="s">
        <v>52</v>
      </c>
      <c r="O392">
        <v>2</v>
      </c>
      <c r="P392" t="s">
        <v>46</v>
      </c>
      <c r="Q392">
        <v>14336</v>
      </c>
      <c r="R392">
        <v>1</v>
      </c>
      <c r="S392" t="s">
        <v>37</v>
      </c>
      <c r="T392">
        <v>11</v>
      </c>
      <c r="U392">
        <v>3</v>
      </c>
      <c r="V392">
        <v>3</v>
      </c>
      <c r="W392">
        <v>1</v>
      </c>
      <c r="X392">
        <v>25</v>
      </c>
      <c r="Y392">
        <v>3</v>
      </c>
      <c r="Z392">
        <v>3</v>
      </c>
      <c r="AA392">
        <v>25</v>
      </c>
      <c r="AB392">
        <v>10</v>
      </c>
      <c r="AC392">
        <v>3</v>
      </c>
      <c r="AD392">
        <v>9</v>
      </c>
      <c r="AE392" t="str" cm="1">
        <f t="array" ref="AE392">_xlfn.IFS(G392=1,"Before College",G392=2,"College",G392=3,"Bachelor",G392=4,"Master",G392=5,"Doctor")</f>
        <v>Bachelor</v>
      </c>
      <c r="AF392" t="str" cm="1">
        <f t="array" ref="AF392">_xlfn.IFS(J392=1,"Low",J392=2,"Medium",J392=3,"High",J392=4,"Very High")</f>
        <v>Low</v>
      </c>
      <c r="AG392" t="str" cm="1">
        <f t="array" ref="AG392">_xlfn.IFS(L392=1,"Low",L392=2,"Medium",L392=3,"High",L392=4,"Very High")</f>
        <v>Medium</v>
      </c>
      <c r="AH392" t="str" cm="1">
        <f t="array" ref="AH392">_xlfn.IFS(M392=1,"Junior employee",M392=2,"Mid-level",M392=3,"Senior",M392=4,"Manager",M392=5,"Executive")</f>
        <v>Manager</v>
      </c>
      <c r="AI392" t="str" cm="1">
        <f t="array" ref="AI392">_xlfn.IFS(O392=1,"Low",O392=2,"Medium",O392=3,"High",O392=4,"Very High")</f>
        <v>Medium</v>
      </c>
      <c r="AJ392" t="str" cm="1">
        <f t="array" ref="AJ392">_xlfn.IFS(U392=1,"Low",U392=2,"Good",U392=3,"Excellent",U392=4,"Outstanding")</f>
        <v>Excellent</v>
      </c>
      <c r="AK392" t="str" cm="1">
        <f t="array" ref="AK392">_xlfn.IFS(V392=1,"Low",V392=2,"Medium",V392=3,"High",V392=4,"Very High")</f>
        <v>High</v>
      </c>
      <c r="AL392" t="str" cm="1">
        <f t="array" ref="AL392">_xlfn.IFS(Z392=1,"Bad",Z392=2,"Good",Z392=3,"Better",Z392=4,"Best")</f>
        <v>Better</v>
      </c>
      <c r="AM392" t="str" cm="1">
        <f t="array" ref="AM392">_xlfn.IFS(W392=0,"No_stock",W392=1,"Low",W392=2,"Medium",W392=3,"High")</f>
        <v>Low</v>
      </c>
      <c r="AN392" t="str">
        <f t="shared" si="6"/>
        <v>Medium</v>
      </c>
    </row>
    <row r="393" spans="1:40" x14ac:dyDescent="0.45">
      <c r="A393">
        <v>40</v>
      </c>
      <c r="B393" t="s">
        <v>37</v>
      </c>
      <c r="C393" t="s">
        <v>31</v>
      </c>
      <c r="D393">
        <v>555</v>
      </c>
      <c r="E393" t="s">
        <v>39</v>
      </c>
      <c r="F393">
        <v>2</v>
      </c>
      <c r="G393">
        <v>3</v>
      </c>
      <c r="H393" t="s">
        <v>45</v>
      </c>
      <c r="I393">
        <v>521</v>
      </c>
      <c r="J393">
        <v>2</v>
      </c>
      <c r="K393" t="s">
        <v>34</v>
      </c>
      <c r="L393">
        <v>2</v>
      </c>
      <c r="M393">
        <v>2</v>
      </c>
      <c r="N393" t="s">
        <v>44</v>
      </c>
      <c r="O393">
        <v>3</v>
      </c>
      <c r="P393" t="s">
        <v>42</v>
      </c>
      <c r="Q393">
        <v>3448</v>
      </c>
      <c r="R393">
        <v>6</v>
      </c>
      <c r="S393" t="s">
        <v>37</v>
      </c>
      <c r="T393">
        <v>22</v>
      </c>
      <c r="U393">
        <v>4</v>
      </c>
      <c r="V393">
        <v>2</v>
      </c>
      <c r="W393">
        <v>1</v>
      </c>
      <c r="X393">
        <v>20</v>
      </c>
      <c r="Y393">
        <v>3</v>
      </c>
      <c r="Z393">
        <v>3</v>
      </c>
      <c r="AA393">
        <v>1</v>
      </c>
      <c r="AB393">
        <v>0</v>
      </c>
      <c r="AC393">
        <v>0</v>
      </c>
      <c r="AD393">
        <v>0</v>
      </c>
      <c r="AE393" t="str" cm="1">
        <f t="array" ref="AE393">_xlfn.IFS(G393=1,"Before College",G393=2,"College",G393=3,"Bachelor",G393=4,"Master",G393=5,"Doctor")</f>
        <v>Bachelor</v>
      </c>
      <c r="AF393" t="str" cm="1">
        <f t="array" ref="AF393">_xlfn.IFS(J393=1,"Low",J393=2,"Medium",J393=3,"High",J393=4,"Very High")</f>
        <v>Medium</v>
      </c>
      <c r="AG393" t="str" cm="1">
        <f t="array" ref="AG393">_xlfn.IFS(L393=1,"Low",L393=2,"Medium",L393=3,"High",L393=4,"Very High")</f>
        <v>Medium</v>
      </c>
      <c r="AH393" t="str" cm="1">
        <f t="array" ref="AH393">_xlfn.IFS(M393=1,"Junior employee",M393=2,"Mid-level",M393=3,"Senior",M393=4,"Manager",M393=5,"Executive")</f>
        <v>Mid-level</v>
      </c>
      <c r="AI393" t="str" cm="1">
        <f t="array" ref="AI393">_xlfn.IFS(O393=1,"Low",O393=2,"Medium",O393=3,"High",O393=4,"Very High")</f>
        <v>High</v>
      </c>
      <c r="AJ393" t="str" cm="1">
        <f t="array" ref="AJ393">_xlfn.IFS(U393=1,"Low",U393=2,"Good",U393=3,"Excellent",U393=4,"Outstanding")</f>
        <v>Outstanding</v>
      </c>
      <c r="AK393" t="str" cm="1">
        <f t="array" ref="AK393">_xlfn.IFS(V393=1,"Low",V393=2,"Medium",V393=3,"High",V393=4,"Very High")</f>
        <v>Medium</v>
      </c>
      <c r="AL393" t="str" cm="1">
        <f t="array" ref="AL393">_xlfn.IFS(Z393=1,"Bad",Z393=2,"Good",Z393=3,"Better",Z393=4,"Best")</f>
        <v>Better</v>
      </c>
      <c r="AM393" t="str" cm="1">
        <f t="array" ref="AM393">_xlfn.IFS(W393=0,"No_stock",W393=1,"Low",W393=2,"Medium",W393=3,"High")</f>
        <v>Low</v>
      </c>
      <c r="AN393" t="str">
        <f t="shared" si="6"/>
        <v>Near</v>
      </c>
    </row>
    <row r="394" spans="1:40" x14ac:dyDescent="0.45">
      <c r="A394">
        <v>54</v>
      </c>
      <c r="B394" t="s">
        <v>37</v>
      </c>
      <c r="C394" t="s">
        <v>31</v>
      </c>
      <c r="D394">
        <v>821</v>
      </c>
      <c r="E394" t="s">
        <v>39</v>
      </c>
      <c r="F394">
        <v>5</v>
      </c>
      <c r="G394">
        <v>2</v>
      </c>
      <c r="H394" t="s">
        <v>45</v>
      </c>
      <c r="I394">
        <v>522</v>
      </c>
      <c r="J394">
        <v>1</v>
      </c>
      <c r="K394" t="s">
        <v>40</v>
      </c>
      <c r="L394">
        <v>3</v>
      </c>
      <c r="M394">
        <v>5</v>
      </c>
      <c r="N394" t="s">
        <v>52</v>
      </c>
      <c r="O394">
        <v>1</v>
      </c>
      <c r="P394" t="s">
        <v>42</v>
      </c>
      <c r="Q394">
        <v>19406</v>
      </c>
      <c r="R394">
        <v>4</v>
      </c>
      <c r="S394" t="s">
        <v>37</v>
      </c>
      <c r="T394">
        <v>11</v>
      </c>
      <c r="U394">
        <v>3</v>
      </c>
      <c r="V394">
        <v>3</v>
      </c>
      <c r="W394">
        <v>1</v>
      </c>
      <c r="X394">
        <v>24</v>
      </c>
      <c r="Y394">
        <v>4</v>
      </c>
      <c r="Z394">
        <v>2</v>
      </c>
      <c r="AA394">
        <v>4</v>
      </c>
      <c r="AB394">
        <v>2</v>
      </c>
      <c r="AC394">
        <v>1</v>
      </c>
      <c r="AD394">
        <v>2</v>
      </c>
      <c r="AE394" t="str" cm="1">
        <f t="array" ref="AE394">_xlfn.IFS(G394=1,"Before College",G394=2,"College",G394=3,"Bachelor",G394=4,"Master",G394=5,"Doctor")</f>
        <v>College</v>
      </c>
      <c r="AF394" t="str" cm="1">
        <f t="array" ref="AF394">_xlfn.IFS(J394=1,"Low",J394=2,"Medium",J394=3,"High",J394=4,"Very High")</f>
        <v>Low</v>
      </c>
      <c r="AG394" t="str" cm="1">
        <f t="array" ref="AG394">_xlfn.IFS(L394=1,"Low",L394=2,"Medium",L394=3,"High",L394=4,"Very High")</f>
        <v>High</v>
      </c>
      <c r="AH394" t="str" cm="1">
        <f t="array" ref="AH394">_xlfn.IFS(M394=1,"Junior employee",M394=2,"Mid-level",M394=3,"Senior",M394=4,"Manager",M394=5,"Executive")</f>
        <v>Executive</v>
      </c>
      <c r="AI394" t="str" cm="1">
        <f t="array" ref="AI394">_xlfn.IFS(O394=1,"Low",O394=2,"Medium",O394=3,"High",O394=4,"Very High")</f>
        <v>Low</v>
      </c>
      <c r="AJ394" t="str" cm="1">
        <f t="array" ref="AJ394">_xlfn.IFS(U394=1,"Low",U394=2,"Good",U394=3,"Excellent",U394=4,"Outstanding")</f>
        <v>Excellent</v>
      </c>
      <c r="AK394" t="str" cm="1">
        <f t="array" ref="AK394">_xlfn.IFS(V394=1,"Low",V394=2,"Medium",V394=3,"High",V394=4,"Very High")</f>
        <v>High</v>
      </c>
      <c r="AL394" t="str" cm="1">
        <f t="array" ref="AL394">_xlfn.IFS(Z394=1,"Bad",Z394=2,"Good",Z394=3,"Better",Z394=4,"Best")</f>
        <v>Good</v>
      </c>
      <c r="AM394" t="str" cm="1">
        <f t="array" ref="AM394">_xlfn.IFS(W394=0,"No_stock",W394=1,"Low",W394=2,"Medium",W394=3,"High")</f>
        <v>Low</v>
      </c>
      <c r="AN394" t="str">
        <f t="shared" si="6"/>
        <v>Near</v>
      </c>
    </row>
    <row r="395" spans="1:40" x14ac:dyDescent="0.45">
      <c r="A395">
        <v>34</v>
      </c>
      <c r="B395" t="s">
        <v>37</v>
      </c>
      <c r="C395" t="s">
        <v>49</v>
      </c>
      <c r="D395">
        <v>1381</v>
      </c>
      <c r="E395" t="s">
        <v>32</v>
      </c>
      <c r="F395">
        <v>4</v>
      </c>
      <c r="G395">
        <v>4</v>
      </c>
      <c r="H395" t="s">
        <v>53</v>
      </c>
      <c r="I395">
        <v>523</v>
      </c>
      <c r="J395">
        <v>3</v>
      </c>
      <c r="K395" t="s">
        <v>34</v>
      </c>
      <c r="L395">
        <v>3</v>
      </c>
      <c r="M395">
        <v>2</v>
      </c>
      <c r="N395" t="s">
        <v>35</v>
      </c>
      <c r="O395">
        <v>3</v>
      </c>
      <c r="P395" t="s">
        <v>42</v>
      </c>
      <c r="Q395">
        <v>6538</v>
      </c>
      <c r="R395">
        <v>9</v>
      </c>
      <c r="S395" t="s">
        <v>37</v>
      </c>
      <c r="T395">
        <v>15</v>
      </c>
      <c r="U395">
        <v>3</v>
      </c>
      <c r="V395">
        <v>1</v>
      </c>
      <c r="W395">
        <v>1</v>
      </c>
      <c r="X395">
        <v>6</v>
      </c>
      <c r="Y395">
        <v>3</v>
      </c>
      <c r="Z395">
        <v>3</v>
      </c>
      <c r="AA395">
        <v>3</v>
      </c>
      <c r="AB395">
        <v>2</v>
      </c>
      <c r="AC395">
        <v>1</v>
      </c>
      <c r="AD395">
        <v>2</v>
      </c>
      <c r="AE395" t="str" cm="1">
        <f t="array" ref="AE395">_xlfn.IFS(G395=1,"Before College",G395=2,"College",G395=3,"Bachelor",G395=4,"Master",G395=5,"Doctor")</f>
        <v>Master</v>
      </c>
      <c r="AF395" t="str" cm="1">
        <f t="array" ref="AF395">_xlfn.IFS(J395=1,"Low",J395=2,"Medium",J395=3,"High",J395=4,"Very High")</f>
        <v>High</v>
      </c>
      <c r="AG395" t="str" cm="1">
        <f t="array" ref="AG395">_xlfn.IFS(L395=1,"Low",L395=2,"Medium",L395=3,"High",L395=4,"Very High")</f>
        <v>High</v>
      </c>
      <c r="AH395" t="str" cm="1">
        <f t="array" ref="AH395">_xlfn.IFS(M395=1,"Junior employee",M395=2,"Mid-level",M395=3,"Senior",M395=4,"Manager",M395=5,"Executive")</f>
        <v>Mid-level</v>
      </c>
      <c r="AI395" t="str" cm="1">
        <f t="array" ref="AI395">_xlfn.IFS(O395=1,"Low",O395=2,"Medium",O395=3,"High",O395=4,"Very High")</f>
        <v>High</v>
      </c>
      <c r="AJ395" t="str" cm="1">
        <f t="array" ref="AJ395">_xlfn.IFS(U395=1,"Low",U395=2,"Good",U395=3,"Excellent",U395=4,"Outstanding")</f>
        <v>Excellent</v>
      </c>
      <c r="AK395" t="str" cm="1">
        <f t="array" ref="AK395">_xlfn.IFS(V395=1,"Low",V395=2,"Medium",V395=3,"High",V395=4,"Very High")</f>
        <v>Low</v>
      </c>
      <c r="AL395" t="str" cm="1">
        <f t="array" ref="AL395">_xlfn.IFS(Z395=1,"Bad",Z395=2,"Good",Z395=3,"Better",Z395=4,"Best")</f>
        <v>Better</v>
      </c>
      <c r="AM395" t="str" cm="1">
        <f t="array" ref="AM395">_xlfn.IFS(W395=0,"No_stock",W395=1,"Low",W395=2,"Medium",W395=3,"High")</f>
        <v>Low</v>
      </c>
      <c r="AN395" t="str">
        <f t="shared" si="6"/>
        <v>Near</v>
      </c>
    </row>
    <row r="396" spans="1:40" x14ac:dyDescent="0.45">
      <c r="A396">
        <v>31</v>
      </c>
      <c r="B396" t="s">
        <v>37</v>
      </c>
      <c r="C396" t="s">
        <v>31</v>
      </c>
      <c r="D396">
        <v>480</v>
      </c>
      <c r="E396" t="s">
        <v>39</v>
      </c>
      <c r="F396">
        <v>7</v>
      </c>
      <c r="G396">
        <v>2</v>
      </c>
      <c r="H396" t="s">
        <v>45</v>
      </c>
      <c r="I396">
        <v>524</v>
      </c>
      <c r="J396">
        <v>2</v>
      </c>
      <c r="K396" t="s">
        <v>34</v>
      </c>
      <c r="L396">
        <v>3</v>
      </c>
      <c r="M396">
        <v>2</v>
      </c>
      <c r="N396" t="s">
        <v>47</v>
      </c>
      <c r="O396">
        <v>1</v>
      </c>
      <c r="P396" t="s">
        <v>42</v>
      </c>
      <c r="Q396">
        <v>4306</v>
      </c>
      <c r="R396">
        <v>1</v>
      </c>
      <c r="S396" t="s">
        <v>37</v>
      </c>
      <c r="T396">
        <v>12</v>
      </c>
      <c r="U396">
        <v>3</v>
      </c>
      <c r="V396">
        <v>2</v>
      </c>
      <c r="W396">
        <v>1</v>
      </c>
      <c r="X396">
        <v>13</v>
      </c>
      <c r="Y396">
        <v>5</v>
      </c>
      <c r="Z396">
        <v>1</v>
      </c>
      <c r="AA396">
        <v>13</v>
      </c>
      <c r="AB396">
        <v>10</v>
      </c>
      <c r="AC396">
        <v>3</v>
      </c>
      <c r="AD396">
        <v>12</v>
      </c>
      <c r="AE396" t="str" cm="1">
        <f t="array" ref="AE396">_xlfn.IFS(G396=1,"Before College",G396=2,"College",G396=3,"Bachelor",G396=4,"Master",G396=5,"Doctor")</f>
        <v>College</v>
      </c>
      <c r="AF396" t="str" cm="1">
        <f t="array" ref="AF396">_xlfn.IFS(J396=1,"Low",J396=2,"Medium",J396=3,"High",J396=4,"Very High")</f>
        <v>Medium</v>
      </c>
      <c r="AG396" t="str" cm="1">
        <f t="array" ref="AG396">_xlfn.IFS(L396=1,"Low",L396=2,"Medium",L396=3,"High",L396=4,"Very High")</f>
        <v>High</v>
      </c>
      <c r="AH396" t="str" cm="1">
        <f t="array" ref="AH396">_xlfn.IFS(M396=1,"Junior employee",M396=2,"Mid-level",M396=3,"Senior",M396=4,"Manager",M396=5,"Executive")</f>
        <v>Mid-level</v>
      </c>
      <c r="AI396" t="str" cm="1">
        <f t="array" ref="AI396">_xlfn.IFS(O396=1,"Low",O396=2,"Medium",O396=3,"High",O396=4,"Very High")</f>
        <v>Low</v>
      </c>
      <c r="AJ396" t="str" cm="1">
        <f t="array" ref="AJ396">_xlfn.IFS(U396=1,"Low",U396=2,"Good",U396=3,"Excellent",U396=4,"Outstanding")</f>
        <v>Excellent</v>
      </c>
      <c r="AK396" t="str" cm="1">
        <f t="array" ref="AK396">_xlfn.IFS(V396=1,"Low",V396=2,"Medium",V396=3,"High",V396=4,"Very High")</f>
        <v>Medium</v>
      </c>
      <c r="AL396" t="str" cm="1">
        <f t="array" ref="AL396">_xlfn.IFS(Z396=1,"Bad",Z396=2,"Good",Z396=3,"Better",Z396=4,"Best")</f>
        <v>Bad</v>
      </c>
      <c r="AM396" t="str" cm="1">
        <f t="array" ref="AM396">_xlfn.IFS(W396=0,"No_stock",W396=1,"Low",W396=2,"Medium",W396=3,"High")</f>
        <v>Low</v>
      </c>
      <c r="AN396" t="str">
        <f t="shared" si="6"/>
        <v>Medium</v>
      </c>
    </row>
    <row r="397" spans="1:40" x14ac:dyDescent="0.45">
      <c r="A397">
        <v>43</v>
      </c>
      <c r="B397" t="s">
        <v>37</v>
      </c>
      <c r="C397" t="s">
        <v>38</v>
      </c>
      <c r="D397">
        <v>313</v>
      </c>
      <c r="E397" t="s">
        <v>39</v>
      </c>
      <c r="F397">
        <v>21</v>
      </c>
      <c r="G397">
        <v>3</v>
      </c>
      <c r="H397" t="s">
        <v>45</v>
      </c>
      <c r="I397">
        <v>525</v>
      </c>
      <c r="J397">
        <v>4</v>
      </c>
      <c r="K397" t="s">
        <v>40</v>
      </c>
      <c r="L397">
        <v>3</v>
      </c>
      <c r="M397">
        <v>1</v>
      </c>
      <c r="N397" t="s">
        <v>44</v>
      </c>
      <c r="O397">
        <v>4</v>
      </c>
      <c r="P397" t="s">
        <v>42</v>
      </c>
      <c r="Q397">
        <v>2258</v>
      </c>
      <c r="R397">
        <v>7</v>
      </c>
      <c r="S397" t="s">
        <v>37</v>
      </c>
      <c r="T397">
        <v>20</v>
      </c>
      <c r="U397">
        <v>4</v>
      </c>
      <c r="V397">
        <v>1</v>
      </c>
      <c r="W397">
        <v>1</v>
      </c>
      <c r="X397">
        <v>8</v>
      </c>
      <c r="Y397">
        <v>1</v>
      </c>
      <c r="Z397">
        <v>3</v>
      </c>
      <c r="AA397">
        <v>3</v>
      </c>
      <c r="AB397">
        <v>2</v>
      </c>
      <c r="AC397">
        <v>1</v>
      </c>
      <c r="AD397">
        <v>2</v>
      </c>
      <c r="AE397" t="str" cm="1">
        <f t="array" ref="AE397">_xlfn.IFS(G397=1,"Before College",G397=2,"College",G397=3,"Bachelor",G397=4,"Master",G397=5,"Doctor")</f>
        <v>Bachelor</v>
      </c>
      <c r="AF397" t="str" cm="1">
        <f t="array" ref="AF397">_xlfn.IFS(J397=1,"Low",J397=2,"Medium",J397=3,"High",J397=4,"Very High")</f>
        <v>Very High</v>
      </c>
      <c r="AG397" t="str" cm="1">
        <f t="array" ref="AG397">_xlfn.IFS(L397=1,"Low",L397=2,"Medium",L397=3,"High",L397=4,"Very High")</f>
        <v>High</v>
      </c>
      <c r="AH397" t="str" cm="1">
        <f t="array" ref="AH397">_xlfn.IFS(M397=1,"Junior employee",M397=2,"Mid-level",M397=3,"Senior",M397=4,"Manager",M397=5,"Executive")</f>
        <v>Junior employee</v>
      </c>
      <c r="AI397" t="str" cm="1">
        <f t="array" ref="AI397">_xlfn.IFS(O397=1,"Low",O397=2,"Medium",O397=3,"High",O397=4,"Very High")</f>
        <v>Very High</v>
      </c>
      <c r="AJ397" t="str" cm="1">
        <f t="array" ref="AJ397">_xlfn.IFS(U397=1,"Low",U397=2,"Good",U397=3,"Excellent",U397=4,"Outstanding")</f>
        <v>Outstanding</v>
      </c>
      <c r="AK397" t="str" cm="1">
        <f t="array" ref="AK397">_xlfn.IFS(V397=1,"Low",V397=2,"Medium",V397=3,"High",V397=4,"Very High")</f>
        <v>Low</v>
      </c>
      <c r="AL397" t="str" cm="1">
        <f t="array" ref="AL397">_xlfn.IFS(Z397=1,"Bad",Z397=2,"Good",Z397=3,"Better",Z397=4,"Best")</f>
        <v>Better</v>
      </c>
      <c r="AM397" t="str" cm="1">
        <f t="array" ref="AM397">_xlfn.IFS(W397=0,"No_stock",W397=1,"Low",W397=2,"Medium",W397=3,"High")</f>
        <v>Low</v>
      </c>
      <c r="AN397" t="str">
        <f t="shared" si="6"/>
        <v>Far</v>
      </c>
    </row>
    <row r="398" spans="1:40" x14ac:dyDescent="0.45">
      <c r="A398">
        <v>43</v>
      </c>
      <c r="B398" t="s">
        <v>37</v>
      </c>
      <c r="C398" t="s">
        <v>31</v>
      </c>
      <c r="D398">
        <v>1473</v>
      </c>
      <c r="E398" t="s">
        <v>39</v>
      </c>
      <c r="F398">
        <v>8</v>
      </c>
      <c r="G398">
        <v>4</v>
      </c>
      <c r="H398" t="s">
        <v>43</v>
      </c>
      <c r="I398">
        <v>526</v>
      </c>
      <c r="J398">
        <v>3</v>
      </c>
      <c r="K398" t="s">
        <v>34</v>
      </c>
      <c r="L398">
        <v>3</v>
      </c>
      <c r="M398">
        <v>2</v>
      </c>
      <c r="N398" t="s">
        <v>48</v>
      </c>
      <c r="O398">
        <v>3</v>
      </c>
      <c r="P398" t="s">
        <v>46</v>
      </c>
      <c r="Q398">
        <v>4522</v>
      </c>
      <c r="R398">
        <v>4</v>
      </c>
      <c r="S398" t="s">
        <v>30</v>
      </c>
      <c r="T398">
        <v>14</v>
      </c>
      <c r="U398">
        <v>3</v>
      </c>
      <c r="V398">
        <v>4</v>
      </c>
      <c r="W398">
        <v>0</v>
      </c>
      <c r="X398">
        <v>8</v>
      </c>
      <c r="Y398">
        <v>3</v>
      </c>
      <c r="Z398">
        <v>3</v>
      </c>
      <c r="AA398">
        <v>5</v>
      </c>
      <c r="AB398">
        <v>2</v>
      </c>
      <c r="AC398">
        <v>0</v>
      </c>
      <c r="AD398">
        <v>2</v>
      </c>
      <c r="AE398" t="str" cm="1">
        <f t="array" ref="AE398">_xlfn.IFS(G398=1,"Before College",G398=2,"College",G398=3,"Bachelor",G398=4,"Master",G398=5,"Doctor")</f>
        <v>Master</v>
      </c>
      <c r="AF398" t="str" cm="1">
        <f t="array" ref="AF398">_xlfn.IFS(J398=1,"Low",J398=2,"Medium",J398=3,"High",J398=4,"Very High")</f>
        <v>High</v>
      </c>
      <c r="AG398" t="str" cm="1">
        <f t="array" ref="AG398">_xlfn.IFS(L398=1,"Low",L398=2,"Medium",L398=3,"High",L398=4,"Very High")</f>
        <v>High</v>
      </c>
      <c r="AH398" t="str" cm="1">
        <f t="array" ref="AH398">_xlfn.IFS(M398=1,"Junior employee",M398=2,"Mid-level",M398=3,"Senior",M398=4,"Manager",M398=5,"Executive")</f>
        <v>Mid-level</v>
      </c>
      <c r="AI398" t="str" cm="1">
        <f t="array" ref="AI398">_xlfn.IFS(O398=1,"Low",O398=2,"Medium",O398=3,"High",O398=4,"Very High")</f>
        <v>High</v>
      </c>
      <c r="AJ398" t="str" cm="1">
        <f t="array" ref="AJ398">_xlfn.IFS(U398=1,"Low",U398=2,"Good",U398=3,"Excellent",U398=4,"Outstanding")</f>
        <v>Excellent</v>
      </c>
      <c r="AK398" t="str" cm="1">
        <f t="array" ref="AK398">_xlfn.IFS(V398=1,"Low",V398=2,"Medium",V398=3,"High",V398=4,"Very High")</f>
        <v>Very High</v>
      </c>
      <c r="AL398" t="str" cm="1">
        <f t="array" ref="AL398">_xlfn.IFS(Z398=1,"Bad",Z398=2,"Good",Z398=3,"Better",Z398=4,"Best")</f>
        <v>Better</v>
      </c>
      <c r="AM398" t="str" cm="1">
        <f t="array" ref="AM398">_xlfn.IFS(W398=0,"No_stock",W398=1,"Low",W398=2,"Medium",W398=3,"High")</f>
        <v>No_stock</v>
      </c>
      <c r="AN398" t="str">
        <f t="shared" si="6"/>
        <v>Medium</v>
      </c>
    </row>
    <row r="399" spans="1:40" x14ac:dyDescent="0.45">
      <c r="A399">
        <v>25</v>
      </c>
      <c r="B399" t="s">
        <v>37</v>
      </c>
      <c r="C399" t="s">
        <v>31</v>
      </c>
      <c r="D399">
        <v>891</v>
      </c>
      <c r="E399" t="s">
        <v>32</v>
      </c>
      <c r="F399">
        <v>4</v>
      </c>
      <c r="G399">
        <v>2</v>
      </c>
      <c r="H399" t="s">
        <v>33</v>
      </c>
      <c r="I399">
        <v>527</v>
      </c>
      <c r="J399">
        <v>2</v>
      </c>
      <c r="K399" t="s">
        <v>34</v>
      </c>
      <c r="L399">
        <v>2</v>
      </c>
      <c r="M399">
        <v>2</v>
      </c>
      <c r="N399" t="s">
        <v>35</v>
      </c>
      <c r="O399">
        <v>4</v>
      </c>
      <c r="P399" t="s">
        <v>36</v>
      </c>
      <c r="Q399">
        <v>4487</v>
      </c>
      <c r="R399">
        <v>1</v>
      </c>
      <c r="S399" t="s">
        <v>30</v>
      </c>
      <c r="T399">
        <v>11</v>
      </c>
      <c r="U399">
        <v>3</v>
      </c>
      <c r="V399">
        <v>2</v>
      </c>
      <c r="W399">
        <v>0</v>
      </c>
      <c r="X399">
        <v>5</v>
      </c>
      <c r="Y399">
        <v>3</v>
      </c>
      <c r="Z399">
        <v>3</v>
      </c>
      <c r="AA399">
        <v>5</v>
      </c>
      <c r="AB399">
        <v>4</v>
      </c>
      <c r="AC399">
        <v>1</v>
      </c>
      <c r="AD399">
        <v>3</v>
      </c>
      <c r="AE399" t="str" cm="1">
        <f t="array" ref="AE399">_xlfn.IFS(G399=1,"Before College",G399=2,"College",G399=3,"Bachelor",G399=4,"Master",G399=5,"Doctor")</f>
        <v>College</v>
      </c>
      <c r="AF399" t="str" cm="1">
        <f t="array" ref="AF399">_xlfn.IFS(J399=1,"Low",J399=2,"Medium",J399=3,"High",J399=4,"Very High")</f>
        <v>Medium</v>
      </c>
      <c r="AG399" t="str" cm="1">
        <f t="array" ref="AG399">_xlfn.IFS(L399=1,"Low",L399=2,"Medium",L399=3,"High",L399=4,"Very High")</f>
        <v>Medium</v>
      </c>
      <c r="AH399" t="str" cm="1">
        <f t="array" ref="AH399">_xlfn.IFS(M399=1,"Junior employee",M399=2,"Mid-level",M399=3,"Senior",M399=4,"Manager",M399=5,"Executive")</f>
        <v>Mid-level</v>
      </c>
      <c r="AI399" t="str" cm="1">
        <f t="array" ref="AI399">_xlfn.IFS(O399=1,"Low",O399=2,"Medium",O399=3,"High",O399=4,"Very High")</f>
        <v>Very High</v>
      </c>
      <c r="AJ399" t="str" cm="1">
        <f t="array" ref="AJ399">_xlfn.IFS(U399=1,"Low",U399=2,"Good",U399=3,"Excellent",U399=4,"Outstanding")</f>
        <v>Excellent</v>
      </c>
      <c r="AK399" t="str" cm="1">
        <f t="array" ref="AK399">_xlfn.IFS(V399=1,"Low",V399=2,"Medium",V399=3,"High",V399=4,"Very High")</f>
        <v>Medium</v>
      </c>
      <c r="AL399" t="str" cm="1">
        <f t="array" ref="AL399">_xlfn.IFS(Z399=1,"Bad",Z399=2,"Good",Z399=3,"Better",Z399=4,"Best")</f>
        <v>Better</v>
      </c>
      <c r="AM399" t="str" cm="1">
        <f t="array" ref="AM399">_xlfn.IFS(W399=0,"No_stock",W399=1,"Low",W399=2,"Medium",W399=3,"High")</f>
        <v>No_stock</v>
      </c>
      <c r="AN399" t="str">
        <f t="shared" si="6"/>
        <v>Near</v>
      </c>
    </row>
    <row r="400" spans="1:40" x14ac:dyDescent="0.45">
      <c r="A400">
        <v>37</v>
      </c>
      <c r="B400" t="s">
        <v>37</v>
      </c>
      <c r="C400" t="s">
        <v>49</v>
      </c>
      <c r="D400">
        <v>1063</v>
      </c>
      <c r="E400" t="s">
        <v>39</v>
      </c>
      <c r="F400">
        <v>25</v>
      </c>
      <c r="G400">
        <v>5</v>
      </c>
      <c r="H400" t="s">
        <v>45</v>
      </c>
      <c r="I400">
        <v>529</v>
      </c>
      <c r="J400">
        <v>2</v>
      </c>
      <c r="K400" t="s">
        <v>34</v>
      </c>
      <c r="L400">
        <v>3</v>
      </c>
      <c r="M400">
        <v>2</v>
      </c>
      <c r="N400" t="s">
        <v>41</v>
      </c>
      <c r="O400">
        <v>3</v>
      </c>
      <c r="P400" t="s">
        <v>42</v>
      </c>
      <c r="Q400">
        <v>4449</v>
      </c>
      <c r="R400">
        <v>3</v>
      </c>
      <c r="S400" t="s">
        <v>30</v>
      </c>
      <c r="T400">
        <v>15</v>
      </c>
      <c r="U400">
        <v>3</v>
      </c>
      <c r="V400">
        <v>1</v>
      </c>
      <c r="W400">
        <v>2</v>
      </c>
      <c r="X400">
        <v>15</v>
      </c>
      <c r="Y400">
        <v>2</v>
      </c>
      <c r="Z400">
        <v>3</v>
      </c>
      <c r="AA400">
        <v>13</v>
      </c>
      <c r="AB400">
        <v>11</v>
      </c>
      <c r="AC400">
        <v>10</v>
      </c>
      <c r="AD400">
        <v>7</v>
      </c>
      <c r="AE400" t="str" cm="1">
        <f t="array" ref="AE400">_xlfn.IFS(G400=1,"Before College",G400=2,"College",G400=3,"Bachelor",G400=4,"Master",G400=5,"Doctor")</f>
        <v>Doctor</v>
      </c>
      <c r="AF400" t="str" cm="1">
        <f t="array" ref="AF400">_xlfn.IFS(J400=1,"Low",J400=2,"Medium",J400=3,"High",J400=4,"Very High")</f>
        <v>Medium</v>
      </c>
      <c r="AG400" t="str" cm="1">
        <f t="array" ref="AG400">_xlfn.IFS(L400=1,"Low",L400=2,"Medium",L400=3,"High",L400=4,"Very High")</f>
        <v>High</v>
      </c>
      <c r="AH400" t="str" cm="1">
        <f t="array" ref="AH400">_xlfn.IFS(M400=1,"Junior employee",M400=2,"Mid-level",M400=3,"Senior",M400=4,"Manager",M400=5,"Executive")</f>
        <v>Mid-level</v>
      </c>
      <c r="AI400" t="str" cm="1">
        <f t="array" ref="AI400">_xlfn.IFS(O400=1,"Low",O400=2,"Medium",O400=3,"High",O400=4,"Very High")</f>
        <v>High</v>
      </c>
      <c r="AJ400" t="str" cm="1">
        <f t="array" ref="AJ400">_xlfn.IFS(U400=1,"Low",U400=2,"Good",U400=3,"Excellent",U400=4,"Outstanding")</f>
        <v>Excellent</v>
      </c>
      <c r="AK400" t="str" cm="1">
        <f t="array" ref="AK400">_xlfn.IFS(V400=1,"Low",V400=2,"Medium",V400=3,"High",V400=4,"Very High")</f>
        <v>Low</v>
      </c>
      <c r="AL400" t="str" cm="1">
        <f t="array" ref="AL400">_xlfn.IFS(Z400=1,"Bad",Z400=2,"Good",Z400=3,"Better",Z400=4,"Best")</f>
        <v>Better</v>
      </c>
      <c r="AM400" t="str" cm="1">
        <f t="array" ref="AM400">_xlfn.IFS(W400=0,"No_stock",W400=1,"Low",W400=2,"Medium",W400=3,"High")</f>
        <v>Medium</v>
      </c>
      <c r="AN400" t="str">
        <f t="shared" si="6"/>
        <v>Far</v>
      </c>
    </row>
    <row r="401" spans="1:40" x14ac:dyDescent="0.45">
      <c r="A401">
        <v>31</v>
      </c>
      <c r="B401" t="s">
        <v>37</v>
      </c>
      <c r="C401" t="s">
        <v>31</v>
      </c>
      <c r="D401">
        <v>329</v>
      </c>
      <c r="E401" t="s">
        <v>39</v>
      </c>
      <c r="F401">
        <v>1</v>
      </c>
      <c r="G401">
        <v>2</v>
      </c>
      <c r="H401" t="s">
        <v>33</v>
      </c>
      <c r="I401">
        <v>530</v>
      </c>
      <c r="J401">
        <v>4</v>
      </c>
      <c r="K401" t="s">
        <v>40</v>
      </c>
      <c r="L401">
        <v>2</v>
      </c>
      <c r="M401">
        <v>1</v>
      </c>
      <c r="N401" t="s">
        <v>44</v>
      </c>
      <c r="O401">
        <v>1</v>
      </c>
      <c r="P401" t="s">
        <v>42</v>
      </c>
      <c r="Q401">
        <v>2218</v>
      </c>
      <c r="R401">
        <v>1</v>
      </c>
      <c r="S401" t="s">
        <v>37</v>
      </c>
      <c r="T401">
        <v>12</v>
      </c>
      <c r="U401">
        <v>3</v>
      </c>
      <c r="V401">
        <v>3</v>
      </c>
      <c r="W401">
        <v>1</v>
      </c>
      <c r="X401">
        <v>4</v>
      </c>
      <c r="Y401">
        <v>3</v>
      </c>
      <c r="Z401">
        <v>3</v>
      </c>
      <c r="AA401">
        <v>4</v>
      </c>
      <c r="AB401">
        <v>2</v>
      </c>
      <c r="AC401">
        <v>3</v>
      </c>
      <c r="AD401">
        <v>2</v>
      </c>
      <c r="AE401" t="str" cm="1">
        <f t="array" ref="AE401">_xlfn.IFS(G401=1,"Before College",G401=2,"College",G401=3,"Bachelor",G401=4,"Master",G401=5,"Doctor")</f>
        <v>College</v>
      </c>
      <c r="AF401" t="str" cm="1">
        <f t="array" ref="AF401">_xlfn.IFS(J401=1,"Low",J401=2,"Medium",J401=3,"High",J401=4,"Very High")</f>
        <v>Very High</v>
      </c>
      <c r="AG401" t="str" cm="1">
        <f t="array" ref="AG401">_xlfn.IFS(L401=1,"Low",L401=2,"Medium",L401=3,"High",L401=4,"Very High")</f>
        <v>Medium</v>
      </c>
      <c r="AH401" t="str" cm="1">
        <f t="array" ref="AH401">_xlfn.IFS(M401=1,"Junior employee",M401=2,"Mid-level",M401=3,"Senior",M401=4,"Manager",M401=5,"Executive")</f>
        <v>Junior employee</v>
      </c>
      <c r="AI401" t="str" cm="1">
        <f t="array" ref="AI401">_xlfn.IFS(O401=1,"Low",O401=2,"Medium",O401=3,"High",O401=4,"Very High")</f>
        <v>Low</v>
      </c>
      <c r="AJ401" t="str" cm="1">
        <f t="array" ref="AJ401">_xlfn.IFS(U401=1,"Low",U401=2,"Good",U401=3,"Excellent",U401=4,"Outstanding")</f>
        <v>Excellent</v>
      </c>
      <c r="AK401" t="str" cm="1">
        <f t="array" ref="AK401">_xlfn.IFS(V401=1,"Low",V401=2,"Medium",V401=3,"High",V401=4,"Very High")</f>
        <v>High</v>
      </c>
      <c r="AL401" t="str" cm="1">
        <f t="array" ref="AL401">_xlfn.IFS(Z401=1,"Bad",Z401=2,"Good",Z401=3,"Better",Z401=4,"Best")</f>
        <v>Better</v>
      </c>
      <c r="AM401" t="str" cm="1">
        <f t="array" ref="AM401">_xlfn.IFS(W401=0,"No_stock",W401=1,"Low",W401=2,"Medium",W401=3,"High")</f>
        <v>Low</v>
      </c>
      <c r="AN401" t="str">
        <f t="shared" si="6"/>
        <v>Near</v>
      </c>
    </row>
    <row r="402" spans="1:40" x14ac:dyDescent="0.45">
      <c r="A402">
        <v>39</v>
      </c>
      <c r="B402" t="s">
        <v>37</v>
      </c>
      <c r="C402" t="s">
        <v>38</v>
      </c>
      <c r="D402">
        <v>1218</v>
      </c>
      <c r="E402" t="s">
        <v>39</v>
      </c>
      <c r="F402">
        <v>1</v>
      </c>
      <c r="G402">
        <v>1</v>
      </c>
      <c r="H402" t="s">
        <v>33</v>
      </c>
      <c r="I402">
        <v>531</v>
      </c>
      <c r="J402">
        <v>2</v>
      </c>
      <c r="K402" t="s">
        <v>40</v>
      </c>
      <c r="L402">
        <v>3</v>
      </c>
      <c r="M402">
        <v>5</v>
      </c>
      <c r="N402" t="s">
        <v>50</v>
      </c>
      <c r="O402">
        <v>3</v>
      </c>
      <c r="P402" t="s">
        <v>46</v>
      </c>
      <c r="Q402">
        <v>19197</v>
      </c>
      <c r="R402">
        <v>1</v>
      </c>
      <c r="S402" t="s">
        <v>30</v>
      </c>
      <c r="T402">
        <v>14</v>
      </c>
      <c r="U402">
        <v>3</v>
      </c>
      <c r="V402">
        <v>3</v>
      </c>
      <c r="W402">
        <v>1</v>
      </c>
      <c r="X402">
        <v>21</v>
      </c>
      <c r="Y402">
        <v>3</v>
      </c>
      <c r="Z402">
        <v>3</v>
      </c>
      <c r="AA402">
        <v>21</v>
      </c>
      <c r="AB402">
        <v>8</v>
      </c>
      <c r="AC402">
        <v>1</v>
      </c>
      <c r="AD402">
        <v>6</v>
      </c>
      <c r="AE402" t="str" cm="1">
        <f t="array" ref="AE402">_xlfn.IFS(G402=1,"Before College",G402=2,"College",G402=3,"Bachelor",G402=4,"Master",G402=5,"Doctor")</f>
        <v>Before College</v>
      </c>
      <c r="AF402" t="str" cm="1">
        <f t="array" ref="AF402">_xlfn.IFS(J402=1,"Low",J402=2,"Medium",J402=3,"High",J402=4,"Very High")</f>
        <v>Medium</v>
      </c>
      <c r="AG402" t="str" cm="1">
        <f t="array" ref="AG402">_xlfn.IFS(L402=1,"Low",L402=2,"Medium",L402=3,"High",L402=4,"Very High")</f>
        <v>High</v>
      </c>
      <c r="AH402" t="str" cm="1">
        <f t="array" ref="AH402">_xlfn.IFS(M402=1,"Junior employee",M402=2,"Mid-level",M402=3,"Senior",M402=4,"Manager",M402=5,"Executive")</f>
        <v>Executive</v>
      </c>
      <c r="AI402" t="str" cm="1">
        <f t="array" ref="AI402">_xlfn.IFS(O402=1,"Low",O402=2,"Medium",O402=3,"High",O402=4,"Very High")</f>
        <v>High</v>
      </c>
      <c r="AJ402" t="str" cm="1">
        <f t="array" ref="AJ402">_xlfn.IFS(U402=1,"Low",U402=2,"Good",U402=3,"Excellent",U402=4,"Outstanding")</f>
        <v>Excellent</v>
      </c>
      <c r="AK402" t="str" cm="1">
        <f t="array" ref="AK402">_xlfn.IFS(V402=1,"Low",V402=2,"Medium",V402=3,"High",V402=4,"Very High")</f>
        <v>High</v>
      </c>
      <c r="AL402" t="str" cm="1">
        <f t="array" ref="AL402">_xlfn.IFS(Z402=1,"Bad",Z402=2,"Good",Z402=3,"Better",Z402=4,"Best")</f>
        <v>Better</v>
      </c>
      <c r="AM402" t="str" cm="1">
        <f t="array" ref="AM402">_xlfn.IFS(W402=0,"No_stock",W402=1,"Low",W402=2,"Medium",W402=3,"High")</f>
        <v>Low</v>
      </c>
      <c r="AN402" t="str">
        <f t="shared" si="6"/>
        <v>Near</v>
      </c>
    </row>
    <row r="403" spans="1:40" x14ac:dyDescent="0.45">
      <c r="A403">
        <v>56</v>
      </c>
      <c r="B403" t="s">
        <v>37</v>
      </c>
      <c r="C403" t="s">
        <v>38</v>
      </c>
      <c r="D403">
        <v>906</v>
      </c>
      <c r="E403" t="s">
        <v>32</v>
      </c>
      <c r="F403">
        <v>6</v>
      </c>
      <c r="G403">
        <v>3</v>
      </c>
      <c r="H403" t="s">
        <v>33</v>
      </c>
      <c r="I403">
        <v>532</v>
      </c>
      <c r="J403">
        <v>3</v>
      </c>
      <c r="K403" t="s">
        <v>34</v>
      </c>
      <c r="L403">
        <v>4</v>
      </c>
      <c r="M403">
        <v>4</v>
      </c>
      <c r="N403" t="s">
        <v>35</v>
      </c>
      <c r="O403">
        <v>1</v>
      </c>
      <c r="P403" t="s">
        <v>42</v>
      </c>
      <c r="Q403">
        <v>13212</v>
      </c>
      <c r="R403">
        <v>9</v>
      </c>
      <c r="S403" t="s">
        <v>37</v>
      </c>
      <c r="T403">
        <v>11</v>
      </c>
      <c r="U403">
        <v>3</v>
      </c>
      <c r="V403">
        <v>4</v>
      </c>
      <c r="W403">
        <v>3</v>
      </c>
      <c r="X403">
        <v>36</v>
      </c>
      <c r="Y403">
        <v>0</v>
      </c>
      <c r="Z403">
        <v>2</v>
      </c>
      <c r="AA403">
        <v>7</v>
      </c>
      <c r="AB403">
        <v>7</v>
      </c>
      <c r="AC403">
        <v>7</v>
      </c>
      <c r="AD403">
        <v>7</v>
      </c>
      <c r="AE403" t="str" cm="1">
        <f t="array" ref="AE403">_xlfn.IFS(G403=1,"Before College",G403=2,"College",G403=3,"Bachelor",G403=4,"Master",G403=5,"Doctor")</f>
        <v>Bachelor</v>
      </c>
      <c r="AF403" t="str" cm="1">
        <f t="array" ref="AF403">_xlfn.IFS(J403=1,"Low",J403=2,"Medium",J403=3,"High",J403=4,"Very High")</f>
        <v>High</v>
      </c>
      <c r="AG403" t="str" cm="1">
        <f t="array" ref="AG403">_xlfn.IFS(L403=1,"Low",L403=2,"Medium",L403=3,"High",L403=4,"Very High")</f>
        <v>Very High</v>
      </c>
      <c r="AH403" t="str" cm="1">
        <f t="array" ref="AH403">_xlfn.IFS(M403=1,"Junior employee",M403=2,"Mid-level",M403=3,"Senior",M403=4,"Manager",M403=5,"Executive")</f>
        <v>Manager</v>
      </c>
      <c r="AI403" t="str" cm="1">
        <f t="array" ref="AI403">_xlfn.IFS(O403=1,"Low",O403=2,"Medium",O403=3,"High",O403=4,"Very High")</f>
        <v>Low</v>
      </c>
      <c r="AJ403" t="str" cm="1">
        <f t="array" ref="AJ403">_xlfn.IFS(U403=1,"Low",U403=2,"Good",U403=3,"Excellent",U403=4,"Outstanding")</f>
        <v>Excellent</v>
      </c>
      <c r="AK403" t="str" cm="1">
        <f t="array" ref="AK403">_xlfn.IFS(V403=1,"Low",V403=2,"Medium",V403=3,"High",V403=4,"Very High")</f>
        <v>Very High</v>
      </c>
      <c r="AL403" t="str" cm="1">
        <f t="array" ref="AL403">_xlfn.IFS(Z403=1,"Bad",Z403=2,"Good",Z403=3,"Better",Z403=4,"Best")</f>
        <v>Good</v>
      </c>
      <c r="AM403" t="str" cm="1">
        <f t="array" ref="AM403">_xlfn.IFS(W403=0,"No_stock",W403=1,"Low",W403=2,"Medium",W403=3,"High")</f>
        <v>High</v>
      </c>
      <c r="AN403" t="str">
        <f t="shared" si="6"/>
        <v>Medium</v>
      </c>
    </row>
    <row r="404" spans="1:40" x14ac:dyDescent="0.45">
      <c r="A404">
        <v>30</v>
      </c>
      <c r="B404" t="s">
        <v>37</v>
      </c>
      <c r="C404" t="s">
        <v>31</v>
      </c>
      <c r="D404">
        <v>1082</v>
      </c>
      <c r="E404" t="s">
        <v>32</v>
      </c>
      <c r="F404">
        <v>12</v>
      </c>
      <c r="G404">
        <v>3</v>
      </c>
      <c r="H404" t="s">
        <v>54</v>
      </c>
      <c r="I404">
        <v>533</v>
      </c>
      <c r="J404">
        <v>2</v>
      </c>
      <c r="K404" t="s">
        <v>34</v>
      </c>
      <c r="L404">
        <v>3</v>
      </c>
      <c r="M404">
        <v>2</v>
      </c>
      <c r="N404" t="s">
        <v>35</v>
      </c>
      <c r="O404">
        <v>3</v>
      </c>
      <c r="P404" t="s">
        <v>36</v>
      </c>
      <c r="Q404">
        <v>6577</v>
      </c>
      <c r="R404">
        <v>0</v>
      </c>
      <c r="S404" t="s">
        <v>37</v>
      </c>
      <c r="T404">
        <v>11</v>
      </c>
      <c r="U404">
        <v>3</v>
      </c>
      <c r="V404">
        <v>2</v>
      </c>
      <c r="W404">
        <v>0</v>
      </c>
      <c r="X404">
        <v>6</v>
      </c>
      <c r="Y404">
        <v>6</v>
      </c>
      <c r="Z404">
        <v>3</v>
      </c>
      <c r="AA404">
        <v>5</v>
      </c>
      <c r="AB404">
        <v>4</v>
      </c>
      <c r="AC404">
        <v>4</v>
      </c>
      <c r="AD404">
        <v>4</v>
      </c>
      <c r="AE404" t="str" cm="1">
        <f t="array" ref="AE404">_xlfn.IFS(G404=1,"Before College",G404=2,"College",G404=3,"Bachelor",G404=4,"Master",G404=5,"Doctor")</f>
        <v>Bachelor</v>
      </c>
      <c r="AF404" t="str" cm="1">
        <f t="array" ref="AF404">_xlfn.IFS(J404=1,"Low",J404=2,"Medium",J404=3,"High",J404=4,"Very High")</f>
        <v>Medium</v>
      </c>
      <c r="AG404" t="str" cm="1">
        <f t="array" ref="AG404">_xlfn.IFS(L404=1,"Low",L404=2,"Medium",L404=3,"High",L404=4,"Very High")</f>
        <v>High</v>
      </c>
      <c r="AH404" t="str" cm="1">
        <f t="array" ref="AH404">_xlfn.IFS(M404=1,"Junior employee",M404=2,"Mid-level",M404=3,"Senior",M404=4,"Manager",M404=5,"Executive")</f>
        <v>Mid-level</v>
      </c>
      <c r="AI404" t="str" cm="1">
        <f t="array" ref="AI404">_xlfn.IFS(O404=1,"Low",O404=2,"Medium",O404=3,"High",O404=4,"Very High")</f>
        <v>High</v>
      </c>
      <c r="AJ404" t="str" cm="1">
        <f t="array" ref="AJ404">_xlfn.IFS(U404=1,"Low",U404=2,"Good",U404=3,"Excellent",U404=4,"Outstanding")</f>
        <v>Excellent</v>
      </c>
      <c r="AK404" t="str" cm="1">
        <f t="array" ref="AK404">_xlfn.IFS(V404=1,"Low",V404=2,"Medium",V404=3,"High",V404=4,"Very High")</f>
        <v>Medium</v>
      </c>
      <c r="AL404" t="str" cm="1">
        <f t="array" ref="AL404">_xlfn.IFS(Z404=1,"Bad",Z404=2,"Good",Z404=3,"Better",Z404=4,"Best")</f>
        <v>Better</v>
      </c>
      <c r="AM404" t="str" cm="1">
        <f t="array" ref="AM404">_xlfn.IFS(W404=0,"No_stock",W404=1,"Low",W404=2,"Medium",W404=3,"High")</f>
        <v>No_stock</v>
      </c>
      <c r="AN404" t="str">
        <f t="shared" si="6"/>
        <v>Medium</v>
      </c>
    </row>
    <row r="405" spans="1:40" x14ac:dyDescent="0.45">
      <c r="A405">
        <v>41</v>
      </c>
      <c r="B405" t="s">
        <v>37</v>
      </c>
      <c r="C405" t="s">
        <v>31</v>
      </c>
      <c r="D405">
        <v>645</v>
      </c>
      <c r="E405" t="s">
        <v>32</v>
      </c>
      <c r="F405">
        <v>1</v>
      </c>
      <c r="G405">
        <v>3</v>
      </c>
      <c r="H405" t="s">
        <v>53</v>
      </c>
      <c r="I405">
        <v>534</v>
      </c>
      <c r="J405">
        <v>2</v>
      </c>
      <c r="K405" t="s">
        <v>40</v>
      </c>
      <c r="L405">
        <v>4</v>
      </c>
      <c r="M405">
        <v>3</v>
      </c>
      <c r="N405" t="s">
        <v>35</v>
      </c>
      <c r="O405">
        <v>1</v>
      </c>
      <c r="P405" t="s">
        <v>42</v>
      </c>
      <c r="Q405">
        <v>8392</v>
      </c>
      <c r="R405">
        <v>1</v>
      </c>
      <c r="S405" t="s">
        <v>37</v>
      </c>
      <c r="T405">
        <v>16</v>
      </c>
      <c r="U405">
        <v>3</v>
      </c>
      <c r="V405">
        <v>3</v>
      </c>
      <c r="W405">
        <v>1</v>
      </c>
      <c r="X405">
        <v>10</v>
      </c>
      <c r="Y405">
        <v>2</v>
      </c>
      <c r="Z405">
        <v>3</v>
      </c>
      <c r="AA405">
        <v>10</v>
      </c>
      <c r="AB405">
        <v>7</v>
      </c>
      <c r="AC405">
        <v>0</v>
      </c>
      <c r="AD405">
        <v>7</v>
      </c>
      <c r="AE405" t="str" cm="1">
        <f t="array" ref="AE405">_xlfn.IFS(G405=1,"Before College",G405=2,"College",G405=3,"Bachelor",G405=4,"Master",G405=5,"Doctor")</f>
        <v>Bachelor</v>
      </c>
      <c r="AF405" t="str" cm="1">
        <f t="array" ref="AF405">_xlfn.IFS(J405=1,"Low",J405=2,"Medium",J405=3,"High",J405=4,"Very High")</f>
        <v>Medium</v>
      </c>
      <c r="AG405" t="str" cm="1">
        <f t="array" ref="AG405">_xlfn.IFS(L405=1,"Low",L405=2,"Medium",L405=3,"High",L405=4,"Very High")</f>
        <v>Very High</v>
      </c>
      <c r="AH405" t="str" cm="1">
        <f t="array" ref="AH405">_xlfn.IFS(M405=1,"Junior employee",M405=2,"Mid-level",M405=3,"Senior",M405=4,"Manager",M405=5,"Executive")</f>
        <v>Senior</v>
      </c>
      <c r="AI405" t="str" cm="1">
        <f t="array" ref="AI405">_xlfn.IFS(O405=1,"Low",O405=2,"Medium",O405=3,"High",O405=4,"Very High")</f>
        <v>Low</v>
      </c>
      <c r="AJ405" t="str" cm="1">
        <f t="array" ref="AJ405">_xlfn.IFS(U405=1,"Low",U405=2,"Good",U405=3,"Excellent",U405=4,"Outstanding")</f>
        <v>Excellent</v>
      </c>
      <c r="AK405" t="str" cm="1">
        <f t="array" ref="AK405">_xlfn.IFS(V405=1,"Low",V405=2,"Medium",V405=3,"High",V405=4,"Very High")</f>
        <v>High</v>
      </c>
      <c r="AL405" t="str" cm="1">
        <f t="array" ref="AL405">_xlfn.IFS(Z405=1,"Bad",Z405=2,"Good",Z405=3,"Better",Z405=4,"Best")</f>
        <v>Better</v>
      </c>
      <c r="AM405" t="str" cm="1">
        <f t="array" ref="AM405">_xlfn.IFS(W405=0,"No_stock",W405=1,"Low",W405=2,"Medium",W405=3,"High")</f>
        <v>Low</v>
      </c>
      <c r="AN405" t="str">
        <f t="shared" si="6"/>
        <v>Near</v>
      </c>
    </row>
    <row r="406" spans="1:40" x14ac:dyDescent="0.45">
      <c r="A406">
        <v>28</v>
      </c>
      <c r="B406" t="s">
        <v>37</v>
      </c>
      <c r="C406" t="s">
        <v>31</v>
      </c>
      <c r="D406">
        <v>1300</v>
      </c>
      <c r="E406" t="s">
        <v>39</v>
      </c>
      <c r="F406">
        <v>17</v>
      </c>
      <c r="G406">
        <v>2</v>
      </c>
      <c r="H406" t="s">
        <v>45</v>
      </c>
      <c r="I406">
        <v>536</v>
      </c>
      <c r="J406">
        <v>3</v>
      </c>
      <c r="K406" t="s">
        <v>40</v>
      </c>
      <c r="L406">
        <v>3</v>
      </c>
      <c r="M406">
        <v>2</v>
      </c>
      <c r="N406" t="s">
        <v>44</v>
      </c>
      <c r="O406">
        <v>1</v>
      </c>
      <c r="P406" t="s">
        <v>46</v>
      </c>
      <c r="Q406">
        <v>4558</v>
      </c>
      <c r="R406">
        <v>1</v>
      </c>
      <c r="S406" t="s">
        <v>37</v>
      </c>
      <c r="T406">
        <v>12</v>
      </c>
      <c r="U406">
        <v>3</v>
      </c>
      <c r="V406">
        <v>4</v>
      </c>
      <c r="W406">
        <v>1</v>
      </c>
      <c r="X406">
        <v>10</v>
      </c>
      <c r="Y406">
        <v>2</v>
      </c>
      <c r="Z406">
        <v>3</v>
      </c>
      <c r="AA406">
        <v>10</v>
      </c>
      <c r="AB406">
        <v>0</v>
      </c>
      <c r="AC406">
        <v>1</v>
      </c>
      <c r="AD406">
        <v>8</v>
      </c>
      <c r="AE406" t="str" cm="1">
        <f t="array" ref="AE406">_xlfn.IFS(G406=1,"Before College",G406=2,"College",G406=3,"Bachelor",G406=4,"Master",G406=5,"Doctor")</f>
        <v>College</v>
      </c>
      <c r="AF406" t="str" cm="1">
        <f t="array" ref="AF406">_xlfn.IFS(J406=1,"Low",J406=2,"Medium",J406=3,"High",J406=4,"Very High")</f>
        <v>High</v>
      </c>
      <c r="AG406" t="str" cm="1">
        <f t="array" ref="AG406">_xlfn.IFS(L406=1,"Low",L406=2,"Medium",L406=3,"High",L406=4,"Very High")</f>
        <v>High</v>
      </c>
      <c r="AH406" t="str" cm="1">
        <f t="array" ref="AH406">_xlfn.IFS(M406=1,"Junior employee",M406=2,"Mid-level",M406=3,"Senior",M406=4,"Manager",M406=5,"Executive")</f>
        <v>Mid-level</v>
      </c>
      <c r="AI406" t="str" cm="1">
        <f t="array" ref="AI406">_xlfn.IFS(O406=1,"Low",O406=2,"Medium",O406=3,"High",O406=4,"Very High")</f>
        <v>Low</v>
      </c>
      <c r="AJ406" t="str" cm="1">
        <f t="array" ref="AJ406">_xlfn.IFS(U406=1,"Low",U406=2,"Good",U406=3,"Excellent",U406=4,"Outstanding")</f>
        <v>Excellent</v>
      </c>
      <c r="AK406" t="str" cm="1">
        <f t="array" ref="AK406">_xlfn.IFS(V406=1,"Low",V406=2,"Medium",V406=3,"High",V406=4,"Very High")</f>
        <v>Very High</v>
      </c>
      <c r="AL406" t="str" cm="1">
        <f t="array" ref="AL406">_xlfn.IFS(Z406=1,"Bad",Z406=2,"Good",Z406=3,"Better",Z406=4,"Best")</f>
        <v>Better</v>
      </c>
      <c r="AM406" t="str" cm="1">
        <f t="array" ref="AM406">_xlfn.IFS(W406=0,"No_stock",W406=1,"Low",W406=2,"Medium",W406=3,"High")</f>
        <v>Low</v>
      </c>
      <c r="AN406" t="str">
        <f t="shared" si="6"/>
        <v>Far</v>
      </c>
    </row>
    <row r="407" spans="1:40" x14ac:dyDescent="0.45">
      <c r="A407">
        <v>25</v>
      </c>
      <c r="B407" t="s">
        <v>30</v>
      </c>
      <c r="C407" t="s">
        <v>31</v>
      </c>
      <c r="D407">
        <v>688</v>
      </c>
      <c r="E407" t="s">
        <v>39</v>
      </c>
      <c r="F407">
        <v>3</v>
      </c>
      <c r="G407">
        <v>3</v>
      </c>
      <c r="H407" t="s">
        <v>45</v>
      </c>
      <c r="I407">
        <v>538</v>
      </c>
      <c r="J407">
        <v>1</v>
      </c>
      <c r="K407" t="s">
        <v>40</v>
      </c>
      <c r="L407">
        <v>3</v>
      </c>
      <c r="M407">
        <v>1</v>
      </c>
      <c r="N407" t="s">
        <v>44</v>
      </c>
      <c r="O407">
        <v>1</v>
      </c>
      <c r="P407" t="s">
        <v>42</v>
      </c>
      <c r="Q407">
        <v>4031</v>
      </c>
      <c r="R407">
        <v>5</v>
      </c>
      <c r="S407" t="s">
        <v>37</v>
      </c>
      <c r="T407">
        <v>13</v>
      </c>
      <c r="U407">
        <v>3</v>
      </c>
      <c r="V407">
        <v>3</v>
      </c>
      <c r="W407">
        <v>1</v>
      </c>
      <c r="X407">
        <v>6</v>
      </c>
      <c r="Y407">
        <v>5</v>
      </c>
      <c r="Z407">
        <v>3</v>
      </c>
      <c r="AA407">
        <v>2</v>
      </c>
      <c r="AB407">
        <v>2</v>
      </c>
      <c r="AC407">
        <v>0</v>
      </c>
      <c r="AD407">
        <v>2</v>
      </c>
      <c r="AE407" t="str" cm="1">
        <f t="array" ref="AE407">_xlfn.IFS(G407=1,"Before College",G407=2,"College",G407=3,"Bachelor",G407=4,"Master",G407=5,"Doctor")</f>
        <v>Bachelor</v>
      </c>
      <c r="AF407" t="str" cm="1">
        <f t="array" ref="AF407">_xlfn.IFS(J407=1,"Low",J407=2,"Medium",J407=3,"High",J407=4,"Very High")</f>
        <v>Low</v>
      </c>
      <c r="AG407" t="str" cm="1">
        <f t="array" ref="AG407">_xlfn.IFS(L407=1,"Low",L407=2,"Medium",L407=3,"High",L407=4,"Very High")</f>
        <v>High</v>
      </c>
      <c r="AH407" t="str" cm="1">
        <f t="array" ref="AH407">_xlfn.IFS(M407=1,"Junior employee",M407=2,"Mid-level",M407=3,"Senior",M407=4,"Manager",M407=5,"Executive")</f>
        <v>Junior employee</v>
      </c>
      <c r="AI407" t="str" cm="1">
        <f t="array" ref="AI407">_xlfn.IFS(O407=1,"Low",O407=2,"Medium",O407=3,"High",O407=4,"Very High")</f>
        <v>Low</v>
      </c>
      <c r="AJ407" t="str" cm="1">
        <f t="array" ref="AJ407">_xlfn.IFS(U407=1,"Low",U407=2,"Good",U407=3,"Excellent",U407=4,"Outstanding")</f>
        <v>Excellent</v>
      </c>
      <c r="AK407" t="str" cm="1">
        <f t="array" ref="AK407">_xlfn.IFS(V407=1,"Low",V407=2,"Medium",V407=3,"High",V407=4,"Very High")</f>
        <v>High</v>
      </c>
      <c r="AL407" t="str" cm="1">
        <f t="array" ref="AL407">_xlfn.IFS(Z407=1,"Bad",Z407=2,"Good",Z407=3,"Better",Z407=4,"Best")</f>
        <v>Better</v>
      </c>
      <c r="AM407" t="str" cm="1">
        <f t="array" ref="AM407">_xlfn.IFS(W407=0,"No_stock",W407=1,"Low",W407=2,"Medium",W407=3,"High")</f>
        <v>Low</v>
      </c>
      <c r="AN407" t="str">
        <f t="shared" si="6"/>
        <v>Near</v>
      </c>
    </row>
    <row r="408" spans="1:40" x14ac:dyDescent="0.45">
      <c r="A408">
        <v>52</v>
      </c>
      <c r="B408" t="s">
        <v>37</v>
      </c>
      <c r="C408" t="s">
        <v>31</v>
      </c>
      <c r="D408">
        <v>319</v>
      </c>
      <c r="E408" t="s">
        <v>39</v>
      </c>
      <c r="F408">
        <v>3</v>
      </c>
      <c r="G408">
        <v>3</v>
      </c>
      <c r="H408" t="s">
        <v>45</v>
      </c>
      <c r="I408">
        <v>543</v>
      </c>
      <c r="J408">
        <v>4</v>
      </c>
      <c r="K408" t="s">
        <v>40</v>
      </c>
      <c r="L408">
        <v>2</v>
      </c>
      <c r="M408">
        <v>3</v>
      </c>
      <c r="N408" t="s">
        <v>47</v>
      </c>
      <c r="O408">
        <v>3</v>
      </c>
      <c r="P408" t="s">
        <v>42</v>
      </c>
      <c r="Q408">
        <v>7969</v>
      </c>
      <c r="R408">
        <v>2</v>
      </c>
      <c r="S408" t="s">
        <v>30</v>
      </c>
      <c r="T408">
        <v>14</v>
      </c>
      <c r="U408">
        <v>3</v>
      </c>
      <c r="V408">
        <v>3</v>
      </c>
      <c r="W408">
        <v>0</v>
      </c>
      <c r="X408">
        <v>28</v>
      </c>
      <c r="Y408">
        <v>4</v>
      </c>
      <c r="Z408">
        <v>3</v>
      </c>
      <c r="AA408">
        <v>5</v>
      </c>
      <c r="AB408">
        <v>4</v>
      </c>
      <c r="AC408">
        <v>0</v>
      </c>
      <c r="AD408">
        <v>4</v>
      </c>
      <c r="AE408" t="str" cm="1">
        <f t="array" ref="AE408">_xlfn.IFS(G408=1,"Before College",G408=2,"College",G408=3,"Bachelor",G408=4,"Master",G408=5,"Doctor")</f>
        <v>Bachelor</v>
      </c>
      <c r="AF408" t="str" cm="1">
        <f t="array" ref="AF408">_xlfn.IFS(J408=1,"Low",J408=2,"Medium",J408=3,"High",J408=4,"Very High")</f>
        <v>Very High</v>
      </c>
      <c r="AG408" t="str" cm="1">
        <f t="array" ref="AG408">_xlfn.IFS(L408=1,"Low",L408=2,"Medium",L408=3,"High",L408=4,"Very High")</f>
        <v>Medium</v>
      </c>
      <c r="AH408" t="str" cm="1">
        <f t="array" ref="AH408">_xlfn.IFS(M408=1,"Junior employee",M408=2,"Mid-level",M408=3,"Senior",M408=4,"Manager",M408=5,"Executive")</f>
        <v>Senior</v>
      </c>
      <c r="AI408" t="str" cm="1">
        <f t="array" ref="AI408">_xlfn.IFS(O408=1,"Low",O408=2,"Medium",O408=3,"High",O408=4,"Very High")</f>
        <v>High</v>
      </c>
      <c r="AJ408" t="str" cm="1">
        <f t="array" ref="AJ408">_xlfn.IFS(U408=1,"Low",U408=2,"Good",U408=3,"Excellent",U408=4,"Outstanding")</f>
        <v>Excellent</v>
      </c>
      <c r="AK408" t="str" cm="1">
        <f t="array" ref="AK408">_xlfn.IFS(V408=1,"Low",V408=2,"Medium",V408=3,"High",V408=4,"Very High")</f>
        <v>High</v>
      </c>
      <c r="AL408" t="str" cm="1">
        <f t="array" ref="AL408">_xlfn.IFS(Z408=1,"Bad",Z408=2,"Good",Z408=3,"Better",Z408=4,"Best")</f>
        <v>Better</v>
      </c>
      <c r="AM408" t="str" cm="1">
        <f t="array" ref="AM408">_xlfn.IFS(W408=0,"No_stock",W408=1,"Low",W408=2,"Medium",W408=3,"High")</f>
        <v>No_stock</v>
      </c>
      <c r="AN408" t="str">
        <f t="shared" si="6"/>
        <v>Near</v>
      </c>
    </row>
    <row r="409" spans="1:40" x14ac:dyDescent="0.45">
      <c r="A409">
        <v>45</v>
      </c>
      <c r="B409" t="s">
        <v>37</v>
      </c>
      <c r="C409" t="s">
        <v>31</v>
      </c>
      <c r="D409">
        <v>192</v>
      </c>
      <c r="E409" t="s">
        <v>39</v>
      </c>
      <c r="F409">
        <v>10</v>
      </c>
      <c r="G409">
        <v>2</v>
      </c>
      <c r="H409" t="s">
        <v>33</v>
      </c>
      <c r="I409">
        <v>544</v>
      </c>
      <c r="J409">
        <v>1</v>
      </c>
      <c r="K409" t="s">
        <v>40</v>
      </c>
      <c r="L409">
        <v>3</v>
      </c>
      <c r="M409">
        <v>1</v>
      </c>
      <c r="N409" t="s">
        <v>41</v>
      </c>
      <c r="O409">
        <v>4</v>
      </c>
      <c r="P409" t="s">
        <v>42</v>
      </c>
      <c r="Q409">
        <v>2654</v>
      </c>
      <c r="R409">
        <v>3</v>
      </c>
      <c r="S409" t="s">
        <v>37</v>
      </c>
      <c r="T409">
        <v>21</v>
      </c>
      <c r="U409">
        <v>4</v>
      </c>
      <c r="V409">
        <v>4</v>
      </c>
      <c r="W409">
        <v>2</v>
      </c>
      <c r="X409">
        <v>8</v>
      </c>
      <c r="Y409">
        <v>3</v>
      </c>
      <c r="Z409">
        <v>2</v>
      </c>
      <c r="AA409">
        <v>2</v>
      </c>
      <c r="AB409">
        <v>2</v>
      </c>
      <c r="AC409">
        <v>0</v>
      </c>
      <c r="AD409">
        <v>2</v>
      </c>
      <c r="AE409" t="str" cm="1">
        <f t="array" ref="AE409">_xlfn.IFS(G409=1,"Before College",G409=2,"College",G409=3,"Bachelor",G409=4,"Master",G409=5,"Doctor")</f>
        <v>College</v>
      </c>
      <c r="AF409" t="str" cm="1">
        <f t="array" ref="AF409">_xlfn.IFS(J409=1,"Low",J409=2,"Medium",J409=3,"High",J409=4,"Very High")</f>
        <v>Low</v>
      </c>
      <c r="AG409" t="str" cm="1">
        <f t="array" ref="AG409">_xlfn.IFS(L409=1,"Low",L409=2,"Medium",L409=3,"High",L409=4,"Very High")</f>
        <v>High</v>
      </c>
      <c r="AH409" t="str" cm="1">
        <f t="array" ref="AH409">_xlfn.IFS(M409=1,"Junior employee",M409=2,"Mid-level",M409=3,"Senior",M409=4,"Manager",M409=5,"Executive")</f>
        <v>Junior employee</v>
      </c>
      <c r="AI409" t="str" cm="1">
        <f t="array" ref="AI409">_xlfn.IFS(O409=1,"Low",O409=2,"Medium",O409=3,"High",O409=4,"Very High")</f>
        <v>Very High</v>
      </c>
      <c r="AJ409" t="str" cm="1">
        <f t="array" ref="AJ409">_xlfn.IFS(U409=1,"Low",U409=2,"Good",U409=3,"Excellent",U409=4,"Outstanding")</f>
        <v>Outstanding</v>
      </c>
      <c r="AK409" t="str" cm="1">
        <f t="array" ref="AK409">_xlfn.IFS(V409=1,"Low",V409=2,"Medium",V409=3,"High",V409=4,"Very High")</f>
        <v>Very High</v>
      </c>
      <c r="AL409" t="str" cm="1">
        <f t="array" ref="AL409">_xlfn.IFS(Z409=1,"Bad",Z409=2,"Good",Z409=3,"Better",Z409=4,"Best")</f>
        <v>Good</v>
      </c>
      <c r="AM409" t="str" cm="1">
        <f t="array" ref="AM409">_xlfn.IFS(W409=0,"No_stock",W409=1,"Low",W409=2,"Medium",W409=3,"High")</f>
        <v>Medium</v>
      </c>
      <c r="AN409" t="str">
        <f t="shared" si="6"/>
        <v>Medium</v>
      </c>
    </row>
    <row r="410" spans="1:40" x14ac:dyDescent="0.45">
      <c r="A410">
        <v>52</v>
      </c>
      <c r="B410" t="s">
        <v>37</v>
      </c>
      <c r="C410" t="s">
        <v>31</v>
      </c>
      <c r="D410">
        <v>1490</v>
      </c>
      <c r="E410" t="s">
        <v>39</v>
      </c>
      <c r="F410">
        <v>4</v>
      </c>
      <c r="G410">
        <v>2</v>
      </c>
      <c r="H410" t="s">
        <v>33</v>
      </c>
      <c r="I410">
        <v>546</v>
      </c>
      <c r="J410">
        <v>4</v>
      </c>
      <c r="K410" t="s">
        <v>34</v>
      </c>
      <c r="L410">
        <v>3</v>
      </c>
      <c r="M410">
        <v>4</v>
      </c>
      <c r="N410" t="s">
        <v>50</v>
      </c>
      <c r="O410">
        <v>4</v>
      </c>
      <c r="P410" t="s">
        <v>42</v>
      </c>
      <c r="Q410">
        <v>16555</v>
      </c>
      <c r="R410">
        <v>2</v>
      </c>
      <c r="S410" t="s">
        <v>37</v>
      </c>
      <c r="T410">
        <v>13</v>
      </c>
      <c r="U410">
        <v>3</v>
      </c>
      <c r="V410">
        <v>4</v>
      </c>
      <c r="W410">
        <v>0</v>
      </c>
      <c r="X410">
        <v>31</v>
      </c>
      <c r="Y410">
        <v>2</v>
      </c>
      <c r="Z410">
        <v>1</v>
      </c>
      <c r="AA410">
        <v>5</v>
      </c>
      <c r="AB410">
        <v>2</v>
      </c>
      <c r="AC410">
        <v>1</v>
      </c>
      <c r="AD410">
        <v>4</v>
      </c>
      <c r="AE410" t="str" cm="1">
        <f t="array" ref="AE410">_xlfn.IFS(G410=1,"Before College",G410=2,"College",G410=3,"Bachelor",G410=4,"Master",G410=5,"Doctor")</f>
        <v>College</v>
      </c>
      <c r="AF410" t="str" cm="1">
        <f t="array" ref="AF410">_xlfn.IFS(J410=1,"Low",J410=2,"Medium",J410=3,"High",J410=4,"Very High")</f>
        <v>Very High</v>
      </c>
      <c r="AG410" t="str" cm="1">
        <f t="array" ref="AG410">_xlfn.IFS(L410=1,"Low",L410=2,"Medium",L410=3,"High",L410=4,"Very High")</f>
        <v>High</v>
      </c>
      <c r="AH410" t="str" cm="1">
        <f t="array" ref="AH410">_xlfn.IFS(M410=1,"Junior employee",M410=2,"Mid-level",M410=3,"Senior",M410=4,"Manager",M410=5,"Executive")</f>
        <v>Manager</v>
      </c>
      <c r="AI410" t="str" cm="1">
        <f t="array" ref="AI410">_xlfn.IFS(O410=1,"Low",O410=2,"Medium",O410=3,"High",O410=4,"Very High")</f>
        <v>Very High</v>
      </c>
      <c r="AJ410" t="str" cm="1">
        <f t="array" ref="AJ410">_xlfn.IFS(U410=1,"Low",U410=2,"Good",U410=3,"Excellent",U410=4,"Outstanding")</f>
        <v>Excellent</v>
      </c>
      <c r="AK410" t="str" cm="1">
        <f t="array" ref="AK410">_xlfn.IFS(V410=1,"Low",V410=2,"Medium",V410=3,"High",V410=4,"Very High")</f>
        <v>Very High</v>
      </c>
      <c r="AL410" t="str" cm="1">
        <f t="array" ref="AL410">_xlfn.IFS(Z410=1,"Bad",Z410=2,"Good",Z410=3,"Better",Z410=4,"Best")</f>
        <v>Bad</v>
      </c>
      <c r="AM410" t="str" cm="1">
        <f t="array" ref="AM410">_xlfn.IFS(W410=0,"No_stock",W410=1,"Low",W410=2,"Medium",W410=3,"High")</f>
        <v>No_stock</v>
      </c>
      <c r="AN410" t="str">
        <f t="shared" si="6"/>
        <v>Near</v>
      </c>
    </row>
    <row r="411" spans="1:40" x14ac:dyDescent="0.45">
      <c r="A411">
        <v>42</v>
      </c>
      <c r="B411" t="s">
        <v>37</v>
      </c>
      <c r="C411" t="s">
        <v>38</v>
      </c>
      <c r="D411">
        <v>532</v>
      </c>
      <c r="E411" t="s">
        <v>39</v>
      </c>
      <c r="F411">
        <v>29</v>
      </c>
      <c r="G411">
        <v>2</v>
      </c>
      <c r="H411" t="s">
        <v>33</v>
      </c>
      <c r="I411">
        <v>547</v>
      </c>
      <c r="J411">
        <v>1</v>
      </c>
      <c r="K411" t="s">
        <v>34</v>
      </c>
      <c r="L411">
        <v>3</v>
      </c>
      <c r="M411">
        <v>2</v>
      </c>
      <c r="N411" t="s">
        <v>41</v>
      </c>
      <c r="O411">
        <v>3</v>
      </c>
      <c r="P411" t="s">
        <v>46</v>
      </c>
      <c r="Q411">
        <v>4556</v>
      </c>
      <c r="R411">
        <v>2</v>
      </c>
      <c r="S411" t="s">
        <v>37</v>
      </c>
      <c r="T411">
        <v>11</v>
      </c>
      <c r="U411">
        <v>3</v>
      </c>
      <c r="V411">
        <v>2</v>
      </c>
      <c r="W411">
        <v>1</v>
      </c>
      <c r="X411">
        <v>19</v>
      </c>
      <c r="Y411">
        <v>3</v>
      </c>
      <c r="Z411">
        <v>3</v>
      </c>
      <c r="AA411">
        <v>5</v>
      </c>
      <c r="AB411">
        <v>4</v>
      </c>
      <c r="AC411">
        <v>0</v>
      </c>
      <c r="AD411">
        <v>2</v>
      </c>
      <c r="AE411" t="str" cm="1">
        <f t="array" ref="AE411">_xlfn.IFS(G411=1,"Before College",G411=2,"College",G411=3,"Bachelor",G411=4,"Master",G411=5,"Doctor")</f>
        <v>College</v>
      </c>
      <c r="AF411" t="str" cm="1">
        <f t="array" ref="AF411">_xlfn.IFS(J411=1,"Low",J411=2,"Medium",J411=3,"High",J411=4,"Very High")</f>
        <v>Low</v>
      </c>
      <c r="AG411" t="str" cm="1">
        <f t="array" ref="AG411">_xlfn.IFS(L411=1,"Low",L411=2,"Medium",L411=3,"High",L411=4,"Very High")</f>
        <v>High</v>
      </c>
      <c r="AH411" t="str" cm="1">
        <f t="array" ref="AH411">_xlfn.IFS(M411=1,"Junior employee",M411=2,"Mid-level",M411=3,"Senior",M411=4,"Manager",M411=5,"Executive")</f>
        <v>Mid-level</v>
      </c>
      <c r="AI411" t="str" cm="1">
        <f t="array" ref="AI411">_xlfn.IFS(O411=1,"Low",O411=2,"Medium",O411=3,"High",O411=4,"Very High")</f>
        <v>High</v>
      </c>
      <c r="AJ411" t="str" cm="1">
        <f t="array" ref="AJ411">_xlfn.IFS(U411=1,"Low",U411=2,"Good",U411=3,"Excellent",U411=4,"Outstanding")</f>
        <v>Excellent</v>
      </c>
      <c r="AK411" t="str" cm="1">
        <f t="array" ref="AK411">_xlfn.IFS(V411=1,"Low",V411=2,"Medium",V411=3,"High",V411=4,"Very High")</f>
        <v>Medium</v>
      </c>
      <c r="AL411" t="str" cm="1">
        <f t="array" ref="AL411">_xlfn.IFS(Z411=1,"Bad",Z411=2,"Good",Z411=3,"Better",Z411=4,"Best")</f>
        <v>Better</v>
      </c>
      <c r="AM411" t="str" cm="1">
        <f t="array" ref="AM411">_xlfn.IFS(W411=0,"No_stock",W411=1,"Low",W411=2,"Medium",W411=3,"High")</f>
        <v>Low</v>
      </c>
      <c r="AN411" t="str">
        <f t="shared" si="6"/>
        <v>Far</v>
      </c>
    </row>
    <row r="412" spans="1:40" x14ac:dyDescent="0.45">
      <c r="A412">
        <v>30</v>
      </c>
      <c r="B412" t="s">
        <v>37</v>
      </c>
      <c r="C412" t="s">
        <v>31</v>
      </c>
      <c r="D412">
        <v>317</v>
      </c>
      <c r="E412" t="s">
        <v>39</v>
      </c>
      <c r="F412">
        <v>2</v>
      </c>
      <c r="G412">
        <v>3</v>
      </c>
      <c r="H412" t="s">
        <v>33</v>
      </c>
      <c r="I412">
        <v>548</v>
      </c>
      <c r="J412">
        <v>3</v>
      </c>
      <c r="K412" t="s">
        <v>34</v>
      </c>
      <c r="L412">
        <v>1</v>
      </c>
      <c r="M412">
        <v>2</v>
      </c>
      <c r="N412" t="s">
        <v>47</v>
      </c>
      <c r="O412">
        <v>4</v>
      </c>
      <c r="P412" t="s">
        <v>36</v>
      </c>
      <c r="Q412">
        <v>6091</v>
      </c>
      <c r="R412">
        <v>2</v>
      </c>
      <c r="S412" t="s">
        <v>37</v>
      </c>
      <c r="T412">
        <v>20</v>
      </c>
      <c r="U412">
        <v>4</v>
      </c>
      <c r="V412">
        <v>3</v>
      </c>
      <c r="W412">
        <v>0</v>
      </c>
      <c r="X412">
        <v>11</v>
      </c>
      <c r="Y412">
        <v>2</v>
      </c>
      <c r="Z412">
        <v>3</v>
      </c>
      <c r="AA412">
        <v>5</v>
      </c>
      <c r="AB412">
        <v>4</v>
      </c>
      <c r="AC412">
        <v>0</v>
      </c>
      <c r="AD412">
        <v>2</v>
      </c>
      <c r="AE412" t="str" cm="1">
        <f t="array" ref="AE412">_xlfn.IFS(G412=1,"Before College",G412=2,"College",G412=3,"Bachelor",G412=4,"Master",G412=5,"Doctor")</f>
        <v>Bachelor</v>
      </c>
      <c r="AF412" t="str" cm="1">
        <f t="array" ref="AF412">_xlfn.IFS(J412=1,"Low",J412=2,"Medium",J412=3,"High",J412=4,"Very High")</f>
        <v>High</v>
      </c>
      <c r="AG412" t="str" cm="1">
        <f t="array" ref="AG412">_xlfn.IFS(L412=1,"Low",L412=2,"Medium",L412=3,"High",L412=4,"Very High")</f>
        <v>Low</v>
      </c>
      <c r="AH412" t="str" cm="1">
        <f t="array" ref="AH412">_xlfn.IFS(M412=1,"Junior employee",M412=2,"Mid-level",M412=3,"Senior",M412=4,"Manager",M412=5,"Executive")</f>
        <v>Mid-level</v>
      </c>
      <c r="AI412" t="str" cm="1">
        <f t="array" ref="AI412">_xlfn.IFS(O412=1,"Low",O412=2,"Medium",O412=3,"High",O412=4,"Very High")</f>
        <v>Very High</v>
      </c>
      <c r="AJ412" t="str" cm="1">
        <f t="array" ref="AJ412">_xlfn.IFS(U412=1,"Low",U412=2,"Good",U412=3,"Excellent",U412=4,"Outstanding")</f>
        <v>Outstanding</v>
      </c>
      <c r="AK412" t="str" cm="1">
        <f t="array" ref="AK412">_xlfn.IFS(V412=1,"Low",V412=2,"Medium",V412=3,"High",V412=4,"Very High")</f>
        <v>High</v>
      </c>
      <c r="AL412" t="str" cm="1">
        <f t="array" ref="AL412">_xlfn.IFS(Z412=1,"Bad",Z412=2,"Good",Z412=3,"Better",Z412=4,"Best")</f>
        <v>Better</v>
      </c>
      <c r="AM412" t="str" cm="1">
        <f t="array" ref="AM412">_xlfn.IFS(W412=0,"No_stock",W412=1,"Low",W412=2,"Medium",W412=3,"High")</f>
        <v>No_stock</v>
      </c>
      <c r="AN412" t="str">
        <f t="shared" si="6"/>
        <v>Near</v>
      </c>
    </row>
    <row r="413" spans="1:40" x14ac:dyDescent="0.45">
      <c r="A413">
        <v>60</v>
      </c>
      <c r="B413" t="s">
        <v>37</v>
      </c>
      <c r="C413" t="s">
        <v>31</v>
      </c>
      <c r="D413">
        <v>422</v>
      </c>
      <c r="E413" t="s">
        <v>39</v>
      </c>
      <c r="F413">
        <v>7</v>
      </c>
      <c r="G413">
        <v>3</v>
      </c>
      <c r="H413" t="s">
        <v>33</v>
      </c>
      <c r="I413">
        <v>549</v>
      </c>
      <c r="J413">
        <v>1</v>
      </c>
      <c r="K413" t="s">
        <v>34</v>
      </c>
      <c r="L413">
        <v>3</v>
      </c>
      <c r="M413">
        <v>5</v>
      </c>
      <c r="N413" t="s">
        <v>50</v>
      </c>
      <c r="O413">
        <v>1</v>
      </c>
      <c r="P413" t="s">
        <v>42</v>
      </c>
      <c r="Q413">
        <v>19566</v>
      </c>
      <c r="R413">
        <v>5</v>
      </c>
      <c r="S413" t="s">
        <v>37</v>
      </c>
      <c r="T413">
        <v>11</v>
      </c>
      <c r="U413">
        <v>3</v>
      </c>
      <c r="V413">
        <v>4</v>
      </c>
      <c r="W413">
        <v>0</v>
      </c>
      <c r="X413">
        <v>33</v>
      </c>
      <c r="Y413">
        <v>5</v>
      </c>
      <c r="Z413">
        <v>1</v>
      </c>
      <c r="AA413">
        <v>29</v>
      </c>
      <c r="AB413">
        <v>8</v>
      </c>
      <c r="AC413">
        <v>11</v>
      </c>
      <c r="AD413">
        <v>10</v>
      </c>
      <c r="AE413" t="str" cm="1">
        <f t="array" ref="AE413">_xlfn.IFS(G413=1,"Before College",G413=2,"College",G413=3,"Bachelor",G413=4,"Master",G413=5,"Doctor")</f>
        <v>Bachelor</v>
      </c>
      <c r="AF413" t="str" cm="1">
        <f t="array" ref="AF413">_xlfn.IFS(J413=1,"Low",J413=2,"Medium",J413=3,"High",J413=4,"Very High")</f>
        <v>Low</v>
      </c>
      <c r="AG413" t="str" cm="1">
        <f t="array" ref="AG413">_xlfn.IFS(L413=1,"Low",L413=2,"Medium",L413=3,"High",L413=4,"Very High")</f>
        <v>High</v>
      </c>
      <c r="AH413" t="str" cm="1">
        <f t="array" ref="AH413">_xlfn.IFS(M413=1,"Junior employee",M413=2,"Mid-level",M413=3,"Senior",M413=4,"Manager",M413=5,"Executive")</f>
        <v>Executive</v>
      </c>
      <c r="AI413" t="str" cm="1">
        <f t="array" ref="AI413">_xlfn.IFS(O413=1,"Low",O413=2,"Medium",O413=3,"High",O413=4,"Very High")</f>
        <v>Low</v>
      </c>
      <c r="AJ413" t="str" cm="1">
        <f t="array" ref="AJ413">_xlfn.IFS(U413=1,"Low",U413=2,"Good",U413=3,"Excellent",U413=4,"Outstanding")</f>
        <v>Excellent</v>
      </c>
      <c r="AK413" t="str" cm="1">
        <f t="array" ref="AK413">_xlfn.IFS(V413=1,"Low",V413=2,"Medium",V413=3,"High",V413=4,"Very High")</f>
        <v>Very High</v>
      </c>
      <c r="AL413" t="str" cm="1">
        <f t="array" ref="AL413">_xlfn.IFS(Z413=1,"Bad",Z413=2,"Good",Z413=3,"Better",Z413=4,"Best")</f>
        <v>Bad</v>
      </c>
      <c r="AM413" t="str" cm="1">
        <f t="array" ref="AM413">_xlfn.IFS(W413=0,"No_stock",W413=1,"Low",W413=2,"Medium",W413=3,"High")</f>
        <v>No_stock</v>
      </c>
      <c r="AN413" t="str">
        <f t="shared" si="6"/>
        <v>Medium</v>
      </c>
    </row>
    <row r="414" spans="1:40" x14ac:dyDescent="0.45">
      <c r="A414">
        <v>46</v>
      </c>
      <c r="B414" t="s">
        <v>37</v>
      </c>
      <c r="C414" t="s">
        <v>31</v>
      </c>
      <c r="D414">
        <v>1485</v>
      </c>
      <c r="E414" t="s">
        <v>39</v>
      </c>
      <c r="F414">
        <v>18</v>
      </c>
      <c r="G414">
        <v>3</v>
      </c>
      <c r="H414" t="s">
        <v>45</v>
      </c>
      <c r="I414">
        <v>550</v>
      </c>
      <c r="J414">
        <v>3</v>
      </c>
      <c r="K414" t="s">
        <v>34</v>
      </c>
      <c r="L414">
        <v>3</v>
      </c>
      <c r="M414">
        <v>2</v>
      </c>
      <c r="N414" t="s">
        <v>47</v>
      </c>
      <c r="O414">
        <v>3</v>
      </c>
      <c r="P414" t="s">
        <v>46</v>
      </c>
      <c r="Q414">
        <v>4810</v>
      </c>
      <c r="R414">
        <v>2</v>
      </c>
      <c r="S414" t="s">
        <v>37</v>
      </c>
      <c r="T414">
        <v>14</v>
      </c>
      <c r="U414">
        <v>3</v>
      </c>
      <c r="V414">
        <v>3</v>
      </c>
      <c r="W414">
        <v>1</v>
      </c>
      <c r="X414">
        <v>19</v>
      </c>
      <c r="Y414">
        <v>5</v>
      </c>
      <c r="Z414">
        <v>2</v>
      </c>
      <c r="AA414">
        <v>10</v>
      </c>
      <c r="AB414">
        <v>7</v>
      </c>
      <c r="AC414">
        <v>0</v>
      </c>
      <c r="AD414">
        <v>8</v>
      </c>
      <c r="AE414" t="str" cm="1">
        <f t="array" ref="AE414">_xlfn.IFS(G414=1,"Before College",G414=2,"College",G414=3,"Bachelor",G414=4,"Master",G414=5,"Doctor")</f>
        <v>Bachelor</v>
      </c>
      <c r="AF414" t="str" cm="1">
        <f t="array" ref="AF414">_xlfn.IFS(J414=1,"Low",J414=2,"Medium",J414=3,"High",J414=4,"Very High")</f>
        <v>High</v>
      </c>
      <c r="AG414" t="str" cm="1">
        <f t="array" ref="AG414">_xlfn.IFS(L414=1,"Low",L414=2,"Medium",L414=3,"High",L414=4,"Very High")</f>
        <v>High</v>
      </c>
      <c r="AH414" t="str" cm="1">
        <f t="array" ref="AH414">_xlfn.IFS(M414=1,"Junior employee",M414=2,"Mid-level",M414=3,"Senior",M414=4,"Manager",M414=5,"Executive")</f>
        <v>Mid-level</v>
      </c>
      <c r="AI414" t="str" cm="1">
        <f t="array" ref="AI414">_xlfn.IFS(O414=1,"Low",O414=2,"Medium",O414=3,"High",O414=4,"Very High")</f>
        <v>High</v>
      </c>
      <c r="AJ414" t="str" cm="1">
        <f t="array" ref="AJ414">_xlfn.IFS(U414=1,"Low",U414=2,"Good",U414=3,"Excellent",U414=4,"Outstanding")</f>
        <v>Excellent</v>
      </c>
      <c r="AK414" t="str" cm="1">
        <f t="array" ref="AK414">_xlfn.IFS(V414=1,"Low",V414=2,"Medium",V414=3,"High",V414=4,"Very High")</f>
        <v>High</v>
      </c>
      <c r="AL414" t="str" cm="1">
        <f t="array" ref="AL414">_xlfn.IFS(Z414=1,"Bad",Z414=2,"Good",Z414=3,"Better",Z414=4,"Best")</f>
        <v>Good</v>
      </c>
      <c r="AM414" t="str" cm="1">
        <f t="array" ref="AM414">_xlfn.IFS(W414=0,"No_stock",W414=1,"Low",W414=2,"Medium",W414=3,"High")</f>
        <v>Low</v>
      </c>
      <c r="AN414" t="str">
        <f t="shared" si="6"/>
        <v>Far</v>
      </c>
    </row>
    <row r="415" spans="1:40" x14ac:dyDescent="0.45">
      <c r="A415">
        <v>42</v>
      </c>
      <c r="B415" t="s">
        <v>37</v>
      </c>
      <c r="C415" t="s">
        <v>38</v>
      </c>
      <c r="D415">
        <v>1368</v>
      </c>
      <c r="E415" t="s">
        <v>39</v>
      </c>
      <c r="F415">
        <v>28</v>
      </c>
      <c r="G415">
        <v>4</v>
      </c>
      <c r="H415" t="s">
        <v>54</v>
      </c>
      <c r="I415">
        <v>551</v>
      </c>
      <c r="J415">
        <v>4</v>
      </c>
      <c r="K415" t="s">
        <v>34</v>
      </c>
      <c r="L415">
        <v>2</v>
      </c>
      <c r="M415">
        <v>2</v>
      </c>
      <c r="N415" t="s">
        <v>48</v>
      </c>
      <c r="O415">
        <v>4</v>
      </c>
      <c r="P415" t="s">
        <v>42</v>
      </c>
      <c r="Q415">
        <v>4523</v>
      </c>
      <c r="R415">
        <v>0</v>
      </c>
      <c r="S415" t="s">
        <v>37</v>
      </c>
      <c r="T415">
        <v>11</v>
      </c>
      <c r="U415">
        <v>3</v>
      </c>
      <c r="V415">
        <v>4</v>
      </c>
      <c r="W415">
        <v>3</v>
      </c>
      <c r="X415">
        <v>7</v>
      </c>
      <c r="Y415">
        <v>4</v>
      </c>
      <c r="Z415">
        <v>4</v>
      </c>
      <c r="AA415">
        <v>6</v>
      </c>
      <c r="AB415">
        <v>5</v>
      </c>
      <c r="AC415">
        <v>0</v>
      </c>
      <c r="AD415">
        <v>4</v>
      </c>
      <c r="AE415" t="str" cm="1">
        <f t="array" ref="AE415">_xlfn.IFS(G415=1,"Before College",G415=2,"College",G415=3,"Bachelor",G415=4,"Master",G415=5,"Doctor")</f>
        <v>Master</v>
      </c>
      <c r="AF415" t="str" cm="1">
        <f t="array" ref="AF415">_xlfn.IFS(J415=1,"Low",J415=2,"Medium",J415=3,"High",J415=4,"Very High")</f>
        <v>Very High</v>
      </c>
      <c r="AG415" t="str" cm="1">
        <f t="array" ref="AG415">_xlfn.IFS(L415=1,"Low",L415=2,"Medium",L415=3,"High",L415=4,"Very High")</f>
        <v>Medium</v>
      </c>
      <c r="AH415" t="str" cm="1">
        <f t="array" ref="AH415">_xlfn.IFS(M415=1,"Junior employee",M415=2,"Mid-level",M415=3,"Senior",M415=4,"Manager",M415=5,"Executive")</f>
        <v>Mid-level</v>
      </c>
      <c r="AI415" t="str" cm="1">
        <f t="array" ref="AI415">_xlfn.IFS(O415=1,"Low",O415=2,"Medium",O415=3,"High",O415=4,"Very High")</f>
        <v>Very High</v>
      </c>
      <c r="AJ415" t="str" cm="1">
        <f t="array" ref="AJ415">_xlfn.IFS(U415=1,"Low",U415=2,"Good",U415=3,"Excellent",U415=4,"Outstanding")</f>
        <v>Excellent</v>
      </c>
      <c r="AK415" t="str" cm="1">
        <f t="array" ref="AK415">_xlfn.IFS(V415=1,"Low",V415=2,"Medium",V415=3,"High",V415=4,"Very High")</f>
        <v>Very High</v>
      </c>
      <c r="AL415" t="str" cm="1">
        <f t="array" ref="AL415">_xlfn.IFS(Z415=1,"Bad",Z415=2,"Good",Z415=3,"Better",Z415=4,"Best")</f>
        <v>Best</v>
      </c>
      <c r="AM415" t="str" cm="1">
        <f t="array" ref="AM415">_xlfn.IFS(W415=0,"No_stock",W415=1,"Low",W415=2,"Medium",W415=3,"High")</f>
        <v>High</v>
      </c>
      <c r="AN415" t="str">
        <f t="shared" si="6"/>
        <v>Far</v>
      </c>
    </row>
    <row r="416" spans="1:40" x14ac:dyDescent="0.45">
      <c r="A416">
        <v>24</v>
      </c>
      <c r="B416" t="s">
        <v>30</v>
      </c>
      <c r="C416" t="s">
        <v>31</v>
      </c>
      <c r="D416">
        <v>1448</v>
      </c>
      <c r="E416" t="s">
        <v>32</v>
      </c>
      <c r="F416">
        <v>1</v>
      </c>
      <c r="G416">
        <v>1</v>
      </c>
      <c r="H416" t="s">
        <v>54</v>
      </c>
      <c r="I416">
        <v>554</v>
      </c>
      <c r="J416">
        <v>1</v>
      </c>
      <c r="K416" t="s">
        <v>34</v>
      </c>
      <c r="L416">
        <v>3</v>
      </c>
      <c r="M416">
        <v>1</v>
      </c>
      <c r="N416" t="s">
        <v>51</v>
      </c>
      <c r="O416">
        <v>2</v>
      </c>
      <c r="P416" t="s">
        <v>36</v>
      </c>
      <c r="Q416">
        <v>3202</v>
      </c>
      <c r="R416">
        <v>1</v>
      </c>
      <c r="S416" t="s">
        <v>30</v>
      </c>
      <c r="T416">
        <v>16</v>
      </c>
      <c r="U416">
        <v>3</v>
      </c>
      <c r="V416">
        <v>2</v>
      </c>
      <c r="W416">
        <v>0</v>
      </c>
      <c r="X416">
        <v>6</v>
      </c>
      <c r="Y416">
        <v>4</v>
      </c>
      <c r="Z416">
        <v>3</v>
      </c>
      <c r="AA416">
        <v>5</v>
      </c>
      <c r="AB416">
        <v>3</v>
      </c>
      <c r="AC416">
        <v>1</v>
      </c>
      <c r="AD416">
        <v>4</v>
      </c>
      <c r="AE416" t="str" cm="1">
        <f t="array" ref="AE416">_xlfn.IFS(G416=1,"Before College",G416=2,"College",G416=3,"Bachelor",G416=4,"Master",G416=5,"Doctor")</f>
        <v>Before College</v>
      </c>
      <c r="AF416" t="str" cm="1">
        <f t="array" ref="AF416">_xlfn.IFS(J416=1,"Low",J416=2,"Medium",J416=3,"High",J416=4,"Very High")</f>
        <v>Low</v>
      </c>
      <c r="AG416" t="str" cm="1">
        <f t="array" ref="AG416">_xlfn.IFS(L416=1,"Low",L416=2,"Medium",L416=3,"High",L416=4,"Very High")</f>
        <v>High</v>
      </c>
      <c r="AH416" t="str" cm="1">
        <f t="array" ref="AH416">_xlfn.IFS(M416=1,"Junior employee",M416=2,"Mid-level",M416=3,"Senior",M416=4,"Manager",M416=5,"Executive")</f>
        <v>Junior employee</v>
      </c>
      <c r="AI416" t="str" cm="1">
        <f t="array" ref="AI416">_xlfn.IFS(O416=1,"Low",O416=2,"Medium",O416=3,"High",O416=4,"Very High")</f>
        <v>Medium</v>
      </c>
      <c r="AJ416" t="str" cm="1">
        <f t="array" ref="AJ416">_xlfn.IFS(U416=1,"Low",U416=2,"Good",U416=3,"Excellent",U416=4,"Outstanding")</f>
        <v>Excellent</v>
      </c>
      <c r="AK416" t="str" cm="1">
        <f t="array" ref="AK416">_xlfn.IFS(V416=1,"Low",V416=2,"Medium",V416=3,"High",V416=4,"Very High")</f>
        <v>Medium</v>
      </c>
      <c r="AL416" t="str" cm="1">
        <f t="array" ref="AL416">_xlfn.IFS(Z416=1,"Bad",Z416=2,"Good",Z416=3,"Better",Z416=4,"Best")</f>
        <v>Better</v>
      </c>
      <c r="AM416" t="str" cm="1">
        <f t="array" ref="AM416">_xlfn.IFS(W416=0,"No_stock",W416=1,"Low",W416=2,"Medium",W416=3,"High")</f>
        <v>No_stock</v>
      </c>
      <c r="AN416" t="str">
        <f t="shared" si="6"/>
        <v>Near</v>
      </c>
    </row>
    <row r="417" spans="1:40" x14ac:dyDescent="0.45">
      <c r="A417">
        <v>34</v>
      </c>
      <c r="B417" t="s">
        <v>30</v>
      </c>
      <c r="C417" t="s">
        <v>38</v>
      </c>
      <c r="D417">
        <v>296</v>
      </c>
      <c r="E417" t="s">
        <v>32</v>
      </c>
      <c r="F417">
        <v>6</v>
      </c>
      <c r="G417">
        <v>2</v>
      </c>
      <c r="H417" t="s">
        <v>53</v>
      </c>
      <c r="I417">
        <v>555</v>
      </c>
      <c r="J417">
        <v>4</v>
      </c>
      <c r="K417" t="s">
        <v>34</v>
      </c>
      <c r="L417">
        <v>1</v>
      </c>
      <c r="M417">
        <v>1</v>
      </c>
      <c r="N417" t="s">
        <v>51</v>
      </c>
      <c r="O417">
        <v>3</v>
      </c>
      <c r="P417" t="s">
        <v>46</v>
      </c>
      <c r="Q417">
        <v>2351</v>
      </c>
      <c r="R417">
        <v>0</v>
      </c>
      <c r="S417" t="s">
        <v>37</v>
      </c>
      <c r="T417">
        <v>16</v>
      </c>
      <c r="U417">
        <v>3</v>
      </c>
      <c r="V417">
        <v>4</v>
      </c>
      <c r="W417">
        <v>1</v>
      </c>
      <c r="X417">
        <v>3</v>
      </c>
      <c r="Y417">
        <v>3</v>
      </c>
      <c r="Z417">
        <v>2</v>
      </c>
      <c r="AA417">
        <v>2</v>
      </c>
      <c r="AB417">
        <v>2</v>
      </c>
      <c r="AC417">
        <v>1</v>
      </c>
      <c r="AD417">
        <v>0</v>
      </c>
      <c r="AE417" t="str" cm="1">
        <f t="array" ref="AE417">_xlfn.IFS(G417=1,"Before College",G417=2,"College",G417=3,"Bachelor",G417=4,"Master",G417=5,"Doctor")</f>
        <v>College</v>
      </c>
      <c r="AF417" t="str" cm="1">
        <f t="array" ref="AF417">_xlfn.IFS(J417=1,"Low",J417=2,"Medium",J417=3,"High",J417=4,"Very High")</f>
        <v>Very High</v>
      </c>
      <c r="AG417" t="str" cm="1">
        <f t="array" ref="AG417">_xlfn.IFS(L417=1,"Low",L417=2,"Medium",L417=3,"High",L417=4,"Very High")</f>
        <v>Low</v>
      </c>
      <c r="AH417" t="str" cm="1">
        <f t="array" ref="AH417">_xlfn.IFS(M417=1,"Junior employee",M417=2,"Mid-level",M417=3,"Senior",M417=4,"Manager",M417=5,"Executive")</f>
        <v>Junior employee</v>
      </c>
      <c r="AI417" t="str" cm="1">
        <f t="array" ref="AI417">_xlfn.IFS(O417=1,"Low",O417=2,"Medium",O417=3,"High",O417=4,"Very High")</f>
        <v>High</v>
      </c>
      <c r="AJ417" t="str" cm="1">
        <f t="array" ref="AJ417">_xlfn.IFS(U417=1,"Low",U417=2,"Good",U417=3,"Excellent",U417=4,"Outstanding")</f>
        <v>Excellent</v>
      </c>
      <c r="AK417" t="str" cm="1">
        <f t="array" ref="AK417">_xlfn.IFS(V417=1,"Low",V417=2,"Medium",V417=3,"High",V417=4,"Very High")</f>
        <v>Very High</v>
      </c>
      <c r="AL417" t="str" cm="1">
        <f t="array" ref="AL417">_xlfn.IFS(Z417=1,"Bad",Z417=2,"Good",Z417=3,"Better",Z417=4,"Best")</f>
        <v>Good</v>
      </c>
      <c r="AM417" t="str" cm="1">
        <f t="array" ref="AM417">_xlfn.IFS(W417=0,"No_stock",W417=1,"Low",W417=2,"Medium",W417=3,"High")</f>
        <v>Low</v>
      </c>
      <c r="AN417" t="str">
        <f t="shared" si="6"/>
        <v>Medium</v>
      </c>
    </row>
    <row r="418" spans="1:40" x14ac:dyDescent="0.45">
      <c r="A418">
        <v>38</v>
      </c>
      <c r="B418" t="s">
        <v>37</v>
      </c>
      <c r="C418" t="s">
        <v>38</v>
      </c>
      <c r="D418">
        <v>1490</v>
      </c>
      <c r="E418" t="s">
        <v>39</v>
      </c>
      <c r="F418">
        <v>2</v>
      </c>
      <c r="G418">
        <v>2</v>
      </c>
      <c r="H418" t="s">
        <v>33</v>
      </c>
      <c r="I418">
        <v>556</v>
      </c>
      <c r="J418">
        <v>4</v>
      </c>
      <c r="K418" t="s">
        <v>40</v>
      </c>
      <c r="L418">
        <v>3</v>
      </c>
      <c r="M418">
        <v>1</v>
      </c>
      <c r="N418" t="s">
        <v>44</v>
      </c>
      <c r="O418">
        <v>4</v>
      </c>
      <c r="P418" t="s">
        <v>42</v>
      </c>
      <c r="Q418">
        <v>1702</v>
      </c>
      <c r="R418">
        <v>1</v>
      </c>
      <c r="S418" t="s">
        <v>30</v>
      </c>
      <c r="T418">
        <v>23</v>
      </c>
      <c r="U418">
        <v>4</v>
      </c>
      <c r="V418">
        <v>3</v>
      </c>
      <c r="W418">
        <v>1</v>
      </c>
      <c r="X418">
        <v>1</v>
      </c>
      <c r="Y418">
        <v>3</v>
      </c>
      <c r="Z418">
        <v>3</v>
      </c>
      <c r="AA418">
        <v>1</v>
      </c>
      <c r="AB418">
        <v>0</v>
      </c>
      <c r="AC418">
        <v>0</v>
      </c>
      <c r="AD418">
        <v>0</v>
      </c>
      <c r="AE418" t="str" cm="1">
        <f t="array" ref="AE418">_xlfn.IFS(G418=1,"Before College",G418=2,"College",G418=3,"Bachelor",G418=4,"Master",G418=5,"Doctor")</f>
        <v>College</v>
      </c>
      <c r="AF418" t="str" cm="1">
        <f t="array" ref="AF418">_xlfn.IFS(J418=1,"Low",J418=2,"Medium",J418=3,"High",J418=4,"Very High")</f>
        <v>Very High</v>
      </c>
      <c r="AG418" t="str" cm="1">
        <f t="array" ref="AG418">_xlfn.IFS(L418=1,"Low",L418=2,"Medium",L418=3,"High",L418=4,"Very High")</f>
        <v>High</v>
      </c>
      <c r="AH418" t="str" cm="1">
        <f t="array" ref="AH418">_xlfn.IFS(M418=1,"Junior employee",M418=2,"Mid-level",M418=3,"Senior",M418=4,"Manager",M418=5,"Executive")</f>
        <v>Junior employee</v>
      </c>
      <c r="AI418" t="str" cm="1">
        <f t="array" ref="AI418">_xlfn.IFS(O418=1,"Low",O418=2,"Medium",O418=3,"High",O418=4,"Very High")</f>
        <v>Very High</v>
      </c>
      <c r="AJ418" t="str" cm="1">
        <f t="array" ref="AJ418">_xlfn.IFS(U418=1,"Low",U418=2,"Good",U418=3,"Excellent",U418=4,"Outstanding")</f>
        <v>Outstanding</v>
      </c>
      <c r="AK418" t="str" cm="1">
        <f t="array" ref="AK418">_xlfn.IFS(V418=1,"Low",V418=2,"Medium",V418=3,"High",V418=4,"Very High")</f>
        <v>High</v>
      </c>
      <c r="AL418" t="str" cm="1">
        <f t="array" ref="AL418">_xlfn.IFS(Z418=1,"Bad",Z418=2,"Good",Z418=3,"Better",Z418=4,"Best")</f>
        <v>Better</v>
      </c>
      <c r="AM418" t="str" cm="1">
        <f t="array" ref="AM418">_xlfn.IFS(W418=0,"No_stock",W418=1,"Low",W418=2,"Medium",W418=3,"High")</f>
        <v>Low</v>
      </c>
      <c r="AN418" t="str">
        <f t="shared" si="6"/>
        <v>Near</v>
      </c>
    </row>
    <row r="419" spans="1:40" x14ac:dyDescent="0.45">
      <c r="A419">
        <v>40</v>
      </c>
      <c r="B419" t="s">
        <v>37</v>
      </c>
      <c r="C419" t="s">
        <v>31</v>
      </c>
      <c r="D419">
        <v>1398</v>
      </c>
      <c r="E419" t="s">
        <v>32</v>
      </c>
      <c r="F419">
        <v>2</v>
      </c>
      <c r="G419">
        <v>4</v>
      </c>
      <c r="H419" t="s">
        <v>33</v>
      </c>
      <c r="I419">
        <v>558</v>
      </c>
      <c r="J419">
        <v>3</v>
      </c>
      <c r="K419" t="s">
        <v>34</v>
      </c>
      <c r="L419">
        <v>3</v>
      </c>
      <c r="M419">
        <v>5</v>
      </c>
      <c r="N419" t="s">
        <v>50</v>
      </c>
      <c r="O419">
        <v>3</v>
      </c>
      <c r="P419" t="s">
        <v>42</v>
      </c>
      <c r="Q419">
        <v>18041</v>
      </c>
      <c r="R419">
        <v>0</v>
      </c>
      <c r="S419" t="s">
        <v>37</v>
      </c>
      <c r="T419">
        <v>14</v>
      </c>
      <c r="U419">
        <v>3</v>
      </c>
      <c r="V419">
        <v>4</v>
      </c>
      <c r="W419">
        <v>0</v>
      </c>
      <c r="X419">
        <v>21</v>
      </c>
      <c r="Y419">
        <v>2</v>
      </c>
      <c r="Z419">
        <v>3</v>
      </c>
      <c r="AA419">
        <v>20</v>
      </c>
      <c r="AB419">
        <v>15</v>
      </c>
      <c r="AC419">
        <v>1</v>
      </c>
      <c r="AD419">
        <v>12</v>
      </c>
      <c r="AE419" t="str" cm="1">
        <f t="array" ref="AE419">_xlfn.IFS(G419=1,"Before College",G419=2,"College",G419=3,"Bachelor",G419=4,"Master",G419=5,"Doctor")</f>
        <v>Master</v>
      </c>
      <c r="AF419" t="str" cm="1">
        <f t="array" ref="AF419">_xlfn.IFS(J419=1,"Low",J419=2,"Medium",J419=3,"High",J419=4,"Very High")</f>
        <v>High</v>
      </c>
      <c r="AG419" t="str" cm="1">
        <f t="array" ref="AG419">_xlfn.IFS(L419=1,"Low",L419=2,"Medium",L419=3,"High",L419=4,"Very High")</f>
        <v>High</v>
      </c>
      <c r="AH419" t="str" cm="1">
        <f t="array" ref="AH419">_xlfn.IFS(M419=1,"Junior employee",M419=2,"Mid-level",M419=3,"Senior",M419=4,"Manager",M419=5,"Executive")</f>
        <v>Executive</v>
      </c>
      <c r="AI419" t="str" cm="1">
        <f t="array" ref="AI419">_xlfn.IFS(O419=1,"Low",O419=2,"Medium",O419=3,"High",O419=4,"Very High")</f>
        <v>High</v>
      </c>
      <c r="AJ419" t="str" cm="1">
        <f t="array" ref="AJ419">_xlfn.IFS(U419=1,"Low",U419=2,"Good",U419=3,"Excellent",U419=4,"Outstanding")</f>
        <v>Excellent</v>
      </c>
      <c r="AK419" t="str" cm="1">
        <f t="array" ref="AK419">_xlfn.IFS(V419=1,"Low",V419=2,"Medium",V419=3,"High",V419=4,"Very High")</f>
        <v>Very High</v>
      </c>
      <c r="AL419" t="str" cm="1">
        <f t="array" ref="AL419">_xlfn.IFS(Z419=1,"Bad",Z419=2,"Good",Z419=3,"Better",Z419=4,"Best")</f>
        <v>Better</v>
      </c>
      <c r="AM419" t="str" cm="1">
        <f t="array" ref="AM419">_xlfn.IFS(W419=0,"No_stock",W419=1,"Low",W419=2,"Medium",W419=3,"High")</f>
        <v>No_stock</v>
      </c>
      <c r="AN419" t="str">
        <f t="shared" si="6"/>
        <v>Near</v>
      </c>
    </row>
    <row r="420" spans="1:40" x14ac:dyDescent="0.45">
      <c r="A420">
        <v>26</v>
      </c>
      <c r="B420" t="s">
        <v>37</v>
      </c>
      <c r="C420" t="s">
        <v>31</v>
      </c>
      <c r="D420">
        <v>1349</v>
      </c>
      <c r="E420" t="s">
        <v>39</v>
      </c>
      <c r="F420">
        <v>23</v>
      </c>
      <c r="G420">
        <v>3</v>
      </c>
      <c r="H420" t="s">
        <v>33</v>
      </c>
      <c r="I420">
        <v>560</v>
      </c>
      <c r="J420">
        <v>1</v>
      </c>
      <c r="K420" t="s">
        <v>34</v>
      </c>
      <c r="L420">
        <v>3</v>
      </c>
      <c r="M420">
        <v>1</v>
      </c>
      <c r="N420" t="s">
        <v>41</v>
      </c>
      <c r="O420">
        <v>4</v>
      </c>
      <c r="P420" t="s">
        <v>46</v>
      </c>
      <c r="Q420">
        <v>2886</v>
      </c>
      <c r="R420">
        <v>1</v>
      </c>
      <c r="S420" t="s">
        <v>37</v>
      </c>
      <c r="T420">
        <v>22</v>
      </c>
      <c r="U420">
        <v>4</v>
      </c>
      <c r="V420">
        <v>2</v>
      </c>
      <c r="W420">
        <v>2</v>
      </c>
      <c r="X420">
        <v>3</v>
      </c>
      <c r="Y420">
        <v>3</v>
      </c>
      <c r="Z420">
        <v>1</v>
      </c>
      <c r="AA420">
        <v>3</v>
      </c>
      <c r="AB420">
        <v>2</v>
      </c>
      <c r="AC420">
        <v>0</v>
      </c>
      <c r="AD420">
        <v>2</v>
      </c>
      <c r="AE420" t="str" cm="1">
        <f t="array" ref="AE420">_xlfn.IFS(G420=1,"Before College",G420=2,"College",G420=3,"Bachelor",G420=4,"Master",G420=5,"Doctor")</f>
        <v>Bachelor</v>
      </c>
      <c r="AF420" t="str" cm="1">
        <f t="array" ref="AF420">_xlfn.IFS(J420=1,"Low",J420=2,"Medium",J420=3,"High",J420=4,"Very High")</f>
        <v>Low</v>
      </c>
      <c r="AG420" t="str" cm="1">
        <f t="array" ref="AG420">_xlfn.IFS(L420=1,"Low",L420=2,"Medium",L420=3,"High",L420=4,"Very High")</f>
        <v>High</v>
      </c>
      <c r="AH420" t="str" cm="1">
        <f t="array" ref="AH420">_xlfn.IFS(M420=1,"Junior employee",M420=2,"Mid-level",M420=3,"Senior",M420=4,"Manager",M420=5,"Executive")</f>
        <v>Junior employee</v>
      </c>
      <c r="AI420" t="str" cm="1">
        <f t="array" ref="AI420">_xlfn.IFS(O420=1,"Low",O420=2,"Medium",O420=3,"High",O420=4,"Very High")</f>
        <v>Very High</v>
      </c>
      <c r="AJ420" t="str" cm="1">
        <f t="array" ref="AJ420">_xlfn.IFS(U420=1,"Low",U420=2,"Good",U420=3,"Excellent",U420=4,"Outstanding")</f>
        <v>Outstanding</v>
      </c>
      <c r="AK420" t="str" cm="1">
        <f t="array" ref="AK420">_xlfn.IFS(V420=1,"Low",V420=2,"Medium",V420=3,"High",V420=4,"Very High")</f>
        <v>Medium</v>
      </c>
      <c r="AL420" t="str" cm="1">
        <f t="array" ref="AL420">_xlfn.IFS(Z420=1,"Bad",Z420=2,"Good",Z420=3,"Better",Z420=4,"Best")</f>
        <v>Bad</v>
      </c>
      <c r="AM420" t="str" cm="1">
        <f t="array" ref="AM420">_xlfn.IFS(W420=0,"No_stock",W420=1,"Low",W420=2,"Medium",W420=3,"High")</f>
        <v>Medium</v>
      </c>
      <c r="AN420" t="str">
        <f t="shared" si="6"/>
        <v>Far</v>
      </c>
    </row>
    <row r="421" spans="1:40" x14ac:dyDescent="0.45">
      <c r="A421">
        <v>30</v>
      </c>
      <c r="B421" t="s">
        <v>37</v>
      </c>
      <c r="C421" t="s">
        <v>49</v>
      </c>
      <c r="D421">
        <v>1400</v>
      </c>
      <c r="E421" t="s">
        <v>39</v>
      </c>
      <c r="F421">
        <v>3</v>
      </c>
      <c r="G421">
        <v>3</v>
      </c>
      <c r="H421" t="s">
        <v>33</v>
      </c>
      <c r="I421">
        <v>562</v>
      </c>
      <c r="J421">
        <v>3</v>
      </c>
      <c r="K421" t="s">
        <v>40</v>
      </c>
      <c r="L421">
        <v>3</v>
      </c>
      <c r="M421">
        <v>1</v>
      </c>
      <c r="N421" t="s">
        <v>44</v>
      </c>
      <c r="O421">
        <v>4</v>
      </c>
      <c r="P421" t="s">
        <v>42</v>
      </c>
      <c r="Q421">
        <v>2097</v>
      </c>
      <c r="R421">
        <v>4</v>
      </c>
      <c r="S421" t="s">
        <v>37</v>
      </c>
      <c r="T421">
        <v>15</v>
      </c>
      <c r="U421">
        <v>3</v>
      </c>
      <c r="V421">
        <v>3</v>
      </c>
      <c r="W421">
        <v>1</v>
      </c>
      <c r="X421">
        <v>9</v>
      </c>
      <c r="Y421">
        <v>3</v>
      </c>
      <c r="Z421">
        <v>1</v>
      </c>
      <c r="AA421">
        <v>5</v>
      </c>
      <c r="AB421">
        <v>3</v>
      </c>
      <c r="AC421">
        <v>1</v>
      </c>
      <c r="AD421">
        <v>4</v>
      </c>
      <c r="AE421" t="str" cm="1">
        <f t="array" ref="AE421">_xlfn.IFS(G421=1,"Before College",G421=2,"College",G421=3,"Bachelor",G421=4,"Master",G421=5,"Doctor")</f>
        <v>Bachelor</v>
      </c>
      <c r="AF421" t="str" cm="1">
        <f t="array" ref="AF421">_xlfn.IFS(J421=1,"Low",J421=2,"Medium",J421=3,"High",J421=4,"Very High")</f>
        <v>High</v>
      </c>
      <c r="AG421" t="str" cm="1">
        <f t="array" ref="AG421">_xlfn.IFS(L421=1,"Low",L421=2,"Medium",L421=3,"High",L421=4,"Very High")</f>
        <v>High</v>
      </c>
      <c r="AH421" t="str" cm="1">
        <f t="array" ref="AH421">_xlfn.IFS(M421=1,"Junior employee",M421=2,"Mid-level",M421=3,"Senior",M421=4,"Manager",M421=5,"Executive")</f>
        <v>Junior employee</v>
      </c>
      <c r="AI421" t="str" cm="1">
        <f t="array" ref="AI421">_xlfn.IFS(O421=1,"Low",O421=2,"Medium",O421=3,"High",O421=4,"Very High")</f>
        <v>Very High</v>
      </c>
      <c r="AJ421" t="str" cm="1">
        <f t="array" ref="AJ421">_xlfn.IFS(U421=1,"Low",U421=2,"Good",U421=3,"Excellent",U421=4,"Outstanding")</f>
        <v>Excellent</v>
      </c>
      <c r="AK421" t="str" cm="1">
        <f t="array" ref="AK421">_xlfn.IFS(V421=1,"Low",V421=2,"Medium",V421=3,"High",V421=4,"Very High")</f>
        <v>High</v>
      </c>
      <c r="AL421" t="str" cm="1">
        <f t="array" ref="AL421">_xlfn.IFS(Z421=1,"Bad",Z421=2,"Good",Z421=3,"Better",Z421=4,"Best")</f>
        <v>Bad</v>
      </c>
      <c r="AM421" t="str" cm="1">
        <f t="array" ref="AM421">_xlfn.IFS(W421=0,"No_stock",W421=1,"Low",W421=2,"Medium",W421=3,"High")</f>
        <v>Low</v>
      </c>
      <c r="AN421" t="str">
        <f t="shared" si="6"/>
        <v>Near</v>
      </c>
    </row>
    <row r="422" spans="1:40" x14ac:dyDescent="0.45">
      <c r="A422">
        <v>29</v>
      </c>
      <c r="B422" t="s">
        <v>37</v>
      </c>
      <c r="C422" t="s">
        <v>31</v>
      </c>
      <c r="D422">
        <v>986</v>
      </c>
      <c r="E422" t="s">
        <v>39</v>
      </c>
      <c r="F422">
        <v>3</v>
      </c>
      <c r="G422">
        <v>4</v>
      </c>
      <c r="H422" t="s">
        <v>45</v>
      </c>
      <c r="I422">
        <v>564</v>
      </c>
      <c r="J422">
        <v>2</v>
      </c>
      <c r="K422" t="s">
        <v>40</v>
      </c>
      <c r="L422">
        <v>2</v>
      </c>
      <c r="M422">
        <v>3</v>
      </c>
      <c r="N422" t="s">
        <v>52</v>
      </c>
      <c r="O422">
        <v>3</v>
      </c>
      <c r="P422" t="s">
        <v>42</v>
      </c>
      <c r="Q422">
        <v>11935</v>
      </c>
      <c r="R422">
        <v>1</v>
      </c>
      <c r="S422" t="s">
        <v>37</v>
      </c>
      <c r="T422">
        <v>18</v>
      </c>
      <c r="U422">
        <v>3</v>
      </c>
      <c r="V422">
        <v>3</v>
      </c>
      <c r="W422">
        <v>0</v>
      </c>
      <c r="X422">
        <v>10</v>
      </c>
      <c r="Y422">
        <v>2</v>
      </c>
      <c r="Z422">
        <v>3</v>
      </c>
      <c r="AA422">
        <v>10</v>
      </c>
      <c r="AB422">
        <v>2</v>
      </c>
      <c r="AC422">
        <v>0</v>
      </c>
      <c r="AD422">
        <v>7</v>
      </c>
      <c r="AE422" t="str" cm="1">
        <f t="array" ref="AE422">_xlfn.IFS(G422=1,"Before College",G422=2,"College",G422=3,"Bachelor",G422=4,"Master",G422=5,"Doctor")</f>
        <v>Master</v>
      </c>
      <c r="AF422" t="str" cm="1">
        <f t="array" ref="AF422">_xlfn.IFS(J422=1,"Low",J422=2,"Medium",J422=3,"High",J422=4,"Very High")</f>
        <v>Medium</v>
      </c>
      <c r="AG422" t="str" cm="1">
        <f t="array" ref="AG422">_xlfn.IFS(L422=1,"Low",L422=2,"Medium",L422=3,"High",L422=4,"Very High")</f>
        <v>Medium</v>
      </c>
      <c r="AH422" t="str" cm="1">
        <f t="array" ref="AH422">_xlfn.IFS(M422=1,"Junior employee",M422=2,"Mid-level",M422=3,"Senior",M422=4,"Manager",M422=5,"Executive")</f>
        <v>Senior</v>
      </c>
      <c r="AI422" t="str" cm="1">
        <f t="array" ref="AI422">_xlfn.IFS(O422=1,"Low",O422=2,"Medium",O422=3,"High",O422=4,"Very High")</f>
        <v>High</v>
      </c>
      <c r="AJ422" t="str" cm="1">
        <f t="array" ref="AJ422">_xlfn.IFS(U422=1,"Low",U422=2,"Good",U422=3,"Excellent",U422=4,"Outstanding")</f>
        <v>Excellent</v>
      </c>
      <c r="AK422" t="str" cm="1">
        <f t="array" ref="AK422">_xlfn.IFS(V422=1,"Low",V422=2,"Medium",V422=3,"High",V422=4,"Very High")</f>
        <v>High</v>
      </c>
      <c r="AL422" t="str" cm="1">
        <f t="array" ref="AL422">_xlfn.IFS(Z422=1,"Bad",Z422=2,"Good",Z422=3,"Better",Z422=4,"Best")</f>
        <v>Better</v>
      </c>
      <c r="AM422" t="str" cm="1">
        <f t="array" ref="AM422">_xlfn.IFS(W422=0,"No_stock",W422=1,"Low",W422=2,"Medium",W422=3,"High")</f>
        <v>No_stock</v>
      </c>
      <c r="AN422" t="str">
        <f t="shared" si="6"/>
        <v>Near</v>
      </c>
    </row>
    <row r="423" spans="1:40" x14ac:dyDescent="0.45">
      <c r="A423">
        <v>29</v>
      </c>
      <c r="B423" t="s">
        <v>30</v>
      </c>
      <c r="C423" t="s">
        <v>31</v>
      </c>
      <c r="D423">
        <v>408</v>
      </c>
      <c r="E423" t="s">
        <v>39</v>
      </c>
      <c r="F423">
        <v>25</v>
      </c>
      <c r="G423">
        <v>5</v>
      </c>
      <c r="H423" t="s">
        <v>54</v>
      </c>
      <c r="I423">
        <v>565</v>
      </c>
      <c r="J423">
        <v>3</v>
      </c>
      <c r="K423" t="s">
        <v>34</v>
      </c>
      <c r="L423">
        <v>2</v>
      </c>
      <c r="M423">
        <v>1</v>
      </c>
      <c r="N423" t="s">
        <v>41</v>
      </c>
      <c r="O423">
        <v>2</v>
      </c>
      <c r="P423" t="s">
        <v>42</v>
      </c>
      <c r="Q423">
        <v>2546</v>
      </c>
      <c r="R423">
        <v>5</v>
      </c>
      <c r="S423" t="s">
        <v>37</v>
      </c>
      <c r="T423">
        <v>16</v>
      </c>
      <c r="U423">
        <v>3</v>
      </c>
      <c r="V423">
        <v>2</v>
      </c>
      <c r="W423">
        <v>0</v>
      </c>
      <c r="X423">
        <v>6</v>
      </c>
      <c r="Y423">
        <v>2</v>
      </c>
      <c r="Z423">
        <v>4</v>
      </c>
      <c r="AA423">
        <v>2</v>
      </c>
      <c r="AB423">
        <v>2</v>
      </c>
      <c r="AC423">
        <v>1</v>
      </c>
      <c r="AD423">
        <v>1</v>
      </c>
      <c r="AE423" t="str" cm="1">
        <f t="array" ref="AE423">_xlfn.IFS(G423=1,"Before College",G423=2,"College",G423=3,"Bachelor",G423=4,"Master",G423=5,"Doctor")</f>
        <v>Doctor</v>
      </c>
      <c r="AF423" t="str" cm="1">
        <f t="array" ref="AF423">_xlfn.IFS(J423=1,"Low",J423=2,"Medium",J423=3,"High",J423=4,"Very High")</f>
        <v>High</v>
      </c>
      <c r="AG423" t="str" cm="1">
        <f t="array" ref="AG423">_xlfn.IFS(L423=1,"Low",L423=2,"Medium",L423=3,"High",L423=4,"Very High")</f>
        <v>Medium</v>
      </c>
      <c r="AH423" t="str" cm="1">
        <f t="array" ref="AH423">_xlfn.IFS(M423=1,"Junior employee",M423=2,"Mid-level",M423=3,"Senior",M423=4,"Manager",M423=5,"Executive")</f>
        <v>Junior employee</v>
      </c>
      <c r="AI423" t="str" cm="1">
        <f t="array" ref="AI423">_xlfn.IFS(O423=1,"Low",O423=2,"Medium",O423=3,"High",O423=4,"Very High")</f>
        <v>Medium</v>
      </c>
      <c r="AJ423" t="str" cm="1">
        <f t="array" ref="AJ423">_xlfn.IFS(U423=1,"Low",U423=2,"Good",U423=3,"Excellent",U423=4,"Outstanding")</f>
        <v>Excellent</v>
      </c>
      <c r="AK423" t="str" cm="1">
        <f t="array" ref="AK423">_xlfn.IFS(V423=1,"Low",V423=2,"Medium",V423=3,"High",V423=4,"Very High")</f>
        <v>Medium</v>
      </c>
      <c r="AL423" t="str" cm="1">
        <f t="array" ref="AL423">_xlfn.IFS(Z423=1,"Bad",Z423=2,"Good",Z423=3,"Better",Z423=4,"Best")</f>
        <v>Best</v>
      </c>
      <c r="AM423" t="str" cm="1">
        <f t="array" ref="AM423">_xlfn.IFS(W423=0,"No_stock",W423=1,"Low",W423=2,"Medium",W423=3,"High")</f>
        <v>No_stock</v>
      </c>
      <c r="AN423" t="str">
        <f t="shared" si="6"/>
        <v>Far</v>
      </c>
    </row>
    <row r="424" spans="1:40" x14ac:dyDescent="0.45">
      <c r="A424">
        <v>19</v>
      </c>
      <c r="B424" t="s">
        <v>30</v>
      </c>
      <c r="C424" t="s">
        <v>31</v>
      </c>
      <c r="D424">
        <v>489</v>
      </c>
      <c r="E424" t="s">
        <v>55</v>
      </c>
      <c r="F424">
        <v>2</v>
      </c>
      <c r="G424">
        <v>2</v>
      </c>
      <c r="H424" t="s">
        <v>54</v>
      </c>
      <c r="I424">
        <v>566</v>
      </c>
      <c r="J424">
        <v>1</v>
      </c>
      <c r="K424" t="s">
        <v>40</v>
      </c>
      <c r="L424">
        <v>2</v>
      </c>
      <c r="M424">
        <v>1</v>
      </c>
      <c r="N424" t="s">
        <v>55</v>
      </c>
      <c r="O424">
        <v>4</v>
      </c>
      <c r="P424" t="s">
        <v>36</v>
      </c>
      <c r="Q424">
        <v>2564</v>
      </c>
      <c r="R424">
        <v>1</v>
      </c>
      <c r="S424" t="s">
        <v>37</v>
      </c>
      <c r="T424">
        <v>12</v>
      </c>
      <c r="U424">
        <v>3</v>
      </c>
      <c r="V424">
        <v>3</v>
      </c>
      <c r="W424">
        <v>0</v>
      </c>
      <c r="X424">
        <v>1</v>
      </c>
      <c r="Y424">
        <v>3</v>
      </c>
      <c r="Z424">
        <v>4</v>
      </c>
      <c r="AA424">
        <v>1</v>
      </c>
      <c r="AB424">
        <v>0</v>
      </c>
      <c r="AC424">
        <v>0</v>
      </c>
      <c r="AD424">
        <v>0</v>
      </c>
      <c r="AE424" t="str" cm="1">
        <f t="array" ref="AE424">_xlfn.IFS(G424=1,"Before College",G424=2,"College",G424=3,"Bachelor",G424=4,"Master",G424=5,"Doctor")</f>
        <v>College</v>
      </c>
      <c r="AF424" t="str" cm="1">
        <f t="array" ref="AF424">_xlfn.IFS(J424=1,"Low",J424=2,"Medium",J424=3,"High",J424=4,"Very High")</f>
        <v>Low</v>
      </c>
      <c r="AG424" t="str" cm="1">
        <f t="array" ref="AG424">_xlfn.IFS(L424=1,"Low",L424=2,"Medium",L424=3,"High",L424=4,"Very High")</f>
        <v>Medium</v>
      </c>
      <c r="AH424" t="str" cm="1">
        <f t="array" ref="AH424">_xlfn.IFS(M424=1,"Junior employee",M424=2,"Mid-level",M424=3,"Senior",M424=4,"Manager",M424=5,"Executive")</f>
        <v>Junior employee</v>
      </c>
      <c r="AI424" t="str" cm="1">
        <f t="array" ref="AI424">_xlfn.IFS(O424=1,"Low",O424=2,"Medium",O424=3,"High",O424=4,"Very High")</f>
        <v>Very High</v>
      </c>
      <c r="AJ424" t="str" cm="1">
        <f t="array" ref="AJ424">_xlfn.IFS(U424=1,"Low",U424=2,"Good",U424=3,"Excellent",U424=4,"Outstanding")</f>
        <v>Excellent</v>
      </c>
      <c r="AK424" t="str" cm="1">
        <f t="array" ref="AK424">_xlfn.IFS(V424=1,"Low",V424=2,"Medium",V424=3,"High",V424=4,"Very High")</f>
        <v>High</v>
      </c>
      <c r="AL424" t="str" cm="1">
        <f t="array" ref="AL424">_xlfn.IFS(Z424=1,"Bad",Z424=2,"Good",Z424=3,"Better",Z424=4,"Best")</f>
        <v>Best</v>
      </c>
      <c r="AM424" t="str" cm="1">
        <f t="array" ref="AM424">_xlfn.IFS(W424=0,"No_stock",W424=1,"Low",W424=2,"Medium",W424=3,"High")</f>
        <v>No_stock</v>
      </c>
      <c r="AN424" t="str">
        <f t="shared" si="6"/>
        <v>Near</v>
      </c>
    </row>
    <row r="425" spans="1:40" x14ac:dyDescent="0.45">
      <c r="A425">
        <v>30</v>
      </c>
      <c r="B425" t="s">
        <v>37</v>
      </c>
      <c r="C425" t="s">
        <v>49</v>
      </c>
      <c r="D425">
        <v>1398</v>
      </c>
      <c r="E425" t="s">
        <v>32</v>
      </c>
      <c r="F425">
        <v>22</v>
      </c>
      <c r="G425">
        <v>4</v>
      </c>
      <c r="H425" t="s">
        <v>43</v>
      </c>
      <c r="I425">
        <v>567</v>
      </c>
      <c r="J425">
        <v>3</v>
      </c>
      <c r="K425" t="s">
        <v>34</v>
      </c>
      <c r="L425">
        <v>3</v>
      </c>
      <c r="M425">
        <v>3</v>
      </c>
      <c r="N425" t="s">
        <v>35</v>
      </c>
      <c r="O425">
        <v>1</v>
      </c>
      <c r="P425" t="s">
        <v>42</v>
      </c>
      <c r="Q425">
        <v>8412</v>
      </c>
      <c r="R425">
        <v>0</v>
      </c>
      <c r="S425" t="s">
        <v>37</v>
      </c>
      <c r="T425">
        <v>11</v>
      </c>
      <c r="U425">
        <v>3</v>
      </c>
      <c r="V425">
        <v>3</v>
      </c>
      <c r="W425">
        <v>0</v>
      </c>
      <c r="X425">
        <v>10</v>
      </c>
      <c r="Y425">
        <v>3</v>
      </c>
      <c r="Z425">
        <v>3</v>
      </c>
      <c r="AA425">
        <v>9</v>
      </c>
      <c r="AB425">
        <v>8</v>
      </c>
      <c r="AC425">
        <v>7</v>
      </c>
      <c r="AD425">
        <v>8</v>
      </c>
      <c r="AE425" t="str" cm="1">
        <f t="array" ref="AE425">_xlfn.IFS(G425=1,"Before College",G425=2,"College",G425=3,"Bachelor",G425=4,"Master",G425=5,"Doctor")</f>
        <v>Master</v>
      </c>
      <c r="AF425" t="str" cm="1">
        <f t="array" ref="AF425">_xlfn.IFS(J425=1,"Low",J425=2,"Medium",J425=3,"High",J425=4,"Very High")</f>
        <v>High</v>
      </c>
      <c r="AG425" t="str" cm="1">
        <f t="array" ref="AG425">_xlfn.IFS(L425=1,"Low",L425=2,"Medium",L425=3,"High",L425=4,"Very High")</f>
        <v>High</v>
      </c>
      <c r="AH425" t="str" cm="1">
        <f t="array" ref="AH425">_xlfn.IFS(M425=1,"Junior employee",M425=2,"Mid-level",M425=3,"Senior",M425=4,"Manager",M425=5,"Executive")</f>
        <v>Senior</v>
      </c>
      <c r="AI425" t="str" cm="1">
        <f t="array" ref="AI425">_xlfn.IFS(O425=1,"Low",O425=2,"Medium",O425=3,"High",O425=4,"Very High")</f>
        <v>Low</v>
      </c>
      <c r="AJ425" t="str" cm="1">
        <f t="array" ref="AJ425">_xlfn.IFS(U425=1,"Low",U425=2,"Good",U425=3,"Excellent",U425=4,"Outstanding")</f>
        <v>Excellent</v>
      </c>
      <c r="AK425" t="str" cm="1">
        <f t="array" ref="AK425">_xlfn.IFS(V425=1,"Low",V425=2,"Medium",V425=3,"High",V425=4,"Very High")</f>
        <v>High</v>
      </c>
      <c r="AL425" t="str" cm="1">
        <f t="array" ref="AL425">_xlfn.IFS(Z425=1,"Bad",Z425=2,"Good",Z425=3,"Better",Z425=4,"Best")</f>
        <v>Better</v>
      </c>
      <c r="AM425" t="str" cm="1">
        <f t="array" ref="AM425">_xlfn.IFS(W425=0,"No_stock",W425=1,"Low",W425=2,"Medium",W425=3,"High")</f>
        <v>No_stock</v>
      </c>
      <c r="AN425" t="str">
        <f t="shared" si="6"/>
        <v>Far</v>
      </c>
    </row>
    <row r="426" spans="1:40" x14ac:dyDescent="0.45">
      <c r="A426">
        <v>57</v>
      </c>
      <c r="B426" t="s">
        <v>37</v>
      </c>
      <c r="C426" t="s">
        <v>31</v>
      </c>
      <c r="D426">
        <v>210</v>
      </c>
      <c r="E426" t="s">
        <v>32</v>
      </c>
      <c r="F426">
        <v>29</v>
      </c>
      <c r="G426">
        <v>3</v>
      </c>
      <c r="H426" t="s">
        <v>53</v>
      </c>
      <c r="I426">
        <v>568</v>
      </c>
      <c r="J426">
        <v>1</v>
      </c>
      <c r="K426" t="s">
        <v>40</v>
      </c>
      <c r="L426">
        <v>2</v>
      </c>
      <c r="M426">
        <v>4</v>
      </c>
      <c r="N426" t="s">
        <v>50</v>
      </c>
      <c r="O426">
        <v>4</v>
      </c>
      <c r="P426" t="s">
        <v>46</v>
      </c>
      <c r="Q426">
        <v>14118</v>
      </c>
      <c r="R426">
        <v>3</v>
      </c>
      <c r="S426" t="s">
        <v>37</v>
      </c>
      <c r="T426">
        <v>12</v>
      </c>
      <c r="U426">
        <v>3</v>
      </c>
      <c r="V426">
        <v>3</v>
      </c>
      <c r="W426">
        <v>1</v>
      </c>
      <c r="X426">
        <v>32</v>
      </c>
      <c r="Y426">
        <v>3</v>
      </c>
      <c r="Z426">
        <v>2</v>
      </c>
      <c r="AA426">
        <v>1</v>
      </c>
      <c r="AB426">
        <v>0</v>
      </c>
      <c r="AC426">
        <v>0</v>
      </c>
      <c r="AD426">
        <v>0</v>
      </c>
      <c r="AE426" t="str" cm="1">
        <f t="array" ref="AE426">_xlfn.IFS(G426=1,"Before College",G426=2,"College",G426=3,"Bachelor",G426=4,"Master",G426=5,"Doctor")</f>
        <v>Bachelor</v>
      </c>
      <c r="AF426" t="str" cm="1">
        <f t="array" ref="AF426">_xlfn.IFS(J426=1,"Low",J426=2,"Medium",J426=3,"High",J426=4,"Very High")</f>
        <v>Low</v>
      </c>
      <c r="AG426" t="str" cm="1">
        <f t="array" ref="AG426">_xlfn.IFS(L426=1,"Low",L426=2,"Medium",L426=3,"High",L426=4,"Very High")</f>
        <v>Medium</v>
      </c>
      <c r="AH426" t="str" cm="1">
        <f t="array" ref="AH426">_xlfn.IFS(M426=1,"Junior employee",M426=2,"Mid-level",M426=3,"Senior",M426=4,"Manager",M426=5,"Executive")</f>
        <v>Manager</v>
      </c>
      <c r="AI426" t="str" cm="1">
        <f t="array" ref="AI426">_xlfn.IFS(O426=1,"Low",O426=2,"Medium",O426=3,"High",O426=4,"Very High")</f>
        <v>Very High</v>
      </c>
      <c r="AJ426" t="str" cm="1">
        <f t="array" ref="AJ426">_xlfn.IFS(U426=1,"Low",U426=2,"Good",U426=3,"Excellent",U426=4,"Outstanding")</f>
        <v>Excellent</v>
      </c>
      <c r="AK426" t="str" cm="1">
        <f t="array" ref="AK426">_xlfn.IFS(V426=1,"Low",V426=2,"Medium",V426=3,"High",V426=4,"Very High")</f>
        <v>High</v>
      </c>
      <c r="AL426" t="str" cm="1">
        <f t="array" ref="AL426">_xlfn.IFS(Z426=1,"Bad",Z426=2,"Good",Z426=3,"Better",Z426=4,"Best")</f>
        <v>Good</v>
      </c>
      <c r="AM426" t="str" cm="1">
        <f t="array" ref="AM426">_xlfn.IFS(W426=0,"No_stock",W426=1,"Low",W426=2,"Medium",W426=3,"High")</f>
        <v>Low</v>
      </c>
      <c r="AN426" t="str">
        <f t="shared" si="6"/>
        <v>Far</v>
      </c>
    </row>
    <row r="427" spans="1:40" x14ac:dyDescent="0.45">
      <c r="A427">
        <v>50</v>
      </c>
      <c r="B427" t="s">
        <v>37</v>
      </c>
      <c r="C427" t="s">
        <v>31</v>
      </c>
      <c r="D427">
        <v>1099</v>
      </c>
      <c r="E427" t="s">
        <v>39</v>
      </c>
      <c r="F427">
        <v>29</v>
      </c>
      <c r="G427">
        <v>4</v>
      </c>
      <c r="H427" t="s">
        <v>33</v>
      </c>
      <c r="I427">
        <v>569</v>
      </c>
      <c r="J427">
        <v>2</v>
      </c>
      <c r="K427" t="s">
        <v>40</v>
      </c>
      <c r="L427">
        <v>2</v>
      </c>
      <c r="M427">
        <v>4</v>
      </c>
      <c r="N427" t="s">
        <v>50</v>
      </c>
      <c r="O427">
        <v>3</v>
      </c>
      <c r="P427" t="s">
        <v>42</v>
      </c>
      <c r="Q427">
        <v>17046</v>
      </c>
      <c r="R427">
        <v>0</v>
      </c>
      <c r="S427" t="s">
        <v>37</v>
      </c>
      <c r="T427">
        <v>15</v>
      </c>
      <c r="U427">
        <v>3</v>
      </c>
      <c r="V427">
        <v>2</v>
      </c>
      <c r="W427">
        <v>1</v>
      </c>
      <c r="X427">
        <v>28</v>
      </c>
      <c r="Y427">
        <v>2</v>
      </c>
      <c r="Z427">
        <v>3</v>
      </c>
      <c r="AA427">
        <v>27</v>
      </c>
      <c r="AB427">
        <v>10</v>
      </c>
      <c r="AC427">
        <v>15</v>
      </c>
      <c r="AD427">
        <v>7</v>
      </c>
      <c r="AE427" t="str" cm="1">
        <f t="array" ref="AE427">_xlfn.IFS(G427=1,"Before College",G427=2,"College",G427=3,"Bachelor",G427=4,"Master",G427=5,"Doctor")</f>
        <v>Master</v>
      </c>
      <c r="AF427" t="str" cm="1">
        <f t="array" ref="AF427">_xlfn.IFS(J427=1,"Low",J427=2,"Medium",J427=3,"High",J427=4,"Very High")</f>
        <v>Medium</v>
      </c>
      <c r="AG427" t="str" cm="1">
        <f t="array" ref="AG427">_xlfn.IFS(L427=1,"Low",L427=2,"Medium",L427=3,"High",L427=4,"Very High")</f>
        <v>Medium</v>
      </c>
      <c r="AH427" t="str" cm="1">
        <f t="array" ref="AH427">_xlfn.IFS(M427=1,"Junior employee",M427=2,"Mid-level",M427=3,"Senior",M427=4,"Manager",M427=5,"Executive")</f>
        <v>Manager</v>
      </c>
      <c r="AI427" t="str" cm="1">
        <f t="array" ref="AI427">_xlfn.IFS(O427=1,"Low",O427=2,"Medium",O427=3,"High",O427=4,"Very High")</f>
        <v>High</v>
      </c>
      <c r="AJ427" t="str" cm="1">
        <f t="array" ref="AJ427">_xlfn.IFS(U427=1,"Low",U427=2,"Good",U427=3,"Excellent",U427=4,"Outstanding")</f>
        <v>Excellent</v>
      </c>
      <c r="AK427" t="str" cm="1">
        <f t="array" ref="AK427">_xlfn.IFS(V427=1,"Low",V427=2,"Medium",V427=3,"High",V427=4,"Very High")</f>
        <v>Medium</v>
      </c>
      <c r="AL427" t="str" cm="1">
        <f t="array" ref="AL427">_xlfn.IFS(Z427=1,"Bad",Z427=2,"Good",Z427=3,"Better",Z427=4,"Best")</f>
        <v>Better</v>
      </c>
      <c r="AM427" t="str" cm="1">
        <f t="array" ref="AM427">_xlfn.IFS(W427=0,"No_stock",W427=1,"Low",W427=2,"Medium",W427=3,"High")</f>
        <v>Low</v>
      </c>
      <c r="AN427" t="str">
        <f t="shared" si="6"/>
        <v>Far</v>
      </c>
    </row>
    <row r="428" spans="1:40" x14ac:dyDescent="0.45">
      <c r="A428">
        <v>30</v>
      </c>
      <c r="B428" t="s">
        <v>37</v>
      </c>
      <c r="C428" t="s">
        <v>49</v>
      </c>
      <c r="D428">
        <v>1116</v>
      </c>
      <c r="E428" t="s">
        <v>39</v>
      </c>
      <c r="F428">
        <v>2</v>
      </c>
      <c r="G428">
        <v>3</v>
      </c>
      <c r="H428" t="s">
        <v>45</v>
      </c>
      <c r="I428">
        <v>571</v>
      </c>
      <c r="J428">
        <v>3</v>
      </c>
      <c r="K428" t="s">
        <v>34</v>
      </c>
      <c r="L428">
        <v>3</v>
      </c>
      <c r="M428">
        <v>1</v>
      </c>
      <c r="N428" t="s">
        <v>44</v>
      </c>
      <c r="O428">
        <v>4</v>
      </c>
      <c r="P428" t="s">
        <v>36</v>
      </c>
      <c r="Q428">
        <v>2564</v>
      </c>
      <c r="R428">
        <v>0</v>
      </c>
      <c r="S428" t="s">
        <v>37</v>
      </c>
      <c r="T428">
        <v>14</v>
      </c>
      <c r="U428">
        <v>3</v>
      </c>
      <c r="V428">
        <v>3</v>
      </c>
      <c r="W428">
        <v>0</v>
      </c>
      <c r="X428">
        <v>12</v>
      </c>
      <c r="Y428">
        <v>2</v>
      </c>
      <c r="Z428">
        <v>2</v>
      </c>
      <c r="AA428">
        <v>11</v>
      </c>
      <c r="AB428">
        <v>7</v>
      </c>
      <c r="AC428">
        <v>6</v>
      </c>
      <c r="AD428">
        <v>7</v>
      </c>
      <c r="AE428" t="str" cm="1">
        <f t="array" ref="AE428">_xlfn.IFS(G428=1,"Before College",G428=2,"College",G428=3,"Bachelor",G428=4,"Master",G428=5,"Doctor")</f>
        <v>Bachelor</v>
      </c>
      <c r="AF428" t="str" cm="1">
        <f t="array" ref="AF428">_xlfn.IFS(J428=1,"Low",J428=2,"Medium",J428=3,"High",J428=4,"Very High")</f>
        <v>High</v>
      </c>
      <c r="AG428" t="str" cm="1">
        <f t="array" ref="AG428">_xlfn.IFS(L428=1,"Low",L428=2,"Medium",L428=3,"High",L428=4,"Very High")</f>
        <v>High</v>
      </c>
      <c r="AH428" t="str" cm="1">
        <f t="array" ref="AH428">_xlfn.IFS(M428=1,"Junior employee",M428=2,"Mid-level",M428=3,"Senior",M428=4,"Manager",M428=5,"Executive")</f>
        <v>Junior employee</v>
      </c>
      <c r="AI428" t="str" cm="1">
        <f t="array" ref="AI428">_xlfn.IFS(O428=1,"Low",O428=2,"Medium",O428=3,"High",O428=4,"Very High")</f>
        <v>Very High</v>
      </c>
      <c r="AJ428" t="str" cm="1">
        <f t="array" ref="AJ428">_xlfn.IFS(U428=1,"Low",U428=2,"Good",U428=3,"Excellent",U428=4,"Outstanding")</f>
        <v>Excellent</v>
      </c>
      <c r="AK428" t="str" cm="1">
        <f t="array" ref="AK428">_xlfn.IFS(V428=1,"Low",V428=2,"Medium",V428=3,"High",V428=4,"Very High")</f>
        <v>High</v>
      </c>
      <c r="AL428" t="str" cm="1">
        <f t="array" ref="AL428">_xlfn.IFS(Z428=1,"Bad",Z428=2,"Good",Z428=3,"Better",Z428=4,"Best")</f>
        <v>Good</v>
      </c>
      <c r="AM428" t="str" cm="1">
        <f t="array" ref="AM428">_xlfn.IFS(W428=0,"No_stock",W428=1,"Low",W428=2,"Medium",W428=3,"High")</f>
        <v>No_stock</v>
      </c>
      <c r="AN428" t="str">
        <f t="shared" si="6"/>
        <v>Near</v>
      </c>
    </row>
    <row r="429" spans="1:40" x14ac:dyDescent="0.45">
      <c r="A429">
        <v>60</v>
      </c>
      <c r="B429" t="s">
        <v>37</v>
      </c>
      <c r="C429" t="s">
        <v>38</v>
      </c>
      <c r="D429">
        <v>1499</v>
      </c>
      <c r="E429" t="s">
        <v>32</v>
      </c>
      <c r="F429">
        <v>28</v>
      </c>
      <c r="G429">
        <v>3</v>
      </c>
      <c r="H429" t="s">
        <v>53</v>
      </c>
      <c r="I429">
        <v>573</v>
      </c>
      <c r="J429">
        <v>3</v>
      </c>
      <c r="K429" t="s">
        <v>34</v>
      </c>
      <c r="L429">
        <v>2</v>
      </c>
      <c r="M429">
        <v>3</v>
      </c>
      <c r="N429" t="s">
        <v>35</v>
      </c>
      <c r="O429">
        <v>1</v>
      </c>
      <c r="P429" t="s">
        <v>42</v>
      </c>
      <c r="Q429">
        <v>10266</v>
      </c>
      <c r="R429">
        <v>4</v>
      </c>
      <c r="S429" t="s">
        <v>37</v>
      </c>
      <c r="T429">
        <v>19</v>
      </c>
      <c r="U429">
        <v>3</v>
      </c>
      <c r="V429">
        <v>4</v>
      </c>
      <c r="W429">
        <v>0</v>
      </c>
      <c r="X429">
        <v>22</v>
      </c>
      <c r="Y429">
        <v>5</v>
      </c>
      <c r="Z429">
        <v>4</v>
      </c>
      <c r="AA429">
        <v>18</v>
      </c>
      <c r="AB429">
        <v>13</v>
      </c>
      <c r="AC429">
        <v>13</v>
      </c>
      <c r="AD429">
        <v>11</v>
      </c>
      <c r="AE429" t="str" cm="1">
        <f t="array" ref="AE429">_xlfn.IFS(G429=1,"Before College",G429=2,"College",G429=3,"Bachelor",G429=4,"Master",G429=5,"Doctor")</f>
        <v>Bachelor</v>
      </c>
      <c r="AF429" t="str" cm="1">
        <f t="array" ref="AF429">_xlfn.IFS(J429=1,"Low",J429=2,"Medium",J429=3,"High",J429=4,"Very High")</f>
        <v>High</v>
      </c>
      <c r="AG429" t="str" cm="1">
        <f t="array" ref="AG429">_xlfn.IFS(L429=1,"Low",L429=2,"Medium",L429=3,"High",L429=4,"Very High")</f>
        <v>Medium</v>
      </c>
      <c r="AH429" t="str" cm="1">
        <f t="array" ref="AH429">_xlfn.IFS(M429=1,"Junior employee",M429=2,"Mid-level",M429=3,"Senior",M429=4,"Manager",M429=5,"Executive")</f>
        <v>Senior</v>
      </c>
      <c r="AI429" t="str" cm="1">
        <f t="array" ref="AI429">_xlfn.IFS(O429=1,"Low",O429=2,"Medium",O429=3,"High",O429=4,"Very High")</f>
        <v>Low</v>
      </c>
      <c r="AJ429" t="str" cm="1">
        <f t="array" ref="AJ429">_xlfn.IFS(U429=1,"Low",U429=2,"Good",U429=3,"Excellent",U429=4,"Outstanding")</f>
        <v>Excellent</v>
      </c>
      <c r="AK429" t="str" cm="1">
        <f t="array" ref="AK429">_xlfn.IFS(V429=1,"Low",V429=2,"Medium",V429=3,"High",V429=4,"Very High")</f>
        <v>Very High</v>
      </c>
      <c r="AL429" t="str" cm="1">
        <f t="array" ref="AL429">_xlfn.IFS(Z429=1,"Bad",Z429=2,"Good",Z429=3,"Better",Z429=4,"Best")</f>
        <v>Best</v>
      </c>
      <c r="AM429" t="str" cm="1">
        <f t="array" ref="AM429">_xlfn.IFS(W429=0,"No_stock",W429=1,"Low",W429=2,"Medium",W429=3,"High")</f>
        <v>No_stock</v>
      </c>
      <c r="AN429" t="str">
        <f t="shared" si="6"/>
        <v>Far</v>
      </c>
    </row>
    <row r="430" spans="1:40" x14ac:dyDescent="0.45">
      <c r="A430">
        <v>47</v>
      </c>
      <c r="B430" t="s">
        <v>37</v>
      </c>
      <c r="C430" t="s">
        <v>31</v>
      </c>
      <c r="D430">
        <v>983</v>
      </c>
      <c r="E430" t="s">
        <v>39</v>
      </c>
      <c r="F430">
        <v>2</v>
      </c>
      <c r="G430">
        <v>2</v>
      </c>
      <c r="H430" t="s">
        <v>45</v>
      </c>
      <c r="I430">
        <v>574</v>
      </c>
      <c r="J430">
        <v>1</v>
      </c>
      <c r="K430" t="s">
        <v>34</v>
      </c>
      <c r="L430">
        <v>3</v>
      </c>
      <c r="M430">
        <v>2</v>
      </c>
      <c r="N430" t="s">
        <v>47</v>
      </c>
      <c r="O430">
        <v>4</v>
      </c>
      <c r="P430" t="s">
        <v>46</v>
      </c>
      <c r="Q430">
        <v>5070</v>
      </c>
      <c r="R430">
        <v>5</v>
      </c>
      <c r="S430" t="s">
        <v>37</v>
      </c>
      <c r="T430">
        <v>13</v>
      </c>
      <c r="U430">
        <v>3</v>
      </c>
      <c r="V430">
        <v>3</v>
      </c>
      <c r="W430">
        <v>3</v>
      </c>
      <c r="X430">
        <v>20</v>
      </c>
      <c r="Y430">
        <v>2</v>
      </c>
      <c r="Z430">
        <v>3</v>
      </c>
      <c r="AA430">
        <v>5</v>
      </c>
      <c r="AB430">
        <v>0</v>
      </c>
      <c r="AC430">
        <v>0</v>
      </c>
      <c r="AD430">
        <v>4</v>
      </c>
      <c r="AE430" t="str" cm="1">
        <f t="array" ref="AE430">_xlfn.IFS(G430=1,"Before College",G430=2,"College",G430=3,"Bachelor",G430=4,"Master",G430=5,"Doctor")</f>
        <v>College</v>
      </c>
      <c r="AF430" t="str" cm="1">
        <f t="array" ref="AF430">_xlfn.IFS(J430=1,"Low",J430=2,"Medium",J430=3,"High",J430=4,"Very High")</f>
        <v>Low</v>
      </c>
      <c r="AG430" t="str" cm="1">
        <f t="array" ref="AG430">_xlfn.IFS(L430=1,"Low",L430=2,"Medium",L430=3,"High",L430=4,"Very High")</f>
        <v>High</v>
      </c>
      <c r="AH430" t="str" cm="1">
        <f t="array" ref="AH430">_xlfn.IFS(M430=1,"Junior employee",M430=2,"Mid-level",M430=3,"Senior",M430=4,"Manager",M430=5,"Executive")</f>
        <v>Mid-level</v>
      </c>
      <c r="AI430" t="str" cm="1">
        <f t="array" ref="AI430">_xlfn.IFS(O430=1,"Low",O430=2,"Medium",O430=3,"High",O430=4,"Very High")</f>
        <v>Very High</v>
      </c>
      <c r="AJ430" t="str" cm="1">
        <f t="array" ref="AJ430">_xlfn.IFS(U430=1,"Low",U430=2,"Good",U430=3,"Excellent",U430=4,"Outstanding")</f>
        <v>Excellent</v>
      </c>
      <c r="AK430" t="str" cm="1">
        <f t="array" ref="AK430">_xlfn.IFS(V430=1,"Low",V430=2,"Medium",V430=3,"High",V430=4,"Very High")</f>
        <v>High</v>
      </c>
      <c r="AL430" t="str" cm="1">
        <f t="array" ref="AL430">_xlfn.IFS(Z430=1,"Bad",Z430=2,"Good",Z430=3,"Better",Z430=4,"Best")</f>
        <v>Better</v>
      </c>
      <c r="AM430" t="str" cm="1">
        <f t="array" ref="AM430">_xlfn.IFS(W430=0,"No_stock",W430=1,"Low",W430=2,"Medium",W430=3,"High")</f>
        <v>High</v>
      </c>
      <c r="AN430" t="str">
        <f t="shared" si="6"/>
        <v>Near</v>
      </c>
    </row>
    <row r="431" spans="1:40" x14ac:dyDescent="0.45">
      <c r="A431">
        <v>46</v>
      </c>
      <c r="B431" t="s">
        <v>37</v>
      </c>
      <c r="C431" t="s">
        <v>31</v>
      </c>
      <c r="D431">
        <v>1009</v>
      </c>
      <c r="E431" t="s">
        <v>39</v>
      </c>
      <c r="F431">
        <v>2</v>
      </c>
      <c r="G431">
        <v>3</v>
      </c>
      <c r="H431" t="s">
        <v>33</v>
      </c>
      <c r="I431">
        <v>575</v>
      </c>
      <c r="J431">
        <v>1</v>
      </c>
      <c r="K431" t="s">
        <v>40</v>
      </c>
      <c r="L431">
        <v>3</v>
      </c>
      <c r="M431">
        <v>4</v>
      </c>
      <c r="N431" t="s">
        <v>52</v>
      </c>
      <c r="O431">
        <v>3</v>
      </c>
      <c r="P431" t="s">
        <v>42</v>
      </c>
      <c r="Q431">
        <v>17861</v>
      </c>
      <c r="R431">
        <v>6</v>
      </c>
      <c r="S431" t="s">
        <v>37</v>
      </c>
      <c r="T431">
        <v>13</v>
      </c>
      <c r="U431">
        <v>3</v>
      </c>
      <c r="V431">
        <v>3</v>
      </c>
      <c r="W431">
        <v>0</v>
      </c>
      <c r="X431">
        <v>26</v>
      </c>
      <c r="Y431">
        <v>2</v>
      </c>
      <c r="Z431">
        <v>1</v>
      </c>
      <c r="AA431">
        <v>3</v>
      </c>
      <c r="AB431">
        <v>2</v>
      </c>
      <c r="AC431">
        <v>0</v>
      </c>
      <c r="AD431">
        <v>1</v>
      </c>
      <c r="AE431" t="str" cm="1">
        <f t="array" ref="AE431">_xlfn.IFS(G431=1,"Before College",G431=2,"College",G431=3,"Bachelor",G431=4,"Master",G431=5,"Doctor")</f>
        <v>Bachelor</v>
      </c>
      <c r="AF431" t="str" cm="1">
        <f t="array" ref="AF431">_xlfn.IFS(J431=1,"Low",J431=2,"Medium",J431=3,"High",J431=4,"Very High")</f>
        <v>Low</v>
      </c>
      <c r="AG431" t="str" cm="1">
        <f t="array" ref="AG431">_xlfn.IFS(L431=1,"Low",L431=2,"Medium",L431=3,"High",L431=4,"Very High")</f>
        <v>High</v>
      </c>
      <c r="AH431" t="str" cm="1">
        <f t="array" ref="AH431">_xlfn.IFS(M431=1,"Junior employee",M431=2,"Mid-level",M431=3,"Senior",M431=4,"Manager",M431=5,"Executive")</f>
        <v>Manager</v>
      </c>
      <c r="AI431" t="str" cm="1">
        <f t="array" ref="AI431">_xlfn.IFS(O431=1,"Low",O431=2,"Medium",O431=3,"High",O431=4,"Very High")</f>
        <v>High</v>
      </c>
      <c r="AJ431" t="str" cm="1">
        <f t="array" ref="AJ431">_xlfn.IFS(U431=1,"Low",U431=2,"Good",U431=3,"Excellent",U431=4,"Outstanding")</f>
        <v>Excellent</v>
      </c>
      <c r="AK431" t="str" cm="1">
        <f t="array" ref="AK431">_xlfn.IFS(V431=1,"Low",V431=2,"Medium",V431=3,"High",V431=4,"Very High")</f>
        <v>High</v>
      </c>
      <c r="AL431" t="str" cm="1">
        <f t="array" ref="AL431">_xlfn.IFS(Z431=1,"Bad",Z431=2,"Good",Z431=3,"Better",Z431=4,"Best")</f>
        <v>Bad</v>
      </c>
      <c r="AM431" t="str" cm="1">
        <f t="array" ref="AM431">_xlfn.IFS(W431=0,"No_stock",W431=1,"Low",W431=2,"Medium",W431=3,"High")</f>
        <v>No_stock</v>
      </c>
      <c r="AN431" t="str">
        <f t="shared" si="6"/>
        <v>Near</v>
      </c>
    </row>
    <row r="432" spans="1:40" x14ac:dyDescent="0.45">
      <c r="A432">
        <v>35</v>
      </c>
      <c r="B432" t="s">
        <v>37</v>
      </c>
      <c r="C432" t="s">
        <v>31</v>
      </c>
      <c r="D432">
        <v>144</v>
      </c>
      <c r="E432" t="s">
        <v>39</v>
      </c>
      <c r="F432">
        <v>22</v>
      </c>
      <c r="G432">
        <v>3</v>
      </c>
      <c r="H432" t="s">
        <v>33</v>
      </c>
      <c r="I432">
        <v>577</v>
      </c>
      <c r="J432">
        <v>4</v>
      </c>
      <c r="K432" t="s">
        <v>40</v>
      </c>
      <c r="L432">
        <v>1</v>
      </c>
      <c r="M432">
        <v>1</v>
      </c>
      <c r="N432" t="s">
        <v>44</v>
      </c>
      <c r="O432">
        <v>3</v>
      </c>
      <c r="P432" t="s">
        <v>36</v>
      </c>
      <c r="Q432">
        <v>4230</v>
      </c>
      <c r="R432">
        <v>0</v>
      </c>
      <c r="S432" t="s">
        <v>37</v>
      </c>
      <c r="T432">
        <v>15</v>
      </c>
      <c r="U432">
        <v>3</v>
      </c>
      <c r="V432">
        <v>3</v>
      </c>
      <c r="W432">
        <v>0</v>
      </c>
      <c r="X432">
        <v>6</v>
      </c>
      <c r="Y432">
        <v>2</v>
      </c>
      <c r="Z432">
        <v>3</v>
      </c>
      <c r="AA432">
        <v>5</v>
      </c>
      <c r="AB432">
        <v>4</v>
      </c>
      <c r="AC432">
        <v>4</v>
      </c>
      <c r="AD432">
        <v>3</v>
      </c>
      <c r="AE432" t="str" cm="1">
        <f t="array" ref="AE432">_xlfn.IFS(G432=1,"Before College",G432=2,"College",G432=3,"Bachelor",G432=4,"Master",G432=5,"Doctor")</f>
        <v>Bachelor</v>
      </c>
      <c r="AF432" t="str" cm="1">
        <f t="array" ref="AF432">_xlfn.IFS(J432=1,"Low",J432=2,"Medium",J432=3,"High",J432=4,"Very High")</f>
        <v>Very High</v>
      </c>
      <c r="AG432" t="str" cm="1">
        <f t="array" ref="AG432">_xlfn.IFS(L432=1,"Low",L432=2,"Medium",L432=3,"High",L432=4,"Very High")</f>
        <v>Low</v>
      </c>
      <c r="AH432" t="str" cm="1">
        <f t="array" ref="AH432">_xlfn.IFS(M432=1,"Junior employee",M432=2,"Mid-level",M432=3,"Senior",M432=4,"Manager",M432=5,"Executive")</f>
        <v>Junior employee</v>
      </c>
      <c r="AI432" t="str" cm="1">
        <f t="array" ref="AI432">_xlfn.IFS(O432=1,"Low",O432=2,"Medium",O432=3,"High",O432=4,"Very High")</f>
        <v>High</v>
      </c>
      <c r="AJ432" t="str" cm="1">
        <f t="array" ref="AJ432">_xlfn.IFS(U432=1,"Low",U432=2,"Good",U432=3,"Excellent",U432=4,"Outstanding")</f>
        <v>Excellent</v>
      </c>
      <c r="AK432" t="str" cm="1">
        <f t="array" ref="AK432">_xlfn.IFS(V432=1,"Low",V432=2,"Medium",V432=3,"High",V432=4,"Very High")</f>
        <v>High</v>
      </c>
      <c r="AL432" t="str" cm="1">
        <f t="array" ref="AL432">_xlfn.IFS(Z432=1,"Bad",Z432=2,"Good",Z432=3,"Better",Z432=4,"Best")</f>
        <v>Better</v>
      </c>
      <c r="AM432" t="str" cm="1">
        <f t="array" ref="AM432">_xlfn.IFS(W432=0,"No_stock",W432=1,"Low",W432=2,"Medium",W432=3,"High")</f>
        <v>No_stock</v>
      </c>
      <c r="AN432" t="str">
        <f t="shared" si="6"/>
        <v>Far</v>
      </c>
    </row>
    <row r="433" spans="1:40" x14ac:dyDescent="0.45">
      <c r="A433">
        <v>54</v>
      </c>
      <c r="B433" t="s">
        <v>37</v>
      </c>
      <c r="C433" t="s">
        <v>31</v>
      </c>
      <c r="D433">
        <v>548</v>
      </c>
      <c r="E433" t="s">
        <v>39</v>
      </c>
      <c r="F433">
        <v>8</v>
      </c>
      <c r="G433">
        <v>4</v>
      </c>
      <c r="H433" t="s">
        <v>33</v>
      </c>
      <c r="I433">
        <v>578</v>
      </c>
      <c r="J433">
        <v>3</v>
      </c>
      <c r="K433" t="s">
        <v>34</v>
      </c>
      <c r="L433">
        <v>3</v>
      </c>
      <c r="M433">
        <v>2</v>
      </c>
      <c r="N433" t="s">
        <v>44</v>
      </c>
      <c r="O433">
        <v>3</v>
      </c>
      <c r="P433" t="s">
        <v>36</v>
      </c>
      <c r="Q433">
        <v>3780</v>
      </c>
      <c r="R433">
        <v>7</v>
      </c>
      <c r="S433" t="s">
        <v>37</v>
      </c>
      <c r="T433">
        <v>11</v>
      </c>
      <c r="U433">
        <v>3</v>
      </c>
      <c r="V433">
        <v>3</v>
      </c>
      <c r="W433">
        <v>0</v>
      </c>
      <c r="X433">
        <v>19</v>
      </c>
      <c r="Y433">
        <v>3</v>
      </c>
      <c r="Z433">
        <v>3</v>
      </c>
      <c r="AA433">
        <v>1</v>
      </c>
      <c r="AB433">
        <v>0</v>
      </c>
      <c r="AC433">
        <v>0</v>
      </c>
      <c r="AD433">
        <v>0</v>
      </c>
      <c r="AE433" t="str" cm="1">
        <f t="array" ref="AE433">_xlfn.IFS(G433=1,"Before College",G433=2,"College",G433=3,"Bachelor",G433=4,"Master",G433=5,"Doctor")</f>
        <v>Master</v>
      </c>
      <c r="AF433" t="str" cm="1">
        <f t="array" ref="AF433">_xlfn.IFS(J433=1,"Low",J433=2,"Medium",J433=3,"High",J433=4,"Very High")</f>
        <v>High</v>
      </c>
      <c r="AG433" t="str" cm="1">
        <f t="array" ref="AG433">_xlfn.IFS(L433=1,"Low",L433=2,"Medium",L433=3,"High",L433=4,"Very High")</f>
        <v>High</v>
      </c>
      <c r="AH433" t="str" cm="1">
        <f t="array" ref="AH433">_xlfn.IFS(M433=1,"Junior employee",M433=2,"Mid-level",M433=3,"Senior",M433=4,"Manager",M433=5,"Executive")</f>
        <v>Mid-level</v>
      </c>
      <c r="AI433" t="str" cm="1">
        <f t="array" ref="AI433">_xlfn.IFS(O433=1,"Low",O433=2,"Medium",O433=3,"High",O433=4,"Very High")</f>
        <v>High</v>
      </c>
      <c r="AJ433" t="str" cm="1">
        <f t="array" ref="AJ433">_xlfn.IFS(U433=1,"Low",U433=2,"Good",U433=3,"Excellent",U433=4,"Outstanding")</f>
        <v>Excellent</v>
      </c>
      <c r="AK433" t="str" cm="1">
        <f t="array" ref="AK433">_xlfn.IFS(V433=1,"Low",V433=2,"Medium",V433=3,"High",V433=4,"Very High")</f>
        <v>High</v>
      </c>
      <c r="AL433" t="str" cm="1">
        <f t="array" ref="AL433">_xlfn.IFS(Z433=1,"Bad",Z433=2,"Good",Z433=3,"Better",Z433=4,"Best")</f>
        <v>Better</v>
      </c>
      <c r="AM433" t="str" cm="1">
        <f t="array" ref="AM433">_xlfn.IFS(W433=0,"No_stock",W433=1,"Low",W433=2,"Medium",W433=3,"High")</f>
        <v>No_stock</v>
      </c>
      <c r="AN433" t="str">
        <f t="shared" si="6"/>
        <v>Medium</v>
      </c>
    </row>
    <row r="434" spans="1:40" x14ac:dyDescent="0.45">
      <c r="A434">
        <v>34</v>
      </c>
      <c r="B434" t="s">
        <v>37</v>
      </c>
      <c r="C434" t="s">
        <v>31</v>
      </c>
      <c r="D434">
        <v>1303</v>
      </c>
      <c r="E434" t="s">
        <v>39</v>
      </c>
      <c r="F434">
        <v>2</v>
      </c>
      <c r="G434">
        <v>4</v>
      </c>
      <c r="H434" t="s">
        <v>33</v>
      </c>
      <c r="I434">
        <v>579</v>
      </c>
      <c r="J434">
        <v>4</v>
      </c>
      <c r="K434" t="s">
        <v>40</v>
      </c>
      <c r="L434">
        <v>2</v>
      </c>
      <c r="M434">
        <v>1</v>
      </c>
      <c r="N434" t="s">
        <v>41</v>
      </c>
      <c r="O434">
        <v>3</v>
      </c>
      <c r="P434" t="s">
        <v>46</v>
      </c>
      <c r="Q434">
        <v>2768</v>
      </c>
      <c r="R434">
        <v>3</v>
      </c>
      <c r="S434" t="s">
        <v>37</v>
      </c>
      <c r="T434">
        <v>12</v>
      </c>
      <c r="U434">
        <v>3</v>
      </c>
      <c r="V434">
        <v>3</v>
      </c>
      <c r="W434">
        <v>1</v>
      </c>
      <c r="X434">
        <v>14</v>
      </c>
      <c r="Y434">
        <v>3</v>
      </c>
      <c r="Z434">
        <v>3</v>
      </c>
      <c r="AA434">
        <v>7</v>
      </c>
      <c r="AB434">
        <v>3</v>
      </c>
      <c r="AC434">
        <v>5</v>
      </c>
      <c r="AD434">
        <v>7</v>
      </c>
      <c r="AE434" t="str" cm="1">
        <f t="array" ref="AE434">_xlfn.IFS(G434=1,"Before College",G434=2,"College",G434=3,"Bachelor",G434=4,"Master",G434=5,"Doctor")</f>
        <v>Master</v>
      </c>
      <c r="AF434" t="str" cm="1">
        <f t="array" ref="AF434">_xlfn.IFS(J434=1,"Low",J434=2,"Medium",J434=3,"High",J434=4,"Very High")</f>
        <v>Very High</v>
      </c>
      <c r="AG434" t="str" cm="1">
        <f t="array" ref="AG434">_xlfn.IFS(L434=1,"Low",L434=2,"Medium",L434=3,"High",L434=4,"Very High")</f>
        <v>Medium</v>
      </c>
      <c r="AH434" t="str" cm="1">
        <f t="array" ref="AH434">_xlfn.IFS(M434=1,"Junior employee",M434=2,"Mid-level",M434=3,"Senior",M434=4,"Manager",M434=5,"Executive")</f>
        <v>Junior employee</v>
      </c>
      <c r="AI434" t="str" cm="1">
        <f t="array" ref="AI434">_xlfn.IFS(O434=1,"Low",O434=2,"Medium",O434=3,"High",O434=4,"Very High")</f>
        <v>High</v>
      </c>
      <c r="AJ434" t="str" cm="1">
        <f t="array" ref="AJ434">_xlfn.IFS(U434=1,"Low",U434=2,"Good",U434=3,"Excellent",U434=4,"Outstanding")</f>
        <v>Excellent</v>
      </c>
      <c r="AK434" t="str" cm="1">
        <f t="array" ref="AK434">_xlfn.IFS(V434=1,"Low",V434=2,"Medium",V434=3,"High",V434=4,"Very High")</f>
        <v>High</v>
      </c>
      <c r="AL434" t="str" cm="1">
        <f t="array" ref="AL434">_xlfn.IFS(Z434=1,"Bad",Z434=2,"Good",Z434=3,"Better",Z434=4,"Best")</f>
        <v>Better</v>
      </c>
      <c r="AM434" t="str" cm="1">
        <f t="array" ref="AM434">_xlfn.IFS(W434=0,"No_stock",W434=1,"Low",W434=2,"Medium",W434=3,"High")</f>
        <v>Low</v>
      </c>
      <c r="AN434" t="str">
        <f t="shared" si="6"/>
        <v>Near</v>
      </c>
    </row>
    <row r="435" spans="1:40" x14ac:dyDescent="0.45">
      <c r="A435">
        <v>46</v>
      </c>
      <c r="B435" t="s">
        <v>37</v>
      </c>
      <c r="C435" t="s">
        <v>31</v>
      </c>
      <c r="D435">
        <v>1125</v>
      </c>
      <c r="E435" t="s">
        <v>32</v>
      </c>
      <c r="F435">
        <v>10</v>
      </c>
      <c r="G435">
        <v>3</v>
      </c>
      <c r="H435" t="s">
        <v>53</v>
      </c>
      <c r="I435">
        <v>580</v>
      </c>
      <c r="J435">
        <v>3</v>
      </c>
      <c r="K435" t="s">
        <v>34</v>
      </c>
      <c r="L435">
        <v>2</v>
      </c>
      <c r="M435">
        <v>3</v>
      </c>
      <c r="N435" t="s">
        <v>35</v>
      </c>
      <c r="O435">
        <v>4</v>
      </c>
      <c r="P435" t="s">
        <v>42</v>
      </c>
      <c r="Q435">
        <v>9071</v>
      </c>
      <c r="R435">
        <v>2</v>
      </c>
      <c r="S435" t="s">
        <v>30</v>
      </c>
      <c r="T435">
        <v>19</v>
      </c>
      <c r="U435">
        <v>3</v>
      </c>
      <c r="V435">
        <v>3</v>
      </c>
      <c r="W435">
        <v>1</v>
      </c>
      <c r="X435">
        <v>15</v>
      </c>
      <c r="Y435">
        <v>3</v>
      </c>
      <c r="Z435">
        <v>3</v>
      </c>
      <c r="AA435">
        <v>3</v>
      </c>
      <c r="AB435">
        <v>2</v>
      </c>
      <c r="AC435">
        <v>1</v>
      </c>
      <c r="AD435">
        <v>2</v>
      </c>
      <c r="AE435" t="str" cm="1">
        <f t="array" ref="AE435">_xlfn.IFS(G435=1,"Before College",G435=2,"College",G435=3,"Bachelor",G435=4,"Master",G435=5,"Doctor")</f>
        <v>Bachelor</v>
      </c>
      <c r="AF435" t="str" cm="1">
        <f t="array" ref="AF435">_xlfn.IFS(J435=1,"Low",J435=2,"Medium",J435=3,"High",J435=4,"Very High")</f>
        <v>High</v>
      </c>
      <c r="AG435" t="str" cm="1">
        <f t="array" ref="AG435">_xlfn.IFS(L435=1,"Low",L435=2,"Medium",L435=3,"High",L435=4,"Very High")</f>
        <v>Medium</v>
      </c>
      <c r="AH435" t="str" cm="1">
        <f t="array" ref="AH435">_xlfn.IFS(M435=1,"Junior employee",M435=2,"Mid-level",M435=3,"Senior",M435=4,"Manager",M435=5,"Executive")</f>
        <v>Senior</v>
      </c>
      <c r="AI435" t="str" cm="1">
        <f t="array" ref="AI435">_xlfn.IFS(O435=1,"Low",O435=2,"Medium",O435=3,"High",O435=4,"Very High")</f>
        <v>Very High</v>
      </c>
      <c r="AJ435" t="str" cm="1">
        <f t="array" ref="AJ435">_xlfn.IFS(U435=1,"Low",U435=2,"Good",U435=3,"Excellent",U435=4,"Outstanding")</f>
        <v>Excellent</v>
      </c>
      <c r="AK435" t="str" cm="1">
        <f t="array" ref="AK435">_xlfn.IFS(V435=1,"Low",V435=2,"Medium",V435=3,"High",V435=4,"Very High")</f>
        <v>High</v>
      </c>
      <c r="AL435" t="str" cm="1">
        <f t="array" ref="AL435">_xlfn.IFS(Z435=1,"Bad",Z435=2,"Good",Z435=3,"Better",Z435=4,"Best")</f>
        <v>Better</v>
      </c>
      <c r="AM435" t="str" cm="1">
        <f t="array" ref="AM435">_xlfn.IFS(W435=0,"No_stock",W435=1,"Low",W435=2,"Medium",W435=3,"High")</f>
        <v>Low</v>
      </c>
      <c r="AN435" t="str">
        <f t="shared" si="6"/>
        <v>Medium</v>
      </c>
    </row>
    <row r="436" spans="1:40" x14ac:dyDescent="0.45">
      <c r="A436">
        <v>31</v>
      </c>
      <c r="B436" t="s">
        <v>37</v>
      </c>
      <c r="C436" t="s">
        <v>31</v>
      </c>
      <c r="D436">
        <v>1274</v>
      </c>
      <c r="E436" t="s">
        <v>39</v>
      </c>
      <c r="F436">
        <v>9</v>
      </c>
      <c r="G436">
        <v>1</v>
      </c>
      <c r="H436" t="s">
        <v>33</v>
      </c>
      <c r="I436">
        <v>581</v>
      </c>
      <c r="J436">
        <v>3</v>
      </c>
      <c r="K436" t="s">
        <v>40</v>
      </c>
      <c r="L436">
        <v>3</v>
      </c>
      <c r="M436">
        <v>3</v>
      </c>
      <c r="N436" t="s">
        <v>47</v>
      </c>
      <c r="O436">
        <v>2</v>
      </c>
      <c r="P436" t="s">
        <v>46</v>
      </c>
      <c r="Q436">
        <v>10648</v>
      </c>
      <c r="R436">
        <v>1</v>
      </c>
      <c r="S436" t="s">
        <v>37</v>
      </c>
      <c r="T436">
        <v>25</v>
      </c>
      <c r="U436">
        <v>4</v>
      </c>
      <c r="V436">
        <v>4</v>
      </c>
      <c r="W436">
        <v>1</v>
      </c>
      <c r="X436">
        <v>13</v>
      </c>
      <c r="Y436">
        <v>6</v>
      </c>
      <c r="Z436">
        <v>4</v>
      </c>
      <c r="AA436">
        <v>13</v>
      </c>
      <c r="AB436">
        <v>8</v>
      </c>
      <c r="AC436">
        <v>0</v>
      </c>
      <c r="AD436">
        <v>8</v>
      </c>
      <c r="AE436" t="str" cm="1">
        <f t="array" ref="AE436">_xlfn.IFS(G436=1,"Before College",G436=2,"College",G436=3,"Bachelor",G436=4,"Master",G436=5,"Doctor")</f>
        <v>Before College</v>
      </c>
      <c r="AF436" t="str" cm="1">
        <f t="array" ref="AF436">_xlfn.IFS(J436=1,"Low",J436=2,"Medium",J436=3,"High",J436=4,"Very High")</f>
        <v>High</v>
      </c>
      <c r="AG436" t="str" cm="1">
        <f t="array" ref="AG436">_xlfn.IFS(L436=1,"Low",L436=2,"Medium",L436=3,"High",L436=4,"Very High")</f>
        <v>High</v>
      </c>
      <c r="AH436" t="str" cm="1">
        <f t="array" ref="AH436">_xlfn.IFS(M436=1,"Junior employee",M436=2,"Mid-level",M436=3,"Senior",M436=4,"Manager",M436=5,"Executive")</f>
        <v>Senior</v>
      </c>
      <c r="AI436" t="str" cm="1">
        <f t="array" ref="AI436">_xlfn.IFS(O436=1,"Low",O436=2,"Medium",O436=3,"High",O436=4,"Very High")</f>
        <v>Medium</v>
      </c>
      <c r="AJ436" t="str" cm="1">
        <f t="array" ref="AJ436">_xlfn.IFS(U436=1,"Low",U436=2,"Good",U436=3,"Excellent",U436=4,"Outstanding")</f>
        <v>Outstanding</v>
      </c>
      <c r="AK436" t="str" cm="1">
        <f t="array" ref="AK436">_xlfn.IFS(V436=1,"Low",V436=2,"Medium",V436=3,"High",V436=4,"Very High")</f>
        <v>Very High</v>
      </c>
      <c r="AL436" t="str" cm="1">
        <f t="array" ref="AL436">_xlfn.IFS(Z436=1,"Bad",Z436=2,"Good",Z436=3,"Better",Z436=4,"Best")</f>
        <v>Best</v>
      </c>
      <c r="AM436" t="str" cm="1">
        <f t="array" ref="AM436">_xlfn.IFS(W436=0,"No_stock",W436=1,"Low",W436=2,"Medium",W436=3,"High")</f>
        <v>Low</v>
      </c>
      <c r="AN436" t="str">
        <f t="shared" si="6"/>
        <v>Medium</v>
      </c>
    </row>
    <row r="437" spans="1:40" x14ac:dyDescent="0.45">
      <c r="A437">
        <v>33</v>
      </c>
      <c r="B437" t="s">
        <v>30</v>
      </c>
      <c r="C437" t="s">
        <v>31</v>
      </c>
      <c r="D437">
        <v>1277</v>
      </c>
      <c r="E437" t="s">
        <v>39</v>
      </c>
      <c r="F437">
        <v>15</v>
      </c>
      <c r="G437">
        <v>1</v>
      </c>
      <c r="H437" t="s">
        <v>45</v>
      </c>
      <c r="I437">
        <v>582</v>
      </c>
      <c r="J437">
        <v>2</v>
      </c>
      <c r="K437" t="s">
        <v>40</v>
      </c>
      <c r="L437">
        <v>3</v>
      </c>
      <c r="M437">
        <v>3</v>
      </c>
      <c r="N437" t="s">
        <v>50</v>
      </c>
      <c r="O437">
        <v>3</v>
      </c>
      <c r="P437" t="s">
        <v>42</v>
      </c>
      <c r="Q437">
        <v>13610</v>
      </c>
      <c r="R437">
        <v>7</v>
      </c>
      <c r="S437" t="s">
        <v>30</v>
      </c>
      <c r="T437">
        <v>12</v>
      </c>
      <c r="U437">
        <v>3</v>
      </c>
      <c r="V437">
        <v>4</v>
      </c>
      <c r="W437">
        <v>0</v>
      </c>
      <c r="X437">
        <v>15</v>
      </c>
      <c r="Y437">
        <v>2</v>
      </c>
      <c r="Z437">
        <v>4</v>
      </c>
      <c r="AA437">
        <v>7</v>
      </c>
      <c r="AB437">
        <v>6</v>
      </c>
      <c r="AC437">
        <v>7</v>
      </c>
      <c r="AD437">
        <v>7</v>
      </c>
      <c r="AE437" t="str" cm="1">
        <f t="array" ref="AE437">_xlfn.IFS(G437=1,"Before College",G437=2,"College",G437=3,"Bachelor",G437=4,"Master",G437=5,"Doctor")</f>
        <v>Before College</v>
      </c>
      <c r="AF437" t="str" cm="1">
        <f t="array" ref="AF437">_xlfn.IFS(J437=1,"Low",J437=2,"Medium",J437=3,"High",J437=4,"Very High")</f>
        <v>Medium</v>
      </c>
      <c r="AG437" t="str" cm="1">
        <f t="array" ref="AG437">_xlfn.IFS(L437=1,"Low",L437=2,"Medium",L437=3,"High",L437=4,"Very High")</f>
        <v>High</v>
      </c>
      <c r="AH437" t="str" cm="1">
        <f t="array" ref="AH437">_xlfn.IFS(M437=1,"Junior employee",M437=2,"Mid-level",M437=3,"Senior",M437=4,"Manager",M437=5,"Executive")</f>
        <v>Senior</v>
      </c>
      <c r="AI437" t="str" cm="1">
        <f t="array" ref="AI437">_xlfn.IFS(O437=1,"Low",O437=2,"Medium",O437=3,"High",O437=4,"Very High")</f>
        <v>High</v>
      </c>
      <c r="AJ437" t="str" cm="1">
        <f t="array" ref="AJ437">_xlfn.IFS(U437=1,"Low",U437=2,"Good",U437=3,"Excellent",U437=4,"Outstanding")</f>
        <v>Excellent</v>
      </c>
      <c r="AK437" t="str" cm="1">
        <f t="array" ref="AK437">_xlfn.IFS(V437=1,"Low",V437=2,"Medium",V437=3,"High",V437=4,"Very High")</f>
        <v>Very High</v>
      </c>
      <c r="AL437" t="str" cm="1">
        <f t="array" ref="AL437">_xlfn.IFS(Z437=1,"Bad",Z437=2,"Good",Z437=3,"Better",Z437=4,"Best")</f>
        <v>Best</v>
      </c>
      <c r="AM437" t="str" cm="1">
        <f t="array" ref="AM437">_xlfn.IFS(W437=0,"No_stock",W437=1,"Low",W437=2,"Medium",W437=3,"High")</f>
        <v>No_stock</v>
      </c>
      <c r="AN437" t="str">
        <f t="shared" si="6"/>
        <v>Medium</v>
      </c>
    </row>
    <row r="438" spans="1:40" x14ac:dyDescent="0.45">
      <c r="A438">
        <v>33</v>
      </c>
      <c r="B438" t="s">
        <v>30</v>
      </c>
      <c r="C438" t="s">
        <v>31</v>
      </c>
      <c r="D438">
        <v>587</v>
      </c>
      <c r="E438" t="s">
        <v>39</v>
      </c>
      <c r="F438">
        <v>10</v>
      </c>
      <c r="G438">
        <v>1</v>
      </c>
      <c r="H438" t="s">
        <v>45</v>
      </c>
      <c r="I438">
        <v>584</v>
      </c>
      <c r="J438">
        <v>1</v>
      </c>
      <c r="K438" t="s">
        <v>40</v>
      </c>
      <c r="L438">
        <v>1</v>
      </c>
      <c r="M438">
        <v>1</v>
      </c>
      <c r="N438" t="s">
        <v>44</v>
      </c>
      <c r="O438">
        <v>4</v>
      </c>
      <c r="P438" t="s">
        <v>46</v>
      </c>
      <c r="Q438">
        <v>3408</v>
      </c>
      <c r="R438">
        <v>7</v>
      </c>
      <c r="S438" t="s">
        <v>37</v>
      </c>
      <c r="T438">
        <v>13</v>
      </c>
      <c r="U438">
        <v>3</v>
      </c>
      <c r="V438">
        <v>1</v>
      </c>
      <c r="W438">
        <v>3</v>
      </c>
      <c r="X438">
        <v>8</v>
      </c>
      <c r="Y438">
        <v>2</v>
      </c>
      <c r="Z438">
        <v>3</v>
      </c>
      <c r="AA438">
        <v>4</v>
      </c>
      <c r="AB438">
        <v>3</v>
      </c>
      <c r="AC438">
        <v>1</v>
      </c>
      <c r="AD438">
        <v>3</v>
      </c>
      <c r="AE438" t="str" cm="1">
        <f t="array" ref="AE438">_xlfn.IFS(G438=1,"Before College",G438=2,"College",G438=3,"Bachelor",G438=4,"Master",G438=5,"Doctor")</f>
        <v>Before College</v>
      </c>
      <c r="AF438" t="str" cm="1">
        <f t="array" ref="AF438">_xlfn.IFS(J438=1,"Low",J438=2,"Medium",J438=3,"High",J438=4,"Very High")</f>
        <v>Low</v>
      </c>
      <c r="AG438" t="str" cm="1">
        <f t="array" ref="AG438">_xlfn.IFS(L438=1,"Low",L438=2,"Medium",L438=3,"High",L438=4,"Very High")</f>
        <v>Low</v>
      </c>
      <c r="AH438" t="str" cm="1">
        <f t="array" ref="AH438">_xlfn.IFS(M438=1,"Junior employee",M438=2,"Mid-level",M438=3,"Senior",M438=4,"Manager",M438=5,"Executive")</f>
        <v>Junior employee</v>
      </c>
      <c r="AI438" t="str" cm="1">
        <f t="array" ref="AI438">_xlfn.IFS(O438=1,"Low",O438=2,"Medium",O438=3,"High",O438=4,"Very High")</f>
        <v>Very High</v>
      </c>
      <c r="AJ438" t="str" cm="1">
        <f t="array" ref="AJ438">_xlfn.IFS(U438=1,"Low",U438=2,"Good",U438=3,"Excellent",U438=4,"Outstanding")</f>
        <v>Excellent</v>
      </c>
      <c r="AK438" t="str" cm="1">
        <f t="array" ref="AK438">_xlfn.IFS(V438=1,"Low",V438=2,"Medium",V438=3,"High",V438=4,"Very High")</f>
        <v>Low</v>
      </c>
      <c r="AL438" t="str" cm="1">
        <f t="array" ref="AL438">_xlfn.IFS(Z438=1,"Bad",Z438=2,"Good",Z438=3,"Better",Z438=4,"Best")</f>
        <v>Better</v>
      </c>
      <c r="AM438" t="str" cm="1">
        <f t="array" ref="AM438">_xlfn.IFS(W438=0,"No_stock",W438=1,"Low",W438=2,"Medium",W438=3,"High")</f>
        <v>High</v>
      </c>
      <c r="AN438" t="str">
        <f t="shared" si="6"/>
        <v>Medium</v>
      </c>
    </row>
    <row r="439" spans="1:40" x14ac:dyDescent="0.45">
      <c r="A439">
        <v>30</v>
      </c>
      <c r="B439" t="s">
        <v>37</v>
      </c>
      <c r="C439" t="s">
        <v>31</v>
      </c>
      <c r="D439">
        <v>413</v>
      </c>
      <c r="E439" t="s">
        <v>32</v>
      </c>
      <c r="F439">
        <v>7</v>
      </c>
      <c r="G439">
        <v>1</v>
      </c>
      <c r="H439" t="s">
        <v>53</v>
      </c>
      <c r="I439">
        <v>585</v>
      </c>
      <c r="J439">
        <v>4</v>
      </c>
      <c r="K439" t="s">
        <v>40</v>
      </c>
      <c r="L439">
        <v>3</v>
      </c>
      <c r="M439">
        <v>1</v>
      </c>
      <c r="N439" t="s">
        <v>51</v>
      </c>
      <c r="O439">
        <v>2</v>
      </c>
      <c r="P439" t="s">
        <v>36</v>
      </c>
      <c r="Q439">
        <v>2983</v>
      </c>
      <c r="R439">
        <v>0</v>
      </c>
      <c r="S439" t="s">
        <v>37</v>
      </c>
      <c r="T439">
        <v>14</v>
      </c>
      <c r="U439">
        <v>3</v>
      </c>
      <c r="V439">
        <v>1</v>
      </c>
      <c r="W439">
        <v>0</v>
      </c>
      <c r="X439">
        <v>4</v>
      </c>
      <c r="Y439">
        <v>3</v>
      </c>
      <c r="Z439">
        <v>3</v>
      </c>
      <c r="AA439">
        <v>3</v>
      </c>
      <c r="AB439">
        <v>2</v>
      </c>
      <c r="AC439">
        <v>1</v>
      </c>
      <c r="AD439">
        <v>2</v>
      </c>
      <c r="AE439" t="str" cm="1">
        <f t="array" ref="AE439">_xlfn.IFS(G439=1,"Before College",G439=2,"College",G439=3,"Bachelor",G439=4,"Master",G439=5,"Doctor")</f>
        <v>Before College</v>
      </c>
      <c r="AF439" t="str" cm="1">
        <f t="array" ref="AF439">_xlfn.IFS(J439=1,"Low",J439=2,"Medium",J439=3,"High",J439=4,"Very High")</f>
        <v>Very High</v>
      </c>
      <c r="AG439" t="str" cm="1">
        <f t="array" ref="AG439">_xlfn.IFS(L439=1,"Low",L439=2,"Medium",L439=3,"High",L439=4,"Very High")</f>
        <v>High</v>
      </c>
      <c r="AH439" t="str" cm="1">
        <f t="array" ref="AH439">_xlfn.IFS(M439=1,"Junior employee",M439=2,"Mid-level",M439=3,"Senior",M439=4,"Manager",M439=5,"Executive")</f>
        <v>Junior employee</v>
      </c>
      <c r="AI439" t="str" cm="1">
        <f t="array" ref="AI439">_xlfn.IFS(O439=1,"Low",O439=2,"Medium",O439=3,"High",O439=4,"Very High")</f>
        <v>Medium</v>
      </c>
      <c r="AJ439" t="str" cm="1">
        <f t="array" ref="AJ439">_xlfn.IFS(U439=1,"Low",U439=2,"Good",U439=3,"Excellent",U439=4,"Outstanding")</f>
        <v>Excellent</v>
      </c>
      <c r="AK439" t="str" cm="1">
        <f t="array" ref="AK439">_xlfn.IFS(V439=1,"Low",V439=2,"Medium",V439=3,"High",V439=4,"Very High")</f>
        <v>Low</v>
      </c>
      <c r="AL439" t="str" cm="1">
        <f t="array" ref="AL439">_xlfn.IFS(Z439=1,"Bad",Z439=2,"Good",Z439=3,"Better",Z439=4,"Best")</f>
        <v>Better</v>
      </c>
      <c r="AM439" t="str" cm="1">
        <f t="array" ref="AM439">_xlfn.IFS(W439=0,"No_stock",W439=1,"Low",W439=2,"Medium",W439=3,"High")</f>
        <v>No_stock</v>
      </c>
      <c r="AN439" t="str">
        <f t="shared" si="6"/>
        <v>Medium</v>
      </c>
    </row>
    <row r="440" spans="1:40" x14ac:dyDescent="0.45">
      <c r="A440">
        <v>35</v>
      </c>
      <c r="B440" t="s">
        <v>37</v>
      </c>
      <c r="C440" t="s">
        <v>31</v>
      </c>
      <c r="D440">
        <v>1276</v>
      </c>
      <c r="E440" t="s">
        <v>39</v>
      </c>
      <c r="F440">
        <v>16</v>
      </c>
      <c r="G440">
        <v>3</v>
      </c>
      <c r="H440" t="s">
        <v>33</v>
      </c>
      <c r="I440">
        <v>586</v>
      </c>
      <c r="J440">
        <v>4</v>
      </c>
      <c r="K440" t="s">
        <v>40</v>
      </c>
      <c r="L440">
        <v>3</v>
      </c>
      <c r="M440">
        <v>3</v>
      </c>
      <c r="N440" t="s">
        <v>48</v>
      </c>
      <c r="O440">
        <v>3</v>
      </c>
      <c r="P440" t="s">
        <v>42</v>
      </c>
      <c r="Q440">
        <v>7632</v>
      </c>
      <c r="R440">
        <v>4</v>
      </c>
      <c r="S440" t="s">
        <v>30</v>
      </c>
      <c r="T440">
        <v>12</v>
      </c>
      <c r="U440">
        <v>3</v>
      </c>
      <c r="V440">
        <v>3</v>
      </c>
      <c r="W440">
        <v>0</v>
      </c>
      <c r="X440">
        <v>10</v>
      </c>
      <c r="Y440">
        <v>2</v>
      </c>
      <c r="Z440">
        <v>3</v>
      </c>
      <c r="AA440">
        <v>8</v>
      </c>
      <c r="AB440">
        <v>7</v>
      </c>
      <c r="AC440">
        <v>0</v>
      </c>
      <c r="AD440">
        <v>0</v>
      </c>
      <c r="AE440" t="str" cm="1">
        <f t="array" ref="AE440">_xlfn.IFS(G440=1,"Before College",G440=2,"College",G440=3,"Bachelor",G440=4,"Master",G440=5,"Doctor")</f>
        <v>Bachelor</v>
      </c>
      <c r="AF440" t="str" cm="1">
        <f t="array" ref="AF440">_xlfn.IFS(J440=1,"Low",J440=2,"Medium",J440=3,"High",J440=4,"Very High")</f>
        <v>Very High</v>
      </c>
      <c r="AG440" t="str" cm="1">
        <f t="array" ref="AG440">_xlfn.IFS(L440=1,"Low",L440=2,"Medium",L440=3,"High",L440=4,"Very High")</f>
        <v>High</v>
      </c>
      <c r="AH440" t="str" cm="1">
        <f t="array" ref="AH440">_xlfn.IFS(M440=1,"Junior employee",M440=2,"Mid-level",M440=3,"Senior",M440=4,"Manager",M440=5,"Executive")</f>
        <v>Senior</v>
      </c>
      <c r="AI440" t="str" cm="1">
        <f t="array" ref="AI440">_xlfn.IFS(O440=1,"Low",O440=2,"Medium",O440=3,"High",O440=4,"Very High")</f>
        <v>High</v>
      </c>
      <c r="AJ440" t="str" cm="1">
        <f t="array" ref="AJ440">_xlfn.IFS(U440=1,"Low",U440=2,"Good",U440=3,"Excellent",U440=4,"Outstanding")</f>
        <v>Excellent</v>
      </c>
      <c r="AK440" t="str" cm="1">
        <f t="array" ref="AK440">_xlfn.IFS(V440=1,"Low",V440=2,"Medium",V440=3,"High",V440=4,"Very High")</f>
        <v>High</v>
      </c>
      <c r="AL440" t="str" cm="1">
        <f t="array" ref="AL440">_xlfn.IFS(Z440=1,"Bad",Z440=2,"Good",Z440=3,"Better",Z440=4,"Best")</f>
        <v>Better</v>
      </c>
      <c r="AM440" t="str" cm="1">
        <f t="array" ref="AM440">_xlfn.IFS(W440=0,"No_stock",W440=1,"Low",W440=2,"Medium",W440=3,"High")</f>
        <v>No_stock</v>
      </c>
      <c r="AN440" t="str">
        <f t="shared" si="6"/>
        <v>Far</v>
      </c>
    </row>
    <row r="441" spans="1:40" x14ac:dyDescent="0.45">
      <c r="A441">
        <v>31</v>
      </c>
      <c r="B441" t="s">
        <v>30</v>
      </c>
      <c r="C441" t="s">
        <v>38</v>
      </c>
      <c r="D441">
        <v>534</v>
      </c>
      <c r="E441" t="s">
        <v>39</v>
      </c>
      <c r="F441">
        <v>20</v>
      </c>
      <c r="G441">
        <v>3</v>
      </c>
      <c r="H441" t="s">
        <v>33</v>
      </c>
      <c r="I441">
        <v>587</v>
      </c>
      <c r="J441">
        <v>1</v>
      </c>
      <c r="K441" t="s">
        <v>40</v>
      </c>
      <c r="L441">
        <v>3</v>
      </c>
      <c r="M441">
        <v>3</v>
      </c>
      <c r="N441" t="s">
        <v>48</v>
      </c>
      <c r="O441">
        <v>3</v>
      </c>
      <c r="P441" t="s">
        <v>42</v>
      </c>
      <c r="Q441">
        <v>9824</v>
      </c>
      <c r="R441">
        <v>3</v>
      </c>
      <c r="S441" t="s">
        <v>37</v>
      </c>
      <c r="T441">
        <v>12</v>
      </c>
      <c r="U441">
        <v>3</v>
      </c>
      <c r="V441">
        <v>1</v>
      </c>
      <c r="W441">
        <v>0</v>
      </c>
      <c r="X441">
        <v>12</v>
      </c>
      <c r="Y441">
        <v>2</v>
      </c>
      <c r="Z441">
        <v>3</v>
      </c>
      <c r="AA441">
        <v>1</v>
      </c>
      <c r="AB441">
        <v>0</v>
      </c>
      <c r="AC441">
        <v>0</v>
      </c>
      <c r="AD441">
        <v>0</v>
      </c>
      <c r="AE441" t="str" cm="1">
        <f t="array" ref="AE441">_xlfn.IFS(G441=1,"Before College",G441=2,"College",G441=3,"Bachelor",G441=4,"Master",G441=5,"Doctor")</f>
        <v>Bachelor</v>
      </c>
      <c r="AF441" t="str" cm="1">
        <f t="array" ref="AF441">_xlfn.IFS(J441=1,"Low",J441=2,"Medium",J441=3,"High",J441=4,"Very High")</f>
        <v>Low</v>
      </c>
      <c r="AG441" t="str" cm="1">
        <f t="array" ref="AG441">_xlfn.IFS(L441=1,"Low",L441=2,"Medium",L441=3,"High",L441=4,"Very High")</f>
        <v>High</v>
      </c>
      <c r="AH441" t="str" cm="1">
        <f t="array" ref="AH441">_xlfn.IFS(M441=1,"Junior employee",M441=2,"Mid-level",M441=3,"Senior",M441=4,"Manager",M441=5,"Executive")</f>
        <v>Senior</v>
      </c>
      <c r="AI441" t="str" cm="1">
        <f t="array" ref="AI441">_xlfn.IFS(O441=1,"Low",O441=2,"Medium",O441=3,"High",O441=4,"Very High")</f>
        <v>High</v>
      </c>
      <c r="AJ441" t="str" cm="1">
        <f t="array" ref="AJ441">_xlfn.IFS(U441=1,"Low",U441=2,"Good",U441=3,"Excellent",U441=4,"Outstanding")</f>
        <v>Excellent</v>
      </c>
      <c r="AK441" t="str" cm="1">
        <f t="array" ref="AK441">_xlfn.IFS(V441=1,"Low",V441=2,"Medium",V441=3,"High",V441=4,"Very High")</f>
        <v>Low</v>
      </c>
      <c r="AL441" t="str" cm="1">
        <f t="array" ref="AL441">_xlfn.IFS(Z441=1,"Bad",Z441=2,"Good",Z441=3,"Better",Z441=4,"Best")</f>
        <v>Better</v>
      </c>
      <c r="AM441" t="str" cm="1">
        <f t="array" ref="AM441">_xlfn.IFS(W441=0,"No_stock",W441=1,"Low",W441=2,"Medium",W441=3,"High")</f>
        <v>No_stock</v>
      </c>
      <c r="AN441" t="str">
        <f t="shared" si="6"/>
        <v>Far</v>
      </c>
    </row>
    <row r="442" spans="1:40" x14ac:dyDescent="0.45">
      <c r="A442">
        <v>34</v>
      </c>
      <c r="B442" t="s">
        <v>30</v>
      </c>
      <c r="C442" t="s">
        <v>38</v>
      </c>
      <c r="D442">
        <v>988</v>
      </c>
      <c r="E442" t="s">
        <v>55</v>
      </c>
      <c r="F442">
        <v>23</v>
      </c>
      <c r="G442">
        <v>3</v>
      </c>
      <c r="H442" t="s">
        <v>55</v>
      </c>
      <c r="I442">
        <v>590</v>
      </c>
      <c r="J442">
        <v>2</v>
      </c>
      <c r="K442" t="s">
        <v>34</v>
      </c>
      <c r="L442">
        <v>3</v>
      </c>
      <c r="M442">
        <v>3</v>
      </c>
      <c r="N442" t="s">
        <v>55</v>
      </c>
      <c r="O442">
        <v>1</v>
      </c>
      <c r="P442" t="s">
        <v>46</v>
      </c>
      <c r="Q442">
        <v>9950</v>
      </c>
      <c r="R442">
        <v>9</v>
      </c>
      <c r="S442" t="s">
        <v>30</v>
      </c>
      <c r="T442">
        <v>15</v>
      </c>
      <c r="U442">
        <v>3</v>
      </c>
      <c r="V442">
        <v>3</v>
      </c>
      <c r="W442">
        <v>3</v>
      </c>
      <c r="X442">
        <v>11</v>
      </c>
      <c r="Y442">
        <v>2</v>
      </c>
      <c r="Z442">
        <v>3</v>
      </c>
      <c r="AA442">
        <v>3</v>
      </c>
      <c r="AB442">
        <v>2</v>
      </c>
      <c r="AC442">
        <v>0</v>
      </c>
      <c r="AD442">
        <v>2</v>
      </c>
      <c r="AE442" t="str" cm="1">
        <f t="array" ref="AE442">_xlfn.IFS(G442=1,"Before College",G442=2,"College",G442=3,"Bachelor",G442=4,"Master",G442=5,"Doctor")</f>
        <v>Bachelor</v>
      </c>
      <c r="AF442" t="str" cm="1">
        <f t="array" ref="AF442">_xlfn.IFS(J442=1,"Low",J442=2,"Medium",J442=3,"High",J442=4,"Very High")</f>
        <v>Medium</v>
      </c>
      <c r="AG442" t="str" cm="1">
        <f t="array" ref="AG442">_xlfn.IFS(L442=1,"Low",L442=2,"Medium",L442=3,"High",L442=4,"Very High")</f>
        <v>High</v>
      </c>
      <c r="AH442" t="str" cm="1">
        <f t="array" ref="AH442">_xlfn.IFS(M442=1,"Junior employee",M442=2,"Mid-level",M442=3,"Senior",M442=4,"Manager",M442=5,"Executive")</f>
        <v>Senior</v>
      </c>
      <c r="AI442" t="str" cm="1">
        <f t="array" ref="AI442">_xlfn.IFS(O442=1,"Low",O442=2,"Medium",O442=3,"High",O442=4,"Very High")</f>
        <v>Low</v>
      </c>
      <c r="AJ442" t="str" cm="1">
        <f t="array" ref="AJ442">_xlfn.IFS(U442=1,"Low",U442=2,"Good",U442=3,"Excellent",U442=4,"Outstanding")</f>
        <v>Excellent</v>
      </c>
      <c r="AK442" t="str" cm="1">
        <f t="array" ref="AK442">_xlfn.IFS(V442=1,"Low",V442=2,"Medium",V442=3,"High",V442=4,"Very High")</f>
        <v>High</v>
      </c>
      <c r="AL442" t="str" cm="1">
        <f t="array" ref="AL442">_xlfn.IFS(Z442=1,"Bad",Z442=2,"Good",Z442=3,"Better",Z442=4,"Best")</f>
        <v>Better</v>
      </c>
      <c r="AM442" t="str" cm="1">
        <f t="array" ref="AM442">_xlfn.IFS(W442=0,"No_stock",W442=1,"Low",W442=2,"Medium",W442=3,"High")</f>
        <v>High</v>
      </c>
      <c r="AN442" t="str">
        <f t="shared" si="6"/>
        <v>Far</v>
      </c>
    </row>
    <row r="443" spans="1:40" x14ac:dyDescent="0.45">
      <c r="A443">
        <v>42</v>
      </c>
      <c r="B443" t="s">
        <v>37</v>
      </c>
      <c r="C443" t="s">
        <v>38</v>
      </c>
      <c r="D443">
        <v>1474</v>
      </c>
      <c r="E443" t="s">
        <v>39</v>
      </c>
      <c r="F443">
        <v>5</v>
      </c>
      <c r="G443">
        <v>2</v>
      </c>
      <c r="H443" t="s">
        <v>43</v>
      </c>
      <c r="I443">
        <v>591</v>
      </c>
      <c r="J443">
        <v>2</v>
      </c>
      <c r="K443" t="s">
        <v>40</v>
      </c>
      <c r="L443">
        <v>3</v>
      </c>
      <c r="M443">
        <v>1</v>
      </c>
      <c r="N443" t="s">
        <v>44</v>
      </c>
      <c r="O443">
        <v>3</v>
      </c>
      <c r="P443" t="s">
        <v>42</v>
      </c>
      <c r="Q443">
        <v>2093</v>
      </c>
      <c r="R443">
        <v>4</v>
      </c>
      <c r="S443" t="s">
        <v>37</v>
      </c>
      <c r="T443">
        <v>17</v>
      </c>
      <c r="U443">
        <v>3</v>
      </c>
      <c r="V443">
        <v>4</v>
      </c>
      <c r="W443">
        <v>1</v>
      </c>
      <c r="X443">
        <v>8</v>
      </c>
      <c r="Y443">
        <v>4</v>
      </c>
      <c r="Z443">
        <v>3</v>
      </c>
      <c r="AA443">
        <v>2</v>
      </c>
      <c r="AB443">
        <v>2</v>
      </c>
      <c r="AC443">
        <v>2</v>
      </c>
      <c r="AD443">
        <v>0</v>
      </c>
      <c r="AE443" t="str" cm="1">
        <f t="array" ref="AE443">_xlfn.IFS(G443=1,"Before College",G443=2,"College",G443=3,"Bachelor",G443=4,"Master",G443=5,"Doctor")</f>
        <v>College</v>
      </c>
      <c r="AF443" t="str" cm="1">
        <f t="array" ref="AF443">_xlfn.IFS(J443=1,"Low",J443=2,"Medium",J443=3,"High",J443=4,"Very High")</f>
        <v>Medium</v>
      </c>
      <c r="AG443" t="str" cm="1">
        <f t="array" ref="AG443">_xlfn.IFS(L443=1,"Low",L443=2,"Medium",L443=3,"High",L443=4,"Very High")</f>
        <v>High</v>
      </c>
      <c r="AH443" t="str" cm="1">
        <f t="array" ref="AH443">_xlfn.IFS(M443=1,"Junior employee",M443=2,"Mid-level",M443=3,"Senior",M443=4,"Manager",M443=5,"Executive")</f>
        <v>Junior employee</v>
      </c>
      <c r="AI443" t="str" cm="1">
        <f t="array" ref="AI443">_xlfn.IFS(O443=1,"Low",O443=2,"Medium",O443=3,"High",O443=4,"Very High")</f>
        <v>High</v>
      </c>
      <c r="AJ443" t="str" cm="1">
        <f t="array" ref="AJ443">_xlfn.IFS(U443=1,"Low",U443=2,"Good",U443=3,"Excellent",U443=4,"Outstanding")</f>
        <v>Excellent</v>
      </c>
      <c r="AK443" t="str" cm="1">
        <f t="array" ref="AK443">_xlfn.IFS(V443=1,"Low",V443=2,"Medium",V443=3,"High",V443=4,"Very High")</f>
        <v>Very High</v>
      </c>
      <c r="AL443" t="str" cm="1">
        <f t="array" ref="AL443">_xlfn.IFS(Z443=1,"Bad",Z443=2,"Good",Z443=3,"Better",Z443=4,"Best")</f>
        <v>Better</v>
      </c>
      <c r="AM443" t="str" cm="1">
        <f t="array" ref="AM443">_xlfn.IFS(W443=0,"No_stock",W443=1,"Low",W443=2,"Medium",W443=3,"High")</f>
        <v>Low</v>
      </c>
      <c r="AN443" t="str">
        <f t="shared" si="6"/>
        <v>Near</v>
      </c>
    </row>
    <row r="444" spans="1:40" x14ac:dyDescent="0.45">
      <c r="A444">
        <v>36</v>
      </c>
      <c r="B444" t="s">
        <v>37</v>
      </c>
      <c r="C444" t="s">
        <v>49</v>
      </c>
      <c r="D444">
        <v>635</v>
      </c>
      <c r="E444" t="s">
        <v>32</v>
      </c>
      <c r="F444">
        <v>10</v>
      </c>
      <c r="G444">
        <v>4</v>
      </c>
      <c r="H444" t="s">
        <v>45</v>
      </c>
      <c r="I444">
        <v>592</v>
      </c>
      <c r="J444">
        <v>2</v>
      </c>
      <c r="K444" t="s">
        <v>40</v>
      </c>
      <c r="L444">
        <v>3</v>
      </c>
      <c r="M444">
        <v>3</v>
      </c>
      <c r="N444" t="s">
        <v>35</v>
      </c>
      <c r="O444">
        <v>4</v>
      </c>
      <c r="P444" t="s">
        <v>36</v>
      </c>
      <c r="Q444">
        <v>9980</v>
      </c>
      <c r="R444">
        <v>1</v>
      </c>
      <c r="S444" t="s">
        <v>37</v>
      </c>
      <c r="T444">
        <v>14</v>
      </c>
      <c r="U444">
        <v>3</v>
      </c>
      <c r="V444">
        <v>4</v>
      </c>
      <c r="W444">
        <v>0</v>
      </c>
      <c r="X444">
        <v>10</v>
      </c>
      <c r="Y444">
        <v>3</v>
      </c>
      <c r="Z444">
        <v>2</v>
      </c>
      <c r="AA444">
        <v>10</v>
      </c>
      <c r="AB444">
        <v>3</v>
      </c>
      <c r="AC444">
        <v>9</v>
      </c>
      <c r="AD444">
        <v>7</v>
      </c>
      <c r="AE444" t="str" cm="1">
        <f t="array" ref="AE444">_xlfn.IFS(G444=1,"Before College",G444=2,"College",G444=3,"Bachelor",G444=4,"Master",G444=5,"Doctor")</f>
        <v>Master</v>
      </c>
      <c r="AF444" t="str" cm="1">
        <f t="array" ref="AF444">_xlfn.IFS(J444=1,"Low",J444=2,"Medium",J444=3,"High",J444=4,"Very High")</f>
        <v>Medium</v>
      </c>
      <c r="AG444" t="str" cm="1">
        <f t="array" ref="AG444">_xlfn.IFS(L444=1,"Low",L444=2,"Medium",L444=3,"High",L444=4,"Very High")</f>
        <v>High</v>
      </c>
      <c r="AH444" t="str" cm="1">
        <f t="array" ref="AH444">_xlfn.IFS(M444=1,"Junior employee",M444=2,"Mid-level",M444=3,"Senior",M444=4,"Manager",M444=5,"Executive")</f>
        <v>Senior</v>
      </c>
      <c r="AI444" t="str" cm="1">
        <f t="array" ref="AI444">_xlfn.IFS(O444=1,"Low",O444=2,"Medium",O444=3,"High",O444=4,"Very High")</f>
        <v>Very High</v>
      </c>
      <c r="AJ444" t="str" cm="1">
        <f t="array" ref="AJ444">_xlfn.IFS(U444=1,"Low",U444=2,"Good",U444=3,"Excellent",U444=4,"Outstanding")</f>
        <v>Excellent</v>
      </c>
      <c r="AK444" t="str" cm="1">
        <f t="array" ref="AK444">_xlfn.IFS(V444=1,"Low",V444=2,"Medium",V444=3,"High",V444=4,"Very High")</f>
        <v>Very High</v>
      </c>
      <c r="AL444" t="str" cm="1">
        <f t="array" ref="AL444">_xlfn.IFS(Z444=1,"Bad",Z444=2,"Good",Z444=3,"Better",Z444=4,"Best")</f>
        <v>Good</v>
      </c>
      <c r="AM444" t="str" cm="1">
        <f t="array" ref="AM444">_xlfn.IFS(W444=0,"No_stock",W444=1,"Low",W444=2,"Medium",W444=3,"High")</f>
        <v>No_stock</v>
      </c>
      <c r="AN444" t="str">
        <f t="shared" si="6"/>
        <v>Medium</v>
      </c>
    </row>
    <row r="445" spans="1:40" x14ac:dyDescent="0.45">
      <c r="A445">
        <v>22</v>
      </c>
      <c r="B445" t="s">
        <v>30</v>
      </c>
      <c r="C445" t="s">
        <v>38</v>
      </c>
      <c r="D445">
        <v>1368</v>
      </c>
      <c r="E445" t="s">
        <v>39</v>
      </c>
      <c r="F445">
        <v>4</v>
      </c>
      <c r="G445">
        <v>1</v>
      </c>
      <c r="H445" t="s">
        <v>54</v>
      </c>
      <c r="I445">
        <v>593</v>
      </c>
      <c r="J445">
        <v>3</v>
      </c>
      <c r="K445" t="s">
        <v>40</v>
      </c>
      <c r="L445">
        <v>2</v>
      </c>
      <c r="M445">
        <v>1</v>
      </c>
      <c r="N445" t="s">
        <v>44</v>
      </c>
      <c r="O445">
        <v>3</v>
      </c>
      <c r="P445" t="s">
        <v>36</v>
      </c>
      <c r="Q445">
        <v>3894</v>
      </c>
      <c r="R445">
        <v>5</v>
      </c>
      <c r="S445" t="s">
        <v>37</v>
      </c>
      <c r="T445">
        <v>16</v>
      </c>
      <c r="U445">
        <v>3</v>
      </c>
      <c r="V445">
        <v>3</v>
      </c>
      <c r="W445">
        <v>0</v>
      </c>
      <c r="X445">
        <v>4</v>
      </c>
      <c r="Y445">
        <v>3</v>
      </c>
      <c r="Z445">
        <v>3</v>
      </c>
      <c r="AA445">
        <v>2</v>
      </c>
      <c r="AB445">
        <v>2</v>
      </c>
      <c r="AC445">
        <v>1</v>
      </c>
      <c r="AD445">
        <v>2</v>
      </c>
      <c r="AE445" t="str" cm="1">
        <f t="array" ref="AE445">_xlfn.IFS(G445=1,"Before College",G445=2,"College",G445=3,"Bachelor",G445=4,"Master",G445=5,"Doctor")</f>
        <v>Before College</v>
      </c>
      <c r="AF445" t="str" cm="1">
        <f t="array" ref="AF445">_xlfn.IFS(J445=1,"Low",J445=2,"Medium",J445=3,"High",J445=4,"Very High")</f>
        <v>High</v>
      </c>
      <c r="AG445" t="str" cm="1">
        <f t="array" ref="AG445">_xlfn.IFS(L445=1,"Low",L445=2,"Medium",L445=3,"High",L445=4,"Very High")</f>
        <v>Medium</v>
      </c>
      <c r="AH445" t="str" cm="1">
        <f t="array" ref="AH445">_xlfn.IFS(M445=1,"Junior employee",M445=2,"Mid-level",M445=3,"Senior",M445=4,"Manager",M445=5,"Executive")</f>
        <v>Junior employee</v>
      </c>
      <c r="AI445" t="str" cm="1">
        <f t="array" ref="AI445">_xlfn.IFS(O445=1,"Low",O445=2,"Medium",O445=3,"High",O445=4,"Very High")</f>
        <v>High</v>
      </c>
      <c r="AJ445" t="str" cm="1">
        <f t="array" ref="AJ445">_xlfn.IFS(U445=1,"Low",U445=2,"Good",U445=3,"Excellent",U445=4,"Outstanding")</f>
        <v>Excellent</v>
      </c>
      <c r="AK445" t="str" cm="1">
        <f t="array" ref="AK445">_xlfn.IFS(V445=1,"Low",V445=2,"Medium",V445=3,"High",V445=4,"Very High")</f>
        <v>High</v>
      </c>
      <c r="AL445" t="str" cm="1">
        <f t="array" ref="AL445">_xlfn.IFS(Z445=1,"Bad",Z445=2,"Good",Z445=3,"Better",Z445=4,"Best")</f>
        <v>Better</v>
      </c>
      <c r="AM445" t="str" cm="1">
        <f t="array" ref="AM445">_xlfn.IFS(W445=0,"No_stock",W445=1,"Low",W445=2,"Medium",W445=3,"High")</f>
        <v>No_stock</v>
      </c>
      <c r="AN445" t="str">
        <f t="shared" si="6"/>
        <v>Near</v>
      </c>
    </row>
    <row r="446" spans="1:40" x14ac:dyDescent="0.45">
      <c r="A446">
        <v>48</v>
      </c>
      <c r="B446" t="s">
        <v>37</v>
      </c>
      <c r="C446" t="s">
        <v>31</v>
      </c>
      <c r="D446">
        <v>163</v>
      </c>
      <c r="E446" t="s">
        <v>32</v>
      </c>
      <c r="F446">
        <v>2</v>
      </c>
      <c r="G446">
        <v>5</v>
      </c>
      <c r="H446" t="s">
        <v>53</v>
      </c>
      <c r="I446">
        <v>595</v>
      </c>
      <c r="J446">
        <v>2</v>
      </c>
      <c r="K446" t="s">
        <v>34</v>
      </c>
      <c r="L446">
        <v>3</v>
      </c>
      <c r="M446">
        <v>2</v>
      </c>
      <c r="N446" t="s">
        <v>35</v>
      </c>
      <c r="O446">
        <v>4</v>
      </c>
      <c r="P446" t="s">
        <v>42</v>
      </c>
      <c r="Q446">
        <v>4051</v>
      </c>
      <c r="R446">
        <v>2</v>
      </c>
      <c r="S446" t="s">
        <v>37</v>
      </c>
      <c r="T446">
        <v>14</v>
      </c>
      <c r="U446">
        <v>3</v>
      </c>
      <c r="V446">
        <v>1</v>
      </c>
      <c r="W446">
        <v>1</v>
      </c>
      <c r="X446">
        <v>14</v>
      </c>
      <c r="Y446">
        <v>2</v>
      </c>
      <c r="Z446">
        <v>3</v>
      </c>
      <c r="AA446">
        <v>9</v>
      </c>
      <c r="AB446">
        <v>7</v>
      </c>
      <c r="AC446">
        <v>6</v>
      </c>
      <c r="AD446">
        <v>7</v>
      </c>
      <c r="AE446" t="str" cm="1">
        <f t="array" ref="AE446">_xlfn.IFS(G446=1,"Before College",G446=2,"College",G446=3,"Bachelor",G446=4,"Master",G446=5,"Doctor")</f>
        <v>Doctor</v>
      </c>
      <c r="AF446" t="str" cm="1">
        <f t="array" ref="AF446">_xlfn.IFS(J446=1,"Low",J446=2,"Medium",J446=3,"High",J446=4,"Very High")</f>
        <v>Medium</v>
      </c>
      <c r="AG446" t="str" cm="1">
        <f t="array" ref="AG446">_xlfn.IFS(L446=1,"Low",L446=2,"Medium",L446=3,"High",L446=4,"Very High")</f>
        <v>High</v>
      </c>
      <c r="AH446" t="str" cm="1">
        <f t="array" ref="AH446">_xlfn.IFS(M446=1,"Junior employee",M446=2,"Mid-level",M446=3,"Senior",M446=4,"Manager",M446=5,"Executive")</f>
        <v>Mid-level</v>
      </c>
      <c r="AI446" t="str" cm="1">
        <f t="array" ref="AI446">_xlfn.IFS(O446=1,"Low",O446=2,"Medium",O446=3,"High",O446=4,"Very High")</f>
        <v>Very High</v>
      </c>
      <c r="AJ446" t="str" cm="1">
        <f t="array" ref="AJ446">_xlfn.IFS(U446=1,"Low",U446=2,"Good",U446=3,"Excellent",U446=4,"Outstanding")</f>
        <v>Excellent</v>
      </c>
      <c r="AK446" t="str" cm="1">
        <f t="array" ref="AK446">_xlfn.IFS(V446=1,"Low",V446=2,"Medium",V446=3,"High",V446=4,"Very High")</f>
        <v>Low</v>
      </c>
      <c r="AL446" t="str" cm="1">
        <f t="array" ref="AL446">_xlfn.IFS(Z446=1,"Bad",Z446=2,"Good",Z446=3,"Better",Z446=4,"Best")</f>
        <v>Better</v>
      </c>
      <c r="AM446" t="str" cm="1">
        <f t="array" ref="AM446">_xlfn.IFS(W446=0,"No_stock",W446=1,"Low",W446=2,"Medium",W446=3,"High")</f>
        <v>Low</v>
      </c>
      <c r="AN446" t="str">
        <f t="shared" si="6"/>
        <v>Near</v>
      </c>
    </row>
    <row r="447" spans="1:40" x14ac:dyDescent="0.45">
      <c r="A447">
        <v>55</v>
      </c>
      <c r="B447" t="s">
        <v>37</v>
      </c>
      <c r="C447" t="s">
        <v>31</v>
      </c>
      <c r="D447">
        <v>1117</v>
      </c>
      <c r="E447" t="s">
        <v>32</v>
      </c>
      <c r="F447">
        <v>18</v>
      </c>
      <c r="G447">
        <v>5</v>
      </c>
      <c r="H447" t="s">
        <v>33</v>
      </c>
      <c r="I447">
        <v>597</v>
      </c>
      <c r="J447">
        <v>1</v>
      </c>
      <c r="K447" t="s">
        <v>34</v>
      </c>
      <c r="L447">
        <v>3</v>
      </c>
      <c r="M447">
        <v>4</v>
      </c>
      <c r="N447" t="s">
        <v>50</v>
      </c>
      <c r="O447">
        <v>2</v>
      </c>
      <c r="P447" t="s">
        <v>36</v>
      </c>
      <c r="Q447">
        <v>16835</v>
      </c>
      <c r="R447">
        <v>3</v>
      </c>
      <c r="S447" t="s">
        <v>37</v>
      </c>
      <c r="T447">
        <v>23</v>
      </c>
      <c r="U447">
        <v>4</v>
      </c>
      <c r="V447">
        <v>4</v>
      </c>
      <c r="W447">
        <v>0</v>
      </c>
      <c r="X447">
        <v>37</v>
      </c>
      <c r="Y447">
        <v>2</v>
      </c>
      <c r="Z447">
        <v>3</v>
      </c>
      <c r="AA447">
        <v>10</v>
      </c>
      <c r="AB447">
        <v>9</v>
      </c>
      <c r="AC447">
        <v>7</v>
      </c>
      <c r="AD447">
        <v>7</v>
      </c>
      <c r="AE447" t="str" cm="1">
        <f t="array" ref="AE447">_xlfn.IFS(G447=1,"Before College",G447=2,"College",G447=3,"Bachelor",G447=4,"Master",G447=5,"Doctor")</f>
        <v>Doctor</v>
      </c>
      <c r="AF447" t="str" cm="1">
        <f t="array" ref="AF447">_xlfn.IFS(J447=1,"Low",J447=2,"Medium",J447=3,"High",J447=4,"Very High")</f>
        <v>Low</v>
      </c>
      <c r="AG447" t="str" cm="1">
        <f t="array" ref="AG447">_xlfn.IFS(L447=1,"Low",L447=2,"Medium",L447=3,"High",L447=4,"Very High")</f>
        <v>High</v>
      </c>
      <c r="AH447" t="str" cm="1">
        <f t="array" ref="AH447">_xlfn.IFS(M447=1,"Junior employee",M447=2,"Mid-level",M447=3,"Senior",M447=4,"Manager",M447=5,"Executive")</f>
        <v>Manager</v>
      </c>
      <c r="AI447" t="str" cm="1">
        <f t="array" ref="AI447">_xlfn.IFS(O447=1,"Low",O447=2,"Medium",O447=3,"High",O447=4,"Very High")</f>
        <v>Medium</v>
      </c>
      <c r="AJ447" t="str" cm="1">
        <f t="array" ref="AJ447">_xlfn.IFS(U447=1,"Low",U447=2,"Good",U447=3,"Excellent",U447=4,"Outstanding")</f>
        <v>Outstanding</v>
      </c>
      <c r="AK447" t="str" cm="1">
        <f t="array" ref="AK447">_xlfn.IFS(V447=1,"Low",V447=2,"Medium",V447=3,"High",V447=4,"Very High")</f>
        <v>Very High</v>
      </c>
      <c r="AL447" t="str" cm="1">
        <f t="array" ref="AL447">_xlfn.IFS(Z447=1,"Bad",Z447=2,"Good",Z447=3,"Better",Z447=4,"Best")</f>
        <v>Better</v>
      </c>
      <c r="AM447" t="str" cm="1">
        <f t="array" ref="AM447">_xlfn.IFS(W447=0,"No_stock",W447=1,"Low",W447=2,"Medium",W447=3,"High")</f>
        <v>No_stock</v>
      </c>
      <c r="AN447" t="str">
        <f t="shared" si="6"/>
        <v>Far</v>
      </c>
    </row>
    <row r="448" spans="1:40" x14ac:dyDescent="0.45">
      <c r="A448">
        <v>41</v>
      </c>
      <c r="B448" t="s">
        <v>37</v>
      </c>
      <c r="C448" t="s">
        <v>49</v>
      </c>
      <c r="D448">
        <v>267</v>
      </c>
      <c r="E448" t="s">
        <v>32</v>
      </c>
      <c r="F448">
        <v>10</v>
      </c>
      <c r="G448">
        <v>2</v>
      </c>
      <c r="H448" t="s">
        <v>33</v>
      </c>
      <c r="I448">
        <v>599</v>
      </c>
      <c r="J448">
        <v>4</v>
      </c>
      <c r="K448" t="s">
        <v>40</v>
      </c>
      <c r="L448">
        <v>3</v>
      </c>
      <c r="M448">
        <v>2</v>
      </c>
      <c r="N448" t="s">
        <v>35</v>
      </c>
      <c r="O448">
        <v>4</v>
      </c>
      <c r="P448" t="s">
        <v>36</v>
      </c>
      <c r="Q448">
        <v>6230</v>
      </c>
      <c r="R448">
        <v>7</v>
      </c>
      <c r="S448" t="s">
        <v>37</v>
      </c>
      <c r="T448">
        <v>14</v>
      </c>
      <c r="U448">
        <v>3</v>
      </c>
      <c r="V448">
        <v>4</v>
      </c>
      <c r="W448">
        <v>0</v>
      </c>
      <c r="X448">
        <v>16</v>
      </c>
      <c r="Y448">
        <v>3</v>
      </c>
      <c r="Z448">
        <v>3</v>
      </c>
      <c r="AA448">
        <v>14</v>
      </c>
      <c r="AB448">
        <v>3</v>
      </c>
      <c r="AC448">
        <v>1</v>
      </c>
      <c r="AD448">
        <v>10</v>
      </c>
      <c r="AE448" t="str" cm="1">
        <f t="array" ref="AE448">_xlfn.IFS(G448=1,"Before College",G448=2,"College",G448=3,"Bachelor",G448=4,"Master",G448=5,"Doctor")</f>
        <v>College</v>
      </c>
      <c r="AF448" t="str" cm="1">
        <f t="array" ref="AF448">_xlfn.IFS(J448=1,"Low",J448=2,"Medium",J448=3,"High",J448=4,"Very High")</f>
        <v>Very High</v>
      </c>
      <c r="AG448" t="str" cm="1">
        <f t="array" ref="AG448">_xlfn.IFS(L448=1,"Low",L448=2,"Medium",L448=3,"High",L448=4,"Very High")</f>
        <v>High</v>
      </c>
      <c r="AH448" t="str" cm="1">
        <f t="array" ref="AH448">_xlfn.IFS(M448=1,"Junior employee",M448=2,"Mid-level",M448=3,"Senior",M448=4,"Manager",M448=5,"Executive")</f>
        <v>Mid-level</v>
      </c>
      <c r="AI448" t="str" cm="1">
        <f t="array" ref="AI448">_xlfn.IFS(O448=1,"Low",O448=2,"Medium",O448=3,"High",O448=4,"Very High")</f>
        <v>Very High</v>
      </c>
      <c r="AJ448" t="str" cm="1">
        <f t="array" ref="AJ448">_xlfn.IFS(U448=1,"Low",U448=2,"Good",U448=3,"Excellent",U448=4,"Outstanding")</f>
        <v>Excellent</v>
      </c>
      <c r="AK448" t="str" cm="1">
        <f t="array" ref="AK448">_xlfn.IFS(V448=1,"Low",V448=2,"Medium",V448=3,"High",V448=4,"Very High")</f>
        <v>Very High</v>
      </c>
      <c r="AL448" t="str" cm="1">
        <f t="array" ref="AL448">_xlfn.IFS(Z448=1,"Bad",Z448=2,"Good",Z448=3,"Better",Z448=4,"Best")</f>
        <v>Better</v>
      </c>
      <c r="AM448" t="str" cm="1">
        <f t="array" ref="AM448">_xlfn.IFS(W448=0,"No_stock",W448=1,"Low",W448=2,"Medium",W448=3,"High")</f>
        <v>No_stock</v>
      </c>
      <c r="AN448" t="str">
        <f t="shared" si="6"/>
        <v>Medium</v>
      </c>
    </row>
    <row r="449" spans="1:40" x14ac:dyDescent="0.45">
      <c r="A449">
        <v>35</v>
      </c>
      <c r="B449" t="s">
        <v>37</v>
      </c>
      <c r="C449" t="s">
        <v>31</v>
      </c>
      <c r="D449">
        <v>619</v>
      </c>
      <c r="E449" t="s">
        <v>32</v>
      </c>
      <c r="F449">
        <v>1</v>
      </c>
      <c r="G449">
        <v>3</v>
      </c>
      <c r="H449" t="s">
        <v>53</v>
      </c>
      <c r="I449">
        <v>600</v>
      </c>
      <c r="J449">
        <v>2</v>
      </c>
      <c r="K449" t="s">
        <v>40</v>
      </c>
      <c r="L449">
        <v>3</v>
      </c>
      <c r="M449">
        <v>2</v>
      </c>
      <c r="N449" t="s">
        <v>35</v>
      </c>
      <c r="O449">
        <v>3</v>
      </c>
      <c r="P449" t="s">
        <v>42</v>
      </c>
      <c r="Q449">
        <v>4717</v>
      </c>
      <c r="R449">
        <v>9</v>
      </c>
      <c r="S449" t="s">
        <v>37</v>
      </c>
      <c r="T449">
        <v>11</v>
      </c>
      <c r="U449">
        <v>3</v>
      </c>
      <c r="V449">
        <v>3</v>
      </c>
      <c r="W449">
        <v>0</v>
      </c>
      <c r="X449">
        <v>15</v>
      </c>
      <c r="Y449">
        <v>2</v>
      </c>
      <c r="Z449">
        <v>3</v>
      </c>
      <c r="AA449">
        <v>11</v>
      </c>
      <c r="AB449">
        <v>9</v>
      </c>
      <c r="AC449">
        <v>6</v>
      </c>
      <c r="AD449">
        <v>9</v>
      </c>
      <c r="AE449" t="str" cm="1">
        <f t="array" ref="AE449">_xlfn.IFS(G449=1,"Before College",G449=2,"College",G449=3,"Bachelor",G449=4,"Master",G449=5,"Doctor")</f>
        <v>Bachelor</v>
      </c>
      <c r="AF449" t="str" cm="1">
        <f t="array" ref="AF449">_xlfn.IFS(J449=1,"Low",J449=2,"Medium",J449=3,"High",J449=4,"Very High")</f>
        <v>Medium</v>
      </c>
      <c r="AG449" t="str" cm="1">
        <f t="array" ref="AG449">_xlfn.IFS(L449=1,"Low",L449=2,"Medium",L449=3,"High",L449=4,"Very High")</f>
        <v>High</v>
      </c>
      <c r="AH449" t="str" cm="1">
        <f t="array" ref="AH449">_xlfn.IFS(M449=1,"Junior employee",M449=2,"Mid-level",M449=3,"Senior",M449=4,"Manager",M449=5,"Executive")</f>
        <v>Mid-level</v>
      </c>
      <c r="AI449" t="str" cm="1">
        <f t="array" ref="AI449">_xlfn.IFS(O449=1,"Low",O449=2,"Medium",O449=3,"High",O449=4,"Very High")</f>
        <v>High</v>
      </c>
      <c r="AJ449" t="str" cm="1">
        <f t="array" ref="AJ449">_xlfn.IFS(U449=1,"Low",U449=2,"Good",U449=3,"Excellent",U449=4,"Outstanding")</f>
        <v>Excellent</v>
      </c>
      <c r="AK449" t="str" cm="1">
        <f t="array" ref="AK449">_xlfn.IFS(V449=1,"Low",V449=2,"Medium",V449=3,"High",V449=4,"Very High")</f>
        <v>High</v>
      </c>
      <c r="AL449" t="str" cm="1">
        <f t="array" ref="AL449">_xlfn.IFS(Z449=1,"Bad",Z449=2,"Good",Z449=3,"Better",Z449=4,"Best")</f>
        <v>Better</v>
      </c>
      <c r="AM449" t="str" cm="1">
        <f t="array" ref="AM449">_xlfn.IFS(W449=0,"No_stock",W449=1,"Low",W449=2,"Medium",W449=3,"High")</f>
        <v>No_stock</v>
      </c>
      <c r="AN449" t="str">
        <f t="shared" si="6"/>
        <v>Near</v>
      </c>
    </row>
    <row r="450" spans="1:40" x14ac:dyDescent="0.45">
      <c r="A450">
        <v>40</v>
      </c>
      <c r="B450" t="s">
        <v>37</v>
      </c>
      <c r="C450" t="s">
        <v>31</v>
      </c>
      <c r="D450">
        <v>302</v>
      </c>
      <c r="E450" t="s">
        <v>39</v>
      </c>
      <c r="F450">
        <v>6</v>
      </c>
      <c r="G450">
        <v>3</v>
      </c>
      <c r="H450" t="s">
        <v>33</v>
      </c>
      <c r="I450">
        <v>601</v>
      </c>
      <c r="J450">
        <v>2</v>
      </c>
      <c r="K450" t="s">
        <v>34</v>
      </c>
      <c r="L450">
        <v>3</v>
      </c>
      <c r="M450">
        <v>4</v>
      </c>
      <c r="N450" t="s">
        <v>47</v>
      </c>
      <c r="O450">
        <v>3</v>
      </c>
      <c r="P450" t="s">
        <v>36</v>
      </c>
      <c r="Q450">
        <v>13237</v>
      </c>
      <c r="R450">
        <v>7</v>
      </c>
      <c r="S450" t="s">
        <v>37</v>
      </c>
      <c r="T450">
        <v>15</v>
      </c>
      <c r="U450">
        <v>3</v>
      </c>
      <c r="V450">
        <v>3</v>
      </c>
      <c r="W450">
        <v>0</v>
      </c>
      <c r="X450">
        <v>22</v>
      </c>
      <c r="Y450">
        <v>3</v>
      </c>
      <c r="Z450">
        <v>3</v>
      </c>
      <c r="AA450">
        <v>20</v>
      </c>
      <c r="AB450">
        <v>6</v>
      </c>
      <c r="AC450">
        <v>5</v>
      </c>
      <c r="AD450">
        <v>13</v>
      </c>
      <c r="AE450" t="str" cm="1">
        <f t="array" ref="AE450">_xlfn.IFS(G450=1,"Before College",G450=2,"College",G450=3,"Bachelor",G450=4,"Master",G450=5,"Doctor")</f>
        <v>Bachelor</v>
      </c>
      <c r="AF450" t="str" cm="1">
        <f t="array" ref="AF450">_xlfn.IFS(J450=1,"Low",J450=2,"Medium",J450=3,"High",J450=4,"Very High")</f>
        <v>Medium</v>
      </c>
      <c r="AG450" t="str" cm="1">
        <f t="array" ref="AG450">_xlfn.IFS(L450=1,"Low",L450=2,"Medium",L450=3,"High",L450=4,"Very High")</f>
        <v>High</v>
      </c>
      <c r="AH450" t="str" cm="1">
        <f t="array" ref="AH450">_xlfn.IFS(M450=1,"Junior employee",M450=2,"Mid-level",M450=3,"Senior",M450=4,"Manager",M450=5,"Executive")</f>
        <v>Manager</v>
      </c>
      <c r="AI450" t="str" cm="1">
        <f t="array" ref="AI450">_xlfn.IFS(O450=1,"Low",O450=2,"Medium",O450=3,"High",O450=4,"Very High")</f>
        <v>High</v>
      </c>
      <c r="AJ450" t="str" cm="1">
        <f t="array" ref="AJ450">_xlfn.IFS(U450=1,"Low",U450=2,"Good",U450=3,"Excellent",U450=4,"Outstanding")</f>
        <v>Excellent</v>
      </c>
      <c r="AK450" t="str" cm="1">
        <f t="array" ref="AK450">_xlfn.IFS(V450=1,"Low",V450=2,"Medium",V450=3,"High",V450=4,"Very High")</f>
        <v>High</v>
      </c>
      <c r="AL450" t="str" cm="1">
        <f t="array" ref="AL450">_xlfn.IFS(Z450=1,"Bad",Z450=2,"Good",Z450=3,"Better",Z450=4,"Best")</f>
        <v>Better</v>
      </c>
      <c r="AM450" t="str" cm="1">
        <f t="array" ref="AM450">_xlfn.IFS(W450=0,"No_stock",W450=1,"Low",W450=2,"Medium",W450=3,"High")</f>
        <v>No_stock</v>
      </c>
      <c r="AN450" t="str">
        <f t="shared" ref="AN450:AN513" si="7">IF(F450&lt;=5,"Near",IF(F450&lt;=15,"Medium","Far"))</f>
        <v>Medium</v>
      </c>
    </row>
    <row r="451" spans="1:40" x14ac:dyDescent="0.45">
      <c r="A451">
        <v>39</v>
      </c>
      <c r="B451" t="s">
        <v>37</v>
      </c>
      <c r="C451" t="s">
        <v>38</v>
      </c>
      <c r="D451">
        <v>443</v>
      </c>
      <c r="E451" t="s">
        <v>39</v>
      </c>
      <c r="F451">
        <v>8</v>
      </c>
      <c r="G451">
        <v>1</v>
      </c>
      <c r="H451" t="s">
        <v>33</v>
      </c>
      <c r="I451">
        <v>602</v>
      </c>
      <c r="J451">
        <v>3</v>
      </c>
      <c r="K451" t="s">
        <v>34</v>
      </c>
      <c r="L451">
        <v>3</v>
      </c>
      <c r="M451">
        <v>1</v>
      </c>
      <c r="N451" t="s">
        <v>44</v>
      </c>
      <c r="O451">
        <v>3</v>
      </c>
      <c r="P451" t="s">
        <v>42</v>
      </c>
      <c r="Q451">
        <v>3755</v>
      </c>
      <c r="R451">
        <v>1</v>
      </c>
      <c r="S451" t="s">
        <v>37</v>
      </c>
      <c r="T451">
        <v>11</v>
      </c>
      <c r="U451">
        <v>3</v>
      </c>
      <c r="V451">
        <v>1</v>
      </c>
      <c r="W451">
        <v>1</v>
      </c>
      <c r="X451">
        <v>8</v>
      </c>
      <c r="Y451">
        <v>3</v>
      </c>
      <c r="Z451">
        <v>3</v>
      </c>
      <c r="AA451">
        <v>8</v>
      </c>
      <c r="AB451">
        <v>3</v>
      </c>
      <c r="AC451">
        <v>0</v>
      </c>
      <c r="AD451">
        <v>7</v>
      </c>
      <c r="AE451" t="str" cm="1">
        <f t="array" ref="AE451">_xlfn.IFS(G451=1,"Before College",G451=2,"College",G451=3,"Bachelor",G451=4,"Master",G451=5,"Doctor")</f>
        <v>Before College</v>
      </c>
      <c r="AF451" t="str" cm="1">
        <f t="array" ref="AF451">_xlfn.IFS(J451=1,"Low",J451=2,"Medium",J451=3,"High",J451=4,"Very High")</f>
        <v>High</v>
      </c>
      <c r="AG451" t="str" cm="1">
        <f t="array" ref="AG451">_xlfn.IFS(L451=1,"Low",L451=2,"Medium",L451=3,"High",L451=4,"Very High")</f>
        <v>High</v>
      </c>
      <c r="AH451" t="str" cm="1">
        <f t="array" ref="AH451">_xlfn.IFS(M451=1,"Junior employee",M451=2,"Mid-level",M451=3,"Senior",M451=4,"Manager",M451=5,"Executive")</f>
        <v>Junior employee</v>
      </c>
      <c r="AI451" t="str" cm="1">
        <f t="array" ref="AI451">_xlfn.IFS(O451=1,"Low",O451=2,"Medium",O451=3,"High",O451=4,"Very High")</f>
        <v>High</v>
      </c>
      <c r="AJ451" t="str" cm="1">
        <f t="array" ref="AJ451">_xlfn.IFS(U451=1,"Low",U451=2,"Good",U451=3,"Excellent",U451=4,"Outstanding")</f>
        <v>Excellent</v>
      </c>
      <c r="AK451" t="str" cm="1">
        <f t="array" ref="AK451">_xlfn.IFS(V451=1,"Low",V451=2,"Medium",V451=3,"High",V451=4,"Very High")</f>
        <v>Low</v>
      </c>
      <c r="AL451" t="str" cm="1">
        <f t="array" ref="AL451">_xlfn.IFS(Z451=1,"Bad",Z451=2,"Good",Z451=3,"Better",Z451=4,"Best")</f>
        <v>Better</v>
      </c>
      <c r="AM451" t="str" cm="1">
        <f t="array" ref="AM451">_xlfn.IFS(W451=0,"No_stock",W451=1,"Low",W451=2,"Medium",W451=3,"High")</f>
        <v>Low</v>
      </c>
      <c r="AN451" t="str">
        <f t="shared" si="7"/>
        <v>Medium</v>
      </c>
    </row>
    <row r="452" spans="1:40" x14ac:dyDescent="0.45">
      <c r="A452">
        <v>31</v>
      </c>
      <c r="B452" t="s">
        <v>37</v>
      </c>
      <c r="C452" t="s">
        <v>31</v>
      </c>
      <c r="D452">
        <v>828</v>
      </c>
      <c r="E452" t="s">
        <v>32</v>
      </c>
      <c r="F452">
        <v>2</v>
      </c>
      <c r="G452">
        <v>1</v>
      </c>
      <c r="H452" t="s">
        <v>33</v>
      </c>
      <c r="I452">
        <v>604</v>
      </c>
      <c r="J452">
        <v>2</v>
      </c>
      <c r="K452" t="s">
        <v>40</v>
      </c>
      <c r="L452">
        <v>3</v>
      </c>
      <c r="M452">
        <v>2</v>
      </c>
      <c r="N452" t="s">
        <v>35</v>
      </c>
      <c r="O452">
        <v>4</v>
      </c>
      <c r="P452" t="s">
        <v>36</v>
      </c>
      <c r="Q452">
        <v>6582</v>
      </c>
      <c r="R452">
        <v>4</v>
      </c>
      <c r="S452" t="s">
        <v>30</v>
      </c>
      <c r="T452">
        <v>13</v>
      </c>
      <c r="U452">
        <v>3</v>
      </c>
      <c r="V452">
        <v>3</v>
      </c>
      <c r="W452">
        <v>0</v>
      </c>
      <c r="X452">
        <v>10</v>
      </c>
      <c r="Y452">
        <v>2</v>
      </c>
      <c r="Z452">
        <v>4</v>
      </c>
      <c r="AA452">
        <v>6</v>
      </c>
      <c r="AB452">
        <v>5</v>
      </c>
      <c r="AC452">
        <v>0</v>
      </c>
      <c r="AD452">
        <v>5</v>
      </c>
      <c r="AE452" t="str" cm="1">
        <f t="array" ref="AE452">_xlfn.IFS(G452=1,"Before College",G452=2,"College",G452=3,"Bachelor",G452=4,"Master",G452=5,"Doctor")</f>
        <v>Before College</v>
      </c>
      <c r="AF452" t="str" cm="1">
        <f t="array" ref="AF452">_xlfn.IFS(J452=1,"Low",J452=2,"Medium",J452=3,"High",J452=4,"Very High")</f>
        <v>Medium</v>
      </c>
      <c r="AG452" t="str" cm="1">
        <f t="array" ref="AG452">_xlfn.IFS(L452=1,"Low",L452=2,"Medium",L452=3,"High",L452=4,"Very High")</f>
        <v>High</v>
      </c>
      <c r="AH452" t="str" cm="1">
        <f t="array" ref="AH452">_xlfn.IFS(M452=1,"Junior employee",M452=2,"Mid-level",M452=3,"Senior",M452=4,"Manager",M452=5,"Executive")</f>
        <v>Mid-level</v>
      </c>
      <c r="AI452" t="str" cm="1">
        <f t="array" ref="AI452">_xlfn.IFS(O452=1,"Low",O452=2,"Medium",O452=3,"High",O452=4,"Very High")</f>
        <v>Very High</v>
      </c>
      <c r="AJ452" t="str" cm="1">
        <f t="array" ref="AJ452">_xlfn.IFS(U452=1,"Low",U452=2,"Good",U452=3,"Excellent",U452=4,"Outstanding")</f>
        <v>Excellent</v>
      </c>
      <c r="AK452" t="str" cm="1">
        <f t="array" ref="AK452">_xlfn.IFS(V452=1,"Low",V452=2,"Medium",V452=3,"High",V452=4,"Very High")</f>
        <v>High</v>
      </c>
      <c r="AL452" t="str" cm="1">
        <f t="array" ref="AL452">_xlfn.IFS(Z452=1,"Bad",Z452=2,"Good",Z452=3,"Better",Z452=4,"Best")</f>
        <v>Best</v>
      </c>
      <c r="AM452" t="str" cm="1">
        <f t="array" ref="AM452">_xlfn.IFS(W452=0,"No_stock",W452=1,"Low",W452=2,"Medium",W452=3,"High")</f>
        <v>No_stock</v>
      </c>
      <c r="AN452" t="str">
        <f t="shared" si="7"/>
        <v>Near</v>
      </c>
    </row>
    <row r="453" spans="1:40" x14ac:dyDescent="0.45">
      <c r="A453">
        <v>42</v>
      </c>
      <c r="B453" t="s">
        <v>37</v>
      </c>
      <c r="C453" t="s">
        <v>31</v>
      </c>
      <c r="D453">
        <v>319</v>
      </c>
      <c r="E453" t="s">
        <v>39</v>
      </c>
      <c r="F453">
        <v>24</v>
      </c>
      <c r="G453">
        <v>3</v>
      </c>
      <c r="H453" t="s">
        <v>45</v>
      </c>
      <c r="I453">
        <v>605</v>
      </c>
      <c r="J453">
        <v>4</v>
      </c>
      <c r="K453" t="s">
        <v>40</v>
      </c>
      <c r="L453">
        <v>3</v>
      </c>
      <c r="M453">
        <v>3</v>
      </c>
      <c r="N453" t="s">
        <v>47</v>
      </c>
      <c r="O453">
        <v>1</v>
      </c>
      <c r="P453" t="s">
        <v>42</v>
      </c>
      <c r="Q453">
        <v>7406</v>
      </c>
      <c r="R453">
        <v>1</v>
      </c>
      <c r="S453" t="s">
        <v>30</v>
      </c>
      <c r="T453">
        <v>21</v>
      </c>
      <c r="U453">
        <v>4</v>
      </c>
      <c r="V453">
        <v>4</v>
      </c>
      <c r="W453">
        <v>1</v>
      </c>
      <c r="X453">
        <v>10</v>
      </c>
      <c r="Y453">
        <v>5</v>
      </c>
      <c r="Z453">
        <v>2</v>
      </c>
      <c r="AA453">
        <v>10</v>
      </c>
      <c r="AB453">
        <v>9</v>
      </c>
      <c r="AC453">
        <v>5</v>
      </c>
      <c r="AD453">
        <v>8</v>
      </c>
      <c r="AE453" t="str" cm="1">
        <f t="array" ref="AE453">_xlfn.IFS(G453=1,"Before College",G453=2,"College",G453=3,"Bachelor",G453=4,"Master",G453=5,"Doctor")</f>
        <v>Bachelor</v>
      </c>
      <c r="AF453" t="str" cm="1">
        <f t="array" ref="AF453">_xlfn.IFS(J453=1,"Low",J453=2,"Medium",J453=3,"High",J453=4,"Very High")</f>
        <v>Very High</v>
      </c>
      <c r="AG453" t="str" cm="1">
        <f t="array" ref="AG453">_xlfn.IFS(L453=1,"Low",L453=2,"Medium",L453=3,"High",L453=4,"Very High")</f>
        <v>High</v>
      </c>
      <c r="AH453" t="str" cm="1">
        <f t="array" ref="AH453">_xlfn.IFS(M453=1,"Junior employee",M453=2,"Mid-level",M453=3,"Senior",M453=4,"Manager",M453=5,"Executive")</f>
        <v>Senior</v>
      </c>
      <c r="AI453" t="str" cm="1">
        <f t="array" ref="AI453">_xlfn.IFS(O453=1,"Low",O453=2,"Medium",O453=3,"High",O453=4,"Very High")</f>
        <v>Low</v>
      </c>
      <c r="AJ453" t="str" cm="1">
        <f t="array" ref="AJ453">_xlfn.IFS(U453=1,"Low",U453=2,"Good",U453=3,"Excellent",U453=4,"Outstanding")</f>
        <v>Outstanding</v>
      </c>
      <c r="AK453" t="str" cm="1">
        <f t="array" ref="AK453">_xlfn.IFS(V453=1,"Low",V453=2,"Medium",V453=3,"High",V453=4,"Very High")</f>
        <v>Very High</v>
      </c>
      <c r="AL453" t="str" cm="1">
        <f t="array" ref="AL453">_xlfn.IFS(Z453=1,"Bad",Z453=2,"Good",Z453=3,"Better",Z453=4,"Best")</f>
        <v>Good</v>
      </c>
      <c r="AM453" t="str" cm="1">
        <f t="array" ref="AM453">_xlfn.IFS(W453=0,"No_stock",W453=1,"Low",W453=2,"Medium",W453=3,"High")</f>
        <v>Low</v>
      </c>
      <c r="AN453" t="str">
        <f t="shared" si="7"/>
        <v>Far</v>
      </c>
    </row>
    <row r="454" spans="1:40" x14ac:dyDescent="0.45">
      <c r="A454">
        <v>45</v>
      </c>
      <c r="B454" t="s">
        <v>37</v>
      </c>
      <c r="C454" t="s">
        <v>31</v>
      </c>
      <c r="D454">
        <v>561</v>
      </c>
      <c r="E454" t="s">
        <v>32</v>
      </c>
      <c r="F454">
        <v>2</v>
      </c>
      <c r="G454">
        <v>3</v>
      </c>
      <c r="H454" t="s">
        <v>43</v>
      </c>
      <c r="I454">
        <v>606</v>
      </c>
      <c r="J454">
        <v>4</v>
      </c>
      <c r="K454" t="s">
        <v>40</v>
      </c>
      <c r="L454">
        <v>3</v>
      </c>
      <c r="M454">
        <v>2</v>
      </c>
      <c r="N454" t="s">
        <v>35</v>
      </c>
      <c r="O454">
        <v>2</v>
      </c>
      <c r="P454" t="s">
        <v>42</v>
      </c>
      <c r="Q454">
        <v>4805</v>
      </c>
      <c r="R454">
        <v>0</v>
      </c>
      <c r="S454" t="s">
        <v>37</v>
      </c>
      <c r="T454">
        <v>19</v>
      </c>
      <c r="U454">
        <v>3</v>
      </c>
      <c r="V454">
        <v>2</v>
      </c>
      <c r="W454">
        <v>1</v>
      </c>
      <c r="X454">
        <v>9</v>
      </c>
      <c r="Y454">
        <v>3</v>
      </c>
      <c r="Z454">
        <v>4</v>
      </c>
      <c r="AA454">
        <v>8</v>
      </c>
      <c r="AB454">
        <v>7</v>
      </c>
      <c r="AC454">
        <v>3</v>
      </c>
      <c r="AD454">
        <v>7</v>
      </c>
      <c r="AE454" t="str" cm="1">
        <f t="array" ref="AE454">_xlfn.IFS(G454=1,"Before College",G454=2,"College",G454=3,"Bachelor",G454=4,"Master",G454=5,"Doctor")</f>
        <v>Bachelor</v>
      </c>
      <c r="AF454" t="str" cm="1">
        <f t="array" ref="AF454">_xlfn.IFS(J454=1,"Low",J454=2,"Medium",J454=3,"High",J454=4,"Very High")</f>
        <v>Very High</v>
      </c>
      <c r="AG454" t="str" cm="1">
        <f t="array" ref="AG454">_xlfn.IFS(L454=1,"Low",L454=2,"Medium",L454=3,"High",L454=4,"Very High")</f>
        <v>High</v>
      </c>
      <c r="AH454" t="str" cm="1">
        <f t="array" ref="AH454">_xlfn.IFS(M454=1,"Junior employee",M454=2,"Mid-level",M454=3,"Senior",M454=4,"Manager",M454=5,"Executive")</f>
        <v>Mid-level</v>
      </c>
      <c r="AI454" t="str" cm="1">
        <f t="array" ref="AI454">_xlfn.IFS(O454=1,"Low",O454=2,"Medium",O454=3,"High",O454=4,"Very High")</f>
        <v>Medium</v>
      </c>
      <c r="AJ454" t="str" cm="1">
        <f t="array" ref="AJ454">_xlfn.IFS(U454=1,"Low",U454=2,"Good",U454=3,"Excellent",U454=4,"Outstanding")</f>
        <v>Excellent</v>
      </c>
      <c r="AK454" t="str" cm="1">
        <f t="array" ref="AK454">_xlfn.IFS(V454=1,"Low",V454=2,"Medium",V454=3,"High",V454=4,"Very High")</f>
        <v>Medium</v>
      </c>
      <c r="AL454" t="str" cm="1">
        <f t="array" ref="AL454">_xlfn.IFS(Z454=1,"Bad",Z454=2,"Good",Z454=3,"Better",Z454=4,"Best")</f>
        <v>Best</v>
      </c>
      <c r="AM454" t="str" cm="1">
        <f t="array" ref="AM454">_xlfn.IFS(W454=0,"No_stock",W454=1,"Low",W454=2,"Medium",W454=3,"High")</f>
        <v>Low</v>
      </c>
      <c r="AN454" t="str">
        <f t="shared" si="7"/>
        <v>Near</v>
      </c>
    </row>
    <row r="455" spans="1:40" x14ac:dyDescent="0.45">
      <c r="A455">
        <v>26</v>
      </c>
      <c r="B455" t="s">
        <v>30</v>
      </c>
      <c r="C455" t="s">
        <v>38</v>
      </c>
      <c r="D455">
        <v>426</v>
      </c>
      <c r="E455" t="s">
        <v>55</v>
      </c>
      <c r="F455">
        <v>17</v>
      </c>
      <c r="G455">
        <v>4</v>
      </c>
      <c r="H455" t="s">
        <v>33</v>
      </c>
      <c r="I455">
        <v>608</v>
      </c>
      <c r="J455">
        <v>2</v>
      </c>
      <c r="K455" t="s">
        <v>34</v>
      </c>
      <c r="L455">
        <v>3</v>
      </c>
      <c r="M455">
        <v>1</v>
      </c>
      <c r="N455" t="s">
        <v>55</v>
      </c>
      <c r="O455">
        <v>3</v>
      </c>
      <c r="P455" t="s">
        <v>46</v>
      </c>
      <c r="Q455">
        <v>2741</v>
      </c>
      <c r="R455">
        <v>0</v>
      </c>
      <c r="S455" t="s">
        <v>30</v>
      </c>
      <c r="T455">
        <v>11</v>
      </c>
      <c r="U455">
        <v>3</v>
      </c>
      <c r="V455">
        <v>2</v>
      </c>
      <c r="W455">
        <v>1</v>
      </c>
      <c r="X455">
        <v>8</v>
      </c>
      <c r="Y455">
        <v>2</v>
      </c>
      <c r="Z455">
        <v>2</v>
      </c>
      <c r="AA455">
        <v>7</v>
      </c>
      <c r="AB455">
        <v>7</v>
      </c>
      <c r="AC455">
        <v>1</v>
      </c>
      <c r="AD455">
        <v>0</v>
      </c>
      <c r="AE455" t="str" cm="1">
        <f t="array" ref="AE455">_xlfn.IFS(G455=1,"Before College",G455=2,"College",G455=3,"Bachelor",G455=4,"Master",G455=5,"Doctor")</f>
        <v>Master</v>
      </c>
      <c r="AF455" t="str" cm="1">
        <f t="array" ref="AF455">_xlfn.IFS(J455=1,"Low",J455=2,"Medium",J455=3,"High",J455=4,"Very High")</f>
        <v>Medium</v>
      </c>
      <c r="AG455" t="str" cm="1">
        <f t="array" ref="AG455">_xlfn.IFS(L455=1,"Low",L455=2,"Medium",L455=3,"High",L455=4,"Very High")</f>
        <v>High</v>
      </c>
      <c r="AH455" t="str" cm="1">
        <f t="array" ref="AH455">_xlfn.IFS(M455=1,"Junior employee",M455=2,"Mid-level",M455=3,"Senior",M455=4,"Manager",M455=5,"Executive")</f>
        <v>Junior employee</v>
      </c>
      <c r="AI455" t="str" cm="1">
        <f t="array" ref="AI455">_xlfn.IFS(O455=1,"Low",O455=2,"Medium",O455=3,"High",O455=4,"Very High")</f>
        <v>High</v>
      </c>
      <c r="AJ455" t="str" cm="1">
        <f t="array" ref="AJ455">_xlfn.IFS(U455=1,"Low",U455=2,"Good",U455=3,"Excellent",U455=4,"Outstanding")</f>
        <v>Excellent</v>
      </c>
      <c r="AK455" t="str" cm="1">
        <f t="array" ref="AK455">_xlfn.IFS(V455=1,"Low",V455=2,"Medium",V455=3,"High",V455=4,"Very High")</f>
        <v>Medium</v>
      </c>
      <c r="AL455" t="str" cm="1">
        <f t="array" ref="AL455">_xlfn.IFS(Z455=1,"Bad",Z455=2,"Good",Z455=3,"Better",Z455=4,"Best")</f>
        <v>Good</v>
      </c>
      <c r="AM455" t="str" cm="1">
        <f t="array" ref="AM455">_xlfn.IFS(W455=0,"No_stock",W455=1,"Low",W455=2,"Medium",W455=3,"High")</f>
        <v>Low</v>
      </c>
      <c r="AN455" t="str">
        <f t="shared" si="7"/>
        <v>Far</v>
      </c>
    </row>
    <row r="456" spans="1:40" x14ac:dyDescent="0.45">
      <c r="A456">
        <v>29</v>
      </c>
      <c r="B456" t="s">
        <v>37</v>
      </c>
      <c r="C456" t="s">
        <v>31</v>
      </c>
      <c r="D456">
        <v>232</v>
      </c>
      <c r="E456" t="s">
        <v>39</v>
      </c>
      <c r="F456">
        <v>19</v>
      </c>
      <c r="G456">
        <v>3</v>
      </c>
      <c r="H456" t="s">
        <v>54</v>
      </c>
      <c r="I456">
        <v>611</v>
      </c>
      <c r="J456">
        <v>4</v>
      </c>
      <c r="K456" t="s">
        <v>40</v>
      </c>
      <c r="L456">
        <v>3</v>
      </c>
      <c r="M456">
        <v>2</v>
      </c>
      <c r="N456" t="s">
        <v>47</v>
      </c>
      <c r="O456">
        <v>4</v>
      </c>
      <c r="P456" t="s">
        <v>46</v>
      </c>
      <c r="Q456">
        <v>4262</v>
      </c>
      <c r="R456">
        <v>4</v>
      </c>
      <c r="S456" t="s">
        <v>37</v>
      </c>
      <c r="T456">
        <v>12</v>
      </c>
      <c r="U456">
        <v>3</v>
      </c>
      <c r="V456">
        <v>2</v>
      </c>
      <c r="W456">
        <v>2</v>
      </c>
      <c r="X456">
        <v>8</v>
      </c>
      <c r="Y456">
        <v>2</v>
      </c>
      <c r="Z456">
        <v>4</v>
      </c>
      <c r="AA456">
        <v>3</v>
      </c>
      <c r="AB456">
        <v>2</v>
      </c>
      <c r="AC456">
        <v>1</v>
      </c>
      <c r="AD456">
        <v>2</v>
      </c>
      <c r="AE456" t="str" cm="1">
        <f t="array" ref="AE456">_xlfn.IFS(G456=1,"Before College",G456=2,"College",G456=3,"Bachelor",G456=4,"Master",G456=5,"Doctor")</f>
        <v>Bachelor</v>
      </c>
      <c r="AF456" t="str" cm="1">
        <f t="array" ref="AF456">_xlfn.IFS(J456=1,"Low",J456=2,"Medium",J456=3,"High",J456=4,"Very High")</f>
        <v>Very High</v>
      </c>
      <c r="AG456" t="str" cm="1">
        <f t="array" ref="AG456">_xlfn.IFS(L456=1,"Low",L456=2,"Medium",L456=3,"High",L456=4,"Very High")</f>
        <v>High</v>
      </c>
      <c r="AH456" t="str" cm="1">
        <f t="array" ref="AH456">_xlfn.IFS(M456=1,"Junior employee",M456=2,"Mid-level",M456=3,"Senior",M456=4,"Manager",M456=5,"Executive")</f>
        <v>Mid-level</v>
      </c>
      <c r="AI456" t="str" cm="1">
        <f t="array" ref="AI456">_xlfn.IFS(O456=1,"Low",O456=2,"Medium",O456=3,"High",O456=4,"Very High")</f>
        <v>Very High</v>
      </c>
      <c r="AJ456" t="str" cm="1">
        <f t="array" ref="AJ456">_xlfn.IFS(U456=1,"Low",U456=2,"Good",U456=3,"Excellent",U456=4,"Outstanding")</f>
        <v>Excellent</v>
      </c>
      <c r="AK456" t="str" cm="1">
        <f t="array" ref="AK456">_xlfn.IFS(V456=1,"Low",V456=2,"Medium",V456=3,"High",V456=4,"Very High")</f>
        <v>Medium</v>
      </c>
      <c r="AL456" t="str" cm="1">
        <f t="array" ref="AL456">_xlfn.IFS(Z456=1,"Bad",Z456=2,"Good",Z456=3,"Better",Z456=4,"Best")</f>
        <v>Best</v>
      </c>
      <c r="AM456" t="str" cm="1">
        <f t="array" ref="AM456">_xlfn.IFS(W456=0,"No_stock",W456=1,"Low",W456=2,"Medium",W456=3,"High")</f>
        <v>Medium</v>
      </c>
      <c r="AN456" t="str">
        <f t="shared" si="7"/>
        <v>Far</v>
      </c>
    </row>
    <row r="457" spans="1:40" x14ac:dyDescent="0.45">
      <c r="A457">
        <v>33</v>
      </c>
      <c r="B457" t="s">
        <v>37</v>
      </c>
      <c r="C457" t="s">
        <v>31</v>
      </c>
      <c r="D457">
        <v>922</v>
      </c>
      <c r="E457" t="s">
        <v>39</v>
      </c>
      <c r="F457">
        <v>1</v>
      </c>
      <c r="G457">
        <v>5</v>
      </c>
      <c r="H457" t="s">
        <v>45</v>
      </c>
      <c r="I457">
        <v>612</v>
      </c>
      <c r="J457">
        <v>1</v>
      </c>
      <c r="K457" t="s">
        <v>34</v>
      </c>
      <c r="L457">
        <v>4</v>
      </c>
      <c r="M457">
        <v>4</v>
      </c>
      <c r="N457" t="s">
        <v>52</v>
      </c>
      <c r="O457">
        <v>3</v>
      </c>
      <c r="P457" t="s">
        <v>46</v>
      </c>
      <c r="Q457">
        <v>16184</v>
      </c>
      <c r="R457">
        <v>4</v>
      </c>
      <c r="S457" t="s">
        <v>37</v>
      </c>
      <c r="T457">
        <v>19</v>
      </c>
      <c r="U457">
        <v>3</v>
      </c>
      <c r="V457">
        <v>3</v>
      </c>
      <c r="W457">
        <v>1</v>
      </c>
      <c r="X457">
        <v>10</v>
      </c>
      <c r="Y457">
        <v>2</v>
      </c>
      <c r="Z457">
        <v>3</v>
      </c>
      <c r="AA457">
        <v>6</v>
      </c>
      <c r="AB457">
        <v>1</v>
      </c>
      <c r="AC457">
        <v>0</v>
      </c>
      <c r="AD457">
        <v>5</v>
      </c>
      <c r="AE457" t="str" cm="1">
        <f t="array" ref="AE457">_xlfn.IFS(G457=1,"Before College",G457=2,"College",G457=3,"Bachelor",G457=4,"Master",G457=5,"Doctor")</f>
        <v>Doctor</v>
      </c>
      <c r="AF457" t="str" cm="1">
        <f t="array" ref="AF457">_xlfn.IFS(J457=1,"Low",J457=2,"Medium",J457=3,"High",J457=4,"Very High")</f>
        <v>Low</v>
      </c>
      <c r="AG457" t="str" cm="1">
        <f t="array" ref="AG457">_xlfn.IFS(L457=1,"Low",L457=2,"Medium",L457=3,"High",L457=4,"Very High")</f>
        <v>Very High</v>
      </c>
      <c r="AH457" t="str" cm="1">
        <f t="array" ref="AH457">_xlfn.IFS(M457=1,"Junior employee",M457=2,"Mid-level",M457=3,"Senior",M457=4,"Manager",M457=5,"Executive")</f>
        <v>Manager</v>
      </c>
      <c r="AI457" t="str" cm="1">
        <f t="array" ref="AI457">_xlfn.IFS(O457=1,"Low",O457=2,"Medium",O457=3,"High",O457=4,"Very High")</f>
        <v>High</v>
      </c>
      <c r="AJ457" t="str" cm="1">
        <f t="array" ref="AJ457">_xlfn.IFS(U457=1,"Low",U457=2,"Good",U457=3,"Excellent",U457=4,"Outstanding")</f>
        <v>Excellent</v>
      </c>
      <c r="AK457" t="str" cm="1">
        <f t="array" ref="AK457">_xlfn.IFS(V457=1,"Low",V457=2,"Medium",V457=3,"High",V457=4,"Very High")</f>
        <v>High</v>
      </c>
      <c r="AL457" t="str" cm="1">
        <f t="array" ref="AL457">_xlfn.IFS(Z457=1,"Bad",Z457=2,"Good",Z457=3,"Better",Z457=4,"Best")</f>
        <v>Better</v>
      </c>
      <c r="AM457" t="str" cm="1">
        <f t="array" ref="AM457">_xlfn.IFS(W457=0,"No_stock",W457=1,"Low",W457=2,"Medium",W457=3,"High")</f>
        <v>Low</v>
      </c>
      <c r="AN457" t="str">
        <f t="shared" si="7"/>
        <v>Near</v>
      </c>
    </row>
    <row r="458" spans="1:40" x14ac:dyDescent="0.45">
      <c r="A458">
        <v>31</v>
      </c>
      <c r="B458" t="s">
        <v>37</v>
      </c>
      <c r="C458" t="s">
        <v>31</v>
      </c>
      <c r="D458">
        <v>688</v>
      </c>
      <c r="E458" t="s">
        <v>32</v>
      </c>
      <c r="F458">
        <v>7</v>
      </c>
      <c r="G458">
        <v>3</v>
      </c>
      <c r="H458" t="s">
        <v>33</v>
      </c>
      <c r="I458">
        <v>613</v>
      </c>
      <c r="J458">
        <v>3</v>
      </c>
      <c r="K458" t="s">
        <v>40</v>
      </c>
      <c r="L458">
        <v>2</v>
      </c>
      <c r="M458">
        <v>3</v>
      </c>
      <c r="N458" t="s">
        <v>50</v>
      </c>
      <c r="O458">
        <v>4</v>
      </c>
      <c r="P458" t="s">
        <v>46</v>
      </c>
      <c r="Q458">
        <v>11557</v>
      </c>
      <c r="R458">
        <v>9</v>
      </c>
      <c r="S458" t="s">
        <v>37</v>
      </c>
      <c r="T458">
        <v>21</v>
      </c>
      <c r="U458">
        <v>4</v>
      </c>
      <c r="V458">
        <v>3</v>
      </c>
      <c r="W458">
        <v>1</v>
      </c>
      <c r="X458">
        <v>10</v>
      </c>
      <c r="Y458">
        <v>3</v>
      </c>
      <c r="Z458">
        <v>2</v>
      </c>
      <c r="AA458">
        <v>5</v>
      </c>
      <c r="AB458">
        <v>4</v>
      </c>
      <c r="AC458">
        <v>0</v>
      </c>
      <c r="AD458">
        <v>1</v>
      </c>
      <c r="AE458" t="str" cm="1">
        <f t="array" ref="AE458">_xlfn.IFS(G458=1,"Before College",G458=2,"College",G458=3,"Bachelor",G458=4,"Master",G458=5,"Doctor")</f>
        <v>Bachelor</v>
      </c>
      <c r="AF458" t="str" cm="1">
        <f t="array" ref="AF458">_xlfn.IFS(J458=1,"Low",J458=2,"Medium",J458=3,"High",J458=4,"Very High")</f>
        <v>High</v>
      </c>
      <c r="AG458" t="str" cm="1">
        <f t="array" ref="AG458">_xlfn.IFS(L458=1,"Low",L458=2,"Medium",L458=3,"High",L458=4,"Very High")</f>
        <v>Medium</v>
      </c>
      <c r="AH458" t="str" cm="1">
        <f t="array" ref="AH458">_xlfn.IFS(M458=1,"Junior employee",M458=2,"Mid-level",M458=3,"Senior",M458=4,"Manager",M458=5,"Executive")</f>
        <v>Senior</v>
      </c>
      <c r="AI458" t="str" cm="1">
        <f t="array" ref="AI458">_xlfn.IFS(O458=1,"Low",O458=2,"Medium",O458=3,"High",O458=4,"Very High")</f>
        <v>Very High</v>
      </c>
      <c r="AJ458" t="str" cm="1">
        <f t="array" ref="AJ458">_xlfn.IFS(U458=1,"Low",U458=2,"Good",U458=3,"Excellent",U458=4,"Outstanding")</f>
        <v>Outstanding</v>
      </c>
      <c r="AK458" t="str" cm="1">
        <f t="array" ref="AK458">_xlfn.IFS(V458=1,"Low",V458=2,"Medium",V458=3,"High",V458=4,"Very High")</f>
        <v>High</v>
      </c>
      <c r="AL458" t="str" cm="1">
        <f t="array" ref="AL458">_xlfn.IFS(Z458=1,"Bad",Z458=2,"Good",Z458=3,"Better",Z458=4,"Best")</f>
        <v>Good</v>
      </c>
      <c r="AM458" t="str" cm="1">
        <f t="array" ref="AM458">_xlfn.IFS(W458=0,"No_stock",W458=1,"Low",W458=2,"Medium",W458=3,"High")</f>
        <v>Low</v>
      </c>
      <c r="AN458" t="str">
        <f t="shared" si="7"/>
        <v>Medium</v>
      </c>
    </row>
    <row r="459" spans="1:40" x14ac:dyDescent="0.45">
      <c r="A459">
        <v>18</v>
      </c>
      <c r="B459" t="s">
        <v>30</v>
      </c>
      <c r="C459" t="s">
        <v>38</v>
      </c>
      <c r="D459">
        <v>1306</v>
      </c>
      <c r="E459" t="s">
        <v>32</v>
      </c>
      <c r="F459">
        <v>5</v>
      </c>
      <c r="G459">
        <v>3</v>
      </c>
      <c r="H459" t="s">
        <v>53</v>
      </c>
      <c r="I459">
        <v>614</v>
      </c>
      <c r="J459">
        <v>2</v>
      </c>
      <c r="K459" t="s">
        <v>40</v>
      </c>
      <c r="L459">
        <v>3</v>
      </c>
      <c r="M459">
        <v>1</v>
      </c>
      <c r="N459" t="s">
        <v>51</v>
      </c>
      <c r="O459">
        <v>2</v>
      </c>
      <c r="P459" t="s">
        <v>36</v>
      </c>
      <c r="Q459">
        <v>1878</v>
      </c>
      <c r="R459">
        <v>1</v>
      </c>
      <c r="S459" t="s">
        <v>30</v>
      </c>
      <c r="T459">
        <v>14</v>
      </c>
      <c r="U459">
        <v>3</v>
      </c>
      <c r="V459">
        <v>4</v>
      </c>
      <c r="W459">
        <v>0</v>
      </c>
      <c r="X459">
        <v>0</v>
      </c>
      <c r="Y459">
        <v>3</v>
      </c>
      <c r="Z459">
        <v>3</v>
      </c>
      <c r="AA459">
        <v>0</v>
      </c>
      <c r="AB459">
        <v>0</v>
      </c>
      <c r="AC459">
        <v>0</v>
      </c>
      <c r="AD459">
        <v>0</v>
      </c>
      <c r="AE459" t="str" cm="1">
        <f t="array" ref="AE459">_xlfn.IFS(G459=1,"Before College",G459=2,"College",G459=3,"Bachelor",G459=4,"Master",G459=5,"Doctor")</f>
        <v>Bachelor</v>
      </c>
      <c r="AF459" t="str" cm="1">
        <f t="array" ref="AF459">_xlfn.IFS(J459=1,"Low",J459=2,"Medium",J459=3,"High",J459=4,"Very High")</f>
        <v>Medium</v>
      </c>
      <c r="AG459" t="str" cm="1">
        <f t="array" ref="AG459">_xlfn.IFS(L459=1,"Low",L459=2,"Medium",L459=3,"High",L459=4,"Very High")</f>
        <v>High</v>
      </c>
      <c r="AH459" t="str" cm="1">
        <f t="array" ref="AH459">_xlfn.IFS(M459=1,"Junior employee",M459=2,"Mid-level",M459=3,"Senior",M459=4,"Manager",M459=5,"Executive")</f>
        <v>Junior employee</v>
      </c>
      <c r="AI459" t="str" cm="1">
        <f t="array" ref="AI459">_xlfn.IFS(O459=1,"Low",O459=2,"Medium",O459=3,"High",O459=4,"Very High")</f>
        <v>Medium</v>
      </c>
      <c r="AJ459" t="str" cm="1">
        <f t="array" ref="AJ459">_xlfn.IFS(U459=1,"Low",U459=2,"Good",U459=3,"Excellent",U459=4,"Outstanding")</f>
        <v>Excellent</v>
      </c>
      <c r="AK459" t="str" cm="1">
        <f t="array" ref="AK459">_xlfn.IFS(V459=1,"Low",V459=2,"Medium",V459=3,"High",V459=4,"Very High")</f>
        <v>Very High</v>
      </c>
      <c r="AL459" t="str" cm="1">
        <f t="array" ref="AL459">_xlfn.IFS(Z459=1,"Bad",Z459=2,"Good",Z459=3,"Better",Z459=4,"Best")</f>
        <v>Better</v>
      </c>
      <c r="AM459" t="str" cm="1">
        <f t="array" ref="AM459">_xlfn.IFS(W459=0,"No_stock",W459=1,"Low",W459=2,"Medium",W459=3,"High")</f>
        <v>No_stock</v>
      </c>
      <c r="AN459" t="str">
        <f t="shared" si="7"/>
        <v>Near</v>
      </c>
    </row>
    <row r="460" spans="1:40" x14ac:dyDescent="0.45">
      <c r="A460">
        <v>40</v>
      </c>
      <c r="B460" t="s">
        <v>37</v>
      </c>
      <c r="C460" t="s">
        <v>49</v>
      </c>
      <c r="D460">
        <v>1094</v>
      </c>
      <c r="E460" t="s">
        <v>32</v>
      </c>
      <c r="F460">
        <v>28</v>
      </c>
      <c r="G460">
        <v>3</v>
      </c>
      <c r="H460" t="s">
        <v>43</v>
      </c>
      <c r="I460">
        <v>615</v>
      </c>
      <c r="J460">
        <v>3</v>
      </c>
      <c r="K460" t="s">
        <v>40</v>
      </c>
      <c r="L460">
        <v>1</v>
      </c>
      <c r="M460">
        <v>3</v>
      </c>
      <c r="N460" t="s">
        <v>35</v>
      </c>
      <c r="O460">
        <v>1</v>
      </c>
      <c r="P460" t="s">
        <v>46</v>
      </c>
      <c r="Q460">
        <v>10932</v>
      </c>
      <c r="R460">
        <v>3</v>
      </c>
      <c r="S460" t="s">
        <v>37</v>
      </c>
      <c r="T460">
        <v>15</v>
      </c>
      <c r="U460">
        <v>3</v>
      </c>
      <c r="V460">
        <v>3</v>
      </c>
      <c r="W460">
        <v>1</v>
      </c>
      <c r="X460">
        <v>20</v>
      </c>
      <c r="Y460">
        <v>2</v>
      </c>
      <c r="Z460">
        <v>3</v>
      </c>
      <c r="AA460">
        <v>1</v>
      </c>
      <c r="AB460">
        <v>0</v>
      </c>
      <c r="AC460">
        <v>0</v>
      </c>
      <c r="AD460">
        <v>1</v>
      </c>
      <c r="AE460" t="str" cm="1">
        <f t="array" ref="AE460">_xlfn.IFS(G460=1,"Before College",G460=2,"College",G460=3,"Bachelor",G460=4,"Master",G460=5,"Doctor")</f>
        <v>Bachelor</v>
      </c>
      <c r="AF460" t="str" cm="1">
        <f t="array" ref="AF460">_xlfn.IFS(J460=1,"Low",J460=2,"Medium",J460=3,"High",J460=4,"Very High")</f>
        <v>High</v>
      </c>
      <c r="AG460" t="str" cm="1">
        <f t="array" ref="AG460">_xlfn.IFS(L460=1,"Low",L460=2,"Medium",L460=3,"High",L460=4,"Very High")</f>
        <v>Low</v>
      </c>
      <c r="AH460" t="str" cm="1">
        <f t="array" ref="AH460">_xlfn.IFS(M460=1,"Junior employee",M460=2,"Mid-level",M460=3,"Senior",M460=4,"Manager",M460=5,"Executive")</f>
        <v>Senior</v>
      </c>
      <c r="AI460" t="str" cm="1">
        <f t="array" ref="AI460">_xlfn.IFS(O460=1,"Low",O460=2,"Medium",O460=3,"High",O460=4,"Very High")</f>
        <v>Low</v>
      </c>
      <c r="AJ460" t="str" cm="1">
        <f t="array" ref="AJ460">_xlfn.IFS(U460=1,"Low",U460=2,"Good",U460=3,"Excellent",U460=4,"Outstanding")</f>
        <v>Excellent</v>
      </c>
      <c r="AK460" t="str" cm="1">
        <f t="array" ref="AK460">_xlfn.IFS(V460=1,"Low",V460=2,"Medium",V460=3,"High",V460=4,"Very High")</f>
        <v>High</v>
      </c>
      <c r="AL460" t="str" cm="1">
        <f t="array" ref="AL460">_xlfn.IFS(Z460=1,"Bad",Z460=2,"Good",Z460=3,"Better",Z460=4,"Best")</f>
        <v>Better</v>
      </c>
      <c r="AM460" t="str" cm="1">
        <f t="array" ref="AM460">_xlfn.IFS(W460=0,"No_stock",W460=1,"Low",W460=2,"Medium",W460=3,"High")</f>
        <v>Low</v>
      </c>
      <c r="AN460" t="str">
        <f t="shared" si="7"/>
        <v>Far</v>
      </c>
    </row>
    <row r="461" spans="1:40" x14ac:dyDescent="0.45">
      <c r="A461">
        <v>41</v>
      </c>
      <c r="B461" t="s">
        <v>37</v>
      </c>
      <c r="C461" t="s">
        <v>49</v>
      </c>
      <c r="D461">
        <v>509</v>
      </c>
      <c r="E461" t="s">
        <v>39</v>
      </c>
      <c r="F461">
        <v>2</v>
      </c>
      <c r="G461">
        <v>4</v>
      </c>
      <c r="H461" t="s">
        <v>43</v>
      </c>
      <c r="I461">
        <v>616</v>
      </c>
      <c r="J461">
        <v>1</v>
      </c>
      <c r="K461" t="s">
        <v>34</v>
      </c>
      <c r="L461">
        <v>2</v>
      </c>
      <c r="M461">
        <v>2</v>
      </c>
      <c r="N461" t="s">
        <v>48</v>
      </c>
      <c r="O461">
        <v>3</v>
      </c>
      <c r="P461" t="s">
        <v>36</v>
      </c>
      <c r="Q461">
        <v>6811</v>
      </c>
      <c r="R461">
        <v>2</v>
      </c>
      <c r="S461" t="s">
        <v>30</v>
      </c>
      <c r="T461">
        <v>17</v>
      </c>
      <c r="U461">
        <v>3</v>
      </c>
      <c r="V461">
        <v>1</v>
      </c>
      <c r="W461">
        <v>0</v>
      </c>
      <c r="X461">
        <v>10</v>
      </c>
      <c r="Y461">
        <v>3</v>
      </c>
      <c r="Z461">
        <v>3</v>
      </c>
      <c r="AA461">
        <v>8</v>
      </c>
      <c r="AB461">
        <v>7</v>
      </c>
      <c r="AC461">
        <v>0</v>
      </c>
      <c r="AD461">
        <v>7</v>
      </c>
      <c r="AE461" t="str" cm="1">
        <f t="array" ref="AE461">_xlfn.IFS(G461=1,"Before College",G461=2,"College",G461=3,"Bachelor",G461=4,"Master",G461=5,"Doctor")</f>
        <v>Master</v>
      </c>
      <c r="AF461" t="str" cm="1">
        <f t="array" ref="AF461">_xlfn.IFS(J461=1,"Low",J461=2,"Medium",J461=3,"High",J461=4,"Very High")</f>
        <v>Low</v>
      </c>
      <c r="AG461" t="str" cm="1">
        <f t="array" ref="AG461">_xlfn.IFS(L461=1,"Low",L461=2,"Medium",L461=3,"High",L461=4,"Very High")</f>
        <v>Medium</v>
      </c>
      <c r="AH461" t="str" cm="1">
        <f t="array" ref="AH461">_xlfn.IFS(M461=1,"Junior employee",M461=2,"Mid-level",M461=3,"Senior",M461=4,"Manager",M461=5,"Executive")</f>
        <v>Mid-level</v>
      </c>
      <c r="AI461" t="str" cm="1">
        <f t="array" ref="AI461">_xlfn.IFS(O461=1,"Low",O461=2,"Medium",O461=3,"High",O461=4,"Very High")</f>
        <v>High</v>
      </c>
      <c r="AJ461" t="str" cm="1">
        <f t="array" ref="AJ461">_xlfn.IFS(U461=1,"Low",U461=2,"Good",U461=3,"Excellent",U461=4,"Outstanding")</f>
        <v>Excellent</v>
      </c>
      <c r="AK461" t="str" cm="1">
        <f t="array" ref="AK461">_xlfn.IFS(V461=1,"Low",V461=2,"Medium",V461=3,"High",V461=4,"Very High")</f>
        <v>Low</v>
      </c>
      <c r="AL461" t="str" cm="1">
        <f t="array" ref="AL461">_xlfn.IFS(Z461=1,"Bad",Z461=2,"Good",Z461=3,"Better",Z461=4,"Best")</f>
        <v>Better</v>
      </c>
      <c r="AM461" t="str" cm="1">
        <f t="array" ref="AM461">_xlfn.IFS(W461=0,"No_stock",W461=1,"Low",W461=2,"Medium",W461=3,"High")</f>
        <v>No_stock</v>
      </c>
      <c r="AN461" t="str">
        <f t="shared" si="7"/>
        <v>Near</v>
      </c>
    </row>
    <row r="462" spans="1:40" x14ac:dyDescent="0.45">
      <c r="A462">
        <v>26</v>
      </c>
      <c r="B462" t="s">
        <v>37</v>
      </c>
      <c r="C462" t="s">
        <v>31</v>
      </c>
      <c r="D462">
        <v>775</v>
      </c>
      <c r="E462" t="s">
        <v>32</v>
      </c>
      <c r="F462">
        <v>29</v>
      </c>
      <c r="G462">
        <v>2</v>
      </c>
      <c r="H462" t="s">
        <v>45</v>
      </c>
      <c r="I462">
        <v>618</v>
      </c>
      <c r="J462">
        <v>1</v>
      </c>
      <c r="K462" t="s">
        <v>40</v>
      </c>
      <c r="L462">
        <v>3</v>
      </c>
      <c r="M462">
        <v>2</v>
      </c>
      <c r="N462" t="s">
        <v>35</v>
      </c>
      <c r="O462">
        <v>3</v>
      </c>
      <c r="P462" t="s">
        <v>46</v>
      </c>
      <c r="Q462">
        <v>4306</v>
      </c>
      <c r="R462">
        <v>5</v>
      </c>
      <c r="S462" t="s">
        <v>37</v>
      </c>
      <c r="T462">
        <v>12</v>
      </c>
      <c r="U462">
        <v>3</v>
      </c>
      <c r="V462">
        <v>1</v>
      </c>
      <c r="W462">
        <v>2</v>
      </c>
      <c r="X462">
        <v>8</v>
      </c>
      <c r="Y462">
        <v>5</v>
      </c>
      <c r="Z462">
        <v>3</v>
      </c>
      <c r="AA462">
        <v>0</v>
      </c>
      <c r="AB462">
        <v>0</v>
      </c>
      <c r="AC462">
        <v>0</v>
      </c>
      <c r="AD462">
        <v>0</v>
      </c>
      <c r="AE462" t="str" cm="1">
        <f t="array" ref="AE462">_xlfn.IFS(G462=1,"Before College",G462=2,"College",G462=3,"Bachelor",G462=4,"Master",G462=5,"Doctor")</f>
        <v>College</v>
      </c>
      <c r="AF462" t="str" cm="1">
        <f t="array" ref="AF462">_xlfn.IFS(J462=1,"Low",J462=2,"Medium",J462=3,"High",J462=4,"Very High")</f>
        <v>Low</v>
      </c>
      <c r="AG462" t="str" cm="1">
        <f t="array" ref="AG462">_xlfn.IFS(L462=1,"Low",L462=2,"Medium",L462=3,"High",L462=4,"Very High")</f>
        <v>High</v>
      </c>
      <c r="AH462" t="str" cm="1">
        <f t="array" ref="AH462">_xlfn.IFS(M462=1,"Junior employee",M462=2,"Mid-level",M462=3,"Senior",M462=4,"Manager",M462=5,"Executive")</f>
        <v>Mid-level</v>
      </c>
      <c r="AI462" t="str" cm="1">
        <f t="array" ref="AI462">_xlfn.IFS(O462=1,"Low",O462=2,"Medium",O462=3,"High",O462=4,"Very High")</f>
        <v>High</v>
      </c>
      <c r="AJ462" t="str" cm="1">
        <f t="array" ref="AJ462">_xlfn.IFS(U462=1,"Low",U462=2,"Good",U462=3,"Excellent",U462=4,"Outstanding")</f>
        <v>Excellent</v>
      </c>
      <c r="AK462" t="str" cm="1">
        <f t="array" ref="AK462">_xlfn.IFS(V462=1,"Low",V462=2,"Medium",V462=3,"High",V462=4,"Very High")</f>
        <v>Low</v>
      </c>
      <c r="AL462" t="str" cm="1">
        <f t="array" ref="AL462">_xlfn.IFS(Z462=1,"Bad",Z462=2,"Good",Z462=3,"Better",Z462=4,"Best")</f>
        <v>Better</v>
      </c>
      <c r="AM462" t="str" cm="1">
        <f t="array" ref="AM462">_xlfn.IFS(W462=0,"No_stock",W462=1,"Low",W462=2,"Medium",W462=3,"High")</f>
        <v>Medium</v>
      </c>
      <c r="AN462" t="str">
        <f t="shared" si="7"/>
        <v>Far</v>
      </c>
    </row>
    <row r="463" spans="1:40" x14ac:dyDescent="0.45">
      <c r="A463">
        <v>35</v>
      </c>
      <c r="B463" t="s">
        <v>37</v>
      </c>
      <c r="C463" t="s">
        <v>31</v>
      </c>
      <c r="D463">
        <v>195</v>
      </c>
      <c r="E463" t="s">
        <v>32</v>
      </c>
      <c r="F463">
        <v>1</v>
      </c>
      <c r="G463">
        <v>3</v>
      </c>
      <c r="H463" t="s">
        <v>45</v>
      </c>
      <c r="I463">
        <v>620</v>
      </c>
      <c r="J463">
        <v>1</v>
      </c>
      <c r="K463" t="s">
        <v>34</v>
      </c>
      <c r="L463">
        <v>3</v>
      </c>
      <c r="M463">
        <v>2</v>
      </c>
      <c r="N463" t="s">
        <v>35</v>
      </c>
      <c r="O463">
        <v>3</v>
      </c>
      <c r="P463" t="s">
        <v>36</v>
      </c>
      <c r="Q463">
        <v>4859</v>
      </c>
      <c r="R463">
        <v>1</v>
      </c>
      <c r="S463" t="s">
        <v>37</v>
      </c>
      <c r="T463">
        <v>16</v>
      </c>
      <c r="U463">
        <v>3</v>
      </c>
      <c r="V463">
        <v>4</v>
      </c>
      <c r="W463">
        <v>0</v>
      </c>
      <c r="X463">
        <v>5</v>
      </c>
      <c r="Y463">
        <v>3</v>
      </c>
      <c r="Z463">
        <v>3</v>
      </c>
      <c r="AA463">
        <v>5</v>
      </c>
      <c r="AB463">
        <v>4</v>
      </c>
      <c r="AC463">
        <v>0</v>
      </c>
      <c r="AD463">
        <v>3</v>
      </c>
      <c r="AE463" t="str" cm="1">
        <f t="array" ref="AE463">_xlfn.IFS(G463=1,"Before College",G463=2,"College",G463=3,"Bachelor",G463=4,"Master",G463=5,"Doctor")</f>
        <v>Bachelor</v>
      </c>
      <c r="AF463" t="str" cm="1">
        <f t="array" ref="AF463">_xlfn.IFS(J463=1,"Low",J463=2,"Medium",J463=3,"High",J463=4,"Very High")</f>
        <v>Low</v>
      </c>
      <c r="AG463" t="str" cm="1">
        <f t="array" ref="AG463">_xlfn.IFS(L463=1,"Low",L463=2,"Medium",L463=3,"High",L463=4,"Very High")</f>
        <v>High</v>
      </c>
      <c r="AH463" t="str" cm="1">
        <f t="array" ref="AH463">_xlfn.IFS(M463=1,"Junior employee",M463=2,"Mid-level",M463=3,"Senior",M463=4,"Manager",M463=5,"Executive")</f>
        <v>Mid-level</v>
      </c>
      <c r="AI463" t="str" cm="1">
        <f t="array" ref="AI463">_xlfn.IFS(O463=1,"Low",O463=2,"Medium",O463=3,"High",O463=4,"Very High")</f>
        <v>High</v>
      </c>
      <c r="AJ463" t="str" cm="1">
        <f t="array" ref="AJ463">_xlfn.IFS(U463=1,"Low",U463=2,"Good",U463=3,"Excellent",U463=4,"Outstanding")</f>
        <v>Excellent</v>
      </c>
      <c r="AK463" t="str" cm="1">
        <f t="array" ref="AK463">_xlfn.IFS(V463=1,"Low",V463=2,"Medium",V463=3,"High",V463=4,"Very High")</f>
        <v>Very High</v>
      </c>
      <c r="AL463" t="str" cm="1">
        <f t="array" ref="AL463">_xlfn.IFS(Z463=1,"Bad",Z463=2,"Good",Z463=3,"Better",Z463=4,"Best")</f>
        <v>Better</v>
      </c>
      <c r="AM463" t="str" cm="1">
        <f t="array" ref="AM463">_xlfn.IFS(W463=0,"No_stock",W463=1,"Low",W463=2,"Medium",W463=3,"High")</f>
        <v>No_stock</v>
      </c>
      <c r="AN463" t="str">
        <f t="shared" si="7"/>
        <v>Near</v>
      </c>
    </row>
    <row r="464" spans="1:40" x14ac:dyDescent="0.45">
      <c r="A464">
        <v>34</v>
      </c>
      <c r="B464" t="s">
        <v>37</v>
      </c>
      <c r="C464" t="s">
        <v>31</v>
      </c>
      <c r="D464">
        <v>258</v>
      </c>
      <c r="E464" t="s">
        <v>32</v>
      </c>
      <c r="F464">
        <v>21</v>
      </c>
      <c r="G464">
        <v>4</v>
      </c>
      <c r="H464" t="s">
        <v>33</v>
      </c>
      <c r="I464">
        <v>621</v>
      </c>
      <c r="J464">
        <v>4</v>
      </c>
      <c r="K464" t="s">
        <v>40</v>
      </c>
      <c r="L464">
        <v>4</v>
      </c>
      <c r="M464">
        <v>2</v>
      </c>
      <c r="N464" t="s">
        <v>35</v>
      </c>
      <c r="O464">
        <v>4</v>
      </c>
      <c r="P464" t="s">
        <v>36</v>
      </c>
      <c r="Q464">
        <v>5337</v>
      </c>
      <c r="R464">
        <v>1</v>
      </c>
      <c r="S464" t="s">
        <v>37</v>
      </c>
      <c r="T464">
        <v>12</v>
      </c>
      <c r="U464">
        <v>3</v>
      </c>
      <c r="V464">
        <v>4</v>
      </c>
      <c r="W464">
        <v>0</v>
      </c>
      <c r="X464">
        <v>10</v>
      </c>
      <c r="Y464">
        <v>3</v>
      </c>
      <c r="Z464">
        <v>3</v>
      </c>
      <c r="AA464">
        <v>10</v>
      </c>
      <c r="AB464">
        <v>7</v>
      </c>
      <c r="AC464">
        <v>5</v>
      </c>
      <c r="AD464">
        <v>7</v>
      </c>
      <c r="AE464" t="str" cm="1">
        <f t="array" ref="AE464">_xlfn.IFS(G464=1,"Before College",G464=2,"College",G464=3,"Bachelor",G464=4,"Master",G464=5,"Doctor")</f>
        <v>Master</v>
      </c>
      <c r="AF464" t="str" cm="1">
        <f t="array" ref="AF464">_xlfn.IFS(J464=1,"Low",J464=2,"Medium",J464=3,"High",J464=4,"Very High")</f>
        <v>Very High</v>
      </c>
      <c r="AG464" t="str" cm="1">
        <f t="array" ref="AG464">_xlfn.IFS(L464=1,"Low",L464=2,"Medium",L464=3,"High",L464=4,"Very High")</f>
        <v>Very High</v>
      </c>
      <c r="AH464" t="str" cm="1">
        <f t="array" ref="AH464">_xlfn.IFS(M464=1,"Junior employee",M464=2,"Mid-level",M464=3,"Senior",M464=4,"Manager",M464=5,"Executive")</f>
        <v>Mid-level</v>
      </c>
      <c r="AI464" t="str" cm="1">
        <f t="array" ref="AI464">_xlfn.IFS(O464=1,"Low",O464=2,"Medium",O464=3,"High",O464=4,"Very High")</f>
        <v>Very High</v>
      </c>
      <c r="AJ464" t="str" cm="1">
        <f t="array" ref="AJ464">_xlfn.IFS(U464=1,"Low",U464=2,"Good",U464=3,"Excellent",U464=4,"Outstanding")</f>
        <v>Excellent</v>
      </c>
      <c r="AK464" t="str" cm="1">
        <f t="array" ref="AK464">_xlfn.IFS(V464=1,"Low",V464=2,"Medium",V464=3,"High",V464=4,"Very High")</f>
        <v>Very High</v>
      </c>
      <c r="AL464" t="str" cm="1">
        <f t="array" ref="AL464">_xlfn.IFS(Z464=1,"Bad",Z464=2,"Good",Z464=3,"Better",Z464=4,"Best")</f>
        <v>Better</v>
      </c>
      <c r="AM464" t="str" cm="1">
        <f t="array" ref="AM464">_xlfn.IFS(W464=0,"No_stock",W464=1,"Low",W464=2,"Medium",W464=3,"High")</f>
        <v>No_stock</v>
      </c>
      <c r="AN464" t="str">
        <f t="shared" si="7"/>
        <v>Far</v>
      </c>
    </row>
    <row r="465" spans="1:40" x14ac:dyDescent="0.45">
      <c r="A465">
        <v>26</v>
      </c>
      <c r="B465" t="s">
        <v>30</v>
      </c>
      <c r="C465" t="s">
        <v>31</v>
      </c>
      <c r="D465">
        <v>471</v>
      </c>
      <c r="E465" t="s">
        <v>39</v>
      </c>
      <c r="F465">
        <v>24</v>
      </c>
      <c r="G465">
        <v>3</v>
      </c>
      <c r="H465" t="s">
        <v>54</v>
      </c>
      <c r="I465">
        <v>622</v>
      </c>
      <c r="J465">
        <v>3</v>
      </c>
      <c r="K465" t="s">
        <v>40</v>
      </c>
      <c r="L465">
        <v>1</v>
      </c>
      <c r="M465">
        <v>1</v>
      </c>
      <c r="N465" t="s">
        <v>44</v>
      </c>
      <c r="O465">
        <v>4</v>
      </c>
      <c r="P465" t="s">
        <v>36</v>
      </c>
      <c r="Q465">
        <v>2340</v>
      </c>
      <c r="R465">
        <v>1</v>
      </c>
      <c r="S465" t="s">
        <v>30</v>
      </c>
      <c r="T465">
        <v>18</v>
      </c>
      <c r="U465">
        <v>3</v>
      </c>
      <c r="V465">
        <v>2</v>
      </c>
      <c r="W465">
        <v>0</v>
      </c>
      <c r="X465">
        <v>1</v>
      </c>
      <c r="Y465">
        <v>3</v>
      </c>
      <c r="Z465">
        <v>1</v>
      </c>
      <c r="AA465">
        <v>1</v>
      </c>
      <c r="AB465">
        <v>0</v>
      </c>
      <c r="AC465">
        <v>0</v>
      </c>
      <c r="AD465">
        <v>0</v>
      </c>
      <c r="AE465" t="str" cm="1">
        <f t="array" ref="AE465">_xlfn.IFS(G465=1,"Before College",G465=2,"College",G465=3,"Bachelor",G465=4,"Master",G465=5,"Doctor")</f>
        <v>Bachelor</v>
      </c>
      <c r="AF465" t="str" cm="1">
        <f t="array" ref="AF465">_xlfn.IFS(J465=1,"Low",J465=2,"Medium",J465=3,"High",J465=4,"Very High")</f>
        <v>High</v>
      </c>
      <c r="AG465" t="str" cm="1">
        <f t="array" ref="AG465">_xlfn.IFS(L465=1,"Low",L465=2,"Medium",L465=3,"High",L465=4,"Very High")</f>
        <v>Low</v>
      </c>
      <c r="AH465" t="str" cm="1">
        <f t="array" ref="AH465">_xlfn.IFS(M465=1,"Junior employee",M465=2,"Mid-level",M465=3,"Senior",M465=4,"Manager",M465=5,"Executive")</f>
        <v>Junior employee</v>
      </c>
      <c r="AI465" t="str" cm="1">
        <f t="array" ref="AI465">_xlfn.IFS(O465=1,"Low",O465=2,"Medium",O465=3,"High",O465=4,"Very High")</f>
        <v>Very High</v>
      </c>
      <c r="AJ465" t="str" cm="1">
        <f t="array" ref="AJ465">_xlfn.IFS(U465=1,"Low",U465=2,"Good",U465=3,"Excellent",U465=4,"Outstanding")</f>
        <v>Excellent</v>
      </c>
      <c r="AK465" t="str" cm="1">
        <f t="array" ref="AK465">_xlfn.IFS(V465=1,"Low",V465=2,"Medium",V465=3,"High",V465=4,"Very High")</f>
        <v>Medium</v>
      </c>
      <c r="AL465" t="str" cm="1">
        <f t="array" ref="AL465">_xlfn.IFS(Z465=1,"Bad",Z465=2,"Good",Z465=3,"Better",Z465=4,"Best")</f>
        <v>Bad</v>
      </c>
      <c r="AM465" t="str" cm="1">
        <f t="array" ref="AM465">_xlfn.IFS(W465=0,"No_stock",W465=1,"Low",W465=2,"Medium",W465=3,"High")</f>
        <v>No_stock</v>
      </c>
      <c r="AN465" t="str">
        <f t="shared" si="7"/>
        <v>Far</v>
      </c>
    </row>
    <row r="466" spans="1:40" x14ac:dyDescent="0.45">
      <c r="A466">
        <v>37</v>
      </c>
      <c r="B466" t="s">
        <v>37</v>
      </c>
      <c r="C466" t="s">
        <v>31</v>
      </c>
      <c r="D466">
        <v>799</v>
      </c>
      <c r="E466" t="s">
        <v>39</v>
      </c>
      <c r="F466">
        <v>1</v>
      </c>
      <c r="G466">
        <v>3</v>
      </c>
      <c r="H466" t="s">
        <v>54</v>
      </c>
      <c r="I466">
        <v>623</v>
      </c>
      <c r="J466">
        <v>2</v>
      </c>
      <c r="K466" t="s">
        <v>34</v>
      </c>
      <c r="L466">
        <v>3</v>
      </c>
      <c r="M466">
        <v>3</v>
      </c>
      <c r="N466" t="s">
        <v>47</v>
      </c>
      <c r="O466">
        <v>4</v>
      </c>
      <c r="P466" t="s">
        <v>36</v>
      </c>
      <c r="Q466">
        <v>7491</v>
      </c>
      <c r="R466">
        <v>4</v>
      </c>
      <c r="S466" t="s">
        <v>37</v>
      </c>
      <c r="T466">
        <v>17</v>
      </c>
      <c r="U466">
        <v>3</v>
      </c>
      <c r="V466">
        <v>4</v>
      </c>
      <c r="W466">
        <v>0</v>
      </c>
      <c r="X466">
        <v>12</v>
      </c>
      <c r="Y466">
        <v>3</v>
      </c>
      <c r="Z466">
        <v>4</v>
      </c>
      <c r="AA466">
        <v>6</v>
      </c>
      <c r="AB466">
        <v>5</v>
      </c>
      <c r="AC466">
        <v>1</v>
      </c>
      <c r="AD466">
        <v>2</v>
      </c>
      <c r="AE466" t="str" cm="1">
        <f t="array" ref="AE466">_xlfn.IFS(G466=1,"Before College",G466=2,"College",G466=3,"Bachelor",G466=4,"Master",G466=5,"Doctor")</f>
        <v>Bachelor</v>
      </c>
      <c r="AF466" t="str" cm="1">
        <f t="array" ref="AF466">_xlfn.IFS(J466=1,"Low",J466=2,"Medium",J466=3,"High",J466=4,"Very High")</f>
        <v>Medium</v>
      </c>
      <c r="AG466" t="str" cm="1">
        <f t="array" ref="AG466">_xlfn.IFS(L466=1,"Low",L466=2,"Medium",L466=3,"High",L466=4,"Very High")</f>
        <v>High</v>
      </c>
      <c r="AH466" t="str" cm="1">
        <f t="array" ref="AH466">_xlfn.IFS(M466=1,"Junior employee",M466=2,"Mid-level",M466=3,"Senior",M466=4,"Manager",M466=5,"Executive")</f>
        <v>Senior</v>
      </c>
      <c r="AI466" t="str" cm="1">
        <f t="array" ref="AI466">_xlfn.IFS(O466=1,"Low",O466=2,"Medium",O466=3,"High",O466=4,"Very High")</f>
        <v>Very High</v>
      </c>
      <c r="AJ466" t="str" cm="1">
        <f t="array" ref="AJ466">_xlfn.IFS(U466=1,"Low",U466=2,"Good",U466=3,"Excellent",U466=4,"Outstanding")</f>
        <v>Excellent</v>
      </c>
      <c r="AK466" t="str" cm="1">
        <f t="array" ref="AK466">_xlfn.IFS(V466=1,"Low",V466=2,"Medium",V466=3,"High",V466=4,"Very High")</f>
        <v>Very High</v>
      </c>
      <c r="AL466" t="str" cm="1">
        <f t="array" ref="AL466">_xlfn.IFS(Z466=1,"Bad",Z466=2,"Good",Z466=3,"Better",Z466=4,"Best")</f>
        <v>Best</v>
      </c>
      <c r="AM466" t="str" cm="1">
        <f t="array" ref="AM466">_xlfn.IFS(W466=0,"No_stock",W466=1,"Low",W466=2,"Medium",W466=3,"High")</f>
        <v>No_stock</v>
      </c>
      <c r="AN466" t="str">
        <f t="shared" si="7"/>
        <v>Near</v>
      </c>
    </row>
    <row r="467" spans="1:40" x14ac:dyDescent="0.45">
      <c r="A467">
        <v>46</v>
      </c>
      <c r="B467" t="s">
        <v>37</v>
      </c>
      <c r="C467" t="s">
        <v>38</v>
      </c>
      <c r="D467">
        <v>1034</v>
      </c>
      <c r="E467" t="s">
        <v>39</v>
      </c>
      <c r="F467">
        <v>18</v>
      </c>
      <c r="G467">
        <v>1</v>
      </c>
      <c r="H467" t="s">
        <v>45</v>
      </c>
      <c r="I467">
        <v>624</v>
      </c>
      <c r="J467">
        <v>1</v>
      </c>
      <c r="K467" t="s">
        <v>34</v>
      </c>
      <c r="L467">
        <v>3</v>
      </c>
      <c r="M467">
        <v>3</v>
      </c>
      <c r="N467" t="s">
        <v>48</v>
      </c>
      <c r="O467">
        <v>3</v>
      </c>
      <c r="P467" t="s">
        <v>42</v>
      </c>
      <c r="Q467">
        <v>10527</v>
      </c>
      <c r="R467">
        <v>5</v>
      </c>
      <c r="S467" t="s">
        <v>37</v>
      </c>
      <c r="T467">
        <v>11</v>
      </c>
      <c r="U467">
        <v>3</v>
      </c>
      <c r="V467">
        <v>4</v>
      </c>
      <c r="W467">
        <v>0</v>
      </c>
      <c r="X467">
        <v>28</v>
      </c>
      <c r="Y467">
        <v>3</v>
      </c>
      <c r="Z467">
        <v>2</v>
      </c>
      <c r="AA467">
        <v>2</v>
      </c>
      <c r="AB467">
        <v>2</v>
      </c>
      <c r="AC467">
        <v>1</v>
      </c>
      <c r="AD467">
        <v>2</v>
      </c>
      <c r="AE467" t="str" cm="1">
        <f t="array" ref="AE467">_xlfn.IFS(G467=1,"Before College",G467=2,"College",G467=3,"Bachelor",G467=4,"Master",G467=5,"Doctor")</f>
        <v>Before College</v>
      </c>
      <c r="AF467" t="str" cm="1">
        <f t="array" ref="AF467">_xlfn.IFS(J467=1,"Low",J467=2,"Medium",J467=3,"High",J467=4,"Very High")</f>
        <v>Low</v>
      </c>
      <c r="AG467" t="str" cm="1">
        <f t="array" ref="AG467">_xlfn.IFS(L467=1,"Low",L467=2,"Medium",L467=3,"High",L467=4,"Very High")</f>
        <v>High</v>
      </c>
      <c r="AH467" t="str" cm="1">
        <f t="array" ref="AH467">_xlfn.IFS(M467=1,"Junior employee",M467=2,"Mid-level",M467=3,"Senior",M467=4,"Manager",M467=5,"Executive")</f>
        <v>Senior</v>
      </c>
      <c r="AI467" t="str" cm="1">
        <f t="array" ref="AI467">_xlfn.IFS(O467=1,"Low",O467=2,"Medium",O467=3,"High",O467=4,"Very High")</f>
        <v>High</v>
      </c>
      <c r="AJ467" t="str" cm="1">
        <f t="array" ref="AJ467">_xlfn.IFS(U467=1,"Low",U467=2,"Good",U467=3,"Excellent",U467=4,"Outstanding")</f>
        <v>Excellent</v>
      </c>
      <c r="AK467" t="str" cm="1">
        <f t="array" ref="AK467">_xlfn.IFS(V467=1,"Low",V467=2,"Medium",V467=3,"High",V467=4,"Very High")</f>
        <v>Very High</v>
      </c>
      <c r="AL467" t="str" cm="1">
        <f t="array" ref="AL467">_xlfn.IFS(Z467=1,"Bad",Z467=2,"Good",Z467=3,"Better",Z467=4,"Best")</f>
        <v>Good</v>
      </c>
      <c r="AM467" t="str" cm="1">
        <f t="array" ref="AM467">_xlfn.IFS(W467=0,"No_stock",W467=1,"Low",W467=2,"Medium",W467=3,"High")</f>
        <v>No_stock</v>
      </c>
      <c r="AN467" t="str">
        <f t="shared" si="7"/>
        <v>Far</v>
      </c>
    </row>
    <row r="468" spans="1:40" x14ac:dyDescent="0.45">
      <c r="A468">
        <v>41</v>
      </c>
      <c r="B468" t="s">
        <v>37</v>
      </c>
      <c r="C468" t="s">
        <v>31</v>
      </c>
      <c r="D468">
        <v>1276</v>
      </c>
      <c r="E468" t="s">
        <v>32</v>
      </c>
      <c r="F468">
        <v>2</v>
      </c>
      <c r="G468">
        <v>5</v>
      </c>
      <c r="H468" t="s">
        <v>33</v>
      </c>
      <c r="I468">
        <v>625</v>
      </c>
      <c r="J468">
        <v>2</v>
      </c>
      <c r="K468" t="s">
        <v>34</v>
      </c>
      <c r="L468">
        <v>3</v>
      </c>
      <c r="M468">
        <v>4</v>
      </c>
      <c r="N468" t="s">
        <v>50</v>
      </c>
      <c r="O468">
        <v>1</v>
      </c>
      <c r="P468" t="s">
        <v>42</v>
      </c>
      <c r="Q468">
        <v>16595</v>
      </c>
      <c r="R468">
        <v>7</v>
      </c>
      <c r="S468" t="s">
        <v>37</v>
      </c>
      <c r="T468">
        <v>16</v>
      </c>
      <c r="U468">
        <v>3</v>
      </c>
      <c r="V468">
        <v>2</v>
      </c>
      <c r="W468">
        <v>1</v>
      </c>
      <c r="X468">
        <v>22</v>
      </c>
      <c r="Y468">
        <v>2</v>
      </c>
      <c r="Z468">
        <v>3</v>
      </c>
      <c r="AA468">
        <v>18</v>
      </c>
      <c r="AB468">
        <v>16</v>
      </c>
      <c r="AC468">
        <v>11</v>
      </c>
      <c r="AD468">
        <v>8</v>
      </c>
      <c r="AE468" t="str" cm="1">
        <f t="array" ref="AE468">_xlfn.IFS(G468=1,"Before College",G468=2,"College",G468=3,"Bachelor",G468=4,"Master",G468=5,"Doctor")</f>
        <v>Doctor</v>
      </c>
      <c r="AF468" t="str" cm="1">
        <f t="array" ref="AF468">_xlfn.IFS(J468=1,"Low",J468=2,"Medium",J468=3,"High",J468=4,"Very High")</f>
        <v>Medium</v>
      </c>
      <c r="AG468" t="str" cm="1">
        <f t="array" ref="AG468">_xlfn.IFS(L468=1,"Low",L468=2,"Medium",L468=3,"High",L468=4,"Very High")</f>
        <v>High</v>
      </c>
      <c r="AH468" t="str" cm="1">
        <f t="array" ref="AH468">_xlfn.IFS(M468=1,"Junior employee",M468=2,"Mid-level",M468=3,"Senior",M468=4,"Manager",M468=5,"Executive")</f>
        <v>Manager</v>
      </c>
      <c r="AI468" t="str" cm="1">
        <f t="array" ref="AI468">_xlfn.IFS(O468=1,"Low",O468=2,"Medium",O468=3,"High",O468=4,"Very High")</f>
        <v>Low</v>
      </c>
      <c r="AJ468" t="str" cm="1">
        <f t="array" ref="AJ468">_xlfn.IFS(U468=1,"Low",U468=2,"Good",U468=3,"Excellent",U468=4,"Outstanding")</f>
        <v>Excellent</v>
      </c>
      <c r="AK468" t="str" cm="1">
        <f t="array" ref="AK468">_xlfn.IFS(V468=1,"Low",V468=2,"Medium",V468=3,"High",V468=4,"Very High")</f>
        <v>Medium</v>
      </c>
      <c r="AL468" t="str" cm="1">
        <f t="array" ref="AL468">_xlfn.IFS(Z468=1,"Bad",Z468=2,"Good",Z468=3,"Better",Z468=4,"Best")</f>
        <v>Better</v>
      </c>
      <c r="AM468" t="str" cm="1">
        <f t="array" ref="AM468">_xlfn.IFS(W468=0,"No_stock",W468=1,"Low",W468=2,"Medium",W468=3,"High")</f>
        <v>Low</v>
      </c>
      <c r="AN468" t="str">
        <f t="shared" si="7"/>
        <v>Near</v>
      </c>
    </row>
    <row r="469" spans="1:40" x14ac:dyDescent="0.45">
      <c r="A469">
        <v>37</v>
      </c>
      <c r="B469" t="s">
        <v>37</v>
      </c>
      <c r="C469" t="s">
        <v>49</v>
      </c>
      <c r="D469">
        <v>142</v>
      </c>
      <c r="E469" t="s">
        <v>32</v>
      </c>
      <c r="F469">
        <v>9</v>
      </c>
      <c r="G469">
        <v>4</v>
      </c>
      <c r="H469" t="s">
        <v>45</v>
      </c>
      <c r="I469">
        <v>626</v>
      </c>
      <c r="J469">
        <v>1</v>
      </c>
      <c r="K469" t="s">
        <v>40</v>
      </c>
      <c r="L469">
        <v>3</v>
      </c>
      <c r="M469">
        <v>3</v>
      </c>
      <c r="N469" t="s">
        <v>35</v>
      </c>
      <c r="O469">
        <v>2</v>
      </c>
      <c r="P469" t="s">
        <v>46</v>
      </c>
      <c r="Q469">
        <v>8834</v>
      </c>
      <c r="R469">
        <v>1</v>
      </c>
      <c r="S469" t="s">
        <v>37</v>
      </c>
      <c r="T469">
        <v>13</v>
      </c>
      <c r="U469">
        <v>3</v>
      </c>
      <c r="V469">
        <v>4</v>
      </c>
      <c r="W469">
        <v>1</v>
      </c>
      <c r="X469">
        <v>9</v>
      </c>
      <c r="Y469">
        <v>6</v>
      </c>
      <c r="Z469">
        <v>3</v>
      </c>
      <c r="AA469">
        <v>9</v>
      </c>
      <c r="AB469">
        <v>5</v>
      </c>
      <c r="AC469">
        <v>7</v>
      </c>
      <c r="AD469">
        <v>7</v>
      </c>
      <c r="AE469" t="str" cm="1">
        <f t="array" ref="AE469">_xlfn.IFS(G469=1,"Before College",G469=2,"College",G469=3,"Bachelor",G469=4,"Master",G469=5,"Doctor")</f>
        <v>Master</v>
      </c>
      <c r="AF469" t="str" cm="1">
        <f t="array" ref="AF469">_xlfn.IFS(J469=1,"Low",J469=2,"Medium",J469=3,"High",J469=4,"Very High")</f>
        <v>Low</v>
      </c>
      <c r="AG469" t="str" cm="1">
        <f t="array" ref="AG469">_xlfn.IFS(L469=1,"Low",L469=2,"Medium",L469=3,"High",L469=4,"Very High")</f>
        <v>High</v>
      </c>
      <c r="AH469" t="str" cm="1">
        <f t="array" ref="AH469">_xlfn.IFS(M469=1,"Junior employee",M469=2,"Mid-level",M469=3,"Senior",M469=4,"Manager",M469=5,"Executive")</f>
        <v>Senior</v>
      </c>
      <c r="AI469" t="str" cm="1">
        <f t="array" ref="AI469">_xlfn.IFS(O469=1,"Low",O469=2,"Medium",O469=3,"High",O469=4,"Very High")</f>
        <v>Medium</v>
      </c>
      <c r="AJ469" t="str" cm="1">
        <f t="array" ref="AJ469">_xlfn.IFS(U469=1,"Low",U469=2,"Good",U469=3,"Excellent",U469=4,"Outstanding")</f>
        <v>Excellent</v>
      </c>
      <c r="AK469" t="str" cm="1">
        <f t="array" ref="AK469">_xlfn.IFS(V469=1,"Low",V469=2,"Medium",V469=3,"High",V469=4,"Very High")</f>
        <v>Very High</v>
      </c>
      <c r="AL469" t="str" cm="1">
        <f t="array" ref="AL469">_xlfn.IFS(Z469=1,"Bad",Z469=2,"Good",Z469=3,"Better",Z469=4,"Best")</f>
        <v>Better</v>
      </c>
      <c r="AM469" t="str" cm="1">
        <f t="array" ref="AM469">_xlfn.IFS(W469=0,"No_stock",W469=1,"Low",W469=2,"Medium",W469=3,"High")</f>
        <v>Low</v>
      </c>
      <c r="AN469" t="str">
        <f t="shared" si="7"/>
        <v>Medium</v>
      </c>
    </row>
    <row r="470" spans="1:40" x14ac:dyDescent="0.45">
      <c r="A470">
        <v>52</v>
      </c>
      <c r="B470" t="s">
        <v>37</v>
      </c>
      <c r="C470" t="s">
        <v>31</v>
      </c>
      <c r="D470">
        <v>956</v>
      </c>
      <c r="E470" t="s">
        <v>39</v>
      </c>
      <c r="F470">
        <v>6</v>
      </c>
      <c r="G470">
        <v>2</v>
      </c>
      <c r="H470" t="s">
        <v>54</v>
      </c>
      <c r="I470">
        <v>630</v>
      </c>
      <c r="J470">
        <v>4</v>
      </c>
      <c r="K470" t="s">
        <v>40</v>
      </c>
      <c r="L470">
        <v>3</v>
      </c>
      <c r="M470">
        <v>2</v>
      </c>
      <c r="N470" t="s">
        <v>41</v>
      </c>
      <c r="O470">
        <v>1</v>
      </c>
      <c r="P470" t="s">
        <v>46</v>
      </c>
      <c r="Q470">
        <v>5577</v>
      </c>
      <c r="R470">
        <v>3</v>
      </c>
      <c r="S470" t="s">
        <v>30</v>
      </c>
      <c r="T470">
        <v>12</v>
      </c>
      <c r="U470">
        <v>3</v>
      </c>
      <c r="V470">
        <v>2</v>
      </c>
      <c r="W470">
        <v>2</v>
      </c>
      <c r="X470">
        <v>18</v>
      </c>
      <c r="Y470">
        <v>3</v>
      </c>
      <c r="Z470">
        <v>3</v>
      </c>
      <c r="AA470">
        <v>10</v>
      </c>
      <c r="AB470">
        <v>9</v>
      </c>
      <c r="AC470">
        <v>6</v>
      </c>
      <c r="AD470">
        <v>9</v>
      </c>
      <c r="AE470" t="str" cm="1">
        <f t="array" ref="AE470">_xlfn.IFS(G470=1,"Before College",G470=2,"College",G470=3,"Bachelor",G470=4,"Master",G470=5,"Doctor")</f>
        <v>College</v>
      </c>
      <c r="AF470" t="str" cm="1">
        <f t="array" ref="AF470">_xlfn.IFS(J470=1,"Low",J470=2,"Medium",J470=3,"High",J470=4,"Very High")</f>
        <v>Very High</v>
      </c>
      <c r="AG470" t="str" cm="1">
        <f t="array" ref="AG470">_xlfn.IFS(L470=1,"Low",L470=2,"Medium",L470=3,"High",L470=4,"Very High")</f>
        <v>High</v>
      </c>
      <c r="AH470" t="str" cm="1">
        <f t="array" ref="AH470">_xlfn.IFS(M470=1,"Junior employee",M470=2,"Mid-level",M470=3,"Senior",M470=4,"Manager",M470=5,"Executive")</f>
        <v>Mid-level</v>
      </c>
      <c r="AI470" t="str" cm="1">
        <f t="array" ref="AI470">_xlfn.IFS(O470=1,"Low",O470=2,"Medium",O470=3,"High",O470=4,"Very High")</f>
        <v>Low</v>
      </c>
      <c r="AJ470" t="str" cm="1">
        <f t="array" ref="AJ470">_xlfn.IFS(U470=1,"Low",U470=2,"Good",U470=3,"Excellent",U470=4,"Outstanding")</f>
        <v>Excellent</v>
      </c>
      <c r="AK470" t="str" cm="1">
        <f t="array" ref="AK470">_xlfn.IFS(V470=1,"Low",V470=2,"Medium",V470=3,"High",V470=4,"Very High")</f>
        <v>Medium</v>
      </c>
      <c r="AL470" t="str" cm="1">
        <f t="array" ref="AL470">_xlfn.IFS(Z470=1,"Bad",Z470=2,"Good",Z470=3,"Better",Z470=4,"Best")</f>
        <v>Better</v>
      </c>
      <c r="AM470" t="str" cm="1">
        <f t="array" ref="AM470">_xlfn.IFS(W470=0,"No_stock",W470=1,"Low",W470=2,"Medium",W470=3,"High")</f>
        <v>Medium</v>
      </c>
      <c r="AN470" t="str">
        <f t="shared" si="7"/>
        <v>Medium</v>
      </c>
    </row>
    <row r="471" spans="1:40" x14ac:dyDescent="0.45">
      <c r="A471">
        <v>32</v>
      </c>
      <c r="B471" t="s">
        <v>30</v>
      </c>
      <c r="C471" t="s">
        <v>49</v>
      </c>
      <c r="D471">
        <v>1474</v>
      </c>
      <c r="E471" t="s">
        <v>32</v>
      </c>
      <c r="F471">
        <v>11</v>
      </c>
      <c r="G471">
        <v>4</v>
      </c>
      <c r="H471" t="s">
        <v>43</v>
      </c>
      <c r="I471">
        <v>631</v>
      </c>
      <c r="J471">
        <v>4</v>
      </c>
      <c r="K471" t="s">
        <v>40</v>
      </c>
      <c r="L471">
        <v>4</v>
      </c>
      <c r="M471">
        <v>2</v>
      </c>
      <c r="N471" t="s">
        <v>35</v>
      </c>
      <c r="O471">
        <v>3</v>
      </c>
      <c r="P471" t="s">
        <v>42</v>
      </c>
      <c r="Q471">
        <v>4707</v>
      </c>
      <c r="R471">
        <v>8</v>
      </c>
      <c r="S471" t="s">
        <v>37</v>
      </c>
      <c r="T471">
        <v>12</v>
      </c>
      <c r="U471">
        <v>3</v>
      </c>
      <c r="V471">
        <v>4</v>
      </c>
      <c r="W471">
        <v>0</v>
      </c>
      <c r="X471">
        <v>6</v>
      </c>
      <c r="Y471">
        <v>2</v>
      </c>
      <c r="Z471">
        <v>3</v>
      </c>
      <c r="AA471">
        <v>4</v>
      </c>
      <c r="AB471">
        <v>2</v>
      </c>
      <c r="AC471">
        <v>1</v>
      </c>
      <c r="AD471">
        <v>2</v>
      </c>
      <c r="AE471" t="str" cm="1">
        <f t="array" ref="AE471">_xlfn.IFS(G471=1,"Before College",G471=2,"College",G471=3,"Bachelor",G471=4,"Master",G471=5,"Doctor")</f>
        <v>Master</v>
      </c>
      <c r="AF471" t="str" cm="1">
        <f t="array" ref="AF471">_xlfn.IFS(J471=1,"Low",J471=2,"Medium",J471=3,"High",J471=4,"Very High")</f>
        <v>Very High</v>
      </c>
      <c r="AG471" t="str" cm="1">
        <f t="array" ref="AG471">_xlfn.IFS(L471=1,"Low",L471=2,"Medium",L471=3,"High",L471=4,"Very High")</f>
        <v>Very High</v>
      </c>
      <c r="AH471" t="str" cm="1">
        <f t="array" ref="AH471">_xlfn.IFS(M471=1,"Junior employee",M471=2,"Mid-level",M471=3,"Senior",M471=4,"Manager",M471=5,"Executive")</f>
        <v>Mid-level</v>
      </c>
      <c r="AI471" t="str" cm="1">
        <f t="array" ref="AI471">_xlfn.IFS(O471=1,"Low",O471=2,"Medium",O471=3,"High",O471=4,"Very High")</f>
        <v>High</v>
      </c>
      <c r="AJ471" t="str" cm="1">
        <f t="array" ref="AJ471">_xlfn.IFS(U471=1,"Low",U471=2,"Good",U471=3,"Excellent",U471=4,"Outstanding")</f>
        <v>Excellent</v>
      </c>
      <c r="AK471" t="str" cm="1">
        <f t="array" ref="AK471">_xlfn.IFS(V471=1,"Low",V471=2,"Medium",V471=3,"High",V471=4,"Very High")</f>
        <v>Very High</v>
      </c>
      <c r="AL471" t="str" cm="1">
        <f t="array" ref="AL471">_xlfn.IFS(Z471=1,"Bad",Z471=2,"Good",Z471=3,"Better",Z471=4,"Best")</f>
        <v>Better</v>
      </c>
      <c r="AM471" t="str" cm="1">
        <f t="array" ref="AM471">_xlfn.IFS(W471=0,"No_stock",W471=1,"Low",W471=2,"Medium",W471=3,"High")</f>
        <v>No_stock</v>
      </c>
      <c r="AN471" t="str">
        <f t="shared" si="7"/>
        <v>Medium</v>
      </c>
    </row>
    <row r="472" spans="1:40" x14ac:dyDescent="0.45">
      <c r="A472">
        <v>24</v>
      </c>
      <c r="B472" t="s">
        <v>37</v>
      </c>
      <c r="C472" t="s">
        <v>38</v>
      </c>
      <c r="D472">
        <v>535</v>
      </c>
      <c r="E472" t="s">
        <v>32</v>
      </c>
      <c r="F472">
        <v>24</v>
      </c>
      <c r="G472">
        <v>3</v>
      </c>
      <c r="H472" t="s">
        <v>45</v>
      </c>
      <c r="I472">
        <v>632</v>
      </c>
      <c r="J472">
        <v>4</v>
      </c>
      <c r="K472" t="s">
        <v>40</v>
      </c>
      <c r="L472">
        <v>3</v>
      </c>
      <c r="M472">
        <v>1</v>
      </c>
      <c r="N472" t="s">
        <v>51</v>
      </c>
      <c r="O472">
        <v>4</v>
      </c>
      <c r="P472" t="s">
        <v>42</v>
      </c>
      <c r="Q472">
        <v>2400</v>
      </c>
      <c r="R472">
        <v>0</v>
      </c>
      <c r="S472" t="s">
        <v>37</v>
      </c>
      <c r="T472">
        <v>13</v>
      </c>
      <c r="U472">
        <v>3</v>
      </c>
      <c r="V472">
        <v>3</v>
      </c>
      <c r="W472">
        <v>2</v>
      </c>
      <c r="X472">
        <v>3</v>
      </c>
      <c r="Y472">
        <v>3</v>
      </c>
      <c r="Z472">
        <v>3</v>
      </c>
      <c r="AA472">
        <v>2</v>
      </c>
      <c r="AB472">
        <v>2</v>
      </c>
      <c r="AC472">
        <v>2</v>
      </c>
      <c r="AD472">
        <v>1</v>
      </c>
      <c r="AE472" t="str" cm="1">
        <f t="array" ref="AE472">_xlfn.IFS(G472=1,"Before College",G472=2,"College",G472=3,"Bachelor",G472=4,"Master",G472=5,"Doctor")</f>
        <v>Bachelor</v>
      </c>
      <c r="AF472" t="str" cm="1">
        <f t="array" ref="AF472">_xlfn.IFS(J472=1,"Low",J472=2,"Medium",J472=3,"High",J472=4,"Very High")</f>
        <v>Very High</v>
      </c>
      <c r="AG472" t="str" cm="1">
        <f t="array" ref="AG472">_xlfn.IFS(L472=1,"Low",L472=2,"Medium",L472=3,"High",L472=4,"Very High")</f>
        <v>High</v>
      </c>
      <c r="AH472" t="str" cm="1">
        <f t="array" ref="AH472">_xlfn.IFS(M472=1,"Junior employee",M472=2,"Mid-level",M472=3,"Senior",M472=4,"Manager",M472=5,"Executive")</f>
        <v>Junior employee</v>
      </c>
      <c r="AI472" t="str" cm="1">
        <f t="array" ref="AI472">_xlfn.IFS(O472=1,"Low",O472=2,"Medium",O472=3,"High",O472=4,"Very High")</f>
        <v>Very High</v>
      </c>
      <c r="AJ472" t="str" cm="1">
        <f t="array" ref="AJ472">_xlfn.IFS(U472=1,"Low",U472=2,"Good",U472=3,"Excellent",U472=4,"Outstanding")</f>
        <v>Excellent</v>
      </c>
      <c r="AK472" t="str" cm="1">
        <f t="array" ref="AK472">_xlfn.IFS(V472=1,"Low",V472=2,"Medium",V472=3,"High",V472=4,"Very High")</f>
        <v>High</v>
      </c>
      <c r="AL472" t="str" cm="1">
        <f t="array" ref="AL472">_xlfn.IFS(Z472=1,"Bad",Z472=2,"Good",Z472=3,"Better",Z472=4,"Best")</f>
        <v>Better</v>
      </c>
      <c r="AM472" t="str" cm="1">
        <f t="array" ref="AM472">_xlfn.IFS(W472=0,"No_stock",W472=1,"Low",W472=2,"Medium",W472=3,"High")</f>
        <v>Medium</v>
      </c>
      <c r="AN472" t="str">
        <f t="shared" si="7"/>
        <v>Far</v>
      </c>
    </row>
    <row r="473" spans="1:40" x14ac:dyDescent="0.45">
      <c r="A473">
        <v>38</v>
      </c>
      <c r="B473" t="s">
        <v>37</v>
      </c>
      <c r="C473" t="s">
        <v>31</v>
      </c>
      <c r="D473">
        <v>1495</v>
      </c>
      <c r="E473" t="s">
        <v>39</v>
      </c>
      <c r="F473">
        <v>10</v>
      </c>
      <c r="G473">
        <v>3</v>
      </c>
      <c r="H473" t="s">
        <v>45</v>
      </c>
      <c r="I473">
        <v>634</v>
      </c>
      <c r="J473">
        <v>3</v>
      </c>
      <c r="K473" t="s">
        <v>34</v>
      </c>
      <c r="L473">
        <v>3</v>
      </c>
      <c r="M473">
        <v>2</v>
      </c>
      <c r="N473" t="s">
        <v>48</v>
      </c>
      <c r="O473">
        <v>3</v>
      </c>
      <c r="P473" t="s">
        <v>42</v>
      </c>
      <c r="Q473">
        <v>9824</v>
      </c>
      <c r="R473">
        <v>3</v>
      </c>
      <c r="S473" t="s">
        <v>37</v>
      </c>
      <c r="T473">
        <v>19</v>
      </c>
      <c r="U473">
        <v>3</v>
      </c>
      <c r="V473">
        <v>3</v>
      </c>
      <c r="W473">
        <v>1</v>
      </c>
      <c r="X473">
        <v>18</v>
      </c>
      <c r="Y473">
        <v>4</v>
      </c>
      <c r="Z473">
        <v>3</v>
      </c>
      <c r="AA473">
        <v>1</v>
      </c>
      <c r="AB473">
        <v>0</v>
      </c>
      <c r="AC473">
        <v>0</v>
      </c>
      <c r="AD473">
        <v>0</v>
      </c>
      <c r="AE473" t="str" cm="1">
        <f t="array" ref="AE473">_xlfn.IFS(G473=1,"Before College",G473=2,"College",G473=3,"Bachelor",G473=4,"Master",G473=5,"Doctor")</f>
        <v>Bachelor</v>
      </c>
      <c r="AF473" t="str" cm="1">
        <f t="array" ref="AF473">_xlfn.IFS(J473=1,"Low",J473=2,"Medium",J473=3,"High",J473=4,"Very High")</f>
        <v>High</v>
      </c>
      <c r="AG473" t="str" cm="1">
        <f t="array" ref="AG473">_xlfn.IFS(L473=1,"Low",L473=2,"Medium",L473=3,"High",L473=4,"Very High")</f>
        <v>High</v>
      </c>
      <c r="AH473" t="str" cm="1">
        <f t="array" ref="AH473">_xlfn.IFS(M473=1,"Junior employee",M473=2,"Mid-level",M473=3,"Senior",M473=4,"Manager",M473=5,"Executive")</f>
        <v>Mid-level</v>
      </c>
      <c r="AI473" t="str" cm="1">
        <f t="array" ref="AI473">_xlfn.IFS(O473=1,"Low",O473=2,"Medium",O473=3,"High",O473=4,"Very High")</f>
        <v>High</v>
      </c>
      <c r="AJ473" t="str" cm="1">
        <f t="array" ref="AJ473">_xlfn.IFS(U473=1,"Low",U473=2,"Good",U473=3,"Excellent",U473=4,"Outstanding")</f>
        <v>Excellent</v>
      </c>
      <c r="AK473" t="str" cm="1">
        <f t="array" ref="AK473">_xlfn.IFS(V473=1,"Low",V473=2,"Medium",V473=3,"High",V473=4,"Very High")</f>
        <v>High</v>
      </c>
      <c r="AL473" t="str" cm="1">
        <f t="array" ref="AL473">_xlfn.IFS(Z473=1,"Bad",Z473=2,"Good",Z473=3,"Better",Z473=4,"Best")</f>
        <v>Better</v>
      </c>
      <c r="AM473" t="str" cm="1">
        <f t="array" ref="AM473">_xlfn.IFS(W473=0,"No_stock",W473=1,"Low",W473=2,"Medium",W473=3,"High")</f>
        <v>Low</v>
      </c>
      <c r="AN473" t="str">
        <f t="shared" si="7"/>
        <v>Medium</v>
      </c>
    </row>
    <row r="474" spans="1:40" x14ac:dyDescent="0.45">
      <c r="A474">
        <v>37</v>
      </c>
      <c r="B474" t="s">
        <v>37</v>
      </c>
      <c r="C474" t="s">
        <v>31</v>
      </c>
      <c r="D474">
        <v>446</v>
      </c>
      <c r="E474" t="s">
        <v>39</v>
      </c>
      <c r="F474">
        <v>1</v>
      </c>
      <c r="G474">
        <v>4</v>
      </c>
      <c r="H474" t="s">
        <v>33</v>
      </c>
      <c r="I474">
        <v>635</v>
      </c>
      <c r="J474">
        <v>2</v>
      </c>
      <c r="K474" t="s">
        <v>34</v>
      </c>
      <c r="L474">
        <v>3</v>
      </c>
      <c r="M474">
        <v>2</v>
      </c>
      <c r="N474" t="s">
        <v>47</v>
      </c>
      <c r="O474">
        <v>2</v>
      </c>
      <c r="P474" t="s">
        <v>42</v>
      </c>
      <c r="Q474">
        <v>6447</v>
      </c>
      <c r="R474">
        <v>6</v>
      </c>
      <c r="S474" t="s">
        <v>37</v>
      </c>
      <c r="T474">
        <v>12</v>
      </c>
      <c r="U474">
        <v>3</v>
      </c>
      <c r="V474">
        <v>2</v>
      </c>
      <c r="W474">
        <v>1</v>
      </c>
      <c r="X474">
        <v>8</v>
      </c>
      <c r="Y474">
        <v>2</v>
      </c>
      <c r="Z474">
        <v>2</v>
      </c>
      <c r="AA474">
        <v>6</v>
      </c>
      <c r="AB474">
        <v>5</v>
      </c>
      <c r="AC474">
        <v>4</v>
      </c>
      <c r="AD474">
        <v>3</v>
      </c>
      <c r="AE474" t="str" cm="1">
        <f t="array" ref="AE474">_xlfn.IFS(G474=1,"Before College",G474=2,"College",G474=3,"Bachelor",G474=4,"Master",G474=5,"Doctor")</f>
        <v>Master</v>
      </c>
      <c r="AF474" t="str" cm="1">
        <f t="array" ref="AF474">_xlfn.IFS(J474=1,"Low",J474=2,"Medium",J474=3,"High",J474=4,"Very High")</f>
        <v>Medium</v>
      </c>
      <c r="AG474" t="str" cm="1">
        <f t="array" ref="AG474">_xlfn.IFS(L474=1,"Low",L474=2,"Medium",L474=3,"High",L474=4,"Very High")</f>
        <v>High</v>
      </c>
      <c r="AH474" t="str" cm="1">
        <f t="array" ref="AH474">_xlfn.IFS(M474=1,"Junior employee",M474=2,"Mid-level",M474=3,"Senior",M474=4,"Manager",M474=5,"Executive")</f>
        <v>Mid-level</v>
      </c>
      <c r="AI474" t="str" cm="1">
        <f t="array" ref="AI474">_xlfn.IFS(O474=1,"Low",O474=2,"Medium",O474=3,"High",O474=4,"Very High")</f>
        <v>Medium</v>
      </c>
      <c r="AJ474" t="str" cm="1">
        <f t="array" ref="AJ474">_xlfn.IFS(U474=1,"Low",U474=2,"Good",U474=3,"Excellent",U474=4,"Outstanding")</f>
        <v>Excellent</v>
      </c>
      <c r="AK474" t="str" cm="1">
        <f t="array" ref="AK474">_xlfn.IFS(V474=1,"Low",V474=2,"Medium",V474=3,"High",V474=4,"Very High")</f>
        <v>Medium</v>
      </c>
      <c r="AL474" t="str" cm="1">
        <f t="array" ref="AL474">_xlfn.IFS(Z474=1,"Bad",Z474=2,"Good",Z474=3,"Better",Z474=4,"Best")</f>
        <v>Good</v>
      </c>
      <c r="AM474" t="str" cm="1">
        <f t="array" ref="AM474">_xlfn.IFS(W474=0,"No_stock",W474=1,"Low",W474=2,"Medium",W474=3,"High")</f>
        <v>Low</v>
      </c>
      <c r="AN474" t="str">
        <f t="shared" si="7"/>
        <v>Near</v>
      </c>
    </row>
    <row r="475" spans="1:40" x14ac:dyDescent="0.45">
      <c r="A475">
        <v>49</v>
      </c>
      <c r="B475" t="s">
        <v>37</v>
      </c>
      <c r="C475" t="s">
        <v>31</v>
      </c>
      <c r="D475">
        <v>1245</v>
      </c>
      <c r="E475" t="s">
        <v>39</v>
      </c>
      <c r="F475">
        <v>18</v>
      </c>
      <c r="G475">
        <v>4</v>
      </c>
      <c r="H475" t="s">
        <v>33</v>
      </c>
      <c r="I475">
        <v>638</v>
      </c>
      <c r="J475">
        <v>4</v>
      </c>
      <c r="K475" t="s">
        <v>40</v>
      </c>
      <c r="L475">
        <v>2</v>
      </c>
      <c r="M475">
        <v>5</v>
      </c>
      <c r="N475" t="s">
        <v>52</v>
      </c>
      <c r="O475">
        <v>3</v>
      </c>
      <c r="P475" t="s">
        <v>46</v>
      </c>
      <c r="Q475">
        <v>19502</v>
      </c>
      <c r="R475">
        <v>1</v>
      </c>
      <c r="S475" t="s">
        <v>30</v>
      </c>
      <c r="T475">
        <v>17</v>
      </c>
      <c r="U475">
        <v>3</v>
      </c>
      <c r="V475">
        <v>3</v>
      </c>
      <c r="W475">
        <v>1</v>
      </c>
      <c r="X475">
        <v>31</v>
      </c>
      <c r="Y475">
        <v>5</v>
      </c>
      <c r="Z475">
        <v>3</v>
      </c>
      <c r="AA475">
        <v>31</v>
      </c>
      <c r="AB475">
        <v>9</v>
      </c>
      <c r="AC475">
        <v>0</v>
      </c>
      <c r="AD475">
        <v>9</v>
      </c>
      <c r="AE475" t="str" cm="1">
        <f t="array" ref="AE475">_xlfn.IFS(G475=1,"Before College",G475=2,"College",G475=3,"Bachelor",G475=4,"Master",G475=5,"Doctor")</f>
        <v>Master</v>
      </c>
      <c r="AF475" t="str" cm="1">
        <f t="array" ref="AF475">_xlfn.IFS(J475=1,"Low",J475=2,"Medium",J475=3,"High",J475=4,"Very High")</f>
        <v>Very High</v>
      </c>
      <c r="AG475" t="str" cm="1">
        <f t="array" ref="AG475">_xlfn.IFS(L475=1,"Low",L475=2,"Medium",L475=3,"High",L475=4,"Very High")</f>
        <v>Medium</v>
      </c>
      <c r="AH475" t="str" cm="1">
        <f t="array" ref="AH475">_xlfn.IFS(M475=1,"Junior employee",M475=2,"Mid-level",M475=3,"Senior",M475=4,"Manager",M475=5,"Executive")</f>
        <v>Executive</v>
      </c>
      <c r="AI475" t="str" cm="1">
        <f t="array" ref="AI475">_xlfn.IFS(O475=1,"Low",O475=2,"Medium",O475=3,"High",O475=4,"Very High")</f>
        <v>High</v>
      </c>
      <c r="AJ475" t="str" cm="1">
        <f t="array" ref="AJ475">_xlfn.IFS(U475=1,"Low",U475=2,"Good",U475=3,"Excellent",U475=4,"Outstanding")</f>
        <v>Excellent</v>
      </c>
      <c r="AK475" t="str" cm="1">
        <f t="array" ref="AK475">_xlfn.IFS(V475=1,"Low",V475=2,"Medium",V475=3,"High",V475=4,"Very High")</f>
        <v>High</v>
      </c>
      <c r="AL475" t="str" cm="1">
        <f t="array" ref="AL475">_xlfn.IFS(Z475=1,"Bad",Z475=2,"Good",Z475=3,"Better",Z475=4,"Best")</f>
        <v>Better</v>
      </c>
      <c r="AM475" t="str" cm="1">
        <f t="array" ref="AM475">_xlfn.IFS(W475=0,"No_stock",W475=1,"Low",W475=2,"Medium",W475=3,"High")</f>
        <v>Low</v>
      </c>
      <c r="AN475" t="str">
        <f t="shared" si="7"/>
        <v>Far</v>
      </c>
    </row>
    <row r="476" spans="1:40" x14ac:dyDescent="0.45">
      <c r="A476">
        <v>24</v>
      </c>
      <c r="B476" t="s">
        <v>37</v>
      </c>
      <c r="C476" t="s">
        <v>31</v>
      </c>
      <c r="D476">
        <v>691</v>
      </c>
      <c r="E476" t="s">
        <v>39</v>
      </c>
      <c r="F476">
        <v>23</v>
      </c>
      <c r="G476">
        <v>3</v>
      </c>
      <c r="H476" t="s">
        <v>45</v>
      </c>
      <c r="I476">
        <v>639</v>
      </c>
      <c r="J476">
        <v>2</v>
      </c>
      <c r="K476" t="s">
        <v>40</v>
      </c>
      <c r="L476">
        <v>4</v>
      </c>
      <c r="M476">
        <v>1</v>
      </c>
      <c r="N476" t="s">
        <v>41</v>
      </c>
      <c r="O476">
        <v>4</v>
      </c>
      <c r="P476" t="s">
        <v>42</v>
      </c>
      <c r="Q476">
        <v>2725</v>
      </c>
      <c r="R476">
        <v>1</v>
      </c>
      <c r="S476" t="s">
        <v>30</v>
      </c>
      <c r="T476">
        <v>11</v>
      </c>
      <c r="U476">
        <v>3</v>
      </c>
      <c r="V476">
        <v>2</v>
      </c>
      <c r="W476">
        <v>2</v>
      </c>
      <c r="X476">
        <v>6</v>
      </c>
      <c r="Y476">
        <v>3</v>
      </c>
      <c r="Z476">
        <v>3</v>
      </c>
      <c r="AA476">
        <v>6</v>
      </c>
      <c r="AB476">
        <v>5</v>
      </c>
      <c r="AC476">
        <v>1</v>
      </c>
      <c r="AD476">
        <v>4</v>
      </c>
      <c r="AE476" t="str" cm="1">
        <f t="array" ref="AE476">_xlfn.IFS(G476=1,"Before College",G476=2,"College",G476=3,"Bachelor",G476=4,"Master",G476=5,"Doctor")</f>
        <v>Bachelor</v>
      </c>
      <c r="AF476" t="str" cm="1">
        <f t="array" ref="AF476">_xlfn.IFS(J476=1,"Low",J476=2,"Medium",J476=3,"High",J476=4,"Very High")</f>
        <v>Medium</v>
      </c>
      <c r="AG476" t="str" cm="1">
        <f t="array" ref="AG476">_xlfn.IFS(L476=1,"Low",L476=2,"Medium",L476=3,"High",L476=4,"Very High")</f>
        <v>Very High</v>
      </c>
      <c r="AH476" t="str" cm="1">
        <f t="array" ref="AH476">_xlfn.IFS(M476=1,"Junior employee",M476=2,"Mid-level",M476=3,"Senior",M476=4,"Manager",M476=5,"Executive")</f>
        <v>Junior employee</v>
      </c>
      <c r="AI476" t="str" cm="1">
        <f t="array" ref="AI476">_xlfn.IFS(O476=1,"Low",O476=2,"Medium",O476=3,"High",O476=4,"Very High")</f>
        <v>Very High</v>
      </c>
      <c r="AJ476" t="str" cm="1">
        <f t="array" ref="AJ476">_xlfn.IFS(U476=1,"Low",U476=2,"Good",U476=3,"Excellent",U476=4,"Outstanding")</f>
        <v>Excellent</v>
      </c>
      <c r="AK476" t="str" cm="1">
        <f t="array" ref="AK476">_xlfn.IFS(V476=1,"Low",V476=2,"Medium",V476=3,"High",V476=4,"Very High")</f>
        <v>Medium</v>
      </c>
      <c r="AL476" t="str" cm="1">
        <f t="array" ref="AL476">_xlfn.IFS(Z476=1,"Bad",Z476=2,"Good",Z476=3,"Better",Z476=4,"Best")</f>
        <v>Better</v>
      </c>
      <c r="AM476" t="str" cm="1">
        <f t="array" ref="AM476">_xlfn.IFS(W476=0,"No_stock",W476=1,"Low",W476=2,"Medium",W476=3,"High")</f>
        <v>Medium</v>
      </c>
      <c r="AN476" t="str">
        <f t="shared" si="7"/>
        <v>Far</v>
      </c>
    </row>
    <row r="477" spans="1:40" x14ac:dyDescent="0.45">
      <c r="A477">
        <v>26</v>
      </c>
      <c r="B477" t="s">
        <v>37</v>
      </c>
      <c r="C477" t="s">
        <v>31</v>
      </c>
      <c r="D477">
        <v>703</v>
      </c>
      <c r="E477" t="s">
        <v>32</v>
      </c>
      <c r="F477">
        <v>28</v>
      </c>
      <c r="G477">
        <v>2</v>
      </c>
      <c r="H477" t="s">
        <v>53</v>
      </c>
      <c r="I477">
        <v>641</v>
      </c>
      <c r="J477">
        <v>1</v>
      </c>
      <c r="K477" t="s">
        <v>40</v>
      </c>
      <c r="L477">
        <v>3</v>
      </c>
      <c r="M477">
        <v>2</v>
      </c>
      <c r="N477" t="s">
        <v>35</v>
      </c>
      <c r="O477">
        <v>2</v>
      </c>
      <c r="P477" t="s">
        <v>42</v>
      </c>
      <c r="Q477">
        <v>6272</v>
      </c>
      <c r="R477">
        <v>1</v>
      </c>
      <c r="S477" t="s">
        <v>37</v>
      </c>
      <c r="T477">
        <v>20</v>
      </c>
      <c r="U477">
        <v>4</v>
      </c>
      <c r="V477">
        <v>4</v>
      </c>
      <c r="W477">
        <v>2</v>
      </c>
      <c r="X477">
        <v>6</v>
      </c>
      <c r="Y477">
        <v>5</v>
      </c>
      <c r="Z477">
        <v>4</v>
      </c>
      <c r="AA477">
        <v>5</v>
      </c>
      <c r="AB477">
        <v>3</v>
      </c>
      <c r="AC477">
        <v>1</v>
      </c>
      <c r="AD477">
        <v>4</v>
      </c>
      <c r="AE477" t="str" cm="1">
        <f t="array" ref="AE477">_xlfn.IFS(G477=1,"Before College",G477=2,"College",G477=3,"Bachelor",G477=4,"Master",G477=5,"Doctor")</f>
        <v>College</v>
      </c>
      <c r="AF477" t="str" cm="1">
        <f t="array" ref="AF477">_xlfn.IFS(J477=1,"Low",J477=2,"Medium",J477=3,"High",J477=4,"Very High")</f>
        <v>Low</v>
      </c>
      <c r="AG477" t="str" cm="1">
        <f t="array" ref="AG477">_xlfn.IFS(L477=1,"Low",L477=2,"Medium",L477=3,"High",L477=4,"Very High")</f>
        <v>High</v>
      </c>
      <c r="AH477" t="str" cm="1">
        <f t="array" ref="AH477">_xlfn.IFS(M477=1,"Junior employee",M477=2,"Mid-level",M477=3,"Senior",M477=4,"Manager",M477=5,"Executive")</f>
        <v>Mid-level</v>
      </c>
      <c r="AI477" t="str" cm="1">
        <f t="array" ref="AI477">_xlfn.IFS(O477=1,"Low",O477=2,"Medium",O477=3,"High",O477=4,"Very High")</f>
        <v>Medium</v>
      </c>
      <c r="AJ477" t="str" cm="1">
        <f t="array" ref="AJ477">_xlfn.IFS(U477=1,"Low",U477=2,"Good",U477=3,"Excellent",U477=4,"Outstanding")</f>
        <v>Outstanding</v>
      </c>
      <c r="AK477" t="str" cm="1">
        <f t="array" ref="AK477">_xlfn.IFS(V477=1,"Low",V477=2,"Medium",V477=3,"High",V477=4,"Very High")</f>
        <v>Very High</v>
      </c>
      <c r="AL477" t="str" cm="1">
        <f t="array" ref="AL477">_xlfn.IFS(Z477=1,"Bad",Z477=2,"Good",Z477=3,"Better",Z477=4,"Best")</f>
        <v>Best</v>
      </c>
      <c r="AM477" t="str" cm="1">
        <f t="array" ref="AM477">_xlfn.IFS(W477=0,"No_stock",W477=1,"Low",W477=2,"Medium",W477=3,"High")</f>
        <v>Medium</v>
      </c>
      <c r="AN477" t="str">
        <f t="shared" si="7"/>
        <v>Far</v>
      </c>
    </row>
    <row r="478" spans="1:40" x14ac:dyDescent="0.45">
      <c r="A478">
        <v>24</v>
      </c>
      <c r="B478" t="s">
        <v>37</v>
      </c>
      <c r="C478" t="s">
        <v>31</v>
      </c>
      <c r="D478">
        <v>823</v>
      </c>
      <c r="E478" t="s">
        <v>39</v>
      </c>
      <c r="F478">
        <v>17</v>
      </c>
      <c r="G478">
        <v>2</v>
      </c>
      <c r="H478" t="s">
        <v>43</v>
      </c>
      <c r="I478">
        <v>643</v>
      </c>
      <c r="J478">
        <v>4</v>
      </c>
      <c r="K478" t="s">
        <v>40</v>
      </c>
      <c r="L478">
        <v>2</v>
      </c>
      <c r="M478">
        <v>1</v>
      </c>
      <c r="N478" t="s">
        <v>44</v>
      </c>
      <c r="O478">
        <v>2</v>
      </c>
      <c r="P478" t="s">
        <v>42</v>
      </c>
      <c r="Q478">
        <v>2127</v>
      </c>
      <c r="R478">
        <v>1</v>
      </c>
      <c r="S478" t="s">
        <v>37</v>
      </c>
      <c r="T478">
        <v>21</v>
      </c>
      <c r="U478">
        <v>4</v>
      </c>
      <c r="V478">
        <v>4</v>
      </c>
      <c r="W478">
        <v>1</v>
      </c>
      <c r="X478">
        <v>1</v>
      </c>
      <c r="Y478">
        <v>2</v>
      </c>
      <c r="Z478">
        <v>3</v>
      </c>
      <c r="AA478">
        <v>1</v>
      </c>
      <c r="AB478">
        <v>0</v>
      </c>
      <c r="AC478">
        <v>0</v>
      </c>
      <c r="AD478">
        <v>0</v>
      </c>
      <c r="AE478" t="str" cm="1">
        <f t="array" ref="AE478">_xlfn.IFS(G478=1,"Before College",G478=2,"College",G478=3,"Bachelor",G478=4,"Master",G478=5,"Doctor")</f>
        <v>College</v>
      </c>
      <c r="AF478" t="str" cm="1">
        <f t="array" ref="AF478">_xlfn.IFS(J478=1,"Low",J478=2,"Medium",J478=3,"High",J478=4,"Very High")</f>
        <v>Very High</v>
      </c>
      <c r="AG478" t="str" cm="1">
        <f t="array" ref="AG478">_xlfn.IFS(L478=1,"Low",L478=2,"Medium",L478=3,"High",L478=4,"Very High")</f>
        <v>Medium</v>
      </c>
      <c r="AH478" t="str" cm="1">
        <f t="array" ref="AH478">_xlfn.IFS(M478=1,"Junior employee",M478=2,"Mid-level",M478=3,"Senior",M478=4,"Manager",M478=5,"Executive")</f>
        <v>Junior employee</v>
      </c>
      <c r="AI478" t="str" cm="1">
        <f t="array" ref="AI478">_xlfn.IFS(O478=1,"Low",O478=2,"Medium",O478=3,"High",O478=4,"Very High")</f>
        <v>Medium</v>
      </c>
      <c r="AJ478" t="str" cm="1">
        <f t="array" ref="AJ478">_xlfn.IFS(U478=1,"Low",U478=2,"Good",U478=3,"Excellent",U478=4,"Outstanding")</f>
        <v>Outstanding</v>
      </c>
      <c r="AK478" t="str" cm="1">
        <f t="array" ref="AK478">_xlfn.IFS(V478=1,"Low",V478=2,"Medium",V478=3,"High",V478=4,"Very High")</f>
        <v>Very High</v>
      </c>
      <c r="AL478" t="str" cm="1">
        <f t="array" ref="AL478">_xlfn.IFS(Z478=1,"Bad",Z478=2,"Good",Z478=3,"Better",Z478=4,"Best")</f>
        <v>Better</v>
      </c>
      <c r="AM478" t="str" cm="1">
        <f t="array" ref="AM478">_xlfn.IFS(W478=0,"No_stock",W478=1,"Low",W478=2,"Medium",W478=3,"High")</f>
        <v>Low</v>
      </c>
      <c r="AN478" t="str">
        <f t="shared" si="7"/>
        <v>Far</v>
      </c>
    </row>
    <row r="479" spans="1:40" x14ac:dyDescent="0.45">
      <c r="A479">
        <v>50</v>
      </c>
      <c r="B479" t="s">
        <v>37</v>
      </c>
      <c r="C479" t="s">
        <v>38</v>
      </c>
      <c r="D479">
        <v>1246</v>
      </c>
      <c r="E479" t="s">
        <v>55</v>
      </c>
      <c r="F479">
        <v>3</v>
      </c>
      <c r="G479">
        <v>3</v>
      </c>
      <c r="H479" t="s">
        <v>45</v>
      </c>
      <c r="I479">
        <v>644</v>
      </c>
      <c r="J479">
        <v>1</v>
      </c>
      <c r="K479" t="s">
        <v>40</v>
      </c>
      <c r="L479">
        <v>3</v>
      </c>
      <c r="M479">
        <v>5</v>
      </c>
      <c r="N479" t="s">
        <v>50</v>
      </c>
      <c r="O479">
        <v>2</v>
      </c>
      <c r="P479" t="s">
        <v>42</v>
      </c>
      <c r="Q479">
        <v>18200</v>
      </c>
      <c r="R479">
        <v>1</v>
      </c>
      <c r="S479" t="s">
        <v>37</v>
      </c>
      <c r="T479">
        <v>11</v>
      </c>
      <c r="U479">
        <v>3</v>
      </c>
      <c r="V479">
        <v>3</v>
      </c>
      <c r="W479">
        <v>1</v>
      </c>
      <c r="X479">
        <v>32</v>
      </c>
      <c r="Y479">
        <v>2</v>
      </c>
      <c r="Z479">
        <v>3</v>
      </c>
      <c r="AA479">
        <v>32</v>
      </c>
      <c r="AB479">
        <v>5</v>
      </c>
      <c r="AC479">
        <v>10</v>
      </c>
      <c r="AD479">
        <v>7</v>
      </c>
      <c r="AE479" t="str" cm="1">
        <f t="array" ref="AE479">_xlfn.IFS(G479=1,"Before College",G479=2,"College",G479=3,"Bachelor",G479=4,"Master",G479=5,"Doctor")</f>
        <v>Bachelor</v>
      </c>
      <c r="AF479" t="str" cm="1">
        <f t="array" ref="AF479">_xlfn.IFS(J479=1,"Low",J479=2,"Medium",J479=3,"High",J479=4,"Very High")</f>
        <v>Low</v>
      </c>
      <c r="AG479" t="str" cm="1">
        <f t="array" ref="AG479">_xlfn.IFS(L479=1,"Low",L479=2,"Medium",L479=3,"High",L479=4,"Very High")</f>
        <v>High</v>
      </c>
      <c r="AH479" t="str" cm="1">
        <f t="array" ref="AH479">_xlfn.IFS(M479=1,"Junior employee",M479=2,"Mid-level",M479=3,"Senior",M479=4,"Manager",M479=5,"Executive")</f>
        <v>Executive</v>
      </c>
      <c r="AI479" t="str" cm="1">
        <f t="array" ref="AI479">_xlfn.IFS(O479=1,"Low",O479=2,"Medium",O479=3,"High",O479=4,"Very High")</f>
        <v>Medium</v>
      </c>
      <c r="AJ479" t="str" cm="1">
        <f t="array" ref="AJ479">_xlfn.IFS(U479=1,"Low",U479=2,"Good",U479=3,"Excellent",U479=4,"Outstanding")</f>
        <v>Excellent</v>
      </c>
      <c r="AK479" t="str" cm="1">
        <f t="array" ref="AK479">_xlfn.IFS(V479=1,"Low",V479=2,"Medium",V479=3,"High",V479=4,"Very High")</f>
        <v>High</v>
      </c>
      <c r="AL479" t="str" cm="1">
        <f t="array" ref="AL479">_xlfn.IFS(Z479=1,"Bad",Z479=2,"Good",Z479=3,"Better",Z479=4,"Best")</f>
        <v>Better</v>
      </c>
      <c r="AM479" t="str" cm="1">
        <f t="array" ref="AM479">_xlfn.IFS(W479=0,"No_stock",W479=1,"Low",W479=2,"Medium",W479=3,"High")</f>
        <v>Low</v>
      </c>
      <c r="AN479" t="str">
        <f t="shared" si="7"/>
        <v>Near</v>
      </c>
    </row>
    <row r="480" spans="1:40" x14ac:dyDescent="0.45">
      <c r="A480">
        <v>25</v>
      </c>
      <c r="B480" t="s">
        <v>37</v>
      </c>
      <c r="C480" t="s">
        <v>31</v>
      </c>
      <c r="D480">
        <v>622</v>
      </c>
      <c r="E480" t="s">
        <v>32</v>
      </c>
      <c r="F480">
        <v>13</v>
      </c>
      <c r="G480">
        <v>1</v>
      </c>
      <c r="H480" t="s">
        <v>45</v>
      </c>
      <c r="I480">
        <v>645</v>
      </c>
      <c r="J480">
        <v>2</v>
      </c>
      <c r="K480" t="s">
        <v>40</v>
      </c>
      <c r="L480">
        <v>3</v>
      </c>
      <c r="M480">
        <v>1</v>
      </c>
      <c r="N480" t="s">
        <v>51</v>
      </c>
      <c r="O480">
        <v>3</v>
      </c>
      <c r="P480" t="s">
        <v>42</v>
      </c>
      <c r="Q480">
        <v>2096</v>
      </c>
      <c r="R480">
        <v>1</v>
      </c>
      <c r="S480" t="s">
        <v>37</v>
      </c>
      <c r="T480">
        <v>11</v>
      </c>
      <c r="U480">
        <v>3</v>
      </c>
      <c r="V480">
        <v>3</v>
      </c>
      <c r="W480">
        <v>0</v>
      </c>
      <c r="X480">
        <v>7</v>
      </c>
      <c r="Y480">
        <v>1</v>
      </c>
      <c r="Z480">
        <v>3</v>
      </c>
      <c r="AA480">
        <v>7</v>
      </c>
      <c r="AB480">
        <v>4</v>
      </c>
      <c r="AC480">
        <v>0</v>
      </c>
      <c r="AD480">
        <v>6</v>
      </c>
      <c r="AE480" t="str" cm="1">
        <f t="array" ref="AE480">_xlfn.IFS(G480=1,"Before College",G480=2,"College",G480=3,"Bachelor",G480=4,"Master",G480=5,"Doctor")</f>
        <v>Before College</v>
      </c>
      <c r="AF480" t="str" cm="1">
        <f t="array" ref="AF480">_xlfn.IFS(J480=1,"Low",J480=2,"Medium",J480=3,"High",J480=4,"Very High")</f>
        <v>Medium</v>
      </c>
      <c r="AG480" t="str" cm="1">
        <f t="array" ref="AG480">_xlfn.IFS(L480=1,"Low",L480=2,"Medium",L480=3,"High",L480=4,"Very High")</f>
        <v>High</v>
      </c>
      <c r="AH480" t="str" cm="1">
        <f t="array" ref="AH480">_xlfn.IFS(M480=1,"Junior employee",M480=2,"Mid-level",M480=3,"Senior",M480=4,"Manager",M480=5,"Executive")</f>
        <v>Junior employee</v>
      </c>
      <c r="AI480" t="str" cm="1">
        <f t="array" ref="AI480">_xlfn.IFS(O480=1,"Low",O480=2,"Medium",O480=3,"High",O480=4,"Very High")</f>
        <v>High</v>
      </c>
      <c r="AJ480" t="str" cm="1">
        <f t="array" ref="AJ480">_xlfn.IFS(U480=1,"Low",U480=2,"Good",U480=3,"Excellent",U480=4,"Outstanding")</f>
        <v>Excellent</v>
      </c>
      <c r="AK480" t="str" cm="1">
        <f t="array" ref="AK480">_xlfn.IFS(V480=1,"Low",V480=2,"Medium",V480=3,"High",V480=4,"Very High")</f>
        <v>High</v>
      </c>
      <c r="AL480" t="str" cm="1">
        <f t="array" ref="AL480">_xlfn.IFS(Z480=1,"Bad",Z480=2,"Good",Z480=3,"Better",Z480=4,"Best")</f>
        <v>Better</v>
      </c>
      <c r="AM480" t="str" cm="1">
        <f t="array" ref="AM480">_xlfn.IFS(W480=0,"No_stock",W480=1,"Low",W480=2,"Medium",W480=3,"High")</f>
        <v>No_stock</v>
      </c>
      <c r="AN480" t="str">
        <f t="shared" si="7"/>
        <v>Medium</v>
      </c>
    </row>
    <row r="481" spans="1:40" x14ac:dyDescent="0.45">
      <c r="A481">
        <v>24</v>
      </c>
      <c r="B481" t="s">
        <v>30</v>
      </c>
      <c r="C481" t="s">
        <v>38</v>
      </c>
      <c r="D481">
        <v>1287</v>
      </c>
      <c r="E481" t="s">
        <v>39</v>
      </c>
      <c r="F481">
        <v>7</v>
      </c>
      <c r="G481">
        <v>3</v>
      </c>
      <c r="H481" t="s">
        <v>33</v>
      </c>
      <c r="I481">
        <v>647</v>
      </c>
      <c r="J481">
        <v>1</v>
      </c>
      <c r="K481" t="s">
        <v>34</v>
      </c>
      <c r="L481">
        <v>3</v>
      </c>
      <c r="M481">
        <v>1</v>
      </c>
      <c r="N481" t="s">
        <v>44</v>
      </c>
      <c r="O481">
        <v>3</v>
      </c>
      <c r="P481" t="s">
        <v>42</v>
      </c>
      <c r="Q481">
        <v>2886</v>
      </c>
      <c r="R481">
        <v>1</v>
      </c>
      <c r="S481" t="s">
        <v>30</v>
      </c>
      <c r="T481">
        <v>16</v>
      </c>
      <c r="U481">
        <v>3</v>
      </c>
      <c r="V481">
        <v>4</v>
      </c>
      <c r="W481">
        <v>1</v>
      </c>
      <c r="X481">
        <v>6</v>
      </c>
      <c r="Y481">
        <v>4</v>
      </c>
      <c r="Z481">
        <v>3</v>
      </c>
      <c r="AA481">
        <v>6</v>
      </c>
      <c r="AB481">
        <v>3</v>
      </c>
      <c r="AC481">
        <v>1</v>
      </c>
      <c r="AD481">
        <v>2</v>
      </c>
      <c r="AE481" t="str" cm="1">
        <f t="array" ref="AE481">_xlfn.IFS(G481=1,"Before College",G481=2,"College",G481=3,"Bachelor",G481=4,"Master",G481=5,"Doctor")</f>
        <v>Bachelor</v>
      </c>
      <c r="AF481" t="str" cm="1">
        <f t="array" ref="AF481">_xlfn.IFS(J481=1,"Low",J481=2,"Medium",J481=3,"High",J481=4,"Very High")</f>
        <v>Low</v>
      </c>
      <c r="AG481" t="str" cm="1">
        <f t="array" ref="AG481">_xlfn.IFS(L481=1,"Low",L481=2,"Medium",L481=3,"High",L481=4,"Very High")</f>
        <v>High</v>
      </c>
      <c r="AH481" t="str" cm="1">
        <f t="array" ref="AH481">_xlfn.IFS(M481=1,"Junior employee",M481=2,"Mid-level",M481=3,"Senior",M481=4,"Manager",M481=5,"Executive")</f>
        <v>Junior employee</v>
      </c>
      <c r="AI481" t="str" cm="1">
        <f t="array" ref="AI481">_xlfn.IFS(O481=1,"Low",O481=2,"Medium",O481=3,"High",O481=4,"Very High")</f>
        <v>High</v>
      </c>
      <c r="AJ481" t="str" cm="1">
        <f t="array" ref="AJ481">_xlfn.IFS(U481=1,"Low",U481=2,"Good",U481=3,"Excellent",U481=4,"Outstanding")</f>
        <v>Excellent</v>
      </c>
      <c r="AK481" t="str" cm="1">
        <f t="array" ref="AK481">_xlfn.IFS(V481=1,"Low",V481=2,"Medium",V481=3,"High",V481=4,"Very High")</f>
        <v>Very High</v>
      </c>
      <c r="AL481" t="str" cm="1">
        <f t="array" ref="AL481">_xlfn.IFS(Z481=1,"Bad",Z481=2,"Good",Z481=3,"Better",Z481=4,"Best")</f>
        <v>Better</v>
      </c>
      <c r="AM481" t="str" cm="1">
        <f t="array" ref="AM481">_xlfn.IFS(W481=0,"No_stock",W481=1,"Low",W481=2,"Medium",W481=3,"High")</f>
        <v>Low</v>
      </c>
      <c r="AN481" t="str">
        <f t="shared" si="7"/>
        <v>Medium</v>
      </c>
    </row>
    <row r="482" spans="1:40" x14ac:dyDescent="0.45">
      <c r="A482">
        <v>30</v>
      </c>
      <c r="B482" t="s">
        <v>30</v>
      </c>
      <c r="C482" t="s">
        <v>38</v>
      </c>
      <c r="D482">
        <v>448</v>
      </c>
      <c r="E482" t="s">
        <v>32</v>
      </c>
      <c r="F482">
        <v>12</v>
      </c>
      <c r="G482">
        <v>4</v>
      </c>
      <c r="H482" t="s">
        <v>33</v>
      </c>
      <c r="I482">
        <v>648</v>
      </c>
      <c r="J482">
        <v>2</v>
      </c>
      <c r="K482" t="s">
        <v>40</v>
      </c>
      <c r="L482">
        <v>2</v>
      </c>
      <c r="M482">
        <v>1</v>
      </c>
      <c r="N482" t="s">
        <v>51</v>
      </c>
      <c r="O482">
        <v>1</v>
      </c>
      <c r="P482" t="s">
        <v>42</v>
      </c>
      <c r="Q482">
        <v>2033</v>
      </c>
      <c r="R482">
        <v>1</v>
      </c>
      <c r="S482" t="s">
        <v>37</v>
      </c>
      <c r="T482">
        <v>18</v>
      </c>
      <c r="U482">
        <v>3</v>
      </c>
      <c r="V482">
        <v>3</v>
      </c>
      <c r="W482">
        <v>1</v>
      </c>
      <c r="X482">
        <v>1</v>
      </c>
      <c r="Y482">
        <v>2</v>
      </c>
      <c r="Z482">
        <v>4</v>
      </c>
      <c r="AA482">
        <v>1</v>
      </c>
      <c r="AB482">
        <v>0</v>
      </c>
      <c r="AC482">
        <v>0</v>
      </c>
      <c r="AD482">
        <v>0</v>
      </c>
      <c r="AE482" t="str" cm="1">
        <f t="array" ref="AE482">_xlfn.IFS(G482=1,"Before College",G482=2,"College",G482=3,"Bachelor",G482=4,"Master",G482=5,"Doctor")</f>
        <v>Master</v>
      </c>
      <c r="AF482" t="str" cm="1">
        <f t="array" ref="AF482">_xlfn.IFS(J482=1,"Low",J482=2,"Medium",J482=3,"High",J482=4,"Very High")</f>
        <v>Medium</v>
      </c>
      <c r="AG482" t="str" cm="1">
        <f t="array" ref="AG482">_xlfn.IFS(L482=1,"Low",L482=2,"Medium",L482=3,"High",L482=4,"Very High")</f>
        <v>Medium</v>
      </c>
      <c r="AH482" t="str" cm="1">
        <f t="array" ref="AH482">_xlfn.IFS(M482=1,"Junior employee",M482=2,"Mid-level",M482=3,"Senior",M482=4,"Manager",M482=5,"Executive")</f>
        <v>Junior employee</v>
      </c>
      <c r="AI482" t="str" cm="1">
        <f t="array" ref="AI482">_xlfn.IFS(O482=1,"Low",O482=2,"Medium",O482=3,"High",O482=4,"Very High")</f>
        <v>Low</v>
      </c>
      <c r="AJ482" t="str" cm="1">
        <f t="array" ref="AJ482">_xlfn.IFS(U482=1,"Low",U482=2,"Good",U482=3,"Excellent",U482=4,"Outstanding")</f>
        <v>Excellent</v>
      </c>
      <c r="AK482" t="str" cm="1">
        <f t="array" ref="AK482">_xlfn.IFS(V482=1,"Low",V482=2,"Medium",V482=3,"High",V482=4,"Very High")</f>
        <v>High</v>
      </c>
      <c r="AL482" t="str" cm="1">
        <f t="array" ref="AL482">_xlfn.IFS(Z482=1,"Bad",Z482=2,"Good",Z482=3,"Better",Z482=4,"Best")</f>
        <v>Best</v>
      </c>
      <c r="AM482" t="str" cm="1">
        <f t="array" ref="AM482">_xlfn.IFS(W482=0,"No_stock",W482=1,"Low",W482=2,"Medium",W482=3,"High")</f>
        <v>Low</v>
      </c>
      <c r="AN482" t="str">
        <f t="shared" si="7"/>
        <v>Medium</v>
      </c>
    </row>
    <row r="483" spans="1:40" x14ac:dyDescent="0.45">
      <c r="A483">
        <v>34</v>
      </c>
      <c r="B483" t="s">
        <v>37</v>
      </c>
      <c r="C483" t="s">
        <v>31</v>
      </c>
      <c r="D483">
        <v>254</v>
      </c>
      <c r="E483" t="s">
        <v>39</v>
      </c>
      <c r="F483">
        <v>1</v>
      </c>
      <c r="G483">
        <v>2</v>
      </c>
      <c r="H483" t="s">
        <v>33</v>
      </c>
      <c r="I483">
        <v>649</v>
      </c>
      <c r="J483">
        <v>2</v>
      </c>
      <c r="K483" t="s">
        <v>40</v>
      </c>
      <c r="L483">
        <v>2</v>
      </c>
      <c r="M483">
        <v>1</v>
      </c>
      <c r="N483" t="s">
        <v>41</v>
      </c>
      <c r="O483">
        <v>4</v>
      </c>
      <c r="P483" t="s">
        <v>42</v>
      </c>
      <c r="Q483">
        <v>3622</v>
      </c>
      <c r="R483">
        <v>1</v>
      </c>
      <c r="S483" t="s">
        <v>30</v>
      </c>
      <c r="T483">
        <v>13</v>
      </c>
      <c r="U483">
        <v>3</v>
      </c>
      <c r="V483">
        <v>4</v>
      </c>
      <c r="W483">
        <v>1</v>
      </c>
      <c r="X483">
        <v>6</v>
      </c>
      <c r="Y483">
        <v>3</v>
      </c>
      <c r="Z483">
        <v>3</v>
      </c>
      <c r="AA483">
        <v>6</v>
      </c>
      <c r="AB483">
        <v>5</v>
      </c>
      <c r="AC483">
        <v>1</v>
      </c>
      <c r="AD483">
        <v>3</v>
      </c>
      <c r="AE483" t="str" cm="1">
        <f t="array" ref="AE483">_xlfn.IFS(G483=1,"Before College",G483=2,"College",G483=3,"Bachelor",G483=4,"Master",G483=5,"Doctor")</f>
        <v>College</v>
      </c>
      <c r="AF483" t="str" cm="1">
        <f t="array" ref="AF483">_xlfn.IFS(J483=1,"Low",J483=2,"Medium",J483=3,"High",J483=4,"Very High")</f>
        <v>Medium</v>
      </c>
      <c r="AG483" t="str" cm="1">
        <f t="array" ref="AG483">_xlfn.IFS(L483=1,"Low",L483=2,"Medium",L483=3,"High",L483=4,"Very High")</f>
        <v>Medium</v>
      </c>
      <c r="AH483" t="str" cm="1">
        <f t="array" ref="AH483">_xlfn.IFS(M483=1,"Junior employee",M483=2,"Mid-level",M483=3,"Senior",M483=4,"Manager",M483=5,"Executive")</f>
        <v>Junior employee</v>
      </c>
      <c r="AI483" t="str" cm="1">
        <f t="array" ref="AI483">_xlfn.IFS(O483=1,"Low",O483=2,"Medium",O483=3,"High",O483=4,"Very High")</f>
        <v>Very High</v>
      </c>
      <c r="AJ483" t="str" cm="1">
        <f t="array" ref="AJ483">_xlfn.IFS(U483=1,"Low",U483=2,"Good",U483=3,"Excellent",U483=4,"Outstanding")</f>
        <v>Excellent</v>
      </c>
      <c r="AK483" t="str" cm="1">
        <f t="array" ref="AK483">_xlfn.IFS(V483=1,"Low",V483=2,"Medium",V483=3,"High",V483=4,"Very High")</f>
        <v>Very High</v>
      </c>
      <c r="AL483" t="str" cm="1">
        <f t="array" ref="AL483">_xlfn.IFS(Z483=1,"Bad",Z483=2,"Good",Z483=3,"Better",Z483=4,"Best")</f>
        <v>Better</v>
      </c>
      <c r="AM483" t="str" cm="1">
        <f t="array" ref="AM483">_xlfn.IFS(W483=0,"No_stock",W483=1,"Low",W483=2,"Medium",W483=3,"High")</f>
        <v>Low</v>
      </c>
      <c r="AN483" t="str">
        <f t="shared" si="7"/>
        <v>Near</v>
      </c>
    </row>
    <row r="484" spans="1:40" x14ac:dyDescent="0.45">
      <c r="A484">
        <v>31</v>
      </c>
      <c r="B484" t="s">
        <v>30</v>
      </c>
      <c r="C484" t="s">
        <v>31</v>
      </c>
      <c r="D484">
        <v>1365</v>
      </c>
      <c r="E484" t="s">
        <v>32</v>
      </c>
      <c r="F484">
        <v>13</v>
      </c>
      <c r="G484">
        <v>4</v>
      </c>
      <c r="H484" t="s">
        <v>45</v>
      </c>
      <c r="I484">
        <v>650</v>
      </c>
      <c r="J484">
        <v>2</v>
      </c>
      <c r="K484" t="s">
        <v>40</v>
      </c>
      <c r="L484">
        <v>3</v>
      </c>
      <c r="M484">
        <v>2</v>
      </c>
      <c r="N484" t="s">
        <v>35</v>
      </c>
      <c r="O484">
        <v>1</v>
      </c>
      <c r="P484" t="s">
        <v>46</v>
      </c>
      <c r="Q484">
        <v>4233</v>
      </c>
      <c r="R484">
        <v>2</v>
      </c>
      <c r="S484" t="s">
        <v>37</v>
      </c>
      <c r="T484">
        <v>17</v>
      </c>
      <c r="U484">
        <v>3</v>
      </c>
      <c r="V484">
        <v>3</v>
      </c>
      <c r="W484">
        <v>0</v>
      </c>
      <c r="X484">
        <v>9</v>
      </c>
      <c r="Y484">
        <v>2</v>
      </c>
      <c r="Z484">
        <v>1</v>
      </c>
      <c r="AA484">
        <v>3</v>
      </c>
      <c r="AB484">
        <v>1</v>
      </c>
      <c r="AC484">
        <v>1</v>
      </c>
      <c r="AD484">
        <v>2</v>
      </c>
      <c r="AE484" t="str" cm="1">
        <f t="array" ref="AE484">_xlfn.IFS(G484=1,"Before College",G484=2,"College",G484=3,"Bachelor",G484=4,"Master",G484=5,"Doctor")</f>
        <v>Master</v>
      </c>
      <c r="AF484" t="str" cm="1">
        <f t="array" ref="AF484">_xlfn.IFS(J484=1,"Low",J484=2,"Medium",J484=3,"High",J484=4,"Very High")</f>
        <v>Medium</v>
      </c>
      <c r="AG484" t="str" cm="1">
        <f t="array" ref="AG484">_xlfn.IFS(L484=1,"Low",L484=2,"Medium",L484=3,"High",L484=4,"Very High")</f>
        <v>High</v>
      </c>
      <c r="AH484" t="str" cm="1">
        <f t="array" ref="AH484">_xlfn.IFS(M484=1,"Junior employee",M484=2,"Mid-level",M484=3,"Senior",M484=4,"Manager",M484=5,"Executive")</f>
        <v>Mid-level</v>
      </c>
      <c r="AI484" t="str" cm="1">
        <f t="array" ref="AI484">_xlfn.IFS(O484=1,"Low",O484=2,"Medium",O484=3,"High",O484=4,"Very High")</f>
        <v>Low</v>
      </c>
      <c r="AJ484" t="str" cm="1">
        <f t="array" ref="AJ484">_xlfn.IFS(U484=1,"Low",U484=2,"Good",U484=3,"Excellent",U484=4,"Outstanding")</f>
        <v>Excellent</v>
      </c>
      <c r="AK484" t="str" cm="1">
        <f t="array" ref="AK484">_xlfn.IFS(V484=1,"Low",V484=2,"Medium",V484=3,"High",V484=4,"Very High")</f>
        <v>High</v>
      </c>
      <c r="AL484" t="str" cm="1">
        <f t="array" ref="AL484">_xlfn.IFS(Z484=1,"Bad",Z484=2,"Good",Z484=3,"Better",Z484=4,"Best")</f>
        <v>Bad</v>
      </c>
      <c r="AM484" t="str" cm="1">
        <f t="array" ref="AM484">_xlfn.IFS(W484=0,"No_stock",W484=1,"Low",W484=2,"Medium",W484=3,"High")</f>
        <v>No_stock</v>
      </c>
      <c r="AN484" t="str">
        <f t="shared" si="7"/>
        <v>Medium</v>
      </c>
    </row>
    <row r="485" spans="1:40" x14ac:dyDescent="0.45">
      <c r="A485">
        <v>35</v>
      </c>
      <c r="B485" t="s">
        <v>37</v>
      </c>
      <c r="C485" t="s">
        <v>31</v>
      </c>
      <c r="D485">
        <v>538</v>
      </c>
      <c r="E485" t="s">
        <v>39</v>
      </c>
      <c r="F485">
        <v>25</v>
      </c>
      <c r="G485">
        <v>2</v>
      </c>
      <c r="H485" t="s">
        <v>43</v>
      </c>
      <c r="I485">
        <v>652</v>
      </c>
      <c r="J485">
        <v>1</v>
      </c>
      <c r="K485" t="s">
        <v>40</v>
      </c>
      <c r="L485">
        <v>2</v>
      </c>
      <c r="M485">
        <v>2</v>
      </c>
      <c r="N485" t="s">
        <v>44</v>
      </c>
      <c r="O485">
        <v>4</v>
      </c>
      <c r="P485" t="s">
        <v>36</v>
      </c>
      <c r="Q485">
        <v>3681</v>
      </c>
      <c r="R485">
        <v>4</v>
      </c>
      <c r="S485" t="s">
        <v>37</v>
      </c>
      <c r="T485">
        <v>14</v>
      </c>
      <c r="U485">
        <v>3</v>
      </c>
      <c r="V485">
        <v>4</v>
      </c>
      <c r="W485">
        <v>0</v>
      </c>
      <c r="X485">
        <v>9</v>
      </c>
      <c r="Y485">
        <v>3</v>
      </c>
      <c r="Z485">
        <v>3</v>
      </c>
      <c r="AA485">
        <v>3</v>
      </c>
      <c r="AB485">
        <v>2</v>
      </c>
      <c r="AC485">
        <v>0</v>
      </c>
      <c r="AD485">
        <v>2</v>
      </c>
      <c r="AE485" t="str" cm="1">
        <f t="array" ref="AE485">_xlfn.IFS(G485=1,"Before College",G485=2,"College",G485=3,"Bachelor",G485=4,"Master",G485=5,"Doctor")</f>
        <v>College</v>
      </c>
      <c r="AF485" t="str" cm="1">
        <f t="array" ref="AF485">_xlfn.IFS(J485=1,"Low",J485=2,"Medium",J485=3,"High",J485=4,"Very High")</f>
        <v>Low</v>
      </c>
      <c r="AG485" t="str" cm="1">
        <f t="array" ref="AG485">_xlfn.IFS(L485=1,"Low",L485=2,"Medium",L485=3,"High",L485=4,"Very High")</f>
        <v>Medium</v>
      </c>
      <c r="AH485" t="str" cm="1">
        <f t="array" ref="AH485">_xlfn.IFS(M485=1,"Junior employee",M485=2,"Mid-level",M485=3,"Senior",M485=4,"Manager",M485=5,"Executive")</f>
        <v>Mid-level</v>
      </c>
      <c r="AI485" t="str" cm="1">
        <f t="array" ref="AI485">_xlfn.IFS(O485=1,"Low",O485=2,"Medium",O485=3,"High",O485=4,"Very High")</f>
        <v>Very High</v>
      </c>
      <c r="AJ485" t="str" cm="1">
        <f t="array" ref="AJ485">_xlfn.IFS(U485=1,"Low",U485=2,"Good",U485=3,"Excellent",U485=4,"Outstanding")</f>
        <v>Excellent</v>
      </c>
      <c r="AK485" t="str" cm="1">
        <f t="array" ref="AK485">_xlfn.IFS(V485=1,"Low",V485=2,"Medium",V485=3,"High",V485=4,"Very High")</f>
        <v>Very High</v>
      </c>
      <c r="AL485" t="str" cm="1">
        <f t="array" ref="AL485">_xlfn.IFS(Z485=1,"Bad",Z485=2,"Good",Z485=3,"Better",Z485=4,"Best")</f>
        <v>Better</v>
      </c>
      <c r="AM485" t="str" cm="1">
        <f t="array" ref="AM485">_xlfn.IFS(W485=0,"No_stock",W485=1,"Low",W485=2,"Medium",W485=3,"High")</f>
        <v>No_stock</v>
      </c>
      <c r="AN485" t="str">
        <f t="shared" si="7"/>
        <v>Far</v>
      </c>
    </row>
    <row r="486" spans="1:40" x14ac:dyDescent="0.45">
      <c r="A486">
        <v>31</v>
      </c>
      <c r="B486" t="s">
        <v>37</v>
      </c>
      <c r="C486" t="s">
        <v>31</v>
      </c>
      <c r="D486">
        <v>525</v>
      </c>
      <c r="E486" t="s">
        <v>32</v>
      </c>
      <c r="F486">
        <v>6</v>
      </c>
      <c r="G486">
        <v>4</v>
      </c>
      <c r="H486" t="s">
        <v>45</v>
      </c>
      <c r="I486">
        <v>653</v>
      </c>
      <c r="J486">
        <v>1</v>
      </c>
      <c r="K486" t="s">
        <v>40</v>
      </c>
      <c r="L486">
        <v>4</v>
      </c>
      <c r="M486">
        <v>2</v>
      </c>
      <c r="N486" t="s">
        <v>35</v>
      </c>
      <c r="O486">
        <v>4</v>
      </c>
      <c r="P486" t="s">
        <v>46</v>
      </c>
      <c r="Q486">
        <v>5460</v>
      </c>
      <c r="R486">
        <v>4</v>
      </c>
      <c r="S486" t="s">
        <v>37</v>
      </c>
      <c r="T486">
        <v>22</v>
      </c>
      <c r="U486">
        <v>4</v>
      </c>
      <c r="V486">
        <v>4</v>
      </c>
      <c r="W486">
        <v>2</v>
      </c>
      <c r="X486">
        <v>13</v>
      </c>
      <c r="Y486">
        <v>4</v>
      </c>
      <c r="Z486">
        <v>4</v>
      </c>
      <c r="AA486">
        <v>7</v>
      </c>
      <c r="AB486">
        <v>7</v>
      </c>
      <c r="AC486">
        <v>5</v>
      </c>
      <c r="AD486">
        <v>7</v>
      </c>
      <c r="AE486" t="str" cm="1">
        <f t="array" ref="AE486">_xlfn.IFS(G486=1,"Before College",G486=2,"College",G486=3,"Bachelor",G486=4,"Master",G486=5,"Doctor")</f>
        <v>Master</v>
      </c>
      <c r="AF486" t="str" cm="1">
        <f t="array" ref="AF486">_xlfn.IFS(J486=1,"Low",J486=2,"Medium",J486=3,"High",J486=4,"Very High")</f>
        <v>Low</v>
      </c>
      <c r="AG486" t="str" cm="1">
        <f t="array" ref="AG486">_xlfn.IFS(L486=1,"Low",L486=2,"Medium",L486=3,"High",L486=4,"Very High")</f>
        <v>Very High</v>
      </c>
      <c r="AH486" t="str" cm="1">
        <f t="array" ref="AH486">_xlfn.IFS(M486=1,"Junior employee",M486=2,"Mid-level",M486=3,"Senior",M486=4,"Manager",M486=5,"Executive")</f>
        <v>Mid-level</v>
      </c>
      <c r="AI486" t="str" cm="1">
        <f t="array" ref="AI486">_xlfn.IFS(O486=1,"Low",O486=2,"Medium",O486=3,"High",O486=4,"Very High")</f>
        <v>Very High</v>
      </c>
      <c r="AJ486" t="str" cm="1">
        <f t="array" ref="AJ486">_xlfn.IFS(U486=1,"Low",U486=2,"Good",U486=3,"Excellent",U486=4,"Outstanding")</f>
        <v>Outstanding</v>
      </c>
      <c r="AK486" t="str" cm="1">
        <f t="array" ref="AK486">_xlfn.IFS(V486=1,"Low",V486=2,"Medium",V486=3,"High",V486=4,"Very High")</f>
        <v>Very High</v>
      </c>
      <c r="AL486" t="str" cm="1">
        <f t="array" ref="AL486">_xlfn.IFS(Z486=1,"Bad",Z486=2,"Good",Z486=3,"Better",Z486=4,"Best")</f>
        <v>Best</v>
      </c>
      <c r="AM486" t="str" cm="1">
        <f t="array" ref="AM486">_xlfn.IFS(W486=0,"No_stock",W486=1,"Low",W486=2,"Medium",W486=3,"High")</f>
        <v>Medium</v>
      </c>
      <c r="AN486" t="str">
        <f t="shared" si="7"/>
        <v>Medium</v>
      </c>
    </row>
    <row r="487" spans="1:40" x14ac:dyDescent="0.45">
      <c r="A487">
        <v>27</v>
      </c>
      <c r="B487" t="s">
        <v>37</v>
      </c>
      <c r="C487" t="s">
        <v>31</v>
      </c>
      <c r="D487">
        <v>798</v>
      </c>
      <c r="E487" t="s">
        <v>39</v>
      </c>
      <c r="F487">
        <v>6</v>
      </c>
      <c r="G487">
        <v>4</v>
      </c>
      <c r="H487" t="s">
        <v>45</v>
      </c>
      <c r="I487">
        <v>655</v>
      </c>
      <c r="J487">
        <v>1</v>
      </c>
      <c r="K487" t="s">
        <v>34</v>
      </c>
      <c r="L487">
        <v>2</v>
      </c>
      <c r="M487">
        <v>1</v>
      </c>
      <c r="N487" t="s">
        <v>41</v>
      </c>
      <c r="O487">
        <v>3</v>
      </c>
      <c r="P487" t="s">
        <v>46</v>
      </c>
      <c r="Q487">
        <v>2187</v>
      </c>
      <c r="R487">
        <v>0</v>
      </c>
      <c r="S487" t="s">
        <v>37</v>
      </c>
      <c r="T487">
        <v>12</v>
      </c>
      <c r="U487">
        <v>3</v>
      </c>
      <c r="V487">
        <v>3</v>
      </c>
      <c r="W487">
        <v>2</v>
      </c>
      <c r="X487">
        <v>6</v>
      </c>
      <c r="Y487">
        <v>5</v>
      </c>
      <c r="Z487">
        <v>2</v>
      </c>
      <c r="AA487">
        <v>5</v>
      </c>
      <c r="AB487">
        <v>3</v>
      </c>
      <c r="AC487">
        <v>0</v>
      </c>
      <c r="AD487">
        <v>3</v>
      </c>
      <c r="AE487" t="str" cm="1">
        <f t="array" ref="AE487">_xlfn.IFS(G487=1,"Before College",G487=2,"College",G487=3,"Bachelor",G487=4,"Master",G487=5,"Doctor")</f>
        <v>Master</v>
      </c>
      <c r="AF487" t="str" cm="1">
        <f t="array" ref="AF487">_xlfn.IFS(J487=1,"Low",J487=2,"Medium",J487=3,"High",J487=4,"Very High")</f>
        <v>Low</v>
      </c>
      <c r="AG487" t="str" cm="1">
        <f t="array" ref="AG487">_xlfn.IFS(L487=1,"Low",L487=2,"Medium",L487=3,"High",L487=4,"Very High")</f>
        <v>Medium</v>
      </c>
      <c r="AH487" t="str" cm="1">
        <f t="array" ref="AH487">_xlfn.IFS(M487=1,"Junior employee",M487=2,"Mid-level",M487=3,"Senior",M487=4,"Manager",M487=5,"Executive")</f>
        <v>Junior employee</v>
      </c>
      <c r="AI487" t="str" cm="1">
        <f t="array" ref="AI487">_xlfn.IFS(O487=1,"Low",O487=2,"Medium",O487=3,"High",O487=4,"Very High")</f>
        <v>High</v>
      </c>
      <c r="AJ487" t="str" cm="1">
        <f t="array" ref="AJ487">_xlfn.IFS(U487=1,"Low",U487=2,"Good",U487=3,"Excellent",U487=4,"Outstanding")</f>
        <v>Excellent</v>
      </c>
      <c r="AK487" t="str" cm="1">
        <f t="array" ref="AK487">_xlfn.IFS(V487=1,"Low",V487=2,"Medium",V487=3,"High",V487=4,"Very High")</f>
        <v>High</v>
      </c>
      <c r="AL487" t="str" cm="1">
        <f t="array" ref="AL487">_xlfn.IFS(Z487=1,"Bad",Z487=2,"Good",Z487=3,"Better",Z487=4,"Best")</f>
        <v>Good</v>
      </c>
      <c r="AM487" t="str" cm="1">
        <f t="array" ref="AM487">_xlfn.IFS(W487=0,"No_stock",W487=1,"Low",W487=2,"Medium",W487=3,"High")</f>
        <v>Medium</v>
      </c>
      <c r="AN487" t="str">
        <f t="shared" si="7"/>
        <v>Medium</v>
      </c>
    </row>
    <row r="488" spans="1:40" x14ac:dyDescent="0.45">
      <c r="A488">
        <v>37</v>
      </c>
      <c r="B488" t="s">
        <v>37</v>
      </c>
      <c r="C488" t="s">
        <v>31</v>
      </c>
      <c r="D488">
        <v>558</v>
      </c>
      <c r="E488" t="s">
        <v>32</v>
      </c>
      <c r="F488">
        <v>2</v>
      </c>
      <c r="G488">
        <v>3</v>
      </c>
      <c r="H488" t="s">
        <v>53</v>
      </c>
      <c r="I488">
        <v>656</v>
      </c>
      <c r="J488">
        <v>4</v>
      </c>
      <c r="K488" t="s">
        <v>40</v>
      </c>
      <c r="L488">
        <v>3</v>
      </c>
      <c r="M488">
        <v>2</v>
      </c>
      <c r="N488" t="s">
        <v>35</v>
      </c>
      <c r="O488">
        <v>3</v>
      </c>
      <c r="P488" t="s">
        <v>42</v>
      </c>
      <c r="Q488">
        <v>9602</v>
      </c>
      <c r="R488">
        <v>4</v>
      </c>
      <c r="S488" t="s">
        <v>30</v>
      </c>
      <c r="T488">
        <v>11</v>
      </c>
      <c r="U488">
        <v>3</v>
      </c>
      <c r="V488">
        <v>3</v>
      </c>
      <c r="W488">
        <v>1</v>
      </c>
      <c r="X488">
        <v>17</v>
      </c>
      <c r="Y488">
        <v>3</v>
      </c>
      <c r="Z488">
        <v>2</v>
      </c>
      <c r="AA488">
        <v>3</v>
      </c>
      <c r="AB488">
        <v>0</v>
      </c>
      <c r="AC488">
        <v>1</v>
      </c>
      <c r="AD488">
        <v>0</v>
      </c>
      <c r="AE488" t="str" cm="1">
        <f t="array" ref="AE488">_xlfn.IFS(G488=1,"Before College",G488=2,"College",G488=3,"Bachelor",G488=4,"Master",G488=5,"Doctor")</f>
        <v>Bachelor</v>
      </c>
      <c r="AF488" t="str" cm="1">
        <f t="array" ref="AF488">_xlfn.IFS(J488=1,"Low",J488=2,"Medium",J488=3,"High",J488=4,"Very High")</f>
        <v>Very High</v>
      </c>
      <c r="AG488" t="str" cm="1">
        <f t="array" ref="AG488">_xlfn.IFS(L488=1,"Low",L488=2,"Medium",L488=3,"High",L488=4,"Very High")</f>
        <v>High</v>
      </c>
      <c r="AH488" t="str" cm="1">
        <f t="array" ref="AH488">_xlfn.IFS(M488=1,"Junior employee",M488=2,"Mid-level",M488=3,"Senior",M488=4,"Manager",M488=5,"Executive")</f>
        <v>Mid-level</v>
      </c>
      <c r="AI488" t="str" cm="1">
        <f t="array" ref="AI488">_xlfn.IFS(O488=1,"Low",O488=2,"Medium",O488=3,"High",O488=4,"Very High")</f>
        <v>High</v>
      </c>
      <c r="AJ488" t="str" cm="1">
        <f t="array" ref="AJ488">_xlfn.IFS(U488=1,"Low",U488=2,"Good",U488=3,"Excellent",U488=4,"Outstanding")</f>
        <v>Excellent</v>
      </c>
      <c r="AK488" t="str" cm="1">
        <f t="array" ref="AK488">_xlfn.IFS(V488=1,"Low",V488=2,"Medium",V488=3,"High",V488=4,"Very High")</f>
        <v>High</v>
      </c>
      <c r="AL488" t="str" cm="1">
        <f t="array" ref="AL488">_xlfn.IFS(Z488=1,"Bad",Z488=2,"Good",Z488=3,"Better",Z488=4,"Best")</f>
        <v>Good</v>
      </c>
      <c r="AM488" t="str" cm="1">
        <f t="array" ref="AM488">_xlfn.IFS(W488=0,"No_stock",W488=1,"Low",W488=2,"Medium",W488=3,"High")</f>
        <v>Low</v>
      </c>
      <c r="AN488" t="str">
        <f t="shared" si="7"/>
        <v>Near</v>
      </c>
    </row>
    <row r="489" spans="1:40" x14ac:dyDescent="0.45">
      <c r="A489">
        <v>20</v>
      </c>
      <c r="B489" t="s">
        <v>37</v>
      </c>
      <c r="C489" t="s">
        <v>31</v>
      </c>
      <c r="D489">
        <v>959</v>
      </c>
      <c r="E489" t="s">
        <v>39</v>
      </c>
      <c r="F489">
        <v>1</v>
      </c>
      <c r="G489">
        <v>3</v>
      </c>
      <c r="H489" t="s">
        <v>33</v>
      </c>
      <c r="I489">
        <v>657</v>
      </c>
      <c r="J489">
        <v>4</v>
      </c>
      <c r="K489" t="s">
        <v>34</v>
      </c>
      <c r="L489">
        <v>2</v>
      </c>
      <c r="M489">
        <v>1</v>
      </c>
      <c r="N489" t="s">
        <v>41</v>
      </c>
      <c r="O489">
        <v>2</v>
      </c>
      <c r="P489" t="s">
        <v>36</v>
      </c>
      <c r="Q489">
        <v>2836</v>
      </c>
      <c r="R489">
        <v>1</v>
      </c>
      <c r="S489" t="s">
        <v>37</v>
      </c>
      <c r="T489">
        <v>13</v>
      </c>
      <c r="U489">
        <v>3</v>
      </c>
      <c r="V489">
        <v>4</v>
      </c>
      <c r="W489">
        <v>0</v>
      </c>
      <c r="X489">
        <v>1</v>
      </c>
      <c r="Y489">
        <v>0</v>
      </c>
      <c r="Z489">
        <v>4</v>
      </c>
      <c r="AA489">
        <v>1</v>
      </c>
      <c r="AB489">
        <v>0</v>
      </c>
      <c r="AC489">
        <v>0</v>
      </c>
      <c r="AD489">
        <v>0</v>
      </c>
      <c r="AE489" t="str" cm="1">
        <f t="array" ref="AE489">_xlfn.IFS(G489=1,"Before College",G489=2,"College",G489=3,"Bachelor",G489=4,"Master",G489=5,"Doctor")</f>
        <v>Bachelor</v>
      </c>
      <c r="AF489" t="str" cm="1">
        <f t="array" ref="AF489">_xlfn.IFS(J489=1,"Low",J489=2,"Medium",J489=3,"High",J489=4,"Very High")</f>
        <v>Very High</v>
      </c>
      <c r="AG489" t="str" cm="1">
        <f t="array" ref="AG489">_xlfn.IFS(L489=1,"Low",L489=2,"Medium",L489=3,"High",L489=4,"Very High")</f>
        <v>Medium</v>
      </c>
      <c r="AH489" t="str" cm="1">
        <f t="array" ref="AH489">_xlfn.IFS(M489=1,"Junior employee",M489=2,"Mid-level",M489=3,"Senior",M489=4,"Manager",M489=5,"Executive")</f>
        <v>Junior employee</v>
      </c>
      <c r="AI489" t="str" cm="1">
        <f t="array" ref="AI489">_xlfn.IFS(O489=1,"Low",O489=2,"Medium",O489=3,"High",O489=4,"Very High")</f>
        <v>Medium</v>
      </c>
      <c r="AJ489" t="str" cm="1">
        <f t="array" ref="AJ489">_xlfn.IFS(U489=1,"Low",U489=2,"Good",U489=3,"Excellent",U489=4,"Outstanding")</f>
        <v>Excellent</v>
      </c>
      <c r="AK489" t="str" cm="1">
        <f t="array" ref="AK489">_xlfn.IFS(V489=1,"Low",V489=2,"Medium",V489=3,"High",V489=4,"Very High")</f>
        <v>Very High</v>
      </c>
      <c r="AL489" t="str" cm="1">
        <f t="array" ref="AL489">_xlfn.IFS(Z489=1,"Bad",Z489=2,"Good",Z489=3,"Better",Z489=4,"Best")</f>
        <v>Best</v>
      </c>
      <c r="AM489" t="str" cm="1">
        <f t="array" ref="AM489">_xlfn.IFS(W489=0,"No_stock",W489=1,"Low",W489=2,"Medium",W489=3,"High")</f>
        <v>No_stock</v>
      </c>
      <c r="AN489" t="str">
        <f t="shared" si="7"/>
        <v>Near</v>
      </c>
    </row>
    <row r="490" spans="1:40" x14ac:dyDescent="0.45">
      <c r="A490">
        <v>42</v>
      </c>
      <c r="B490" t="s">
        <v>37</v>
      </c>
      <c r="C490" t="s">
        <v>31</v>
      </c>
      <c r="D490">
        <v>622</v>
      </c>
      <c r="E490" t="s">
        <v>39</v>
      </c>
      <c r="F490">
        <v>2</v>
      </c>
      <c r="G490">
        <v>4</v>
      </c>
      <c r="H490" t="s">
        <v>33</v>
      </c>
      <c r="I490">
        <v>659</v>
      </c>
      <c r="J490">
        <v>3</v>
      </c>
      <c r="K490" t="s">
        <v>34</v>
      </c>
      <c r="L490">
        <v>3</v>
      </c>
      <c r="M490">
        <v>2</v>
      </c>
      <c r="N490" t="s">
        <v>48</v>
      </c>
      <c r="O490">
        <v>4</v>
      </c>
      <c r="P490" t="s">
        <v>42</v>
      </c>
      <c r="Q490">
        <v>4089</v>
      </c>
      <c r="R490">
        <v>1</v>
      </c>
      <c r="S490" t="s">
        <v>37</v>
      </c>
      <c r="T490">
        <v>13</v>
      </c>
      <c r="U490">
        <v>3</v>
      </c>
      <c r="V490">
        <v>2</v>
      </c>
      <c r="W490">
        <v>2</v>
      </c>
      <c r="X490">
        <v>10</v>
      </c>
      <c r="Y490">
        <v>4</v>
      </c>
      <c r="Z490">
        <v>3</v>
      </c>
      <c r="AA490">
        <v>10</v>
      </c>
      <c r="AB490">
        <v>2</v>
      </c>
      <c r="AC490">
        <v>2</v>
      </c>
      <c r="AD490">
        <v>2</v>
      </c>
      <c r="AE490" t="str" cm="1">
        <f t="array" ref="AE490">_xlfn.IFS(G490=1,"Before College",G490=2,"College",G490=3,"Bachelor",G490=4,"Master",G490=5,"Doctor")</f>
        <v>Master</v>
      </c>
      <c r="AF490" t="str" cm="1">
        <f t="array" ref="AF490">_xlfn.IFS(J490=1,"Low",J490=2,"Medium",J490=3,"High",J490=4,"Very High")</f>
        <v>High</v>
      </c>
      <c r="AG490" t="str" cm="1">
        <f t="array" ref="AG490">_xlfn.IFS(L490=1,"Low",L490=2,"Medium",L490=3,"High",L490=4,"Very High")</f>
        <v>High</v>
      </c>
      <c r="AH490" t="str" cm="1">
        <f t="array" ref="AH490">_xlfn.IFS(M490=1,"Junior employee",M490=2,"Mid-level",M490=3,"Senior",M490=4,"Manager",M490=5,"Executive")</f>
        <v>Mid-level</v>
      </c>
      <c r="AI490" t="str" cm="1">
        <f t="array" ref="AI490">_xlfn.IFS(O490=1,"Low",O490=2,"Medium",O490=3,"High",O490=4,"Very High")</f>
        <v>Very High</v>
      </c>
      <c r="AJ490" t="str" cm="1">
        <f t="array" ref="AJ490">_xlfn.IFS(U490=1,"Low",U490=2,"Good",U490=3,"Excellent",U490=4,"Outstanding")</f>
        <v>Excellent</v>
      </c>
      <c r="AK490" t="str" cm="1">
        <f t="array" ref="AK490">_xlfn.IFS(V490=1,"Low",V490=2,"Medium",V490=3,"High",V490=4,"Very High")</f>
        <v>Medium</v>
      </c>
      <c r="AL490" t="str" cm="1">
        <f t="array" ref="AL490">_xlfn.IFS(Z490=1,"Bad",Z490=2,"Good",Z490=3,"Better",Z490=4,"Best")</f>
        <v>Better</v>
      </c>
      <c r="AM490" t="str" cm="1">
        <f t="array" ref="AM490">_xlfn.IFS(W490=0,"No_stock",W490=1,"Low",W490=2,"Medium",W490=3,"High")</f>
        <v>Medium</v>
      </c>
      <c r="AN490" t="str">
        <f t="shared" si="7"/>
        <v>Near</v>
      </c>
    </row>
    <row r="491" spans="1:40" x14ac:dyDescent="0.45">
      <c r="A491">
        <v>43</v>
      </c>
      <c r="B491" t="s">
        <v>37</v>
      </c>
      <c r="C491" t="s">
        <v>31</v>
      </c>
      <c r="D491">
        <v>782</v>
      </c>
      <c r="E491" t="s">
        <v>39</v>
      </c>
      <c r="F491">
        <v>6</v>
      </c>
      <c r="G491">
        <v>4</v>
      </c>
      <c r="H491" t="s">
        <v>43</v>
      </c>
      <c r="I491">
        <v>661</v>
      </c>
      <c r="J491">
        <v>2</v>
      </c>
      <c r="K491" t="s">
        <v>40</v>
      </c>
      <c r="L491">
        <v>2</v>
      </c>
      <c r="M491">
        <v>4</v>
      </c>
      <c r="N491" t="s">
        <v>52</v>
      </c>
      <c r="O491">
        <v>4</v>
      </c>
      <c r="P491" t="s">
        <v>46</v>
      </c>
      <c r="Q491">
        <v>16627</v>
      </c>
      <c r="R491">
        <v>4</v>
      </c>
      <c r="S491" t="s">
        <v>30</v>
      </c>
      <c r="T491">
        <v>14</v>
      </c>
      <c r="U491">
        <v>3</v>
      </c>
      <c r="V491">
        <v>3</v>
      </c>
      <c r="W491">
        <v>1</v>
      </c>
      <c r="X491">
        <v>21</v>
      </c>
      <c r="Y491">
        <v>3</v>
      </c>
      <c r="Z491">
        <v>2</v>
      </c>
      <c r="AA491">
        <v>1</v>
      </c>
      <c r="AB491">
        <v>0</v>
      </c>
      <c r="AC491">
        <v>0</v>
      </c>
      <c r="AD491">
        <v>0</v>
      </c>
      <c r="AE491" t="str" cm="1">
        <f t="array" ref="AE491">_xlfn.IFS(G491=1,"Before College",G491=2,"College",G491=3,"Bachelor",G491=4,"Master",G491=5,"Doctor")</f>
        <v>Master</v>
      </c>
      <c r="AF491" t="str" cm="1">
        <f t="array" ref="AF491">_xlfn.IFS(J491=1,"Low",J491=2,"Medium",J491=3,"High",J491=4,"Very High")</f>
        <v>Medium</v>
      </c>
      <c r="AG491" t="str" cm="1">
        <f t="array" ref="AG491">_xlfn.IFS(L491=1,"Low",L491=2,"Medium",L491=3,"High",L491=4,"Very High")</f>
        <v>Medium</v>
      </c>
      <c r="AH491" t="str" cm="1">
        <f t="array" ref="AH491">_xlfn.IFS(M491=1,"Junior employee",M491=2,"Mid-level",M491=3,"Senior",M491=4,"Manager",M491=5,"Executive")</f>
        <v>Manager</v>
      </c>
      <c r="AI491" t="str" cm="1">
        <f t="array" ref="AI491">_xlfn.IFS(O491=1,"Low",O491=2,"Medium",O491=3,"High",O491=4,"Very High")</f>
        <v>Very High</v>
      </c>
      <c r="AJ491" t="str" cm="1">
        <f t="array" ref="AJ491">_xlfn.IFS(U491=1,"Low",U491=2,"Good",U491=3,"Excellent",U491=4,"Outstanding")</f>
        <v>Excellent</v>
      </c>
      <c r="AK491" t="str" cm="1">
        <f t="array" ref="AK491">_xlfn.IFS(V491=1,"Low",V491=2,"Medium",V491=3,"High",V491=4,"Very High")</f>
        <v>High</v>
      </c>
      <c r="AL491" t="str" cm="1">
        <f t="array" ref="AL491">_xlfn.IFS(Z491=1,"Bad",Z491=2,"Good",Z491=3,"Better",Z491=4,"Best")</f>
        <v>Good</v>
      </c>
      <c r="AM491" t="str" cm="1">
        <f t="array" ref="AM491">_xlfn.IFS(W491=0,"No_stock",W491=1,"Low",W491=2,"Medium",W491=3,"High")</f>
        <v>Low</v>
      </c>
      <c r="AN491" t="str">
        <f t="shared" si="7"/>
        <v>Medium</v>
      </c>
    </row>
    <row r="492" spans="1:40" x14ac:dyDescent="0.45">
      <c r="A492">
        <v>38</v>
      </c>
      <c r="B492" t="s">
        <v>37</v>
      </c>
      <c r="C492" t="s">
        <v>31</v>
      </c>
      <c r="D492">
        <v>362</v>
      </c>
      <c r="E492" t="s">
        <v>39</v>
      </c>
      <c r="F492">
        <v>1</v>
      </c>
      <c r="G492">
        <v>1</v>
      </c>
      <c r="H492" t="s">
        <v>33</v>
      </c>
      <c r="I492">
        <v>662</v>
      </c>
      <c r="J492">
        <v>3</v>
      </c>
      <c r="K492" t="s">
        <v>34</v>
      </c>
      <c r="L492">
        <v>3</v>
      </c>
      <c r="M492">
        <v>1</v>
      </c>
      <c r="N492" t="s">
        <v>41</v>
      </c>
      <c r="O492">
        <v>1</v>
      </c>
      <c r="P492" t="s">
        <v>36</v>
      </c>
      <c r="Q492">
        <v>2619</v>
      </c>
      <c r="R492">
        <v>3</v>
      </c>
      <c r="S492" t="s">
        <v>37</v>
      </c>
      <c r="T492">
        <v>17</v>
      </c>
      <c r="U492">
        <v>3</v>
      </c>
      <c r="V492">
        <v>4</v>
      </c>
      <c r="W492">
        <v>0</v>
      </c>
      <c r="X492">
        <v>8</v>
      </c>
      <c r="Y492">
        <v>3</v>
      </c>
      <c r="Z492">
        <v>2</v>
      </c>
      <c r="AA492">
        <v>0</v>
      </c>
      <c r="AB492">
        <v>0</v>
      </c>
      <c r="AC492">
        <v>0</v>
      </c>
      <c r="AD492">
        <v>0</v>
      </c>
      <c r="AE492" t="str" cm="1">
        <f t="array" ref="AE492">_xlfn.IFS(G492=1,"Before College",G492=2,"College",G492=3,"Bachelor",G492=4,"Master",G492=5,"Doctor")</f>
        <v>Before College</v>
      </c>
      <c r="AF492" t="str" cm="1">
        <f t="array" ref="AF492">_xlfn.IFS(J492=1,"Low",J492=2,"Medium",J492=3,"High",J492=4,"Very High")</f>
        <v>High</v>
      </c>
      <c r="AG492" t="str" cm="1">
        <f t="array" ref="AG492">_xlfn.IFS(L492=1,"Low",L492=2,"Medium",L492=3,"High",L492=4,"Very High")</f>
        <v>High</v>
      </c>
      <c r="AH492" t="str" cm="1">
        <f t="array" ref="AH492">_xlfn.IFS(M492=1,"Junior employee",M492=2,"Mid-level",M492=3,"Senior",M492=4,"Manager",M492=5,"Executive")</f>
        <v>Junior employee</v>
      </c>
      <c r="AI492" t="str" cm="1">
        <f t="array" ref="AI492">_xlfn.IFS(O492=1,"Low",O492=2,"Medium",O492=3,"High",O492=4,"Very High")</f>
        <v>Low</v>
      </c>
      <c r="AJ492" t="str" cm="1">
        <f t="array" ref="AJ492">_xlfn.IFS(U492=1,"Low",U492=2,"Good",U492=3,"Excellent",U492=4,"Outstanding")</f>
        <v>Excellent</v>
      </c>
      <c r="AK492" t="str" cm="1">
        <f t="array" ref="AK492">_xlfn.IFS(V492=1,"Low",V492=2,"Medium",V492=3,"High",V492=4,"Very High")</f>
        <v>Very High</v>
      </c>
      <c r="AL492" t="str" cm="1">
        <f t="array" ref="AL492">_xlfn.IFS(Z492=1,"Bad",Z492=2,"Good",Z492=3,"Better",Z492=4,"Best")</f>
        <v>Good</v>
      </c>
      <c r="AM492" t="str" cm="1">
        <f t="array" ref="AM492">_xlfn.IFS(W492=0,"No_stock",W492=1,"Low",W492=2,"Medium",W492=3,"High")</f>
        <v>No_stock</v>
      </c>
      <c r="AN492" t="str">
        <f t="shared" si="7"/>
        <v>Near</v>
      </c>
    </row>
    <row r="493" spans="1:40" x14ac:dyDescent="0.45">
      <c r="A493">
        <v>43</v>
      </c>
      <c r="B493" t="s">
        <v>37</v>
      </c>
      <c r="C493" t="s">
        <v>38</v>
      </c>
      <c r="D493">
        <v>1001</v>
      </c>
      <c r="E493" t="s">
        <v>39</v>
      </c>
      <c r="F493">
        <v>9</v>
      </c>
      <c r="G493">
        <v>5</v>
      </c>
      <c r="H493" t="s">
        <v>45</v>
      </c>
      <c r="I493">
        <v>663</v>
      </c>
      <c r="J493">
        <v>4</v>
      </c>
      <c r="K493" t="s">
        <v>40</v>
      </c>
      <c r="L493">
        <v>3</v>
      </c>
      <c r="M493">
        <v>2</v>
      </c>
      <c r="N493" t="s">
        <v>44</v>
      </c>
      <c r="O493">
        <v>3</v>
      </c>
      <c r="P493" t="s">
        <v>46</v>
      </c>
      <c r="Q493">
        <v>5679</v>
      </c>
      <c r="R493">
        <v>3</v>
      </c>
      <c r="S493" t="s">
        <v>30</v>
      </c>
      <c r="T493">
        <v>13</v>
      </c>
      <c r="U493">
        <v>3</v>
      </c>
      <c r="V493">
        <v>2</v>
      </c>
      <c r="W493">
        <v>1</v>
      </c>
      <c r="X493">
        <v>10</v>
      </c>
      <c r="Y493">
        <v>3</v>
      </c>
      <c r="Z493">
        <v>3</v>
      </c>
      <c r="AA493">
        <v>8</v>
      </c>
      <c r="AB493">
        <v>7</v>
      </c>
      <c r="AC493">
        <v>4</v>
      </c>
      <c r="AD493">
        <v>7</v>
      </c>
      <c r="AE493" t="str" cm="1">
        <f t="array" ref="AE493">_xlfn.IFS(G493=1,"Before College",G493=2,"College",G493=3,"Bachelor",G493=4,"Master",G493=5,"Doctor")</f>
        <v>Doctor</v>
      </c>
      <c r="AF493" t="str" cm="1">
        <f t="array" ref="AF493">_xlfn.IFS(J493=1,"Low",J493=2,"Medium",J493=3,"High",J493=4,"Very High")</f>
        <v>Very High</v>
      </c>
      <c r="AG493" t="str" cm="1">
        <f t="array" ref="AG493">_xlfn.IFS(L493=1,"Low",L493=2,"Medium",L493=3,"High",L493=4,"Very High")</f>
        <v>High</v>
      </c>
      <c r="AH493" t="str" cm="1">
        <f t="array" ref="AH493">_xlfn.IFS(M493=1,"Junior employee",M493=2,"Mid-level",M493=3,"Senior",M493=4,"Manager",M493=5,"Executive")</f>
        <v>Mid-level</v>
      </c>
      <c r="AI493" t="str" cm="1">
        <f t="array" ref="AI493">_xlfn.IFS(O493=1,"Low",O493=2,"Medium",O493=3,"High",O493=4,"Very High")</f>
        <v>High</v>
      </c>
      <c r="AJ493" t="str" cm="1">
        <f t="array" ref="AJ493">_xlfn.IFS(U493=1,"Low",U493=2,"Good",U493=3,"Excellent",U493=4,"Outstanding")</f>
        <v>Excellent</v>
      </c>
      <c r="AK493" t="str" cm="1">
        <f t="array" ref="AK493">_xlfn.IFS(V493=1,"Low",V493=2,"Medium",V493=3,"High",V493=4,"Very High")</f>
        <v>Medium</v>
      </c>
      <c r="AL493" t="str" cm="1">
        <f t="array" ref="AL493">_xlfn.IFS(Z493=1,"Bad",Z493=2,"Good",Z493=3,"Better",Z493=4,"Best")</f>
        <v>Better</v>
      </c>
      <c r="AM493" t="str" cm="1">
        <f t="array" ref="AM493">_xlfn.IFS(W493=0,"No_stock",W493=1,"Low",W493=2,"Medium",W493=3,"High")</f>
        <v>Low</v>
      </c>
      <c r="AN493" t="str">
        <f t="shared" si="7"/>
        <v>Medium</v>
      </c>
    </row>
    <row r="494" spans="1:40" x14ac:dyDescent="0.45">
      <c r="A494">
        <v>48</v>
      </c>
      <c r="B494" t="s">
        <v>37</v>
      </c>
      <c r="C494" t="s">
        <v>31</v>
      </c>
      <c r="D494">
        <v>1236</v>
      </c>
      <c r="E494" t="s">
        <v>39</v>
      </c>
      <c r="F494">
        <v>1</v>
      </c>
      <c r="G494">
        <v>4</v>
      </c>
      <c r="H494" t="s">
        <v>33</v>
      </c>
      <c r="I494">
        <v>664</v>
      </c>
      <c r="J494">
        <v>4</v>
      </c>
      <c r="K494" t="s">
        <v>34</v>
      </c>
      <c r="L494">
        <v>2</v>
      </c>
      <c r="M494">
        <v>4</v>
      </c>
      <c r="N494" t="s">
        <v>50</v>
      </c>
      <c r="O494">
        <v>1</v>
      </c>
      <c r="P494" t="s">
        <v>42</v>
      </c>
      <c r="Q494">
        <v>15402</v>
      </c>
      <c r="R494">
        <v>7</v>
      </c>
      <c r="S494" t="s">
        <v>37</v>
      </c>
      <c r="T494">
        <v>11</v>
      </c>
      <c r="U494">
        <v>3</v>
      </c>
      <c r="V494">
        <v>1</v>
      </c>
      <c r="W494">
        <v>1</v>
      </c>
      <c r="X494">
        <v>21</v>
      </c>
      <c r="Y494">
        <v>3</v>
      </c>
      <c r="Z494">
        <v>1</v>
      </c>
      <c r="AA494">
        <v>3</v>
      </c>
      <c r="AB494">
        <v>2</v>
      </c>
      <c r="AC494">
        <v>0</v>
      </c>
      <c r="AD494">
        <v>2</v>
      </c>
      <c r="AE494" t="str" cm="1">
        <f t="array" ref="AE494">_xlfn.IFS(G494=1,"Before College",G494=2,"College",G494=3,"Bachelor",G494=4,"Master",G494=5,"Doctor")</f>
        <v>Master</v>
      </c>
      <c r="AF494" t="str" cm="1">
        <f t="array" ref="AF494">_xlfn.IFS(J494=1,"Low",J494=2,"Medium",J494=3,"High",J494=4,"Very High")</f>
        <v>Very High</v>
      </c>
      <c r="AG494" t="str" cm="1">
        <f t="array" ref="AG494">_xlfn.IFS(L494=1,"Low",L494=2,"Medium",L494=3,"High",L494=4,"Very High")</f>
        <v>Medium</v>
      </c>
      <c r="AH494" t="str" cm="1">
        <f t="array" ref="AH494">_xlfn.IFS(M494=1,"Junior employee",M494=2,"Mid-level",M494=3,"Senior",M494=4,"Manager",M494=5,"Executive")</f>
        <v>Manager</v>
      </c>
      <c r="AI494" t="str" cm="1">
        <f t="array" ref="AI494">_xlfn.IFS(O494=1,"Low",O494=2,"Medium",O494=3,"High",O494=4,"Very High")</f>
        <v>Low</v>
      </c>
      <c r="AJ494" t="str" cm="1">
        <f t="array" ref="AJ494">_xlfn.IFS(U494=1,"Low",U494=2,"Good",U494=3,"Excellent",U494=4,"Outstanding")</f>
        <v>Excellent</v>
      </c>
      <c r="AK494" t="str" cm="1">
        <f t="array" ref="AK494">_xlfn.IFS(V494=1,"Low",V494=2,"Medium",V494=3,"High",V494=4,"Very High")</f>
        <v>Low</v>
      </c>
      <c r="AL494" t="str" cm="1">
        <f t="array" ref="AL494">_xlfn.IFS(Z494=1,"Bad",Z494=2,"Good",Z494=3,"Better",Z494=4,"Best")</f>
        <v>Bad</v>
      </c>
      <c r="AM494" t="str" cm="1">
        <f t="array" ref="AM494">_xlfn.IFS(W494=0,"No_stock",W494=1,"Low",W494=2,"Medium",W494=3,"High")</f>
        <v>Low</v>
      </c>
      <c r="AN494" t="str">
        <f t="shared" si="7"/>
        <v>Near</v>
      </c>
    </row>
    <row r="495" spans="1:40" x14ac:dyDescent="0.45">
      <c r="A495">
        <v>44</v>
      </c>
      <c r="B495" t="s">
        <v>37</v>
      </c>
      <c r="C495" t="s">
        <v>31</v>
      </c>
      <c r="D495">
        <v>1112</v>
      </c>
      <c r="E495" t="s">
        <v>55</v>
      </c>
      <c r="F495">
        <v>1</v>
      </c>
      <c r="G495">
        <v>4</v>
      </c>
      <c r="H495" t="s">
        <v>33</v>
      </c>
      <c r="I495">
        <v>665</v>
      </c>
      <c r="J495">
        <v>1</v>
      </c>
      <c r="K495" t="s">
        <v>34</v>
      </c>
      <c r="L495">
        <v>2</v>
      </c>
      <c r="M495">
        <v>2</v>
      </c>
      <c r="N495" t="s">
        <v>55</v>
      </c>
      <c r="O495">
        <v>3</v>
      </c>
      <c r="P495" t="s">
        <v>36</v>
      </c>
      <c r="Q495">
        <v>5985</v>
      </c>
      <c r="R495">
        <v>4</v>
      </c>
      <c r="S495" t="s">
        <v>37</v>
      </c>
      <c r="T495">
        <v>11</v>
      </c>
      <c r="U495">
        <v>3</v>
      </c>
      <c r="V495">
        <v>2</v>
      </c>
      <c r="W495">
        <v>0</v>
      </c>
      <c r="X495">
        <v>10</v>
      </c>
      <c r="Y495">
        <v>1</v>
      </c>
      <c r="Z495">
        <v>4</v>
      </c>
      <c r="AA495">
        <v>2</v>
      </c>
      <c r="AB495">
        <v>2</v>
      </c>
      <c r="AC495">
        <v>0</v>
      </c>
      <c r="AD495">
        <v>2</v>
      </c>
      <c r="AE495" t="str" cm="1">
        <f t="array" ref="AE495">_xlfn.IFS(G495=1,"Before College",G495=2,"College",G495=3,"Bachelor",G495=4,"Master",G495=5,"Doctor")</f>
        <v>Master</v>
      </c>
      <c r="AF495" t="str" cm="1">
        <f t="array" ref="AF495">_xlfn.IFS(J495=1,"Low",J495=2,"Medium",J495=3,"High",J495=4,"Very High")</f>
        <v>Low</v>
      </c>
      <c r="AG495" t="str" cm="1">
        <f t="array" ref="AG495">_xlfn.IFS(L495=1,"Low",L495=2,"Medium",L495=3,"High",L495=4,"Very High")</f>
        <v>Medium</v>
      </c>
      <c r="AH495" t="str" cm="1">
        <f t="array" ref="AH495">_xlfn.IFS(M495=1,"Junior employee",M495=2,"Mid-level",M495=3,"Senior",M495=4,"Manager",M495=5,"Executive")</f>
        <v>Mid-level</v>
      </c>
      <c r="AI495" t="str" cm="1">
        <f t="array" ref="AI495">_xlfn.IFS(O495=1,"Low",O495=2,"Medium",O495=3,"High",O495=4,"Very High")</f>
        <v>High</v>
      </c>
      <c r="AJ495" t="str" cm="1">
        <f t="array" ref="AJ495">_xlfn.IFS(U495=1,"Low",U495=2,"Good",U495=3,"Excellent",U495=4,"Outstanding")</f>
        <v>Excellent</v>
      </c>
      <c r="AK495" t="str" cm="1">
        <f t="array" ref="AK495">_xlfn.IFS(V495=1,"Low",V495=2,"Medium",V495=3,"High",V495=4,"Very High")</f>
        <v>Medium</v>
      </c>
      <c r="AL495" t="str" cm="1">
        <f t="array" ref="AL495">_xlfn.IFS(Z495=1,"Bad",Z495=2,"Good",Z495=3,"Better",Z495=4,"Best")</f>
        <v>Best</v>
      </c>
      <c r="AM495" t="str" cm="1">
        <f t="array" ref="AM495">_xlfn.IFS(W495=0,"No_stock",W495=1,"Low",W495=2,"Medium",W495=3,"High")</f>
        <v>No_stock</v>
      </c>
      <c r="AN495" t="str">
        <f t="shared" si="7"/>
        <v>Near</v>
      </c>
    </row>
    <row r="496" spans="1:40" x14ac:dyDescent="0.45">
      <c r="A496">
        <v>34</v>
      </c>
      <c r="B496" t="s">
        <v>37</v>
      </c>
      <c r="C496" t="s">
        <v>31</v>
      </c>
      <c r="D496">
        <v>204</v>
      </c>
      <c r="E496" t="s">
        <v>32</v>
      </c>
      <c r="F496">
        <v>14</v>
      </c>
      <c r="G496">
        <v>3</v>
      </c>
      <c r="H496" t="s">
        <v>54</v>
      </c>
      <c r="I496">
        <v>666</v>
      </c>
      <c r="J496">
        <v>3</v>
      </c>
      <c r="K496" t="s">
        <v>34</v>
      </c>
      <c r="L496">
        <v>3</v>
      </c>
      <c r="M496">
        <v>1</v>
      </c>
      <c r="N496" t="s">
        <v>51</v>
      </c>
      <c r="O496">
        <v>3</v>
      </c>
      <c r="P496" t="s">
        <v>46</v>
      </c>
      <c r="Q496">
        <v>2579</v>
      </c>
      <c r="R496">
        <v>1</v>
      </c>
      <c r="S496" t="s">
        <v>30</v>
      </c>
      <c r="T496">
        <v>18</v>
      </c>
      <c r="U496">
        <v>3</v>
      </c>
      <c r="V496">
        <v>4</v>
      </c>
      <c r="W496">
        <v>2</v>
      </c>
      <c r="X496">
        <v>8</v>
      </c>
      <c r="Y496">
        <v>3</v>
      </c>
      <c r="Z496">
        <v>3</v>
      </c>
      <c r="AA496">
        <v>8</v>
      </c>
      <c r="AB496">
        <v>2</v>
      </c>
      <c r="AC496">
        <v>0</v>
      </c>
      <c r="AD496">
        <v>6</v>
      </c>
      <c r="AE496" t="str" cm="1">
        <f t="array" ref="AE496">_xlfn.IFS(G496=1,"Before College",G496=2,"College",G496=3,"Bachelor",G496=4,"Master",G496=5,"Doctor")</f>
        <v>Bachelor</v>
      </c>
      <c r="AF496" t="str" cm="1">
        <f t="array" ref="AF496">_xlfn.IFS(J496=1,"Low",J496=2,"Medium",J496=3,"High",J496=4,"Very High")</f>
        <v>High</v>
      </c>
      <c r="AG496" t="str" cm="1">
        <f t="array" ref="AG496">_xlfn.IFS(L496=1,"Low",L496=2,"Medium",L496=3,"High",L496=4,"Very High")</f>
        <v>High</v>
      </c>
      <c r="AH496" t="str" cm="1">
        <f t="array" ref="AH496">_xlfn.IFS(M496=1,"Junior employee",M496=2,"Mid-level",M496=3,"Senior",M496=4,"Manager",M496=5,"Executive")</f>
        <v>Junior employee</v>
      </c>
      <c r="AI496" t="str" cm="1">
        <f t="array" ref="AI496">_xlfn.IFS(O496=1,"Low",O496=2,"Medium",O496=3,"High",O496=4,"Very High")</f>
        <v>High</v>
      </c>
      <c r="AJ496" t="str" cm="1">
        <f t="array" ref="AJ496">_xlfn.IFS(U496=1,"Low",U496=2,"Good",U496=3,"Excellent",U496=4,"Outstanding")</f>
        <v>Excellent</v>
      </c>
      <c r="AK496" t="str" cm="1">
        <f t="array" ref="AK496">_xlfn.IFS(V496=1,"Low",V496=2,"Medium",V496=3,"High",V496=4,"Very High")</f>
        <v>Very High</v>
      </c>
      <c r="AL496" t="str" cm="1">
        <f t="array" ref="AL496">_xlfn.IFS(Z496=1,"Bad",Z496=2,"Good",Z496=3,"Better",Z496=4,"Best")</f>
        <v>Better</v>
      </c>
      <c r="AM496" t="str" cm="1">
        <f t="array" ref="AM496">_xlfn.IFS(W496=0,"No_stock",W496=1,"Low",W496=2,"Medium",W496=3,"High")</f>
        <v>Medium</v>
      </c>
      <c r="AN496" t="str">
        <f t="shared" si="7"/>
        <v>Medium</v>
      </c>
    </row>
    <row r="497" spans="1:40" x14ac:dyDescent="0.45">
      <c r="A497">
        <v>27</v>
      </c>
      <c r="B497" t="s">
        <v>30</v>
      </c>
      <c r="C497" t="s">
        <v>31</v>
      </c>
      <c r="D497">
        <v>1420</v>
      </c>
      <c r="E497" t="s">
        <v>32</v>
      </c>
      <c r="F497">
        <v>2</v>
      </c>
      <c r="G497">
        <v>1</v>
      </c>
      <c r="H497" t="s">
        <v>53</v>
      </c>
      <c r="I497">
        <v>667</v>
      </c>
      <c r="J497">
        <v>3</v>
      </c>
      <c r="K497" t="s">
        <v>40</v>
      </c>
      <c r="L497">
        <v>3</v>
      </c>
      <c r="M497">
        <v>1</v>
      </c>
      <c r="N497" t="s">
        <v>51</v>
      </c>
      <c r="O497">
        <v>1</v>
      </c>
      <c r="P497" t="s">
        <v>46</v>
      </c>
      <c r="Q497">
        <v>3041</v>
      </c>
      <c r="R497">
        <v>0</v>
      </c>
      <c r="S497" t="s">
        <v>37</v>
      </c>
      <c r="T497">
        <v>11</v>
      </c>
      <c r="U497">
        <v>3</v>
      </c>
      <c r="V497">
        <v>2</v>
      </c>
      <c r="W497">
        <v>1</v>
      </c>
      <c r="X497">
        <v>5</v>
      </c>
      <c r="Y497">
        <v>3</v>
      </c>
      <c r="Z497">
        <v>3</v>
      </c>
      <c r="AA497">
        <v>4</v>
      </c>
      <c r="AB497">
        <v>3</v>
      </c>
      <c r="AC497">
        <v>0</v>
      </c>
      <c r="AD497">
        <v>2</v>
      </c>
      <c r="AE497" t="str" cm="1">
        <f t="array" ref="AE497">_xlfn.IFS(G497=1,"Before College",G497=2,"College",G497=3,"Bachelor",G497=4,"Master",G497=5,"Doctor")</f>
        <v>Before College</v>
      </c>
      <c r="AF497" t="str" cm="1">
        <f t="array" ref="AF497">_xlfn.IFS(J497=1,"Low",J497=2,"Medium",J497=3,"High",J497=4,"Very High")</f>
        <v>High</v>
      </c>
      <c r="AG497" t="str" cm="1">
        <f t="array" ref="AG497">_xlfn.IFS(L497=1,"Low",L497=2,"Medium",L497=3,"High",L497=4,"Very High")</f>
        <v>High</v>
      </c>
      <c r="AH497" t="str" cm="1">
        <f t="array" ref="AH497">_xlfn.IFS(M497=1,"Junior employee",M497=2,"Mid-level",M497=3,"Senior",M497=4,"Manager",M497=5,"Executive")</f>
        <v>Junior employee</v>
      </c>
      <c r="AI497" t="str" cm="1">
        <f t="array" ref="AI497">_xlfn.IFS(O497=1,"Low",O497=2,"Medium",O497=3,"High",O497=4,"Very High")</f>
        <v>Low</v>
      </c>
      <c r="AJ497" t="str" cm="1">
        <f t="array" ref="AJ497">_xlfn.IFS(U497=1,"Low",U497=2,"Good",U497=3,"Excellent",U497=4,"Outstanding")</f>
        <v>Excellent</v>
      </c>
      <c r="AK497" t="str" cm="1">
        <f t="array" ref="AK497">_xlfn.IFS(V497=1,"Low",V497=2,"Medium",V497=3,"High",V497=4,"Very High")</f>
        <v>Medium</v>
      </c>
      <c r="AL497" t="str" cm="1">
        <f t="array" ref="AL497">_xlfn.IFS(Z497=1,"Bad",Z497=2,"Good",Z497=3,"Better",Z497=4,"Best")</f>
        <v>Better</v>
      </c>
      <c r="AM497" t="str" cm="1">
        <f t="array" ref="AM497">_xlfn.IFS(W497=0,"No_stock",W497=1,"Low",W497=2,"Medium",W497=3,"High")</f>
        <v>Low</v>
      </c>
      <c r="AN497" t="str">
        <f t="shared" si="7"/>
        <v>Near</v>
      </c>
    </row>
    <row r="498" spans="1:40" x14ac:dyDescent="0.45">
      <c r="A498">
        <v>21</v>
      </c>
      <c r="B498" t="s">
        <v>37</v>
      </c>
      <c r="C498" t="s">
        <v>31</v>
      </c>
      <c r="D498">
        <v>1343</v>
      </c>
      <c r="E498" t="s">
        <v>32</v>
      </c>
      <c r="F498">
        <v>22</v>
      </c>
      <c r="G498">
        <v>1</v>
      </c>
      <c r="H498" t="s">
        <v>54</v>
      </c>
      <c r="I498">
        <v>669</v>
      </c>
      <c r="J498">
        <v>3</v>
      </c>
      <c r="K498" t="s">
        <v>40</v>
      </c>
      <c r="L498">
        <v>3</v>
      </c>
      <c r="M498">
        <v>1</v>
      </c>
      <c r="N498" t="s">
        <v>51</v>
      </c>
      <c r="O498">
        <v>3</v>
      </c>
      <c r="P498" t="s">
        <v>36</v>
      </c>
      <c r="Q498">
        <v>3447</v>
      </c>
      <c r="R498">
        <v>1</v>
      </c>
      <c r="S498" t="s">
        <v>37</v>
      </c>
      <c r="T498">
        <v>11</v>
      </c>
      <c r="U498">
        <v>3</v>
      </c>
      <c r="V498">
        <v>3</v>
      </c>
      <c r="W498">
        <v>0</v>
      </c>
      <c r="X498">
        <v>3</v>
      </c>
      <c r="Y498">
        <v>2</v>
      </c>
      <c r="Z498">
        <v>3</v>
      </c>
      <c r="AA498">
        <v>3</v>
      </c>
      <c r="AB498">
        <v>2</v>
      </c>
      <c r="AC498">
        <v>1</v>
      </c>
      <c r="AD498">
        <v>2</v>
      </c>
      <c r="AE498" t="str" cm="1">
        <f t="array" ref="AE498">_xlfn.IFS(G498=1,"Before College",G498=2,"College",G498=3,"Bachelor",G498=4,"Master",G498=5,"Doctor")</f>
        <v>Before College</v>
      </c>
      <c r="AF498" t="str" cm="1">
        <f t="array" ref="AF498">_xlfn.IFS(J498=1,"Low",J498=2,"Medium",J498=3,"High",J498=4,"Very High")</f>
        <v>High</v>
      </c>
      <c r="AG498" t="str" cm="1">
        <f t="array" ref="AG498">_xlfn.IFS(L498=1,"Low",L498=2,"Medium",L498=3,"High",L498=4,"Very High")</f>
        <v>High</v>
      </c>
      <c r="AH498" t="str" cm="1">
        <f t="array" ref="AH498">_xlfn.IFS(M498=1,"Junior employee",M498=2,"Mid-level",M498=3,"Senior",M498=4,"Manager",M498=5,"Executive")</f>
        <v>Junior employee</v>
      </c>
      <c r="AI498" t="str" cm="1">
        <f t="array" ref="AI498">_xlfn.IFS(O498=1,"Low",O498=2,"Medium",O498=3,"High",O498=4,"Very High")</f>
        <v>High</v>
      </c>
      <c r="AJ498" t="str" cm="1">
        <f t="array" ref="AJ498">_xlfn.IFS(U498=1,"Low",U498=2,"Good",U498=3,"Excellent",U498=4,"Outstanding")</f>
        <v>Excellent</v>
      </c>
      <c r="AK498" t="str" cm="1">
        <f t="array" ref="AK498">_xlfn.IFS(V498=1,"Low",V498=2,"Medium",V498=3,"High",V498=4,"Very High")</f>
        <v>High</v>
      </c>
      <c r="AL498" t="str" cm="1">
        <f t="array" ref="AL498">_xlfn.IFS(Z498=1,"Bad",Z498=2,"Good",Z498=3,"Better",Z498=4,"Best")</f>
        <v>Better</v>
      </c>
      <c r="AM498" t="str" cm="1">
        <f t="array" ref="AM498">_xlfn.IFS(W498=0,"No_stock",W498=1,"Low",W498=2,"Medium",W498=3,"High")</f>
        <v>No_stock</v>
      </c>
      <c r="AN498" t="str">
        <f t="shared" si="7"/>
        <v>Far</v>
      </c>
    </row>
    <row r="499" spans="1:40" x14ac:dyDescent="0.45">
      <c r="A499">
        <v>44</v>
      </c>
      <c r="B499" t="s">
        <v>37</v>
      </c>
      <c r="C499" t="s">
        <v>31</v>
      </c>
      <c r="D499">
        <v>1315</v>
      </c>
      <c r="E499" t="s">
        <v>39</v>
      </c>
      <c r="F499">
        <v>3</v>
      </c>
      <c r="G499">
        <v>4</v>
      </c>
      <c r="H499" t="s">
        <v>43</v>
      </c>
      <c r="I499">
        <v>671</v>
      </c>
      <c r="J499">
        <v>4</v>
      </c>
      <c r="K499" t="s">
        <v>40</v>
      </c>
      <c r="L499">
        <v>3</v>
      </c>
      <c r="M499">
        <v>5</v>
      </c>
      <c r="N499" t="s">
        <v>50</v>
      </c>
      <c r="O499">
        <v>4</v>
      </c>
      <c r="P499" t="s">
        <v>42</v>
      </c>
      <c r="Q499">
        <v>19513</v>
      </c>
      <c r="R499">
        <v>4</v>
      </c>
      <c r="S499" t="s">
        <v>30</v>
      </c>
      <c r="T499">
        <v>12</v>
      </c>
      <c r="U499">
        <v>3</v>
      </c>
      <c r="V499">
        <v>1</v>
      </c>
      <c r="W499">
        <v>1</v>
      </c>
      <c r="X499">
        <v>26</v>
      </c>
      <c r="Y499">
        <v>2</v>
      </c>
      <c r="Z499">
        <v>4</v>
      </c>
      <c r="AA499">
        <v>2</v>
      </c>
      <c r="AB499">
        <v>2</v>
      </c>
      <c r="AC499">
        <v>0</v>
      </c>
      <c r="AD499">
        <v>1</v>
      </c>
      <c r="AE499" t="str" cm="1">
        <f t="array" ref="AE499">_xlfn.IFS(G499=1,"Before College",G499=2,"College",G499=3,"Bachelor",G499=4,"Master",G499=5,"Doctor")</f>
        <v>Master</v>
      </c>
      <c r="AF499" t="str" cm="1">
        <f t="array" ref="AF499">_xlfn.IFS(J499=1,"Low",J499=2,"Medium",J499=3,"High",J499=4,"Very High")</f>
        <v>Very High</v>
      </c>
      <c r="AG499" t="str" cm="1">
        <f t="array" ref="AG499">_xlfn.IFS(L499=1,"Low",L499=2,"Medium",L499=3,"High",L499=4,"Very High")</f>
        <v>High</v>
      </c>
      <c r="AH499" t="str" cm="1">
        <f t="array" ref="AH499">_xlfn.IFS(M499=1,"Junior employee",M499=2,"Mid-level",M499=3,"Senior",M499=4,"Manager",M499=5,"Executive")</f>
        <v>Executive</v>
      </c>
      <c r="AI499" t="str" cm="1">
        <f t="array" ref="AI499">_xlfn.IFS(O499=1,"Low",O499=2,"Medium",O499=3,"High",O499=4,"Very High")</f>
        <v>Very High</v>
      </c>
      <c r="AJ499" t="str" cm="1">
        <f t="array" ref="AJ499">_xlfn.IFS(U499=1,"Low",U499=2,"Good",U499=3,"Excellent",U499=4,"Outstanding")</f>
        <v>Excellent</v>
      </c>
      <c r="AK499" t="str" cm="1">
        <f t="array" ref="AK499">_xlfn.IFS(V499=1,"Low",V499=2,"Medium",V499=3,"High",V499=4,"Very High")</f>
        <v>Low</v>
      </c>
      <c r="AL499" t="str" cm="1">
        <f t="array" ref="AL499">_xlfn.IFS(Z499=1,"Bad",Z499=2,"Good",Z499=3,"Better",Z499=4,"Best")</f>
        <v>Best</v>
      </c>
      <c r="AM499" t="str" cm="1">
        <f t="array" ref="AM499">_xlfn.IFS(W499=0,"No_stock",W499=1,"Low",W499=2,"Medium",W499=3,"High")</f>
        <v>Low</v>
      </c>
      <c r="AN499" t="str">
        <f t="shared" si="7"/>
        <v>Near</v>
      </c>
    </row>
    <row r="500" spans="1:40" x14ac:dyDescent="0.45">
      <c r="A500">
        <v>22</v>
      </c>
      <c r="B500" t="s">
        <v>37</v>
      </c>
      <c r="C500" t="s">
        <v>31</v>
      </c>
      <c r="D500">
        <v>604</v>
      </c>
      <c r="E500" t="s">
        <v>39</v>
      </c>
      <c r="F500">
        <v>6</v>
      </c>
      <c r="G500">
        <v>1</v>
      </c>
      <c r="H500" t="s">
        <v>45</v>
      </c>
      <c r="I500">
        <v>675</v>
      </c>
      <c r="J500">
        <v>1</v>
      </c>
      <c r="K500" t="s">
        <v>40</v>
      </c>
      <c r="L500">
        <v>3</v>
      </c>
      <c r="M500">
        <v>1</v>
      </c>
      <c r="N500" t="s">
        <v>41</v>
      </c>
      <c r="O500">
        <v>3</v>
      </c>
      <c r="P500" t="s">
        <v>42</v>
      </c>
      <c r="Q500">
        <v>2773</v>
      </c>
      <c r="R500">
        <v>0</v>
      </c>
      <c r="S500" t="s">
        <v>37</v>
      </c>
      <c r="T500">
        <v>20</v>
      </c>
      <c r="U500">
        <v>4</v>
      </c>
      <c r="V500">
        <v>4</v>
      </c>
      <c r="W500">
        <v>0</v>
      </c>
      <c r="X500">
        <v>3</v>
      </c>
      <c r="Y500">
        <v>3</v>
      </c>
      <c r="Z500">
        <v>3</v>
      </c>
      <c r="AA500">
        <v>2</v>
      </c>
      <c r="AB500">
        <v>2</v>
      </c>
      <c r="AC500">
        <v>2</v>
      </c>
      <c r="AD500">
        <v>2</v>
      </c>
      <c r="AE500" t="str" cm="1">
        <f t="array" ref="AE500">_xlfn.IFS(G500=1,"Before College",G500=2,"College",G500=3,"Bachelor",G500=4,"Master",G500=5,"Doctor")</f>
        <v>Before College</v>
      </c>
      <c r="AF500" t="str" cm="1">
        <f t="array" ref="AF500">_xlfn.IFS(J500=1,"Low",J500=2,"Medium",J500=3,"High",J500=4,"Very High")</f>
        <v>Low</v>
      </c>
      <c r="AG500" t="str" cm="1">
        <f t="array" ref="AG500">_xlfn.IFS(L500=1,"Low",L500=2,"Medium",L500=3,"High",L500=4,"Very High")</f>
        <v>High</v>
      </c>
      <c r="AH500" t="str" cm="1">
        <f t="array" ref="AH500">_xlfn.IFS(M500=1,"Junior employee",M500=2,"Mid-level",M500=3,"Senior",M500=4,"Manager",M500=5,"Executive")</f>
        <v>Junior employee</v>
      </c>
      <c r="AI500" t="str" cm="1">
        <f t="array" ref="AI500">_xlfn.IFS(O500=1,"Low",O500=2,"Medium",O500=3,"High",O500=4,"Very High")</f>
        <v>High</v>
      </c>
      <c r="AJ500" t="str" cm="1">
        <f t="array" ref="AJ500">_xlfn.IFS(U500=1,"Low",U500=2,"Good",U500=3,"Excellent",U500=4,"Outstanding")</f>
        <v>Outstanding</v>
      </c>
      <c r="AK500" t="str" cm="1">
        <f t="array" ref="AK500">_xlfn.IFS(V500=1,"Low",V500=2,"Medium",V500=3,"High",V500=4,"Very High")</f>
        <v>Very High</v>
      </c>
      <c r="AL500" t="str" cm="1">
        <f t="array" ref="AL500">_xlfn.IFS(Z500=1,"Bad",Z500=2,"Good",Z500=3,"Better",Z500=4,"Best")</f>
        <v>Better</v>
      </c>
      <c r="AM500" t="str" cm="1">
        <f t="array" ref="AM500">_xlfn.IFS(W500=0,"No_stock",W500=1,"Low",W500=2,"Medium",W500=3,"High")</f>
        <v>No_stock</v>
      </c>
      <c r="AN500" t="str">
        <f t="shared" si="7"/>
        <v>Medium</v>
      </c>
    </row>
    <row r="501" spans="1:40" x14ac:dyDescent="0.45">
      <c r="A501">
        <v>33</v>
      </c>
      <c r="B501" t="s">
        <v>37</v>
      </c>
      <c r="C501" t="s">
        <v>31</v>
      </c>
      <c r="D501">
        <v>1216</v>
      </c>
      <c r="E501" t="s">
        <v>32</v>
      </c>
      <c r="F501">
        <v>8</v>
      </c>
      <c r="G501">
        <v>4</v>
      </c>
      <c r="H501" t="s">
        <v>53</v>
      </c>
      <c r="I501">
        <v>677</v>
      </c>
      <c r="J501">
        <v>3</v>
      </c>
      <c r="K501" t="s">
        <v>40</v>
      </c>
      <c r="L501">
        <v>3</v>
      </c>
      <c r="M501">
        <v>2</v>
      </c>
      <c r="N501" t="s">
        <v>35</v>
      </c>
      <c r="O501">
        <v>3</v>
      </c>
      <c r="P501" t="s">
        <v>46</v>
      </c>
      <c r="Q501">
        <v>7104</v>
      </c>
      <c r="R501">
        <v>0</v>
      </c>
      <c r="S501" t="s">
        <v>37</v>
      </c>
      <c r="T501">
        <v>12</v>
      </c>
      <c r="U501">
        <v>3</v>
      </c>
      <c r="V501">
        <v>4</v>
      </c>
      <c r="W501">
        <v>0</v>
      </c>
      <c r="X501">
        <v>6</v>
      </c>
      <c r="Y501">
        <v>3</v>
      </c>
      <c r="Z501">
        <v>3</v>
      </c>
      <c r="AA501">
        <v>5</v>
      </c>
      <c r="AB501">
        <v>0</v>
      </c>
      <c r="AC501">
        <v>1</v>
      </c>
      <c r="AD501">
        <v>2</v>
      </c>
      <c r="AE501" t="str" cm="1">
        <f t="array" ref="AE501">_xlfn.IFS(G501=1,"Before College",G501=2,"College",G501=3,"Bachelor",G501=4,"Master",G501=5,"Doctor")</f>
        <v>Master</v>
      </c>
      <c r="AF501" t="str" cm="1">
        <f t="array" ref="AF501">_xlfn.IFS(J501=1,"Low",J501=2,"Medium",J501=3,"High",J501=4,"Very High")</f>
        <v>High</v>
      </c>
      <c r="AG501" t="str" cm="1">
        <f t="array" ref="AG501">_xlfn.IFS(L501=1,"Low",L501=2,"Medium",L501=3,"High",L501=4,"Very High")</f>
        <v>High</v>
      </c>
      <c r="AH501" t="str" cm="1">
        <f t="array" ref="AH501">_xlfn.IFS(M501=1,"Junior employee",M501=2,"Mid-level",M501=3,"Senior",M501=4,"Manager",M501=5,"Executive")</f>
        <v>Mid-level</v>
      </c>
      <c r="AI501" t="str" cm="1">
        <f t="array" ref="AI501">_xlfn.IFS(O501=1,"Low",O501=2,"Medium",O501=3,"High",O501=4,"Very High")</f>
        <v>High</v>
      </c>
      <c r="AJ501" t="str" cm="1">
        <f t="array" ref="AJ501">_xlfn.IFS(U501=1,"Low",U501=2,"Good",U501=3,"Excellent",U501=4,"Outstanding")</f>
        <v>Excellent</v>
      </c>
      <c r="AK501" t="str" cm="1">
        <f t="array" ref="AK501">_xlfn.IFS(V501=1,"Low",V501=2,"Medium",V501=3,"High",V501=4,"Very High")</f>
        <v>Very High</v>
      </c>
      <c r="AL501" t="str" cm="1">
        <f t="array" ref="AL501">_xlfn.IFS(Z501=1,"Bad",Z501=2,"Good",Z501=3,"Better",Z501=4,"Best")</f>
        <v>Better</v>
      </c>
      <c r="AM501" t="str" cm="1">
        <f t="array" ref="AM501">_xlfn.IFS(W501=0,"No_stock",W501=1,"Low",W501=2,"Medium",W501=3,"High")</f>
        <v>No_stock</v>
      </c>
      <c r="AN501" t="str">
        <f t="shared" si="7"/>
        <v>Medium</v>
      </c>
    </row>
    <row r="502" spans="1:40" x14ac:dyDescent="0.45">
      <c r="A502">
        <v>32</v>
      </c>
      <c r="B502" t="s">
        <v>37</v>
      </c>
      <c r="C502" t="s">
        <v>31</v>
      </c>
      <c r="D502">
        <v>646</v>
      </c>
      <c r="E502" t="s">
        <v>39</v>
      </c>
      <c r="F502">
        <v>9</v>
      </c>
      <c r="G502">
        <v>4</v>
      </c>
      <c r="H502" t="s">
        <v>33</v>
      </c>
      <c r="I502">
        <v>679</v>
      </c>
      <c r="J502">
        <v>1</v>
      </c>
      <c r="K502" t="s">
        <v>34</v>
      </c>
      <c r="L502">
        <v>3</v>
      </c>
      <c r="M502">
        <v>2</v>
      </c>
      <c r="N502" t="s">
        <v>41</v>
      </c>
      <c r="O502">
        <v>4</v>
      </c>
      <c r="P502" t="s">
        <v>42</v>
      </c>
      <c r="Q502">
        <v>6322</v>
      </c>
      <c r="R502">
        <v>1</v>
      </c>
      <c r="S502" t="s">
        <v>30</v>
      </c>
      <c r="T502">
        <v>12</v>
      </c>
      <c r="U502">
        <v>3</v>
      </c>
      <c r="V502">
        <v>4</v>
      </c>
      <c r="W502">
        <v>1</v>
      </c>
      <c r="X502">
        <v>6</v>
      </c>
      <c r="Y502">
        <v>2</v>
      </c>
      <c r="Z502">
        <v>2</v>
      </c>
      <c r="AA502">
        <v>6</v>
      </c>
      <c r="AB502">
        <v>4</v>
      </c>
      <c r="AC502">
        <v>0</v>
      </c>
      <c r="AD502">
        <v>5</v>
      </c>
      <c r="AE502" t="str" cm="1">
        <f t="array" ref="AE502">_xlfn.IFS(G502=1,"Before College",G502=2,"College",G502=3,"Bachelor",G502=4,"Master",G502=5,"Doctor")</f>
        <v>Master</v>
      </c>
      <c r="AF502" t="str" cm="1">
        <f t="array" ref="AF502">_xlfn.IFS(J502=1,"Low",J502=2,"Medium",J502=3,"High",J502=4,"Very High")</f>
        <v>Low</v>
      </c>
      <c r="AG502" t="str" cm="1">
        <f t="array" ref="AG502">_xlfn.IFS(L502=1,"Low",L502=2,"Medium",L502=3,"High",L502=4,"Very High")</f>
        <v>High</v>
      </c>
      <c r="AH502" t="str" cm="1">
        <f t="array" ref="AH502">_xlfn.IFS(M502=1,"Junior employee",M502=2,"Mid-level",M502=3,"Senior",M502=4,"Manager",M502=5,"Executive")</f>
        <v>Mid-level</v>
      </c>
      <c r="AI502" t="str" cm="1">
        <f t="array" ref="AI502">_xlfn.IFS(O502=1,"Low",O502=2,"Medium",O502=3,"High",O502=4,"Very High")</f>
        <v>Very High</v>
      </c>
      <c r="AJ502" t="str" cm="1">
        <f t="array" ref="AJ502">_xlfn.IFS(U502=1,"Low",U502=2,"Good",U502=3,"Excellent",U502=4,"Outstanding")</f>
        <v>Excellent</v>
      </c>
      <c r="AK502" t="str" cm="1">
        <f t="array" ref="AK502">_xlfn.IFS(V502=1,"Low",V502=2,"Medium",V502=3,"High",V502=4,"Very High")</f>
        <v>Very High</v>
      </c>
      <c r="AL502" t="str" cm="1">
        <f t="array" ref="AL502">_xlfn.IFS(Z502=1,"Bad",Z502=2,"Good",Z502=3,"Better",Z502=4,"Best")</f>
        <v>Good</v>
      </c>
      <c r="AM502" t="str" cm="1">
        <f t="array" ref="AM502">_xlfn.IFS(W502=0,"No_stock",W502=1,"Low",W502=2,"Medium",W502=3,"High")</f>
        <v>Low</v>
      </c>
      <c r="AN502" t="str">
        <f t="shared" si="7"/>
        <v>Medium</v>
      </c>
    </row>
    <row r="503" spans="1:40" x14ac:dyDescent="0.45">
      <c r="A503">
        <v>30</v>
      </c>
      <c r="B503" t="s">
        <v>37</v>
      </c>
      <c r="C503" t="s">
        <v>38</v>
      </c>
      <c r="D503">
        <v>160</v>
      </c>
      <c r="E503" t="s">
        <v>39</v>
      </c>
      <c r="F503">
        <v>3</v>
      </c>
      <c r="G503">
        <v>3</v>
      </c>
      <c r="H503" t="s">
        <v>45</v>
      </c>
      <c r="I503">
        <v>680</v>
      </c>
      <c r="J503">
        <v>3</v>
      </c>
      <c r="K503" t="s">
        <v>34</v>
      </c>
      <c r="L503">
        <v>3</v>
      </c>
      <c r="M503">
        <v>1</v>
      </c>
      <c r="N503" t="s">
        <v>41</v>
      </c>
      <c r="O503">
        <v>3</v>
      </c>
      <c r="P503" t="s">
        <v>46</v>
      </c>
      <c r="Q503">
        <v>2083</v>
      </c>
      <c r="R503">
        <v>1</v>
      </c>
      <c r="S503" t="s">
        <v>37</v>
      </c>
      <c r="T503">
        <v>20</v>
      </c>
      <c r="U503">
        <v>4</v>
      </c>
      <c r="V503">
        <v>3</v>
      </c>
      <c r="W503">
        <v>1</v>
      </c>
      <c r="X503">
        <v>1</v>
      </c>
      <c r="Y503">
        <v>2</v>
      </c>
      <c r="Z503">
        <v>3</v>
      </c>
      <c r="AA503">
        <v>1</v>
      </c>
      <c r="AB503">
        <v>0</v>
      </c>
      <c r="AC503">
        <v>0</v>
      </c>
      <c r="AD503">
        <v>0</v>
      </c>
      <c r="AE503" t="str" cm="1">
        <f t="array" ref="AE503">_xlfn.IFS(G503=1,"Before College",G503=2,"College",G503=3,"Bachelor",G503=4,"Master",G503=5,"Doctor")</f>
        <v>Bachelor</v>
      </c>
      <c r="AF503" t="str" cm="1">
        <f t="array" ref="AF503">_xlfn.IFS(J503=1,"Low",J503=2,"Medium",J503=3,"High",J503=4,"Very High")</f>
        <v>High</v>
      </c>
      <c r="AG503" t="str" cm="1">
        <f t="array" ref="AG503">_xlfn.IFS(L503=1,"Low",L503=2,"Medium",L503=3,"High",L503=4,"Very High")</f>
        <v>High</v>
      </c>
      <c r="AH503" t="str" cm="1">
        <f t="array" ref="AH503">_xlfn.IFS(M503=1,"Junior employee",M503=2,"Mid-level",M503=3,"Senior",M503=4,"Manager",M503=5,"Executive")</f>
        <v>Junior employee</v>
      </c>
      <c r="AI503" t="str" cm="1">
        <f t="array" ref="AI503">_xlfn.IFS(O503=1,"Low",O503=2,"Medium",O503=3,"High",O503=4,"Very High")</f>
        <v>High</v>
      </c>
      <c r="AJ503" t="str" cm="1">
        <f t="array" ref="AJ503">_xlfn.IFS(U503=1,"Low",U503=2,"Good",U503=3,"Excellent",U503=4,"Outstanding")</f>
        <v>Outstanding</v>
      </c>
      <c r="AK503" t="str" cm="1">
        <f t="array" ref="AK503">_xlfn.IFS(V503=1,"Low",V503=2,"Medium",V503=3,"High",V503=4,"Very High")</f>
        <v>High</v>
      </c>
      <c r="AL503" t="str" cm="1">
        <f t="array" ref="AL503">_xlfn.IFS(Z503=1,"Bad",Z503=2,"Good",Z503=3,"Better",Z503=4,"Best")</f>
        <v>Better</v>
      </c>
      <c r="AM503" t="str" cm="1">
        <f t="array" ref="AM503">_xlfn.IFS(W503=0,"No_stock",W503=1,"Low",W503=2,"Medium",W503=3,"High")</f>
        <v>Low</v>
      </c>
      <c r="AN503" t="str">
        <f t="shared" si="7"/>
        <v>Near</v>
      </c>
    </row>
    <row r="504" spans="1:40" x14ac:dyDescent="0.45">
      <c r="A504">
        <v>53</v>
      </c>
      <c r="B504" t="s">
        <v>37</v>
      </c>
      <c r="C504" t="s">
        <v>31</v>
      </c>
      <c r="D504">
        <v>238</v>
      </c>
      <c r="E504" t="s">
        <v>32</v>
      </c>
      <c r="F504">
        <v>1</v>
      </c>
      <c r="G504">
        <v>1</v>
      </c>
      <c r="H504" t="s">
        <v>45</v>
      </c>
      <c r="I504">
        <v>682</v>
      </c>
      <c r="J504">
        <v>4</v>
      </c>
      <c r="K504" t="s">
        <v>34</v>
      </c>
      <c r="L504">
        <v>3</v>
      </c>
      <c r="M504">
        <v>2</v>
      </c>
      <c r="N504" t="s">
        <v>35</v>
      </c>
      <c r="O504">
        <v>1</v>
      </c>
      <c r="P504" t="s">
        <v>36</v>
      </c>
      <c r="Q504">
        <v>8381</v>
      </c>
      <c r="R504">
        <v>7</v>
      </c>
      <c r="S504" t="s">
        <v>37</v>
      </c>
      <c r="T504">
        <v>20</v>
      </c>
      <c r="U504">
        <v>4</v>
      </c>
      <c r="V504">
        <v>4</v>
      </c>
      <c r="W504">
        <v>0</v>
      </c>
      <c r="X504">
        <v>18</v>
      </c>
      <c r="Y504">
        <v>2</v>
      </c>
      <c r="Z504">
        <v>4</v>
      </c>
      <c r="AA504">
        <v>14</v>
      </c>
      <c r="AB504">
        <v>7</v>
      </c>
      <c r="AC504">
        <v>8</v>
      </c>
      <c r="AD504">
        <v>10</v>
      </c>
      <c r="AE504" t="str" cm="1">
        <f t="array" ref="AE504">_xlfn.IFS(G504=1,"Before College",G504=2,"College",G504=3,"Bachelor",G504=4,"Master",G504=5,"Doctor")</f>
        <v>Before College</v>
      </c>
      <c r="AF504" t="str" cm="1">
        <f t="array" ref="AF504">_xlfn.IFS(J504=1,"Low",J504=2,"Medium",J504=3,"High",J504=4,"Very High")</f>
        <v>Very High</v>
      </c>
      <c r="AG504" t="str" cm="1">
        <f t="array" ref="AG504">_xlfn.IFS(L504=1,"Low",L504=2,"Medium",L504=3,"High",L504=4,"Very High")</f>
        <v>High</v>
      </c>
      <c r="AH504" t="str" cm="1">
        <f t="array" ref="AH504">_xlfn.IFS(M504=1,"Junior employee",M504=2,"Mid-level",M504=3,"Senior",M504=4,"Manager",M504=5,"Executive")</f>
        <v>Mid-level</v>
      </c>
      <c r="AI504" t="str" cm="1">
        <f t="array" ref="AI504">_xlfn.IFS(O504=1,"Low",O504=2,"Medium",O504=3,"High",O504=4,"Very High")</f>
        <v>Low</v>
      </c>
      <c r="AJ504" t="str" cm="1">
        <f t="array" ref="AJ504">_xlfn.IFS(U504=1,"Low",U504=2,"Good",U504=3,"Excellent",U504=4,"Outstanding")</f>
        <v>Outstanding</v>
      </c>
      <c r="AK504" t="str" cm="1">
        <f t="array" ref="AK504">_xlfn.IFS(V504=1,"Low",V504=2,"Medium",V504=3,"High",V504=4,"Very High")</f>
        <v>Very High</v>
      </c>
      <c r="AL504" t="str" cm="1">
        <f t="array" ref="AL504">_xlfn.IFS(Z504=1,"Bad",Z504=2,"Good",Z504=3,"Better",Z504=4,"Best")</f>
        <v>Best</v>
      </c>
      <c r="AM504" t="str" cm="1">
        <f t="array" ref="AM504">_xlfn.IFS(W504=0,"No_stock",W504=1,"Low",W504=2,"Medium",W504=3,"High")</f>
        <v>No_stock</v>
      </c>
      <c r="AN504" t="str">
        <f t="shared" si="7"/>
        <v>Near</v>
      </c>
    </row>
    <row r="505" spans="1:40" x14ac:dyDescent="0.45">
      <c r="A505">
        <v>34</v>
      </c>
      <c r="B505" t="s">
        <v>37</v>
      </c>
      <c r="C505" t="s">
        <v>31</v>
      </c>
      <c r="D505">
        <v>1397</v>
      </c>
      <c r="E505" t="s">
        <v>39</v>
      </c>
      <c r="F505">
        <v>1</v>
      </c>
      <c r="G505">
        <v>5</v>
      </c>
      <c r="H505" t="s">
        <v>33</v>
      </c>
      <c r="I505">
        <v>683</v>
      </c>
      <c r="J505">
        <v>2</v>
      </c>
      <c r="K505" t="s">
        <v>40</v>
      </c>
      <c r="L505">
        <v>3</v>
      </c>
      <c r="M505">
        <v>1</v>
      </c>
      <c r="N505" t="s">
        <v>41</v>
      </c>
      <c r="O505">
        <v>4</v>
      </c>
      <c r="P505" t="s">
        <v>42</v>
      </c>
      <c r="Q505">
        <v>2691</v>
      </c>
      <c r="R505">
        <v>1</v>
      </c>
      <c r="S505" t="s">
        <v>37</v>
      </c>
      <c r="T505">
        <v>12</v>
      </c>
      <c r="U505">
        <v>3</v>
      </c>
      <c r="V505">
        <v>4</v>
      </c>
      <c r="W505">
        <v>1</v>
      </c>
      <c r="X505">
        <v>10</v>
      </c>
      <c r="Y505">
        <v>4</v>
      </c>
      <c r="Z505">
        <v>2</v>
      </c>
      <c r="AA505">
        <v>10</v>
      </c>
      <c r="AB505">
        <v>9</v>
      </c>
      <c r="AC505">
        <v>8</v>
      </c>
      <c r="AD505">
        <v>8</v>
      </c>
      <c r="AE505" t="str" cm="1">
        <f t="array" ref="AE505">_xlfn.IFS(G505=1,"Before College",G505=2,"College",G505=3,"Bachelor",G505=4,"Master",G505=5,"Doctor")</f>
        <v>Doctor</v>
      </c>
      <c r="AF505" t="str" cm="1">
        <f t="array" ref="AF505">_xlfn.IFS(J505=1,"Low",J505=2,"Medium",J505=3,"High",J505=4,"Very High")</f>
        <v>Medium</v>
      </c>
      <c r="AG505" t="str" cm="1">
        <f t="array" ref="AG505">_xlfn.IFS(L505=1,"Low",L505=2,"Medium",L505=3,"High",L505=4,"Very High")</f>
        <v>High</v>
      </c>
      <c r="AH505" t="str" cm="1">
        <f t="array" ref="AH505">_xlfn.IFS(M505=1,"Junior employee",M505=2,"Mid-level",M505=3,"Senior",M505=4,"Manager",M505=5,"Executive")</f>
        <v>Junior employee</v>
      </c>
      <c r="AI505" t="str" cm="1">
        <f t="array" ref="AI505">_xlfn.IFS(O505=1,"Low",O505=2,"Medium",O505=3,"High",O505=4,"Very High")</f>
        <v>Very High</v>
      </c>
      <c r="AJ505" t="str" cm="1">
        <f t="array" ref="AJ505">_xlfn.IFS(U505=1,"Low",U505=2,"Good",U505=3,"Excellent",U505=4,"Outstanding")</f>
        <v>Excellent</v>
      </c>
      <c r="AK505" t="str" cm="1">
        <f t="array" ref="AK505">_xlfn.IFS(V505=1,"Low",V505=2,"Medium",V505=3,"High",V505=4,"Very High")</f>
        <v>Very High</v>
      </c>
      <c r="AL505" t="str" cm="1">
        <f t="array" ref="AL505">_xlfn.IFS(Z505=1,"Bad",Z505=2,"Good",Z505=3,"Better",Z505=4,"Best")</f>
        <v>Good</v>
      </c>
      <c r="AM505" t="str" cm="1">
        <f t="array" ref="AM505">_xlfn.IFS(W505=0,"No_stock",W505=1,"Low",W505=2,"Medium",W505=3,"High")</f>
        <v>Low</v>
      </c>
      <c r="AN505" t="str">
        <f t="shared" si="7"/>
        <v>Near</v>
      </c>
    </row>
    <row r="506" spans="1:40" x14ac:dyDescent="0.45">
      <c r="A506">
        <v>45</v>
      </c>
      <c r="B506" t="s">
        <v>30</v>
      </c>
      <c r="C506" t="s">
        <v>38</v>
      </c>
      <c r="D506">
        <v>306</v>
      </c>
      <c r="E506" t="s">
        <v>32</v>
      </c>
      <c r="F506">
        <v>26</v>
      </c>
      <c r="G506">
        <v>4</v>
      </c>
      <c r="H506" t="s">
        <v>33</v>
      </c>
      <c r="I506">
        <v>684</v>
      </c>
      <c r="J506">
        <v>1</v>
      </c>
      <c r="K506" t="s">
        <v>34</v>
      </c>
      <c r="L506">
        <v>3</v>
      </c>
      <c r="M506">
        <v>2</v>
      </c>
      <c r="N506" t="s">
        <v>35</v>
      </c>
      <c r="O506">
        <v>1</v>
      </c>
      <c r="P506" t="s">
        <v>42</v>
      </c>
      <c r="Q506">
        <v>4286</v>
      </c>
      <c r="R506">
        <v>2</v>
      </c>
      <c r="S506" t="s">
        <v>37</v>
      </c>
      <c r="T506">
        <v>14</v>
      </c>
      <c r="U506">
        <v>3</v>
      </c>
      <c r="V506">
        <v>4</v>
      </c>
      <c r="W506">
        <v>2</v>
      </c>
      <c r="X506">
        <v>5</v>
      </c>
      <c r="Y506">
        <v>4</v>
      </c>
      <c r="Z506">
        <v>3</v>
      </c>
      <c r="AA506">
        <v>1</v>
      </c>
      <c r="AB506">
        <v>1</v>
      </c>
      <c r="AC506">
        <v>0</v>
      </c>
      <c r="AD506">
        <v>0</v>
      </c>
      <c r="AE506" t="str" cm="1">
        <f t="array" ref="AE506">_xlfn.IFS(G506=1,"Before College",G506=2,"College",G506=3,"Bachelor",G506=4,"Master",G506=5,"Doctor")</f>
        <v>Master</v>
      </c>
      <c r="AF506" t="str" cm="1">
        <f t="array" ref="AF506">_xlfn.IFS(J506=1,"Low",J506=2,"Medium",J506=3,"High",J506=4,"Very High")</f>
        <v>Low</v>
      </c>
      <c r="AG506" t="str" cm="1">
        <f t="array" ref="AG506">_xlfn.IFS(L506=1,"Low",L506=2,"Medium",L506=3,"High",L506=4,"Very High")</f>
        <v>High</v>
      </c>
      <c r="AH506" t="str" cm="1">
        <f t="array" ref="AH506">_xlfn.IFS(M506=1,"Junior employee",M506=2,"Mid-level",M506=3,"Senior",M506=4,"Manager",M506=5,"Executive")</f>
        <v>Mid-level</v>
      </c>
      <c r="AI506" t="str" cm="1">
        <f t="array" ref="AI506">_xlfn.IFS(O506=1,"Low",O506=2,"Medium",O506=3,"High",O506=4,"Very High")</f>
        <v>Low</v>
      </c>
      <c r="AJ506" t="str" cm="1">
        <f t="array" ref="AJ506">_xlfn.IFS(U506=1,"Low",U506=2,"Good",U506=3,"Excellent",U506=4,"Outstanding")</f>
        <v>Excellent</v>
      </c>
      <c r="AK506" t="str" cm="1">
        <f t="array" ref="AK506">_xlfn.IFS(V506=1,"Low",V506=2,"Medium",V506=3,"High",V506=4,"Very High")</f>
        <v>Very High</v>
      </c>
      <c r="AL506" t="str" cm="1">
        <f t="array" ref="AL506">_xlfn.IFS(Z506=1,"Bad",Z506=2,"Good",Z506=3,"Better",Z506=4,"Best")</f>
        <v>Better</v>
      </c>
      <c r="AM506" t="str" cm="1">
        <f t="array" ref="AM506">_xlfn.IFS(W506=0,"No_stock",W506=1,"Low",W506=2,"Medium",W506=3,"High")</f>
        <v>Medium</v>
      </c>
      <c r="AN506" t="str">
        <f t="shared" si="7"/>
        <v>Far</v>
      </c>
    </row>
    <row r="507" spans="1:40" x14ac:dyDescent="0.45">
      <c r="A507">
        <v>26</v>
      </c>
      <c r="B507" t="s">
        <v>37</v>
      </c>
      <c r="C507" t="s">
        <v>31</v>
      </c>
      <c r="D507">
        <v>991</v>
      </c>
      <c r="E507" t="s">
        <v>39</v>
      </c>
      <c r="F507">
        <v>6</v>
      </c>
      <c r="G507">
        <v>3</v>
      </c>
      <c r="H507" t="s">
        <v>33</v>
      </c>
      <c r="I507">
        <v>686</v>
      </c>
      <c r="J507">
        <v>3</v>
      </c>
      <c r="K507" t="s">
        <v>34</v>
      </c>
      <c r="L507">
        <v>3</v>
      </c>
      <c r="M507">
        <v>1</v>
      </c>
      <c r="N507" t="s">
        <v>44</v>
      </c>
      <c r="O507">
        <v>4</v>
      </c>
      <c r="P507" t="s">
        <v>42</v>
      </c>
      <c r="Q507">
        <v>2659</v>
      </c>
      <c r="R507">
        <v>1</v>
      </c>
      <c r="S507" t="s">
        <v>30</v>
      </c>
      <c r="T507">
        <v>13</v>
      </c>
      <c r="U507">
        <v>3</v>
      </c>
      <c r="V507">
        <v>3</v>
      </c>
      <c r="W507">
        <v>1</v>
      </c>
      <c r="X507">
        <v>3</v>
      </c>
      <c r="Y507">
        <v>2</v>
      </c>
      <c r="Z507">
        <v>3</v>
      </c>
      <c r="AA507">
        <v>3</v>
      </c>
      <c r="AB507">
        <v>2</v>
      </c>
      <c r="AC507">
        <v>0</v>
      </c>
      <c r="AD507">
        <v>2</v>
      </c>
      <c r="AE507" t="str" cm="1">
        <f t="array" ref="AE507">_xlfn.IFS(G507=1,"Before College",G507=2,"College",G507=3,"Bachelor",G507=4,"Master",G507=5,"Doctor")</f>
        <v>Bachelor</v>
      </c>
      <c r="AF507" t="str" cm="1">
        <f t="array" ref="AF507">_xlfn.IFS(J507=1,"Low",J507=2,"Medium",J507=3,"High",J507=4,"Very High")</f>
        <v>High</v>
      </c>
      <c r="AG507" t="str" cm="1">
        <f t="array" ref="AG507">_xlfn.IFS(L507=1,"Low",L507=2,"Medium",L507=3,"High",L507=4,"Very High")</f>
        <v>High</v>
      </c>
      <c r="AH507" t="str" cm="1">
        <f t="array" ref="AH507">_xlfn.IFS(M507=1,"Junior employee",M507=2,"Mid-level",M507=3,"Senior",M507=4,"Manager",M507=5,"Executive")</f>
        <v>Junior employee</v>
      </c>
      <c r="AI507" t="str" cm="1">
        <f t="array" ref="AI507">_xlfn.IFS(O507=1,"Low",O507=2,"Medium",O507=3,"High",O507=4,"Very High")</f>
        <v>Very High</v>
      </c>
      <c r="AJ507" t="str" cm="1">
        <f t="array" ref="AJ507">_xlfn.IFS(U507=1,"Low",U507=2,"Good",U507=3,"Excellent",U507=4,"Outstanding")</f>
        <v>Excellent</v>
      </c>
      <c r="AK507" t="str" cm="1">
        <f t="array" ref="AK507">_xlfn.IFS(V507=1,"Low",V507=2,"Medium",V507=3,"High",V507=4,"Very High")</f>
        <v>High</v>
      </c>
      <c r="AL507" t="str" cm="1">
        <f t="array" ref="AL507">_xlfn.IFS(Z507=1,"Bad",Z507=2,"Good",Z507=3,"Better",Z507=4,"Best")</f>
        <v>Better</v>
      </c>
      <c r="AM507" t="str" cm="1">
        <f t="array" ref="AM507">_xlfn.IFS(W507=0,"No_stock",W507=1,"Low",W507=2,"Medium",W507=3,"High")</f>
        <v>Low</v>
      </c>
      <c r="AN507" t="str">
        <f t="shared" si="7"/>
        <v>Medium</v>
      </c>
    </row>
    <row r="508" spans="1:40" x14ac:dyDescent="0.45">
      <c r="A508">
        <v>37</v>
      </c>
      <c r="B508" t="s">
        <v>37</v>
      </c>
      <c r="C508" t="s">
        <v>31</v>
      </c>
      <c r="D508">
        <v>482</v>
      </c>
      <c r="E508" t="s">
        <v>39</v>
      </c>
      <c r="F508">
        <v>3</v>
      </c>
      <c r="G508">
        <v>3</v>
      </c>
      <c r="H508" t="s">
        <v>43</v>
      </c>
      <c r="I508">
        <v>689</v>
      </c>
      <c r="J508">
        <v>3</v>
      </c>
      <c r="K508" t="s">
        <v>40</v>
      </c>
      <c r="L508">
        <v>3</v>
      </c>
      <c r="M508">
        <v>3</v>
      </c>
      <c r="N508" t="s">
        <v>47</v>
      </c>
      <c r="O508">
        <v>3</v>
      </c>
      <c r="P508" t="s">
        <v>42</v>
      </c>
      <c r="Q508">
        <v>9434</v>
      </c>
      <c r="R508">
        <v>1</v>
      </c>
      <c r="S508" t="s">
        <v>37</v>
      </c>
      <c r="T508">
        <v>15</v>
      </c>
      <c r="U508">
        <v>3</v>
      </c>
      <c r="V508">
        <v>3</v>
      </c>
      <c r="W508">
        <v>1</v>
      </c>
      <c r="X508">
        <v>10</v>
      </c>
      <c r="Y508">
        <v>2</v>
      </c>
      <c r="Z508">
        <v>3</v>
      </c>
      <c r="AA508">
        <v>10</v>
      </c>
      <c r="AB508">
        <v>7</v>
      </c>
      <c r="AC508">
        <v>7</v>
      </c>
      <c r="AD508">
        <v>8</v>
      </c>
      <c r="AE508" t="str" cm="1">
        <f t="array" ref="AE508">_xlfn.IFS(G508=1,"Before College",G508=2,"College",G508=3,"Bachelor",G508=4,"Master",G508=5,"Doctor")</f>
        <v>Bachelor</v>
      </c>
      <c r="AF508" t="str" cm="1">
        <f t="array" ref="AF508">_xlfn.IFS(J508=1,"Low",J508=2,"Medium",J508=3,"High",J508=4,"Very High")</f>
        <v>High</v>
      </c>
      <c r="AG508" t="str" cm="1">
        <f t="array" ref="AG508">_xlfn.IFS(L508=1,"Low",L508=2,"Medium",L508=3,"High",L508=4,"Very High")</f>
        <v>High</v>
      </c>
      <c r="AH508" t="str" cm="1">
        <f t="array" ref="AH508">_xlfn.IFS(M508=1,"Junior employee",M508=2,"Mid-level",M508=3,"Senior",M508=4,"Manager",M508=5,"Executive")</f>
        <v>Senior</v>
      </c>
      <c r="AI508" t="str" cm="1">
        <f t="array" ref="AI508">_xlfn.IFS(O508=1,"Low",O508=2,"Medium",O508=3,"High",O508=4,"Very High")</f>
        <v>High</v>
      </c>
      <c r="AJ508" t="str" cm="1">
        <f t="array" ref="AJ508">_xlfn.IFS(U508=1,"Low",U508=2,"Good",U508=3,"Excellent",U508=4,"Outstanding")</f>
        <v>Excellent</v>
      </c>
      <c r="AK508" t="str" cm="1">
        <f t="array" ref="AK508">_xlfn.IFS(V508=1,"Low",V508=2,"Medium",V508=3,"High",V508=4,"Very High")</f>
        <v>High</v>
      </c>
      <c r="AL508" t="str" cm="1">
        <f t="array" ref="AL508">_xlfn.IFS(Z508=1,"Bad",Z508=2,"Good",Z508=3,"Better",Z508=4,"Best")</f>
        <v>Better</v>
      </c>
      <c r="AM508" t="str" cm="1">
        <f t="array" ref="AM508">_xlfn.IFS(W508=0,"No_stock",W508=1,"Low",W508=2,"Medium",W508=3,"High")</f>
        <v>Low</v>
      </c>
      <c r="AN508" t="str">
        <f t="shared" si="7"/>
        <v>Near</v>
      </c>
    </row>
    <row r="509" spans="1:40" x14ac:dyDescent="0.45">
      <c r="A509">
        <v>29</v>
      </c>
      <c r="B509" t="s">
        <v>37</v>
      </c>
      <c r="C509" t="s">
        <v>31</v>
      </c>
      <c r="D509">
        <v>1176</v>
      </c>
      <c r="E509" t="s">
        <v>32</v>
      </c>
      <c r="F509">
        <v>3</v>
      </c>
      <c r="G509">
        <v>2</v>
      </c>
      <c r="H509" t="s">
        <v>45</v>
      </c>
      <c r="I509">
        <v>690</v>
      </c>
      <c r="J509">
        <v>2</v>
      </c>
      <c r="K509" t="s">
        <v>34</v>
      </c>
      <c r="L509">
        <v>3</v>
      </c>
      <c r="M509">
        <v>2</v>
      </c>
      <c r="N509" t="s">
        <v>35</v>
      </c>
      <c r="O509">
        <v>3</v>
      </c>
      <c r="P509" t="s">
        <v>42</v>
      </c>
      <c r="Q509">
        <v>5561</v>
      </c>
      <c r="R509">
        <v>1</v>
      </c>
      <c r="S509" t="s">
        <v>37</v>
      </c>
      <c r="T509">
        <v>14</v>
      </c>
      <c r="U509">
        <v>3</v>
      </c>
      <c r="V509">
        <v>1</v>
      </c>
      <c r="W509">
        <v>1</v>
      </c>
      <c r="X509">
        <v>6</v>
      </c>
      <c r="Y509">
        <v>5</v>
      </c>
      <c r="Z509">
        <v>2</v>
      </c>
      <c r="AA509">
        <v>6</v>
      </c>
      <c r="AB509">
        <v>0</v>
      </c>
      <c r="AC509">
        <v>1</v>
      </c>
      <c r="AD509">
        <v>2</v>
      </c>
      <c r="AE509" t="str" cm="1">
        <f t="array" ref="AE509">_xlfn.IFS(G509=1,"Before College",G509=2,"College",G509=3,"Bachelor",G509=4,"Master",G509=5,"Doctor")</f>
        <v>College</v>
      </c>
      <c r="AF509" t="str" cm="1">
        <f t="array" ref="AF509">_xlfn.IFS(J509=1,"Low",J509=2,"Medium",J509=3,"High",J509=4,"Very High")</f>
        <v>Medium</v>
      </c>
      <c r="AG509" t="str" cm="1">
        <f t="array" ref="AG509">_xlfn.IFS(L509=1,"Low",L509=2,"Medium",L509=3,"High",L509=4,"Very High")</f>
        <v>High</v>
      </c>
      <c r="AH509" t="str" cm="1">
        <f t="array" ref="AH509">_xlfn.IFS(M509=1,"Junior employee",M509=2,"Mid-level",M509=3,"Senior",M509=4,"Manager",M509=5,"Executive")</f>
        <v>Mid-level</v>
      </c>
      <c r="AI509" t="str" cm="1">
        <f t="array" ref="AI509">_xlfn.IFS(O509=1,"Low",O509=2,"Medium",O509=3,"High",O509=4,"Very High")</f>
        <v>High</v>
      </c>
      <c r="AJ509" t="str" cm="1">
        <f t="array" ref="AJ509">_xlfn.IFS(U509=1,"Low",U509=2,"Good",U509=3,"Excellent",U509=4,"Outstanding")</f>
        <v>Excellent</v>
      </c>
      <c r="AK509" t="str" cm="1">
        <f t="array" ref="AK509">_xlfn.IFS(V509=1,"Low",V509=2,"Medium",V509=3,"High",V509=4,"Very High")</f>
        <v>Low</v>
      </c>
      <c r="AL509" t="str" cm="1">
        <f t="array" ref="AL509">_xlfn.IFS(Z509=1,"Bad",Z509=2,"Good",Z509=3,"Better",Z509=4,"Best")</f>
        <v>Good</v>
      </c>
      <c r="AM509" t="str" cm="1">
        <f t="array" ref="AM509">_xlfn.IFS(W509=0,"No_stock",W509=1,"Low",W509=2,"Medium",W509=3,"High")</f>
        <v>Low</v>
      </c>
      <c r="AN509" t="str">
        <f t="shared" si="7"/>
        <v>Near</v>
      </c>
    </row>
    <row r="510" spans="1:40" x14ac:dyDescent="0.45">
      <c r="A510">
        <v>35</v>
      </c>
      <c r="B510" t="s">
        <v>37</v>
      </c>
      <c r="C510" t="s">
        <v>31</v>
      </c>
      <c r="D510">
        <v>1017</v>
      </c>
      <c r="E510" t="s">
        <v>39</v>
      </c>
      <c r="F510">
        <v>6</v>
      </c>
      <c r="G510">
        <v>4</v>
      </c>
      <c r="H510" t="s">
        <v>33</v>
      </c>
      <c r="I510">
        <v>691</v>
      </c>
      <c r="J510">
        <v>2</v>
      </c>
      <c r="K510" t="s">
        <v>40</v>
      </c>
      <c r="L510">
        <v>1</v>
      </c>
      <c r="M510">
        <v>2</v>
      </c>
      <c r="N510" t="s">
        <v>41</v>
      </c>
      <c r="O510">
        <v>4</v>
      </c>
      <c r="P510" t="s">
        <v>36</v>
      </c>
      <c r="Q510">
        <v>6646</v>
      </c>
      <c r="R510">
        <v>1</v>
      </c>
      <c r="S510" t="s">
        <v>37</v>
      </c>
      <c r="T510">
        <v>13</v>
      </c>
      <c r="U510">
        <v>3</v>
      </c>
      <c r="V510">
        <v>2</v>
      </c>
      <c r="W510">
        <v>0</v>
      </c>
      <c r="X510">
        <v>17</v>
      </c>
      <c r="Y510">
        <v>3</v>
      </c>
      <c r="Z510">
        <v>3</v>
      </c>
      <c r="AA510">
        <v>17</v>
      </c>
      <c r="AB510">
        <v>11</v>
      </c>
      <c r="AC510">
        <v>11</v>
      </c>
      <c r="AD510">
        <v>8</v>
      </c>
      <c r="AE510" t="str" cm="1">
        <f t="array" ref="AE510">_xlfn.IFS(G510=1,"Before College",G510=2,"College",G510=3,"Bachelor",G510=4,"Master",G510=5,"Doctor")</f>
        <v>Master</v>
      </c>
      <c r="AF510" t="str" cm="1">
        <f t="array" ref="AF510">_xlfn.IFS(J510=1,"Low",J510=2,"Medium",J510=3,"High",J510=4,"Very High")</f>
        <v>Medium</v>
      </c>
      <c r="AG510" t="str" cm="1">
        <f t="array" ref="AG510">_xlfn.IFS(L510=1,"Low",L510=2,"Medium",L510=3,"High",L510=4,"Very High")</f>
        <v>Low</v>
      </c>
      <c r="AH510" t="str" cm="1">
        <f t="array" ref="AH510">_xlfn.IFS(M510=1,"Junior employee",M510=2,"Mid-level",M510=3,"Senior",M510=4,"Manager",M510=5,"Executive")</f>
        <v>Mid-level</v>
      </c>
      <c r="AI510" t="str" cm="1">
        <f t="array" ref="AI510">_xlfn.IFS(O510=1,"Low",O510=2,"Medium",O510=3,"High",O510=4,"Very High")</f>
        <v>Very High</v>
      </c>
      <c r="AJ510" t="str" cm="1">
        <f t="array" ref="AJ510">_xlfn.IFS(U510=1,"Low",U510=2,"Good",U510=3,"Excellent",U510=4,"Outstanding")</f>
        <v>Excellent</v>
      </c>
      <c r="AK510" t="str" cm="1">
        <f t="array" ref="AK510">_xlfn.IFS(V510=1,"Low",V510=2,"Medium",V510=3,"High",V510=4,"Very High")</f>
        <v>Medium</v>
      </c>
      <c r="AL510" t="str" cm="1">
        <f t="array" ref="AL510">_xlfn.IFS(Z510=1,"Bad",Z510=2,"Good",Z510=3,"Better",Z510=4,"Best")</f>
        <v>Better</v>
      </c>
      <c r="AM510" t="str" cm="1">
        <f t="array" ref="AM510">_xlfn.IFS(W510=0,"No_stock",W510=1,"Low",W510=2,"Medium",W510=3,"High")</f>
        <v>No_stock</v>
      </c>
      <c r="AN510" t="str">
        <f t="shared" si="7"/>
        <v>Medium</v>
      </c>
    </row>
    <row r="511" spans="1:40" x14ac:dyDescent="0.45">
      <c r="A511">
        <v>33</v>
      </c>
      <c r="B511" t="s">
        <v>37</v>
      </c>
      <c r="C511" t="s">
        <v>38</v>
      </c>
      <c r="D511">
        <v>1296</v>
      </c>
      <c r="E511" t="s">
        <v>39</v>
      </c>
      <c r="F511">
        <v>6</v>
      </c>
      <c r="G511">
        <v>3</v>
      </c>
      <c r="H511" t="s">
        <v>33</v>
      </c>
      <c r="I511">
        <v>692</v>
      </c>
      <c r="J511">
        <v>3</v>
      </c>
      <c r="K511" t="s">
        <v>40</v>
      </c>
      <c r="L511">
        <v>3</v>
      </c>
      <c r="M511">
        <v>2</v>
      </c>
      <c r="N511" t="s">
        <v>48</v>
      </c>
      <c r="O511">
        <v>4</v>
      </c>
      <c r="P511" t="s">
        <v>46</v>
      </c>
      <c r="Q511">
        <v>7725</v>
      </c>
      <c r="R511">
        <v>3</v>
      </c>
      <c r="S511" t="s">
        <v>37</v>
      </c>
      <c r="T511">
        <v>23</v>
      </c>
      <c r="U511">
        <v>4</v>
      </c>
      <c r="V511">
        <v>3</v>
      </c>
      <c r="W511">
        <v>1</v>
      </c>
      <c r="X511">
        <v>15</v>
      </c>
      <c r="Y511">
        <v>2</v>
      </c>
      <c r="Z511">
        <v>1</v>
      </c>
      <c r="AA511">
        <v>13</v>
      </c>
      <c r="AB511">
        <v>11</v>
      </c>
      <c r="AC511">
        <v>4</v>
      </c>
      <c r="AD511">
        <v>7</v>
      </c>
      <c r="AE511" t="str" cm="1">
        <f t="array" ref="AE511">_xlfn.IFS(G511=1,"Before College",G511=2,"College",G511=3,"Bachelor",G511=4,"Master",G511=5,"Doctor")</f>
        <v>Bachelor</v>
      </c>
      <c r="AF511" t="str" cm="1">
        <f t="array" ref="AF511">_xlfn.IFS(J511=1,"Low",J511=2,"Medium",J511=3,"High",J511=4,"Very High")</f>
        <v>High</v>
      </c>
      <c r="AG511" t="str" cm="1">
        <f t="array" ref="AG511">_xlfn.IFS(L511=1,"Low",L511=2,"Medium",L511=3,"High",L511=4,"Very High")</f>
        <v>High</v>
      </c>
      <c r="AH511" t="str" cm="1">
        <f t="array" ref="AH511">_xlfn.IFS(M511=1,"Junior employee",M511=2,"Mid-level",M511=3,"Senior",M511=4,"Manager",M511=5,"Executive")</f>
        <v>Mid-level</v>
      </c>
      <c r="AI511" t="str" cm="1">
        <f t="array" ref="AI511">_xlfn.IFS(O511=1,"Low",O511=2,"Medium",O511=3,"High",O511=4,"Very High")</f>
        <v>Very High</v>
      </c>
      <c r="AJ511" t="str" cm="1">
        <f t="array" ref="AJ511">_xlfn.IFS(U511=1,"Low",U511=2,"Good",U511=3,"Excellent",U511=4,"Outstanding")</f>
        <v>Outstanding</v>
      </c>
      <c r="AK511" t="str" cm="1">
        <f t="array" ref="AK511">_xlfn.IFS(V511=1,"Low",V511=2,"Medium",V511=3,"High",V511=4,"Very High")</f>
        <v>High</v>
      </c>
      <c r="AL511" t="str" cm="1">
        <f t="array" ref="AL511">_xlfn.IFS(Z511=1,"Bad",Z511=2,"Good",Z511=3,"Better",Z511=4,"Best")</f>
        <v>Bad</v>
      </c>
      <c r="AM511" t="str" cm="1">
        <f t="array" ref="AM511">_xlfn.IFS(W511=0,"No_stock",W511=1,"Low",W511=2,"Medium",W511=3,"High")</f>
        <v>Low</v>
      </c>
      <c r="AN511" t="str">
        <f t="shared" si="7"/>
        <v>Medium</v>
      </c>
    </row>
    <row r="512" spans="1:40" x14ac:dyDescent="0.45">
      <c r="A512">
        <v>54</v>
      </c>
      <c r="B512" t="s">
        <v>37</v>
      </c>
      <c r="C512" t="s">
        <v>31</v>
      </c>
      <c r="D512">
        <v>397</v>
      </c>
      <c r="E512" t="s">
        <v>55</v>
      </c>
      <c r="F512">
        <v>19</v>
      </c>
      <c r="G512">
        <v>4</v>
      </c>
      <c r="H512" t="s">
        <v>45</v>
      </c>
      <c r="I512">
        <v>698</v>
      </c>
      <c r="J512">
        <v>3</v>
      </c>
      <c r="K512" t="s">
        <v>40</v>
      </c>
      <c r="L512">
        <v>3</v>
      </c>
      <c r="M512">
        <v>3</v>
      </c>
      <c r="N512" t="s">
        <v>55</v>
      </c>
      <c r="O512">
        <v>2</v>
      </c>
      <c r="P512" t="s">
        <v>42</v>
      </c>
      <c r="Q512">
        <v>10725</v>
      </c>
      <c r="R512">
        <v>2</v>
      </c>
      <c r="S512" t="s">
        <v>37</v>
      </c>
      <c r="T512">
        <v>15</v>
      </c>
      <c r="U512">
        <v>3</v>
      </c>
      <c r="V512">
        <v>3</v>
      </c>
      <c r="W512">
        <v>1</v>
      </c>
      <c r="X512">
        <v>16</v>
      </c>
      <c r="Y512">
        <v>1</v>
      </c>
      <c r="Z512">
        <v>4</v>
      </c>
      <c r="AA512">
        <v>9</v>
      </c>
      <c r="AB512">
        <v>7</v>
      </c>
      <c r="AC512">
        <v>7</v>
      </c>
      <c r="AD512">
        <v>1</v>
      </c>
      <c r="AE512" t="str" cm="1">
        <f t="array" ref="AE512">_xlfn.IFS(G512=1,"Before College",G512=2,"College",G512=3,"Bachelor",G512=4,"Master",G512=5,"Doctor")</f>
        <v>Master</v>
      </c>
      <c r="AF512" t="str" cm="1">
        <f t="array" ref="AF512">_xlfn.IFS(J512=1,"Low",J512=2,"Medium",J512=3,"High",J512=4,"Very High")</f>
        <v>High</v>
      </c>
      <c r="AG512" t="str" cm="1">
        <f t="array" ref="AG512">_xlfn.IFS(L512=1,"Low",L512=2,"Medium",L512=3,"High",L512=4,"Very High")</f>
        <v>High</v>
      </c>
      <c r="AH512" t="str" cm="1">
        <f t="array" ref="AH512">_xlfn.IFS(M512=1,"Junior employee",M512=2,"Mid-level",M512=3,"Senior",M512=4,"Manager",M512=5,"Executive")</f>
        <v>Senior</v>
      </c>
      <c r="AI512" t="str" cm="1">
        <f t="array" ref="AI512">_xlfn.IFS(O512=1,"Low",O512=2,"Medium",O512=3,"High",O512=4,"Very High")</f>
        <v>Medium</v>
      </c>
      <c r="AJ512" t="str" cm="1">
        <f t="array" ref="AJ512">_xlfn.IFS(U512=1,"Low",U512=2,"Good",U512=3,"Excellent",U512=4,"Outstanding")</f>
        <v>Excellent</v>
      </c>
      <c r="AK512" t="str" cm="1">
        <f t="array" ref="AK512">_xlfn.IFS(V512=1,"Low",V512=2,"Medium",V512=3,"High",V512=4,"Very High")</f>
        <v>High</v>
      </c>
      <c r="AL512" t="str" cm="1">
        <f t="array" ref="AL512">_xlfn.IFS(Z512=1,"Bad",Z512=2,"Good",Z512=3,"Better",Z512=4,"Best")</f>
        <v>Best</v>
      </c>
      <c r="AM512" t="str" cm="1">
        <f t="array" ref="AM512">_xlfn.IFS(W512=0,"No_stock",W512=1,"Low",W512=2,"Medium",W512=3,"High")</f>
        <v>Low</v>
      </c>
      <c r="AN512" t="str">
        <f t="shared" si="7"/>
        <v>Far</v>
      </c>
    </row>
    <row r="513" spans="1:40" x14ac:dyDescent="0.45">
      <c r="A513">
        <v>36</v>
      </c>
      <c r="B513" t="s">
        <v>37</v>
      </c>
      <c r="C513" t="s">
        <v>31</v>
      </c>
      <c r="D513">
        <v>913</v>
      </c>
      <c r="E513" t="s">
        <v>39</v>
      </c>
      <c r="F513">
        <v>9</v>
      </c>
      <c r="G513">
        <v>2</v>
      </c>
      <c r="H513" t="s">
        <v>45</v>
      </c>
      <c r="I513">
        <v>699</v>
      </c>
      <c r="J513">
        <v>2</v>
      </c>
      <c r="K513" t="s">
        <v>40</v>
      </c>
      <c r="L513">
        <v>2</v>
      </c>
      <c r="M513">
        <v>2</v>
      </c>
      <c r="N513" t="s">
        <v>47</v>
      </c>
      <c r="O513">
        <v>2</v>
      </c>
      <c r="P513" t="s">
        <v>46</v>
      </c>
      <c r="Q513">
        <v>8847</v>
      </c>
      <c r="R513">
        <v>2</v>
      </c>
      <c r="S513" t="s">
        <v>30</v>
      </c>
      <c r="T513">
        <v>11</v>
      </c>
      <c r="U513">
        <v>3</v>
      </c>
      <c r="V513">
        <v>3</v>
      </c>
      <c r="W513">
        <v>1</v>
      </c>
      <c r="X513">
        <v>13</v>
      </c>
      <c r="Y513">
        <v>2</v>
      </c>
      <c r="Z513">
        <v>3</v>
      </c>
      <c r="AA513">
        <v>3</v>
      </c>
      <c r="AB513">
        <v>2</v>
      </c>
      <c r="AC513">
        <v>0</v>
      </c>
      <c r="AD513">
        <v>2</v>
      </c>
      <c r="AE513" t="str" cm="1">
        <f t="array" ref="AE513">_xlfn.IFS(G513=1,"Before College",G513=2,"College",G513=3,"Bachelor",G513=4,"Master",G513=5,"Doctor")</f>
        <v>College</v>
      </c>
      <c r="AF513" t="str" cm="1">
        <f t="array" ref="AF513">_xlfn.IFS(J513=1,"Low",J513=2,"Medium",J513=3,"High",J513=4,"Very High")</f>
        <v>Medium</v>
      </c>
      <c r="AG513" t="str" cm="1">
        <f t="array" ref="AG513">_xlfn.IFS(L513=1,"Low",L513=2,"Medium",L513=3,"High",L513=4,"Very High")</f>
        <v>Medium</v>
      </c>
      <c r="AH513" t="str" cm="1">
        <f t="array" ref="AH513">_xlfn.IFS(M513=1,"Junior employee",M513=2,"Mid-level",M513=3,"Senior",M513=4,"Manager",M513=5,"Executive")</f>
        <v>Mid-level</v>
      </c>
      <c r="AI513" t="str" cm="1">
        <f t="array" ref="AI513">_xlfn.IFS(O513=1,"Low",O513=2,"Medium",O513=3,"High",O513=4,"Very High")</f>
        <v>Medium</v>
      </c>
      <c r="AJ513" t="str" cm="1">
        <f t="array" ref="AJ513">_xlfn.IFS(U513=1,"Low",U513=2,"Good",U513=3,"Excellent",U513=4,"Outstanding")</f>
        <v>Excellent</v>
      </c>
      <c r="AK513" t="str" cm="1">
        <f t="array" ref="AK513">_xlfn.IFS(V513=1,"Low",V513=2,"Medium",V513=3,"High",V513=4,"Very High")</f>
        <v>High</v>
      </c>
      <c r="AL513" t="str" cm="1">
        <f t="array" ref="AL513">_xlfn.IFS(Z513=1,"Bad",Z513=2,"Good",Z513=3,"Better",Z513=4,"Best")</f>
        <v>Better</v>
      </c>
      <c r="AM513" t="str" cm="1">
        <f t="array" ref="AM513">_xlfn.IFS(W513=0,"No_stock",W513=1,"Low",W513=2,"Medium",W513=3,"High")</f>
        <v>Low</v>
      </c>
      <c r="AN513" t="str">
        <f t="shared" si="7"/>
        <v>Medium</v>
      </c>
    </row>
    <row r="514" spans="1:40" x14ac:dyDescent="0.45">
      <c r="A514">
        <v>27</v>
      </c>
      <c r="B514" t="s">
        <v>37</v>
      </c>
      <c r="C514" t="s">
        <v>31</v>
      </c>
      <c r="D514">
        <v>1115</v>
      </c>
      <c r="E514" t="s">
        <v>39</v>
      </c>
      <c r="F514">
        <v>3</v>
      </c>
      <c r="G514">
        <v>4</v>
      </c>
      <c r="H514" t="s">
        <v>45</v>
      </c>
      <c r="I514">
        <v>700</v>
      </c>
      <c r="J514">
        <v>1</v>
      </c>
      <c r="K514" t="s">
        <v>40</v>
      </c>
      <c r="L514">
        <v>2</v>
      </c>
      <c r="M514">
        <v>1</v>
      </c>
      <c r="N514" t="s">
        <v>41</v>
      </c>
      <c r="O514">
        <v>4</v>
      </c>
      <c r="P514" t="s">
        <v>36</v>
      </c>
      <c r="Q514">
        <v>2045</v>
      </c>
      <c r="R514">
        <v>0</v>
      </c>
      <c r="S514" t="s">
        <v>37</v>
      </c>
      <c r="T514">
        <v>13</v>
      </c>
      <c r="U514">
        <v>3</v>
      </c>
      <c r="V514">
        <v>4</v>
      </c>
      <c r="W514">
        <v>0</v>
      </c>
      <c r="X514">
        <v>5</v>
      </c>
      <c r="Y514">
        <v>0</v>
      </c>
      <c r="Z514">
        <v>3</v>
      </c>
      <c r="AA514">
        <v>4</v>
      </c>
      <c r="AB514">
        <v>2</v>
      </c>
      <c r="AC514">
        <v>1</v>
      </c>
      <c r="AD514">
        <v>1</v>
      </c>
      <c r="AE514" t="str" cm="1">
        <f t="array" ref="AE514">_xlfn.IFS(G514=1,"Before College",G514=2,"College",G514=3,"Bachelor",G514=4,"Master",G514=5,"Doctor")</f>
        <v>Master</v>
      </c>
      <c r="AF514" t="str" cm="1">
        <f t="array" ref="AF514">_xlfn.IFS(J514=1,"Low",J514=2,"Medium",J514=3,"High",J514=4,"Very High")</f>
        <v>Low</v>
      </c>
      <c r="AG514" t="str" cm="1">
        <f t="array" ref="AG514">_xlfn.IFS(L514=1,"Low",L514=2,"Medium",L514=3,"High",L514=4,"Very High")</f>
        <v>Medium</v>
      </c>
      <c r="AH514" t="str" cm="1">
        <f t="array" ref="AH514">_xlfn.IFS(M514=1,"Junior employee",M514=2,"Mid-level",M514=3,"Senior",M514=4,"Manager",M514=5,"Executive")</f>
        <v>Junior employee</v>
      </c>
      <c r="AI514" t="str" cm="1">
        <f t="array" ref="AI514">_xlfn.IFS(O514=1,"Low",O514=2,"Medium",O514=3,"High",O514=4,"Very High")</f>
        <v>Very High</v>
      </c>
      <c r="AJ514" t="str" cm="1">
        <f t="array" ref="AJ514">_xlfn.IFS(U514=1,"Low",U514=2,"Good",U514=3,"Excellent",U514=4,"Outstanding")</f>
        <v>Excellent</v>
      </c>
      <c r="AK514" t="str" cm="1">
        <f t="array" ref="AK514">_xlfn.IFS(V514=1,"Low",V514=2,"Medium",V514=3,"High",V514=4,"Very High")</f>
        <v>Very High</v>
      </c>
      <c r="AL514" t="str" cm="1">
        <f t="array" ref="AL514">_xlfn.IFS(Z514=1,"Bad",Z514=2,"Good",Z514=3,"Better",Z514=4,"Best")</f>
        <v>Better</v>
      </c>
      <c r="AM514" t="str" cm="1">
        <f t="array" ref="AM514">_xlfn.IFS(W514=0,"No_stock",W514=1,"Low",W514=2,"Medium",W514=3,"High")</f>
        <v>No_stock</v>
      </c>
      <c r="AN514" t="str">
        <f t="shared" ref="AN514:AN577" si="8">IF(F514&lt;=5,"Near",IF(F514&lt;=15,"Medium","Far"))</f>
        <v>Near</v>
      </c>
    </row>
    <row r="515" spans="1:40" x14ac:dyDescent="0.45">
      <c r="A515">
        <v>20</v>
      </c>
      <c r="B515" t="s">
        <v>30</v>
      </c>
      <c r="C515" t="s">
        <v>31</v>
      </c>
      <c r="D515">
        <v>1362</v>
      </c>
      <c r="E515" t="s">
        <v>39</v>
      </c>
      <c r="F515">
        <v>10</v>
      </c>
      <c r="G515">
        <v>1</v>
      </c>
      <c r="H515" t="s">
        <v>45</v>
      </c>
      <c r="I515">
        <v>701</v>
      </c>
      <c r="J515">
        <v>4</v>
      </c>
      <c r="K515" t="s">
        <v>40</v>
      </c>
      <c r="L515">
        <v>3</v>
      </c>
      <c r="M515">
        <v>1</v>
      </c>
      <c r="N515" t="s">
        <v>41</v>
      </c>
      <c r="O515">
        <v>3</v>
      </c>
      <c r="P515" t="s">
        <v>36</v>
      </c>
      <c r="Q515">
        <v>1009</v>
      </c>
      <c r="R515">
        <v>1</v>
      </c>
      <c r="S515" t="s">
        <v>30</v>
      </c>
      <c r="T515">
        <v>11</v>
      </c>
      <c r="U515">
        <v>3</v>
      </c>
      <c r="V515">
        <v>4</v>
      </c>
      <c r="W515">
        <v>0</v>
      </c>
      <c r="X515">
        <v>1</v>
      </c>
      <c r="Y515">
        <v>5</v>
      </c>
      <c r="Z515">
        <v>3</v>
      </c>
      <c r="AA515">
        <v>1</v>
      </c>
      <c r="AB515">
        <v>0</v>
      </c>
      <c r="AC515">
        <v>1</v>
      </c>
      <c r="AD515">
        <v>1</v>
      </c>
      <c r="AE515" t="str" cm="1">
        <f t="array" ref="AE515">_xlfn.IFS(G515=1,"Before College",G515=2,"College",G515=3,"Bachelor",G515=4,"Master",G515=5,"Doctor")</f>
        <v>Before College</v>
      </c>
      <c r="AF515" t="str" cm="1">
        <f t="array" ref="AF515">_xlfn.IFS(J515=1,"Low",J515=2,"Medium",J515=3,"High",J515=4,"Very High")</f>
        <v>Very High</v>
      </c>
      <c r="AG515" t="str" cm="1">
        <f t="array" ref="AG515">_xlfn.IFS(L515=1,"Low",L515=2,"Medium",L515=3,"High",L515=4,"Very High")</f>
        <v>High</v>
      </c>
      <c r="AH515" t="str" cm="1">
        <f t="array" ref="AH515">_xlfn.IFS(M515=1,"Junior employee",M515=2,"Mid-level",M515=3,"Senior",M515=4,"Manager",M515=5,"Executive")</f>
        <v>Junior employee</v>
      </c>
      <c r="AI515" t="str" cm="1">
        <f t="array" ref="AI515">_xlfn.IFS(O515=1,"Low",O515=2,"Medium",O515=3,"High",O515=4,"Very High")</f>
        <v>High</v>
      </c>
      <c r="AJ515" t="str" cm="1">
        <f t="array" ref="AJ515">_xlfn.IFS(U515=1,"Low",U515=2,"Good",U515=3,"Excellent",U515=4,"Outstanding")</f>
        <v>Excellent</v>
      </c>
      <c r="AK515" t="str" cm="1">
        <f t="array" ref="AK515">_xlfn.IFS(V515=1,"Low",V515=2,"Medium",V515=3,"High",V515=4,"Very High")</f>
        <v>Very High</v>
      </c>
      <c r="AL515" t="str" cm="1">
        <f t="array" ref="AL515">_xlfn.IFS(Z515=1,"Bad",Z515=2,"Good",Z515=3,"Better",Z515=4,"Best")</f>
        <v>Better</v>
      </c>
      <c r="AM515" t="str" cm="1">
        <f t="array" ref="AM515">_xlfn.IFS(W515=0,"No_stock",W515=1,"Low",W515=2,"Medium",W515=3,"High")</f>
        <v>No_stock</v>
      </c>
      <c r="AN515" t="str">
        <f t="shared" si="8"/>
        <v>Medium</v>
      </c>
    </row>
    <row r="516" spans="1:40" x14ac:dyDescent="0.45">
      <c r="A516">
        <v>33</v>
      </c>
      <c r="B516" t="s">
        <v>30</v>
      </c>
      <c r="C516" t="s">
        <v>38</v>
      </c>
      <c r="D516">
        <v>1076</v>
      </c>
      <c r="E516" t="s">
        <v>39</v>
      </c>
      <c r="F516">
        <v>3</v>
      </c>
      <c r="G516">
        <v>3</v>
      </c>
      <c r="H516" t="s">
        <v>33</v>
      </c>
      <c r="I516">
        <v>702</v>
      </c>
      <c r="J516">
        <v>1</v>
      </c>
      <c r="K516" t="s">
        <v>40</v>
      </c>
      <c r="L516">
        <v>3</v>
      </c>
      <c r="M516">
        <v>1</v>
      </c>
      <c r="N516" t="s">
        <v>41</v>
      </c>
      <c r="O516">
        <v>1</v>
      </c>
      <c r="P516" t="s">
        <v>36</v>
      </c>
      <c r="Q516">
        <v>3348</v>
      </c>
      <c r="R516">
        <v>1</v>
      </c>
      <c r="S516" t="s">
        <v>30</v>
      </c>
      <c r="T516">
        <v>11</v>
      </c>
      <c r="U516">
        <v>3</v>
      </c>
      <c r="V516">
        <v>1</v>
      </c>
      <c r="W516">
        <v>0</v>
      </c>
      <c r="X516">
        <v>10</v>
      </c>
      <c r="Y516">
        <v>3</v>
      </c>
      <c r="Z516">
        <v>3</v>
      </c>
      <c r="AA516">
        <v>10</v>
      </c>
      <c r="AB516">
        <v>8</v>
      </c>
      <c r="AC516">
        <v>9</v>
      </c>
      <c r="AD516">
        <v>7</v>
      </c>
      <c r="AE516" t="str" cm="1">
        <f t="array" ref="AE516">_xlfn.IFS(G516=1,"Before College",G516=2,"College",G516=3,"Bachelor",G516=4,"Master",G516=5,"Doctor")</f>
        <v>Bachelor</v>
      </c>
      <c r="AF516" t="str" cm="1">
        <f t="array" ref="AF516">_xlfn.IFS(J516=1,"Low",J516=2,"Medium",J516=3,"High",J516=4,"Very High")</f>
        <v>Low</v>
      </c>
      <c r="AG516" t="str" cm="1">
        <f t="array" ref="AG516">_xlfn.IFS(L516=1,"Low",L516=2,"Medium",L516=3,"High",L516=4,"Very High")</f>
        <v>High</v>
      </c>
      <c r="AH516" t="str" cm="1">
        <f t="array" ref="AH516">_xlfn.IFS(M516=1,"Junior employee",M516=2,"Mid-level",M516=3,"Senior",M516=4,"Manager",M516=5,"Executive")</f>
        <v>Junior employee</v>
      </c>
      <c r="AI516" t="str" cm="1">
        <f t="array" ref="AI516">_xlfn.IFS(O516=1,"Low",O516=2,"Medium",O516=3,"High",O516=4,"Very High")</f>
        <v>Low</v>
      </c>
      <c r="AJ516" t="str" cm="1">
        <f t="array" ref="AJ516">_xlfn.IFS(U516=1,"Low",U516=2,"Good",U516=3,"Excellent",U516=4,"Outstanding")</f>
        <v>Excellent</v>
      </c>
      <c r="AK516" t="str" cm="1">
        <f t="array" ref="AK516">_xlfn.IFS(V516=1,"Low",V516=2,"Medium",V516=3,"High",V516=4,"Very High")</f>
        <v>Low</v>
      </c>
      <c r="AL516" t="str" cm="1">
        <f t="array" ref="AL516">_xlfn.IFS(Z516=1,"Bad",Z516=2,"Good",Z516=3,"Better",Z516=4,"Best")</f>
        <v>Better</v>
      </c>
      <c r="AM516" t="str" cm="1">
        <f t="array" ref="AM516">_xlfn.IFS(W516=0,"No_stock",W516=1,"Low",W516=2,"Medium",W516=3,"High")</f>
        <v>No_stock</v>
      </c>
      <c r="AN516" t="str">
        <f t="shared" si="8"/>
        <v>Near</v>
      </c>
    </row>
    <row r="517" spans="1:40" x14ac:dyDescent="0.45">
      <c r="A517">
        <v>35</v>
      </c>
      <c r="B517" t="s">
        <v>37</v>
      </c>
      <c r="C517" t="s">
        <v>49</v>
      </c>
      <c r="D517">
        <v>727</v>
      </c>
      <c r="E517" t="s">
        <v>39</v>
      </c>
      <c r="F517">
        <v>3</v>
      </c>
      <c r="G517">
        <v>3</v>
      </c>
      <c r="H517" t="s">
        <v>33</v>
      </c>
      <c r="I517">
        <v>704</v>
      </c>
      <c r="J517">
        <v>3</v>
      </c>
      <c r="K517" t="s">
        <v>40</v>
      </c>
      <c r="L517">
        <v>2</v>
      </c>
      <c r="M517">
        <v>1</v>
      </c>
      <c r="N517" t="s">
        <v>44</v>
      </c>
      <c r="O517">
        <v>3</v>
      </c>
      <c r="P517" t="s">
        <v>42</v>
      </c>
      <c r="Q517">
        <v>1281</v>
      </c>
      <c r="R517">
        <v>1</v>
      </c>
      <c r="S517" t="s">
        <v>37</v>
      </c>
      <c r="T517">
        <v>18</v>
      </c>
      <c r="U517">
        <v>3</v>
      </c>
      <c r="V517">
        <v>3</v>
      </c>
      <c r="W517">
        <v>2</v>
      </c>
      <c r="X517">
        <v>1</v>
      </c>
      <c r="Y517">
        <v>3</v>
      </c>
      <c r="Z517">
        <v>3</v>
      </c>
      <c r="AA517">
        <v>1</v>
      </c>
      <c r="AB517">
        <v>0</v>
      </c>
      <c r="AC517">
        <v>0</v>
      </c>
      <c r="AD517">
        <v>0</v>
      </c>
      <c r="AE517" t="str" cm="1">
        <f t="array" ref="AE517">_xlfn.IFS(G517=1,"Before College",G517=2,"College",G517=3,"Bachelor",G517=4,"Master",G517=5,"Doctor")</f>
        <v>Bachelor</v>
      </c>
      <c r="AF517" t="str" cm="1">
        <f t="array" ref="AF517">_xlfn.IFS(J517=1,"Low",J517=2,"Medium",J517=3,"High",J517=4,"Very High")</f>
        <v>High</v>
      </c>
      <c r="AG517" t="str" cm="1">
        <f t="array" ref="AG517">_xlfn.IFS(L517=1,"Low",L517=2,"Medium",L517=3,"High",L517=4,"Very High")</f>
        <v>Medium</v>
      </c>
      <c r="AH517" t="str" cm="1">
        <f t="array" ref="AH517">_xlfn.IFS(M517=1,"Junior employee",M517=2,"Mid-level",M517=3,"Senior",M517=4,"Manager",M517=5,"Executive")</f>
        <v>Junior employee</v>
      </c>
      <c r="AI517" t="str" cm="1">
        <f t="array" ref="AI517">_xlfn.IFS(O517=1,"Low",O517=2,"Medium",O517=3,"High",O517=4,"Very High")</f>
        <v>High</v>
      </c>
      <c r="AJ517" t="str" cm="1">
        <f t="array" ref="AJ517">_xlfn.IFS(U517=1,"Low",U517=2,"Good",U517=3,"Excellent",U517=4,"Outstanding")</f>
        <v>Excellent</v>
      </c>
      <c r="AK517" t="str" cm="1">
        <f t="array" ref="AK517">_xlfn.IFS(V517=1,"Low",V517=2,"Medium",V517=3,"High",V517=4,"Very High")</f>
        <v>High</v>
      </c>
      <c r="AL517" t="str" cm="1">
        <f t="array" ref="AL517">_xlfn.IFS(Z517=1,"Bad",Z517=2,"Good",Z517=3,"Better",Z517=4,"Best")</f>
        <v>Better</v>
      </c>
      <c r="AM517" t="str" cm="1">
        <f t="array" ref="AM517">_xlfn.IFS(W517=0,"No_stock",W517=1,"Low",W517=2,"Medium",W517=3,"High")</f>
        <v>Medium</v>
      </c>
      <c r="AN517" t="str">
        <f t="shared" si="8"/>
        <v>Near</v>
      </c>
    </row>
    <row r="518" spans="1:40" x14ac:dyDescent="0.45">
      <c r="A518">
        <v>23</v>
      </c>
      <c r="B518" t="s">
        <v>37</v>
      </c>
      <c r="C518" t="s">
        <v>31</v>
      </c>
      <c r="D518">
        <v>885</v>
      </c>
      <c r="E518" t="s">
        <v>39</v>
      </c>
      <c r="F518">
        <v>4</v>
      </c>
      <c r="G518">
        <v>3</v>
      </c>
      <c r="H518" t="s">
        <v>45</v>
      </c>
      <c r="I518">
        <v>705</v>
      </c>
      <c r="J518">
        <v>1</v>
      </c>
      <c r="K518" t="s">
        <v>40</v>
      </c>
      <c r="L518">
        <v>4</v>
      </c>
      <c r="M518">
        <v>1</v>
      </c>
      <c r="N518" t="s">
        <v>41</v>
      </c>
      <c r="O518">
        <v>1</v>
      </c>
      <c r="P518" t="s">
        <v>42</v>
      </c>
      <c r="Q518">
        <v>2819</v>
      </c>
      <c r="R518">
        <v>2</v>
      </c>
      <c r="S518" t="s">
        <v>37</v>
      </c>
      <c r="T518">
        <v>16</v>
      </c>
      <c r="U518">
        <v>3</v>
      </c>
      <c r="V518">
        <v>1</v>
      </c>
      <c r="W518">
        <v>1</v>
      </c>
      <c r="X518">
        <v>5</v>
      </c>
      <c r="Y518">
        <v>3</v>
      </c>
      <c r="Z518">
        <v>4</v>
      </c>
      <c r="AA518">
        <v>3</v>
      </c>
      <c r="AB518">
        <v>2</v>
      </c>
      <c r="AC518">
        <v>0</v>
      </c>
      <c r="AD518">
        <v>2</v>
      </c>
      <c r="AE518" t="str" cm="1">
        <f t="array" ref="AE518">_xlfn.IFS(G518=1,"Before College",G518=2,"College",G518=3,"Bachelor",G518=4,"Master",G518=5,"Doctor")</f>
        <v>Bachelor</v>
      </c>
      <c r="AF518" t="str" cm="1">
        <f t="array" ref="AF518">_xlfn.IFS(J518=1,"Low",J518=2,"Medium",J518=3,"High",J518=4,"Very High")</f>
        <v>Low</v>
      </c>
      <c r="AG518" t="str" cm="1">
        <f t="array" ref="AG518">_xlfn.IFS(L518=1,"Low",L518=2,"Medium",L518=3,"High",L518=4,"Very High")</f>
        <v>Very High</v>
      </c>
      <c r="AH518" t="str" cm="1">
        <f t="array" ref="AH518">_xlfn.IFS(M518=1,"Junior employee",M518=2,"Mid-level",M518=3,"Senior",M518=4,"Manager",M518=5,"Executive")</f>
        <v>Junior employee</v>
      </c>
      <c r="AI518" t="str" cm="1">
        <f t="array" ref="AI518">_xlfn.IFS(O518=1,"Low",O518=2,"Medium",O518=3,"High",O518=4,"Very High")</f>
        <v>Low</v>
      </c>
      <c r="AJ518" t="str" cm="1">
        <f t="array" ref="AJ518">_xlfn.IFS(U518=1,"Low",U518=2,"Good",U518=3,"Excellent",U518=4,"Outstanding")</f>
        <v>Excellent</v>
      </c>
      <c r="AK518" t="str" cm="1">
        <f t="array" ref="AK518">_xlfn.IFS(V518=1,"Low",V518=2,"Medium",V518=3,"High",V518=4,"Very High")</f>
        <v>Low</v>
      </c>
      <c r="AL518" t="str" cm="1">
        <f t="array" ref="AL518">_xlfn.IFS(Z518=1,"Bad",Z518=2,"Good",Z518=3,"Better",Z518=4,"Best")</f>
        <v>Best</v>
      </c>
      <c r="AM518" t="str" cm="1">
        <f t="array" ref="AM518">_xlfn.IFS(W518=0,"No_stock",W518=1,"Low",W518=2,"Medium",W518=3,"High")</f>
        <v>Low</v>
      </c>
      <c r="AN518" t="str">
        <f t="shared" si="8"/>
        <v>Near</v>
      </c>
    </row>
    <row r="519" spans="1:40" x14ac:dyDescent="0.45">
      <c r="A519">
        <v>25</v>
      </c>
      <c r="B519" t="s">
        <v>37</v>
      </c>
      <c r="C519" t="s">
        <v>31</v>
      </c>
      <c r="D519">
        <v>810</v>
      </c>
      <c r="E519" t="s">
        <v>32</v>
      </c>
      <c r="F519">
        <v>8</v>
      </c>
      <c r="G519">
        <v>3</v>
      </c>
      <c r="H519" t="s">
        <v>33</v>
      </c>
      <c r="I519">
        <v>707</v>
      </c>
      <c r="J519">
        <v>4</v>
      </c>
      <c r="K519" t="s">
        <v>40</v>
      </c>
      <c r="L519">
        <v>4</v>
      </c>
      <c r="M519">
        <v>2</v>
      </c>
      <c r="N519" t="s">
        <v>35</v>
      </c>
      <c r="O519">
        <v>2</v>
      </c>
      <c r="P519" t="s">
        <v>42</v>
      </c>
      <c r="Q519">
        <v>4851</v>
      </c>
      <c r="R519">
        <v>0</v>
      </c>
      <c r="S519" t="s">
        <v>37</v>
      </c>
      <c r="T519">
        <v>22</v>
      </c>
      <c r="U519">
        <v>4</v>
      </c>
      <c r="V519">
        <v>3</v>
      </c>
      <c r="W519">
        <v>1</v>
      </c>
      <c r="X519">
        <v>4</v>
      </c>
      <c r="Y519">
        <v>4</v>
      </c>
      <c r="Z519">
        <v>3</v>
      </c>
      <c r="AA519">
        <v>3</v>
      </c>
      <c r="AB519">
        <v>2</v>
      </c>
      <c r="AC519">
        <v>1</v>
      </c>
      <c r="AD519">
        <v>2</v>
      </c>
      <c r="AE519" t="str" cm="1">
        <f t="array" ref="AE519">_xlfn.IFS(G519=1,"Before College",G519=2,"College",G519=3,"Bachelor",G519=4,"Master",G519=5,"Doctor")</f>
        <v>Bachelor</v>
      </c>
      <c r="AF519" t="str" cm="1">
        <f t="array" ref="AF519">_xlfn.IFS(J519=1,"Low",J519=2,"Medium",J519=3,"High",J519=4,"Very High")</f>
        <v>Very High</v>
      </c>
      <c r="AG519" t="str" cm="1">
        <f t="array" ref="AG519">_xlfn.IFS(L519=1,"Low",L519=2,"Medium",L519=3,"High",L519=4,"Very High")</f>
        <v>Very High</v>
      </c>
      <c r="AH519" t="str" cm="1">
        <f t="array" ref="AH519">_xlfn.IFS(M519=1,"Junior employee",M519=2,"Mid-level",M519=3,"Senior",M519=4,"Manager",M519=5,"Executive")</f>
        <v>Mid-level</v>
      </c>
      <c r="AI519" t="str" cm="1">
        <f t="array" ref="AI519">_xlfn.IFS(O519=1,"Low",O519=2,"Medium",O519=3,"High",O519=4,"Very High")</f>
        <v>Medium</v>
      </c>
      <c r="AJ519" t="str" cm="1">
        <f t="array" ref="AJ519">_xlfn.IFS(U519=1,"Low",U519=2,"Good",U519=3,"Excellent",U519=4,"Outstanding")</f>
        <v>Outstanding</v>
      </c>
      <c r="AK519" t="str" cm="1">
        <f t="array" ref="AK519">_xlfn.IFS(V519=1,"Low",V519=2,"Medium",V519=3,"High",V519=4,"Very High")</f>
        <v>High</v>
      </c>
      <c r="AL519" t="str" cm="1">
        <f t="array" ref="AL519">_xlfn.IFS(Z519=1,"Bad",Z519=2,"Good",Z519=3,"Better",Z519=4,"Best")</f>
        <v>Better</v>
      </c>
      <c r="AM519" t="str" cm="1">
        <f t="array" ref="AM519">_xlfn.IFS(W519=0,"No_stock",W519=1,"Low",W519=2,"Medium",W519=3,"High")</f>
        <v>Low</v>
      </c>
      <c r="AN519" t="str">
        <f t="shared" si="8"/>
        <v>Medium</v>
      </c>
    </row>
    <row r="520" spans="1:40" x14ac:dyDescent="0.45">
      <c r="A520">
        <v>38</v>
      </c>
      <c r="B520" t="s">
        <v>37</v>
      </c>
      <c r="C520" t="s">
        <v>31</v>
      </c>
      <c r="D520">
        <v>243</v>
      </c>
      <c r="E520" t="s">
        <v>32</v>
      </c>
      <c r="F520">
        <v>7</v>
      </c>
      <c r="G520">
        <v>4</v>
      </c>
      <c r="H520" t="s">
        <v>53</v>
      </c>
      <c r="I520">
        <v>709</v>
      </c>
      <c r="J520">
        <v>4</v>
      </c>
      <c r="K520" t="s">
        <v>34</v>
      </c>
      <c r="L520">
        <v>2</v>
      </c>
      <c r="M520">
        <v>2</v>
      </c>
      <c r="N520" t="s">
        <v>35</v>
      </c>
      <c r="O520">
        <v>4</v>
      </c>
      <c r="P520" t="s">
        <v>36</v>
      </c>
      <c r="Q520">
        <v>4028</v>
      </c>
      <c r="R520">
        <v>0</v>
      </c>
      <c r="S520" t="s">
        <v>37</v>
      </c>
      <c r="T520">
        <v>20</v>
      </c>
      <c r="U520">
        <v>4</v>
      </c>
      <c r="V520">
        <v>1</v>
      </c>
      <c r="W520">
        <v>0</v>
      </c>
      <c r="X520">
        <v>8</v>
      </c>
      <c r="Y520">
        <v>2</v>
      </c>
      <c r="Z520">
        <v>3</v>
      </c>
      <c r="AA520">
        <v>7</v>
      </c>
      <c r="AB520">
        <v>7</v>
      </c>
      <c r="AC520">
        <v>0</v>
      </c>
      <c r="AD520">
        <v>5</v>
      </c>
      <c r="AE520" t="str" cm="1">
        <f t="array" ref="AE520">_xlfn.IFS(G520=1,"Before College",G520=2,"College",G520=3,"Bachelor",G520=4,"Master",G520=5,"Doctor")</f>
        <v>Master</v>
      </c>
      <c r="AF520" t="str" cm="1">
        <f t="array" ref="AF520">_xlfn.IFS(J520=1,"Low",J520=2,"Medium",J520=3,"High",J520=4,"Very High")</f>
        <v>Very High</v>
      </c>
      <c r="AG520" t="str" cm="1">
        <f t="array" ref="AG520">_xlfn.IFS(L520=1,"Low",L520=2,"Medium",L520=3,"High",L520=4,"Very High")</f>
        <v>Medium</v>
      </c>
      <c r="AH520" t="str" cm="1">
        <f t="array" ref="AH520">_xlfn.IFS(M520=1,"Junior employee",M520=2,"Mid-level",M520=3,"Senior",M520=4,"Manager",M520=5,"Executive")</f>
        <v>Mid-level</v>
      </c>
      <c r="AI520" t="str" cm="1">
        <f t="array" ref="AI520">_xlfn.IFS(O520=1,"Low",O520=2,"Medium",O520=3,"High",O520=4,"Very High")</f>
        <v>Very High</v>
      </c>
      <c r="AJ520" t="str" cm="1">
        <f t="array" ref="AJ520">_xlfn.IFS(U520=1,"Low",U520=2,"Good",U520=3,"Excellent",U520=4,"Outstanding")</f>
        <v>Outstanding</v>
      </c>
      <c r="AK520" t="str" cm="1">
        <f t="array" ref="AK520">_xlfn.IFS(V520=1,"Low",V520=2,"Medium",V520=3,"High",V520=4,"Very High")</f>
        <v>Low</v>
      </c>
      <c r="AL520" t="str" cm="1">
        <f t="array" ref="AL520">_xlfn.IFS(Z520=1,"Bad",Z520=2,"Good",Z520=3,"Better",Z520=4,"Best")</f>
        <v>Better</v>
      </c>
      <c r="AM520" t="str" cm="1">
        <f t="array" ref="AM520">_xlfn.IFS(W520=0,"No_stock",W520=1,"Low",W520=2,"Medium",W520=3,"High")</f>
        <v>No_stock</v>
      </c>
      <c r="AN520" t="str">
        <f t="shared" si="8"/>
        <v>Medium</v>
      </c>
    </row>
    <row r="521" spans="1:40" x14ac:dyDescent="0.45">
      <c r="A521">
        <v>29</v>
      </c>
      <c r="B521" t="s">
        <v>37</v>
      </c>
      <c r="C521" t="s">
        <v>38</v>
      </c>
      <c r="D521">
        <v>806</v>
      </c>
      <c r="E521" t="s">
        <v>39</v>
      </c>
      <c r="F521">
        <v>1</v>
      </c>
      <c r="G521">
        <v>4</v>
      </c>
      <c r="H521" t="s">
        <v>33</v>
      </c>
      <c r="I521">
        <v>710</v>
      </c>
      <c r="J521">
        <v>2</v>
      </c>
      <c r="K521" t="s">
        <v>40</v>
      </c>
      <c r="L521">
        <v>1</v>
      </c>
      <c r="M521">
        <v>1</v>
      </c>
      <c r="N521" t="s">
        <v>41</v>
      </c>
      <c r="O521">
        <v>4</v>
      </c>
      <c r="P521" t="s">
        <v>46</v>
      </c>
      <c r="Q521">
        <v>2720</v>
      </c>
      <c r="R521">
        <v>1</v>
      </c>
      <c r="S521" t="s">
        <v>37</v>
      </c>
      <c r="T521">
        <v>18</v>
      </c>
      <c r="U521">
        <v>3</v>
      </c>
      <c r="V521">
        <v>4</v>
      </c>
      <c r="W521">
        <v>1</v>
      </c>
      <c r="X521">
        <v>10</v>
      </c>
      <c r="Y521">
        <v>5</v>
      </c>
      <c r="Z521">
        <v>3</v>
      </c>
      <c r="AA521">
        <v>10</v>
      </c>
      <c r="AB521">
        <v>7</v>
      </c>
      <c r="AC521">
        <v>2</v>
      </c>
      <c r="AD521">
        <v>8</v>
      </c>
      <c r="AE521" t="str" cm="1">
        <f t="array" ref="AE521">_xlfn.IFS(G521=1,"Before College",G521=2,"College",G521=3,"Bachelor",G521=4,"Master",G521=5,"Doctor")</f>
        <v>Master</v>
      </c>
      <c r="AF521" t="str" cm="1">
        <f t="array" ref="AF521">_xlfn.IFS(J521=1,"Low",J521=2,"Medium",J521=3,"High",J521=4,"Very High")</f>
        <v>Medium</v>
      </c>
      <c r="AG521" t="str" cm="1">
        <f t="array" ref="AG521">_xlfn.IFS(L521=1,"Low",L521=2,"Medium",L521=3,"High",L521=4,"Very High")</f>
        <v>Low</v>
      </c>
      <c r="AH521" t="str" cm="1">
        <f t="array" ref="AH521">_xlfn.IFS(M521=1,"Junior employee",M521=2,"Mid-level",M521=3,"Senior",M521=4,"Manager",M521=5,"Executive")</f>
        <v>Junior employee</v>
      </c>
      <c r="AI521" t="str" cm="1">
        <f t="array" ref="AI521">_xlfn.IFS(O521=1,"Low",O521=2,"Medium",O521=3,"High",O521=4,"Very High")</f>
        <v>Very High</v>
      </c>
      <c r="AJ521" t="str" cm="1">
        <f t="array" ref="AJ521">_xlfn.IFS(U521=1,"Low",U521=2,"Good",U521=3,"Excellent",U521=4,"Outstanding")</f>
        <v>Excellent</v>
      </c>
      <c r="AK521" t="str" cm="1">
        <f t="array" ref="AK521">_xlfn.IFS(V521=1,"Low",V521=2,"Medium",V521=3,"High",V521=4,"Very High")</f>
        <v>Very High</v>
      </c>
      <c r="AL521" t="str" cm="1">
        <f t="array" ref="AL521">_xlfn.IFS(Z521=1,"Bad",Z521=2,"Good",Z521=3,"Better",Z521=4,"Best")</f>
        <v>Better</v>
      </c>
      <c r="AM521" t="str" cm="1">
        <f t="array" ref="AM521">_xlfn.IFS(W521=0,"No_stock",W521=1,"Low",W521=2,"Medium",W521=3,"High")</f>
        <v>Low</v>
      </c>
      <c r="AN521" t="str">
        <f t="shared" si="8"/>
        <v>Near</v>
      </c>
    </row>
    <row r="522" spans="1:40" x14ac:dyDescent="0.45">
      <c r="A522">
        <v>48</v>
      </c>
      <c r="B522" t="s">
        <v>37</v>
      </c>
      <c r="C522" t="s">
        <v>31</v>
      </c>
      <c r="D522">
        <v>817</v>
      </c>
      <c r="E522" t="s">
        <v>32</v>
      </c>
      <c r="F522">
        <v>2</v>
      </c>
      <c r="G522">
        <v>1</v>
      </c>
      <c r="H522" t="s">
        <v>53</v>
      </c>
      <c r="I522">
        <v>712</v>
      </c>
      <c r="J522">
        <v>2</v>
      </c>
      <c r="K522" t="s">
        <v>40</v>
      </c>
      <c r="L522">
        <v>4</v>
      </c>
      <c r="M522">
        <v>2</v>
      </c>
      <c r="N522" t="s">
        <v>35</v>
      </c>
      <c r="O522">
        <v>2</v>
      </c>
      <c r="P522" t="s">
        <v>42</v>
      </c>
      <c r="Q522">
        <v>8120</v>
      </c>
      <c r="R522">
        <v>3</v>
      </c>
      <c r="S522" t="s">
        <v>37</v>
      </c>
      <c r="T522">
        <v>12</v>
      </c>
      <c r="U522">
        <v>3</v>
      </c>
      <c r="V522">
        <v>4</v>
      </c>
      <c r="W522">
        <v>0</v>
      </c>
      <c r="X522">
        <v>12</v>
      </c>
      <c r="Y522">
        <v>3</v>
      </c>
      <c r="Z522">
        <v>3</v>
      </c>
      <c r="AA522">
        <v>2</v>
      </c>
      <c r="AB522">
        <v>2</v>
      </c>
      <c r="AC522">
        <v>2</v>
      </c>
      <c r="AD522">
        <v>2</v>
      </c>
      <c r="AE522" t="str" cm="1">
        <f t="array" ref="AE522">_xlfn.IFS(G522=1,"Before College",G522=2,"College",G522=3,"Bachelor",G522=4,"Master",G522=5,"Doctor")</f>
        <v>Before College</v>
      </c>
      <c r="AF522" t="str" cm="1">
        <f t="array" ref="AF522">_xlfn.IFS(J522=1,"Low",J522=2,"Medium",J522=3,"High",J522=4,"Very High")</f>
        <v>Medium</v>
      </c>
      <c r="AG522" t="str" cm="1">
        <f t="array" ref="AG522">_xlfn.IFS(L522=1,"Low",L522=2,"Medium",L522=3,"High",L522=4,"Very High")</f>
        <v>Very High</v>
      </c>
      <c r="AH522" t="str" cm="1">
        <f t="array" ref="AH522">_xlfn.IFS(M522=1,"Junior employee",M522=2,"Mid-level",M522=3,"Senior",M522=4,"Manager",M522=5,"Executive")</f>
        <v>Mid-level</v>
      </c>
      <c r="AI522" t="str" cm="1">
        <f t="array" ref="AI522">_xlfn.IFS(O522=1,"Low",O522=2,"Medium",O522=3,"High",O522=4,"Very High")</f>
        <v>Medium</v>
      </c>
      <c r="AJ522" t="str" cm="1">
        <f t="array" ref="AJ522">_xlfn.IFS(U522=1,"Low",U522=2,"Good",U522=3,"Excellent",U522=4,"Outstanding")</f>
        <v>Excellent</v>
      </c>
      <c r="AK522" t="str" cm="1">
        <f t="array" ref="AK522">_xlfn.IFS(V522=1,"Low",V522=2,"Medium",V522=3,"High",V522=4,"Very High")</f>
        <v>Very High</v>
      </c>
      <c r="AL522" t="str" cm="1">
        <f t="array" ref="AL522">_xlfn.IFS(Z522=1,"Bad",Z522=2,"Good",Z522=3,"Better",Z522=4,"Best")</f>
        <v>Better</v>
      </c>
      <c r="AM522" t="str" cm="1">
        <f t="array" ref="AM522">_xlfn.IFS(W522=0,"No_stock",W522=1,"Low",W522=2,"Medium",W522=3,"High")</f>
        <v>No_stock</v>
      </c>
      <c r="AN522" t="str">
        <f t="shared" si="8"/>
        <v>Near</v>
      </c>
    </row>
    <row r="523" spans="1:40" x14ac:dyDescent="0.45">
      <c r="A523">
        <v>27</v>
      </c>
      <c r="B523" t="s">
        <v>37</v>
      </c>
      <c r="C523" t="s">
        <v>38</v>
      </c>
      <c r="D523">
        <v>1410</v>
      </c>
      <c r="E523" t="s">
        <v>32</v>
      </c>
      <c r="F523">
        <v>3</v>
      </c>
      <c r="G523">
        <v>1</v>
      </c>
      <c r="H523" t="s">
        <v>45</v>
      </c>
      <c r="I523">
        <v>714</v>
      </c>
      <c r="J523">
        <v>4</v>
      </c>
      <c r="K523" t="s">
        <v>34</v>
      </c>
      <c r="L523">
        <v>4</v>
      </c>
      <c r="M523">
        <v>2</v>
      </c>
      <c r="N523" t="s">
        <v>35</v>
      </c>
      <c r="O523">
        <v>4</v>
      </c>
      <c r="P523" t="s">
        <v>46</v>
      </c>
      <c r="Q523">
        <v>4647</v>
      </c>
      <c r="R523">
        <v>1</v>
      </c>
      <c r="S523" t="s">
        <v>30</v>
      </c>
      <c r="T523">
        <v>20</v>
      </c>
      <c r="U523">
        <v>4</v>
      </c>
      <c r="V523">
        <v>2</v>
      </c>
      <c r="W523">
        <v>2</v>
      </c>
      <c r="X523">
        <v>6</v>
      </c>
      <c r="Y523">
        <v>3</v>
      </c>
      <c r="Z523">
        <v>3</v>
      </c>
      <c r="AA523">
        <v>6</v>
      </c>
      <c r="AB523">
        <v>5</v>
      </c>
      <c r="AC523">
        <v>0</v>
      </c>
      <c r="AD523">
        <v>4</v>
      </c>
      <c r="AE523" t="str" cm="1">
        <f t="array" ref="AE523">_xlfn.IFS(G523=1,"Before College",G523=2,"College",G523=3,"Bachelor",G523=4,"Master",G523=5,"Doctor")</f>
        <v>Before College</v>
      </c>
      <c r="AF523" t="str" cm="1">
        <f t="array" ref="AF523">_xlfn.IFS(J523=1,"Low",J523=2,"Medium",J523=3,"High",J523=4,"Very High")</f>
        <v>Very High</v>
      </c>
      <c r="AG523" t="str" cm="1">
        <f t="array" ref="AG523">_xlfn.IFS(L523=1,"Low",L523=2,"Medium",L523=3,"High",L523=4,"Very High")</f>
        <v>Very High</v>
      </c>
      <c r="AH523" t="str" cm="1">
        <f t="array" ref="AH523">_xlfn.IFS(M523=1,"Junior employee",M523=2,"Mid-level",M523=3,"Senior",M523=4,"Manager",M523=5,"Executive")</f>
        <v>Mid-level</v>
      </c>
      <c r="AI523" t="str" cm="1">
        <f t="array" ref="AI523">_xlfn.IFS(O523=1,"Low",O523=2,"Medium",O523=3,"High",O523=4,"Very High")</f>
        <v>Very High</v>
      </c>
      <c r="AJ523" t="str" cm="1">
        <f t="array" ref="AJ523">_xlfn.IFS(U523=1,"Low",U523=2,"Good",U523=3,"Excellent",U523=4,"Outstanding")</f>
        <v>Outstanding</v>
      </c>
      <c r="AK523" t="str" cm="1">
        <f t="array" ref="AK523">_xlfn.IFS(V523=1,"Low",V523=2,"Medium",V523=3,"High",V523=4,"Very High")</f>
        <v>Medium</v>
      </c>
      <c r="AL523" t="str" cm="1">
        <f t="array" ref="AL523">_xlfn.IFS(Z523=1,"Bad",Z523=2,"Good",Z523=3,"Better",Z523=4,"Best")</f>
        <v>Better</v>
      </c>
      <c r="AM523" t="str" cm="1">
        <f t="array" ref="AM523">_xlfn.IFS(W523=0,"No_stock",W523=1,"Low",W523=2,"Medium",W523=3,"High")</f>
        <v>Medium</v>
      </c>
      <c r="AN523" t="str">
        <f t="shared" si="8"/>
        <v>Near</v>
      </c>
    </row>
    <row r="524" spans="1:40" x14ac:dyDescent="0.45">
      <c r="A524">
        <v>37</v>
      </c>
      <c r="B524" t="s">
        <v>37</v>
      </c>
      <c r="C524" t="s">
        <v>31</v>
      </c>
      <c r="D524">
        <v>1225</v>
      </c>
      <c r="E524" t="s">
        <v>39</v>
      </c>
      <c r="F524">
        <v>10</v>
      </c>
      <c r="G524">
        <v>2</v>
      </c>
      <c r="H524" t="s">
        <v>33</v>
      </c>
      <c r="I524">
        <v>715</v>
      </c>
      <c r="J524">
        <v>4</v>
      </c>
      <c r="K524" t="s">
        <v>40</v>
      </c>
      <c r="L524">
        <v>4</v>
      </c>
      <c r="M524">
        <v>1</v>
      </c>
      <c r="N524" t="s">
        <v>41</v>
      </c>
      <c r="O524">
        <v>4</v>
      </c>
      <c r="P524" t="s">
        <v>36</v>
      </c>
      <c r="Q524">
        <v>4680</v>
      </c>
      <c r="R524">
        <v>3</v>
      </c>
      <c r="S524" t="s">
        <v>37</v>
      </c>
      <c r="T524">
        <v>17</v>
      </c>
      <c r="U524">
        <v>3</v>
      </c>
      <c r="V524">
        <v>1</v>
      </c>
      <c r="W524">
        <v>0</v>
      </c>
      <c r="X524">
        <v>4</v>
      </c>
      <c r="Y524">
        <v>2</v>
      </c>
      <c r="Z524">
        <v>3</v>
      </c>
      <c r="AA524">
        <v>1</v>
      </c>
      <c r="AB524">
        <v>0</v>
      </c>
      <c r="AC524">
        <v>0</v>
      </c>
      <c r="AD524">
        <v>0</v>
      </c>
      <c r="AE524" t="str" cm="1">
        <f t="array" ref="AE524">_xlfn.IFS(G524=1,"Before College",G524=2,"College",G524=3,"Bachelor",G524=4,"Master",G524=5,"Doctor")</f>
        <v>College</v>
      </c>
      <c r="AF524" t="str" cm="1">
        <f t="array" ref="AF524">_xlfn.IFS(J524=1,"Low",J524=2,"Medium",J524=3,"High",J524=4,"Very High")</f>
        <v>Very High</v>
      </c>
      <c r="AG524" t="str" cm="1">
        <f t="array" ref="AG524">_xlfn.IFS(L524=1,"Low",L524=2,"Medium",L524=3,"High",L524=4,"Very High")</f>
        <v>Very High</v>
      </c>
      <c r="AH524" t="str" cm="1">
        <f t="array" ref="AH524">_xlfn.IFS(M524=1,"Junior employee",M524=2,"Mid-level",M524=3,"Senior",M524=4,"Manager",M524=5,"Executive")</f>
        <v>Junior employee</v>
      </c>
      <c r="AI524" t="str" cm="1">
        <f t="array" ref="AI524">_xlfn.IFS(O524=1,"Low",O524=2,"Medium",O524=3,"High",O524=4,"Very High")</f>
        <v>Very High</v>
      </c>
      <c r="AJ524" t="str" cm="1">
        <f t="array" ref="AJ524">_xlfn.IFS(U524=1,"Low",U524=2,"Good",U524=3,"Excellent",U524=4,"Outstanding")</f>
        <v>Excellent</v>
      </c>
      <c r="AK524" t="str" cm="1">
        <f t="array" ref="AK524">_xlfn.IFS(V524=1,"Low",V524=2,"Medium",V524=3,"High",V524=4,"Very High")</f>
        <v>Low</v>
      </c>
      <c r="AL524" t="str" cm="1">
        <f t="array" ref="AL524">_xlfn.IFS(Z524=1,"Bad",Z524=2,"Good",Z524=3,"Better",Z524=4,"Best")</f>
        <v>Better</v>
      </c>
      <c r="AM524" t="str" cm="1">
        <f t="array" ref="AM524">_xlfn.IFS(W524=0,"No_stock",W524=1,"Low",W524=2,"Medium",W524=3,"High")</f>
        <v>No_stock</v>
      </c>
      <c r="AN524" t="str">
        <f t="shared" si="8"/>
        <v>Medium</v>
      </c>
    </row>
    <row r="525" spans="1:40" x14ac:dyDescent="0.45">
      <c r="A525">
        <v>50</v>
      </c>
      <c r="B525" t="s">
        <v>37</v>
      </c>
      <c r="C525" t="s">
        <v>31</v>
      </c>
      <c r="D525">
        <v>1207</v>
      </c>
      <c r="E525" t="s">
        <v>39</v>
      </c>
      <c r="F525">
        <v>28</v>
      </c>
      <c r="G525">
        <v>1</v>
      </c>
      <c r="H525" t="s">
        <v>45</v>
      </c>
      <c r="I525">
        <v>716</v>
      </c>
      <c r="J525">
        <v>4</v>
      </c>
      <c r="K525" t="s">
        <v>40</v>
      </c>
      <c r="L525">
        <v>4</v>
      </c>
      <c r="M525">
        <v>1</v>
      </c>
      <c r="N525" t="s">
        <v>44</v>
      </c>
      <c r="O525">
        <v>3</v>
      </c>
      <c r="P525" t="s">
        <v>42</v>
      </c>
      <c r="Q525">
        <v>3221</v>
      </c>
      <c r="R525">
        <v>1</v>
      </c>
      <c r="S525" t="s">
        <v>30</v>
      </c>
      <c r="T525">
        <v>11</v>
      </c>
      <c r="U525">
        <v>3</v>
      </c>
      <c r="V525">
        <v>3</v>
      </c>
      <c r="W525">
        <v>3</v>
      </c>
      <c r="X525">
        <v>20</v>
      </c>
      <c r="Y525">
        <v>3</v>
      </c>
      <c r="Z525">
        <v>3</v>
      </c>
      <c r="AA525">
        <v>20</v>
      </c>
      <c r="AB525">
        <v>8</v>
      </c>
      <c r="AC525">
        <v>3</v>
      </c>
      <c r="AD525">
        <v>8</v>
      </c>
      <c r="AE525" t="str" cm="1">
        <f t="array" ref="AE525">_xlfn.IFS(G525=1,"Before College",G525=2,"College",G525=3,"Bachelor",G525=4,"Master",G525=5,"Doctor")</f>
        <v>Before College</v>
      </c>
      <c r="AF525" t="str" cm="1">
        <f t="array" ref="AF525">_xlfn.IFS(J525=1,"Low",J525=2,"Medium",J525=3,"High",J525=4,"Very High")</f>
        <v>Very High</v>
      </c>
      <c r="AG525" t="str" cm="1">
        <f t="array" ref="AG525">_xlfn.IFS(L525=1,"Low",L525=2,"Medium",L525=3,"High",L525=4,"Very High")</f>
        <v>Very High</v>
      </c>
      <c r="AH525" t="str" cm="1">
        <f t="array" ref="AH525">_xlfn.IFS(M525=1,"Junior employee",M525=2,"Mid-level",M525=3,"Senior",M525=4,"Manager",M525=5,"Executive")</f>
        <v>Junior employee</v>
      </c>
      <c r="AI525" t="str" cm="1">
        <f t="array" ref="AI525">_xlfn.IFS(O525=1,"Low",O525=2,"Medium",O525=3,"High",O525=4,"Very High")</f>
        <v>High</v>
      </c>
      <c r="AJ525" t="str" cm="1">
        <f t="array" ref="AJ525">_xlfn.IFS(U525=1,"Low",U525=2,"Good",U525=3,"Excellent",U525=4,"Outstanding")</f>
        <v>Excellent</v>
      </c>
      <c r="AK525" t="str" cm="1">
        <f t="array" ref="AK525">_xlfn.IFS(V525=1,"Low",V525=2,"Medium",V525=3,"High",V525=4,"Very High")</f>
        <v>High</v>
      </c>
      <c r="AL525" t="str" cm="1">
        <f t="array" ref="AL525">_xlfn.IFS(Z525=1,"Bad",Z525=2,"Good",Z525=3,"Better",Z525=4,"Best")</f>
        <v>Better</v>
      </c>
      <c r="AM525" t="str" cm="1">
        <f t="array" ref="AM525">_xlfn.IFS(W525=0,"No_stock",W525=1,"Low",W525=2,"Medium",W525=3,"High")</f>
        <v>High</v>
      </c>
      <c r="AN525" t="str">
        <f t="shared" si="8"/>
        <v>Far</v>
      </c>
    </row>
    <row r="526" spans="1:40" x14ac:dyDescent="0.45">
      <c r="A526">
        <v>34</v>
      </c>
      <c r="B526" t="s">
        <v>37</v>
      </c>
      <c r="C526" t="s">
        <v>31</v>
      </c>
      <c r="D526">
        <v>1442</v>
      </c>
      <c r="E526" t="s">
        <v>39</v>
      </c>
      <c r="F526">
        <v>9</v>
      </c>
      <c r="G526">
        <v>3</v>
      </c>
      <c r="H526" t="s">
        <v>45</v>
      </c>
      <c r="I526">
        <v>717</v>
      </c>
      <c r="J526">
        <v>4</v>
      </c>
      <c r="K526" t="s">
        <v>34</v>
      </c>
      <c r="L526">
        <v>2</v>
      </c>
      <c r="M526">
        <v>3</v>
      </c>
      <c r="N526" t="s">
        <v>48</v>
      </c>
      <c r="O526">
        <v>2</v>
      </c>
      <c r="P526" t="s">
        <v>36</v>
      </c>
      <c r="Q526">
        <v>8621</v>
      </c>
      <c r="R526">
        <v>1</v>
      </c>
      <c r="S526" t="s">
        <v>37</v>
      </c>
      <c r="T526">
        <v>14</v>
      </c>
      <c r="U526">
        <v>3</v>
      </c>
      <c r="V526">
        <v>2</v>
      </c>
      <c r="W526">
        <v>0</v>
      </c>
      <c r="X526">
        <v>9</v>
      </c>
      <c r="Y526">
        <v>3</v>
      </c>
      <c r="Z526">
        <v>4</v>
      </c>
      <c r="AA526">
        <v>8</v>
      </c>
      <c r="AB526">
        <v>7</v>
      </c>
      <c r="AC526">
        <v>7</v>
      </c>
      <c r="AD526">
        <v>7</v>
      </c>
      <c r="AE526" t="str" cm="1">
        <f t="array" ref="AE526">_xlfn.IFS(G526=1,"Before College",G526=2,"College",G526=3,"Bachelor",G526=4,"Master",G526=5,"Doctor")</f>
        <v>Bachelor</v>
      </c>
      <c r="AF526" t="str" cm="1">
        <f t="array" ref="AF526">_xlfn.IFS(J526=1,"Low",J526=2,"Medium",J526=3,"High",J526=4,"Very High")</f>
        <v>Very High</v>
      </c>
      <c r="AG526" t="str" cm="1">
        <f t="array" ref="AG526">_xlfn.IFS(L526=1,"Low",L526=2,"Medium",L526=3,"High",L526=4,"Very High")</f>
        <v>Medium</v>
      </c>
      <c r="AH526" t="str" cm="1">
        <f t="array" ref="AH526">_xlfn.IFS(M526=1,"Junior employee",M526=2,"Mid-level",M526=3,"Senior",M526=4,"Manager",M526=5,"Executive")</f>
        <v>Senior</v>
      </c>
      <c r="AI526" t="str" cm="1">
        <f t="array" ref="AI526">_xlfn.IFS(O526=1,"Low",O526=2,"Medium",O526=3,"High",O526=4,"Very High")</f>
        <v>Medium</v>
      </c>
      <c r="AJ526" t="str" cm="1">
        <f t="array" ref="AJ526">_xlfn.IFS(U526=1,"Low",U526=2,"Good",U526=3,"Excellent",U526=4,"Outstanding")</f>
        <v>Excellent</v>
      </c>
      <c r="AK526" t="str" cm="1">
        <f t="array" ref="AK526">_xlfn.IFS(V526=1,"Low",V526=2,"Medium",V526=3,"High",V526=4,"Very High")</f>
        <v>Medium</v>
      </c>
      <c r="AL526" t="str" cm="1">
        <f t="array" ref="AL526">_xlfn.IFS(Z526=1,"Bad",Z526=2,"Good",Z526=3,"Better",Z526=4,"Best")</f>
        <v>Best</v>
      </c>
      <c r="AM526" t="str" cm="1">
        <f t="array" ref="AM526">_xlfn.IFS(W526=0,"No_stock",W526=1,"Low",W526=2,"Medium",W526=3,"High")</f>
        <v>No_stock</v>
      </c>
      <c r="AN526" t="str">
        <f t="shared" si="8"/>
        <v>Medium</v>
      </c>
    </row>
    <row r="527" spans="1:40" x14ac:dyDescent="0.45">
      <c r="A527">
        <v>24</v>
      </c>
      <c r="B527" t="s">
        <v>30</v>
      </c>
      <c r="C527" t="s">
        <v>31</v>
      </c>
      <c r="D527">
        <v>693</v>
      </c>
      <c r="E527" t="s">
        <v>32</v>
      </c>
      <c r="F527">
        <v>3</v>
      </c>
      <c r="G527">
        <v>2</v>
      </c>
      <c r="H527" t="s">
        <v>33</v>
      </c>
      <c r="I527">
        <v>720</v>
      </c>
      <c r="J527">
        <v>1</v>
      </c>
      <c r="K527" t="s">
        <v>34</v>
      </c>
      <c r="L527">
        <v>3</v>
      </c>
      <c r="M527">
        <v>2</v>
      </c>
      <c r="N527" t="s">
        <v>35</v>
      </c>
      <c r="O527">
        <v>3</v>
      </c>
      <c r="P527" t="s">
        <v>36</v>
      </c>
      <c r="Q527">
        <v>4577</v>
      </c>
      <c r="R527">
        <v>9</v>
      </c>
      <c r="S527" t="s">
        <v>37</v>
      </c>
      <c r="T527">
        <v>14</v>
      </c>
      <c r="U527">
        <v>3</v>
      </c>
      <c r="V527">
        <v>1</v>
      </c>
      <c r="W527">
        <v>0</v>
      </c>
      <c r="X527">
        <v>4</v>
      </c>
      <c r="Y527">
        <v>3</v>
      </c>
      <c r="Z527">
        <v>3</v>
      </c>
      <c r="AA527">
        <v>2</v>
      </c>
      <c r="AB527">
        <v>2</v>
      </c>
      <c r="AC527">
        <v>2</v>
      </c>
      <c r="AD527">
        <v>0</v>
      </c>
      <c r="AE527" t="str" cm="1">
        <f t="array" ref="AE527">_xlfn.IFS(G527=1,"Before College",G527=2,"College",G527=3,"Bachelor",G527=4,"Master",G527=5,"Doctor")</f>
        <v>College</v>
      </c>
      <c r="AF527" t="str" cm="1">
        <f t="array" ref="AF527">_xlfn.IFS(J527=1,"Low",J527=2,"Medium",J527=3,"High",J527=4,"Very High")</f>
        <v>Low</v>
      </c>
      <c r="AG527" t="str" cm="1">
        <f t="array" ref="AG527">_xlfn.IFS(L527=1,"Low",L527=2,"Medium",L527=3,"High",L527=4,"Very High")</f>
        <v>High</v>
      </c>
      <c r="AH527" t="str" cm="1">
        <f t="array" ref="AH527">_xlfn.IFS(M527=1,"Junior employee",M527=2,"Mid-level",M527=3,"Senior",M527=4,"Manager",M527=5,"Executive")</f>
        <v>Mid-level</v>
      </c>
      <c r="AI527" t="str" cm="1">
        <f t="array" ref="AI527">_xlfn.IFS(O527=1,"Low",O527=2,"Medium",O527=3,"High",O527=4,"Very High")</f>
        <v>High</v>
      </c>
      <c r="AJ527" t="str" cm="1">
        <f t="array" ref="AJ527">_xlfn.IFS(U527=1,"Low",U527=2,"Good",U527=3,"Excellent",U527=4,"Outstanding")</f>
        <v>Excellent</v>
      </c>
      <c r="AK527" t="str" cm="1">
        <f t="array" ref="AK527">_xlfn.IFS(V527=1,"Low",V527=2,"Medium",V527=3,"High",V527=4,"Very High")</f>
        <v>Low</v>
      </c>
      <c r="AL527" t="str" cm="1">
        <f t="array" ref="AL527">_xlfn.IFS(Z527=1,"Bad",Z527=2,"Good",Z527=3,"Better",Z527=4,"Best")</f>
        <v>Better</v>
      </c>
      <c r="AM527" t="str" cm="1">
        <f t="array" ref="AM527">_xlfn.IFS(W527=0,"No_stock",W527=1,"Low",W527=2,"Medium",W527=3,"High")</f>
        <v>No_stock</v>
      </c>
      <c r="AN527" t="str">
        <f t="shared" si="8"/>
        <v>Near</v>
      </c>
    </row>
    <row r="528" spans="1:40" x14ac:dyDescent="0.45">
      <c r="A528">
        <v>39</v>
      </c>
      <c r="B528" t="s">
        <v>37</v>
      </c>
      <c r="C528" t="s">
        <v>31</v>
      </c>
      <c r="D528">
        <v>408</v>
      </c>
      <c r="E528" t="s">
        <v>39</v>
      </c>
      <c r="F528">
        <v>2</v>
      </c>
      <c r="G528">
        <v>4</v>
      </c>
      <c r="H528" t="s">
        <v>54</v>
      </c>
      <c r="I528">
        <v>721</v>
      </c>
      <c r="J528">
        <v>4</v>
      </c>
      <c r="K528" t="s">
        <v>34</v>
      </c>
      <c r="L528">
        <v>2</v>
      </c>
      <c r="M528">
        <v>2</v>
      </c>
      <c r="N528" t="s">
        <v>48</v>
      </c>
      <c r="O528">
        <v>3</v>
      </c>
      <c r="P528" t="s">
        <v>36</v>
      </c>
      <c r="Q528">
        <v>4553</v>
      </c>
      <c r="R528">
        <v>1</v>
      </c>
      <c r="S528" t="s">
        <v>37</v>
      </c>
      <c r="T528">
        <v>11</v>
      </c>
      <c r="U528">
        <v>3</v>
      </c>
      <c r="V528">
        <v>1</v>
      </c>
      <c r="W528">
        <v>0</v>
      </c>
      <c r="X528">
        <v>20</v>
      </c>
      <c r="Y528">
        <v>4</v>
      </c>
      <c r="Z528">
        <v>3</v>
      </c>
      <c r="AA528">
        <v>20</v>
      </c>
      <c r="AB528">
        <v>7</v>
      </c>
      <c r="AC528">
        <v>11</v>
      </c>
      <c r="AD528">
        <v>10</v>
      </c>
      <c r="AE528" t="str" cm="1">
        <f t="array" ref="AE528">_xlfn.IFS(G528=1,"Before College",G528=2,"College",G528=3,"Bachelor",G528=4,"Master",G528=5,"Doctor")</f>
        <v>Master</v>
      </c>
      <c r="AF528" t="str" cm="1">
        <f t="array" ref="AF528">_xlfn.IFS(J528=1,"Low",J528=2,"Medium",J528=3,"High",J528=4,"Very High")</f>
        <v>Very High</v>
      </c>
      <c r="AG528" t="str" cm="1">
        <f t="array" ref="AG528">_xlfn.IFS(L528=1,"Low",L528=2,"Medium",L528=3,"High",L528=4,"Very High")</f>
        <v>Medium</v>
      </c>
      <c r="AH528" t="str" cm="1">
        <f t="array" ref="AH528">_xlfn.IFS(M528=1,"Junior employee",M528=2,"Mid-level",M528=3,"Senior",M528=4,"Manager",M528=5,"Executive")</f>
        <v>Mid-level</v>
      </c>
      <c r="AI528" t="str" cm="1">
        <f t="array" ref="AI528">_xlfn.IFS(O528=1,"Low",O528=2,"Medium",O528=3,"High",O528=4,"Very High")</f>
        <v>High</v>
      </c>
      <c r="AJ528" t="str" cm="1">
        <f t="array" ref="AJ528">_xlfn.IFS(U528=1,"Low",U528=2,"Good",U528=3,"Excellent",U528=4,"Outstanding")</f>
        <v>Excellent</v>
      </c>
      <c r="AK528" t="str" cm="1">
        <f t="array" ref="AK528">_xlfn.IFS(V528=1,"Low",V528=2,"Medium",V528=3,"High",V528=4,"Very High")</f>
        <v>Low</v>
      </c>
      <c r="AL528" t="str" cm="1">
        <f t="array" ref="AL528">_xlfn.IFS(Z528=1,"Bad",Z528=2,"Good",Z528=3,"Better",Z528=4,"Best")</f>
        <v>Better</v>
      </c>
      <c r="AM528" t="str" cm="1">
        <f t="array" ref="AM528">_xlfn.IFS(W528=0,"No_stock",W528=1,"Low",W528=2,"Medium",W528=3,"High")</f>
        <v>No_stock</v>
      </c>
      <c r="AN528" t="str">
        <f t="shared" si="8"/>
        <v>Near</v>
      </c>
    </row>
    <row r="529" spans="1:40" x14ac:dyDescent="0.45">
      <c r="A529">
        <v>32</v>
      </c>
      <c r="B529" t="s">
        <v>37</v>
      </c>
      <c r="C529" t="s">
        <v>31</v>
      </c>
      <c r="D529">
        <v>929</v>
      </c>
      <c r="E529" t="s">
        <v>32</v>
      </c>
      <c r="F529">
        <v>10</v>
      </c>
      <c r="G529">
        <v>3</v>
      </c>
      <c r="H529" t="s">
        <v>53</v>
      </c>
      <c r="I529">
        <v>722</v>
      </c>
      <c r="J529">
        <v>4</v>
      </c>
      <c r="K529" t="s">
        <v>40</v>
      </c>
      <c r="L529">
        <v>3</v>
      </c>
      <c r="M529">
        <v>2</v>
      </c>
      <c r="N529" t="s">
        <v>35</v>
      </c>
      <c r="O529">
        <v>4</v>
      </c>
      <c r="P529" t="s">
        <v>36</v>
      </c>
      <c r="Q529">
        <v>5396</v>
      </c>
      <c r="R529">
        <v>1</v>
      </c>
      <c r="S529" t="s">
        <v>37</v>
      </c>
      <c r="T529">
        <v>12</v>
      </c>
      <c r="U529">
        <v>3</v>
      </c>
      <c r="V529">
        <v>4</v>
      </c>
      <c r="W529">
        <v>0</v>
      </c>
      <c r="X529">
        <v>10</v>
      </c>
      <c r="Y529">
        <v>2</v>
      </c>
      <c r="Z529">
        <v>2</v>
      </c>
      <c r="AA529">
        <v>10</v>
      </c>
      <c r="AB529">
        <v>7</v>
      </c>
      <c r="AC529">
        <v>0</v>
      </c>
      <c r="AD529">
        <v>8</v>
      </c>
      <c r="AE529" t="str" cm="1">
        <f t="array" ref="AE529">_xlfn.IFS(G529=1,"Before College",G529=2,"College",G529=3,"Bachelor",G529=4,"Master",G529=5,"Doctor")</f>
        <v>Bachelor</v>
      </c>
      <c r="AF529" t="str" cm="1">
        <f t="array" ref="AF529">_xlfn.IFS(J529=1,"Low",J529=2,"Medium",J529=3,"High",J529=4,"Very High")</f>
        <v>Very High</v>
      </c>
      <c r="AG529" t="str" cm="1">
        <f t="array" ref="AG529">_xlfn.IFS(L529=1,"Low",L529=2,"Medium",L529=3,"High",L529=4,"Very High")</f>
        <v>High</v>
      </c>
      <c r="AH529" t="str" cm="1">
        <f t="array" ref="AH529">_xlfn.IFS(M529=1,"Junior employee",M529=2,"Mid-level",M529=3,"Senior",M529=4,"Manager",M529=5,"Executive")</f>
        <v>Mid-level</v>
      </c>
      <c r="AI529" t="str" cm="1">
        <f t="array" ref="AI529">_xlfn.IFS(O529=1,"Low",O529=2,"Medium",O529=3,"High",O529=4,"Very High")</f>
        <v>Very High</v>
      </c>
      <c r="AJ529" t="str" cm="1">
        <f t="array" ref="AJ529">_xlfn.IFS(U529=1,"Low",U529=2,"Good",U529=3,"Excellent",U529=4,"Outstanding")</f>
        <v>Excellent</v>
      </c>
      <c r="AK529" t="str" cm="1">
        <f t="array" ref="AK529">_xlfn.IFS(V529=1,"Low",V529=2,"Medium",V529=3,"High",V529=4,"Very High")</f>
        <v>Very High</v>
      </c>
      <c r="AL529" t="str" cm="1">
        <f t="array" ref="AL529">_xlfn.IFS(Z529=1,"Bad",Z529=2,"Good",Z529=3,"Better",Z529=4,"Best")</f>
        <v>Good</v>
      </c>
      <c r="AM529" t="str" cm="1">
        <f t="array" ref="AM529">_xlfn.IFS(W529=0,"No_stock",W529=1,"Low",W529=2,"Medium",W529=3,"High")</f>
        <v>No_stock</v>
      </c>
      <c r="AN529" t="str">
        <f t="shared" si="8"/>
        <v>Medium</v>
      </c>
    </row>
    <row r="530" spans="1:40" x14ac:dyDescent="0.45">
      <c r="A530">
        <v>50</v>
      </c>
      <c r="B530" t="s">
        <v>30</v>
      </c>
      <c r="C530" t="s">
        <v>38</v>
      </c>
      <c r="D530">
        <v>562</v>
      </c>
      <c r="E530" t="s">
        <v>32</v>
      </c>
      <c r="F530">
        <v>8</v>
      </c>
      <c r="G530">
        <v>2</v>
      </c>
      <c r="H530" t="s">
        <v>54</v>
      </c>
      <c r="I530">
        <v>723</v>
      </c>
      <c r="J530">
        <v>2</v>
      </c>
      <c r="K530" t="s">
        <v>40</v>
      </c>
      <c r="L530">
        <v>3</v>
      </c>
      <c r="M530">
        <v>2</v>
      </c>
      <c r="N530" t="s">
        <v>35</v>
      </c>
      <c r="O530">
        <v>3</v>
      </c>
      <c r="P530" t="s">
        <v>42</v>
      </c>
      <c r="Q530">
        <v>6796</v>
      </c>
      <c r="R530">
        <v>3</v>
      </c>
      <c r="S530" t="s">
        <v>30</v>
      </c>
      <c r="T530">
        <v>14</v>
      </c>
      <c r="U530">
        <v>3</v>
      </c>
      <c r="V530">
        <v>1</v>
      </c>
      <c r="W530">
        <v>1</v>
      </c>
      <c r="X530">
        <v>18</v>
      </c>
      <c r="Y530">
        <v>4</v>
      </c>
      <c r="Z530">
        <v>3</v>
      </c>
      <c r="AA530">
        <v>4</v>
      </c>
      <c r="AB530">
        <v>3</v>
      </c>
      <c r="AC530">
        <v>1</v>
      </c>
      <c r="AD530">
        <v>3</v>
      </c>
      <c r="AE530" t="str" cm="1">
        <f t="array" ref="AE530">_xlfn.IFS(G530=1,"Before College",G530=2,"College",G530=3,"Bachelor",G530=4,"Master",G530=5,"Doctor")</f>
        <v>College</v>
      </c>
      <c r="AF530" t="str" cm="1">
        <f t="array" ref="AF530">_xlfn.IFS(J530=1,"Low",J530=2,"Medium",J530=3,"High",J530=4,"Very High")</f>
        <v>Medium</v>
      </c>
      <c r="AG530" t="str" cm="1">
        <f t="array" ref="AG530">_xlfn.IFS(L530=1,"Low",L530=2,"Medium",L530=3,"High",L530=4,"Very High")</f>
        <v>High</v>
      </c>
      <c r="AH530" t="str" cm="1">
        <f t="array" ref="AH530">_xlfn.IFS(M530=1,"Junior employee",M530=2,"Mid-level",M530=3,"Senior",M530=4,"Manager",M530=5,"Executive")</f>
        <v>Mid-level</v>
      </c>
      <c r="AI530" t="str" cm="1">
        <f t="array" ref="AI530">_xlfn.IFS(O530=1,"Low",O530=2,"Medium",O530=3,"High",O530=4,"Very High")</f>
        <v>High</v>
      </c>
      <c r="AJ530" t="str" cm="1">
        <f t="array" ref="AJ530">_xlfn.IFS(U530=1,"Low",U530=2,"Good",U530=3,"Excellent",U530=4,"Outstanding")</f>
        <v>Excellent</v>
      </c>
      <c r="AK530" t="str" cm="1">
        <f t="array" ref="AK530">_xlfn.IFS(V530=1,"Low",V530=2,"Medium",V530=3,"High",V530=4,"Very High")</f>
        <v>Low</v>
      </c>
      <c r="AL530" t="str" cm="1">
        <f t="array" ref="AL530">_xlfn.IFS(Z530=1,"Bad",Z530=2,"Good",Z530=3,"Better",Z530=4,"Best")</f>
        <v>Better</v>
      </c>
      <c r="AM530" t="str" cm="1">
        <f t="array" ref="AM530">_xlfn.IFS(W530=0,"No_stock",W530=1,"Low",W530=2,"Medium",W530=3,"High")</f>
        <v>Low</v>
      </c>
      <c r="AN530" t="str">
        <f t="shared" si="8"/>
        <v>Medium</v>
      </c>
    </row>
    <row r="531" spans="1:40" x14ac:dyDescent="0.45">
      <c r="A531">
        <v>38</v>
      </c>
      <c r="B531" t="s">
        <v>37</v>
      </c>
      <c r="C531" t="s">
        <v>31</v>
      </c>
      <c r="D531">
        <v>827</v>
      </c>
      <c r="E531" t="s">
        <v>39</v>
      </c>
      <c r="F531">
        <v>1</v>
      </c>
      <c r="G531">
        <v>4</v>
      </c>
      <c r="H531" t="s">
        <v>33</v>
      </c>
      <c r="I531">
        <v>724</v>
      </c>
      <c r="J531">
        <v>2</v>
      </c>
      <c r="K531" t="s">
        <v>34</v>
      </c>
      <c r="L531">
        <v>4</v>
      </c>
      <c r="M531">
        <v>2</v>
      </c>
      <c r="N531" t="s">
        <v>48</v>
      </c>
      <c r="O531">
        <v>4</v>
      </c>
      <c r="P531" t="s">
        <v>36</v>
      </c>
      <c r="Q531">
        <v>7625</v>
      </c>
      <c r="R531">
        <v>0</v>
      </c>
      <c r="S531" t="s">
        <v>37</v>
      </c>
      <c r="T531">
        <v>13</v>
      </c>
      <c r="U531">
        <v>3</v>
      </c>
      <c r="V531">
        <v>3</v>
      </c>
      <c r="W531">
        <v>0</v>
      </c>
      <c r="X531">
        <v>10</v>
      </c>
      <c r="Y531">
        <v>4</v>
      </c>
      <c r="Z531">
        <v>2</v>
      </c>
      <c r="AA531">
        <v>9</v>
      </c>
      <c r="AB531">
        <v>7</v>
      </c>
      <c r="AC531">
        <v>1</v>
      </c>
      <c r="AD531">
        <v>8</v>
      </c>
      <c r="AE531" t="str" cm="1">
        <f t="array" ref="AE531">_xlfn.IFS(G531=1,"Before College",G531=2,"College",G531=3,"Bachelor",G531=4,"Master",G531=5,"Doctor")</f>
        <v>Master</v>
      </c>
      <c r="AF531" t="str" cm="1">
        <f t="array" ref="AF531">_xlfn.IFS(J531=1,"Low",J531=2,"Medium",J531=3,"High",J531=4,"Very High")</f>
        <v>Medium</v>
      </c>
      <c r="AG531" t="str" cm="1">
        <f t="array" ref="AG531">_xlfn.IFS(L531=1,"Low",L531=2,"Medium",L531=3,"High",L531=4,"Very High")</f>
        <v>Very High</v>
      </c>
      <c r="AH531" t="str" cm="1">
        <f t="array" ref="AH531">_xlfn.IFS(M531=1,"Junior employee",M531=2,"Mid-level",M531=3,"Senior",M531=4,"Manager",M531=5,"Executive")</f>
        <v>Mid-level</v>
      </c>
      <c r="AI531" t="str" cm="1">
        <f t="array" ref="AI531">_xlfn.IFS(O531=1,"Low",O531=2,"Medium",O531=3,"High",O531=4,"Very High")</f>
        <v>Very High</v>
      </c>
      <c r="AJ531" t="str" cm="1">
        <f t="array" ref="AJ531">_xlfn.IFS(U531=1,"Low",U531=2,"Good",U531=3,"Excellent",U531=4,"Outstanding")</f>
        <v>Excellent</v>
      </c>
      <c r="AK531" t="str" cm="1">
        <f t="array" ref="AK531">_xlfn.IFS(V531=1,"Low",V531=2,"Medium",V531=3,"High",V531=4,"Very High")</f>
        <v>High</v>
      </c>
      <c r="AL531" t="str" cm="1">
        <f t="array" ref="AL531">_xlfn.IFS(Z531=1,"Bad",Z531=2,"Good",Z531=3,"Better",Z531=4,"Best")</f>
        <v>Good</v>
      </c>
      <c r="AM531" t="str" cm="1">
        <f t="array" ref="AM531">_xlfn.IFS(W531=0,"No_stock",W531=1,"Low",W531=2,"Medium",W531=3,"High")</f>
        <v>No_stock</v>
      </c>
      <c r="AN531" t="str">
        <f t="shared" si="8"/>
        <v>Near</v>
      </c>
    </row>
    <row r="532" spans="1:40" x14ac:dyDescent="0.45">
      <c r="A532">
        <v>27</v>
      </c>
      <c r="B532" t="s">
        <v>37</v>
      </c>
      <c r="C532" t="s">
        <v>31</v>
      </c>
      <c r="D532">
        <v>608</v>
      </c>
      <c r="E532" t="s">
        <v>39</v>
      </c>
      <c r="F532">
        <v>1</v>
      </c>
      <c r="G532">
        <v>2</v>
      </c>
      <c r="H532" t="s">
        <v>33</v>
      </c>
      <c r="I532">
        <v>725</v>
      </c>
      <c r="J532">
        <v>3</v>
      </c>
      <c r="K532" t="s">
        <v>34</v>
      </c>
      <c r="L532">
        <v>3</v>
      </c>
      <c r="M532">
        <v>3</v>
      </c>
      <c r="N532" t="s">
        <v>47</v>
      </c>
      <c r="O532">
        <v>1</v>
      </c>
      <c r="P532" t="s">
        <v>42</v>
      </c>
      <c r="Q532">
        <v>7412</v>
      </c>
      <c r="R532">
        <v>1</v>
      </c>
      <c r="S532" t="s">
        <v>37</v>
      </c>
      <c r="T532">
        <v>11</v>
      </c>
      <c r="U532">
        <v>3</v>
      </c>
      <c r="V532">
        <v>4</v>
      </c>
      <c r="W532">
        <v>0</v>
      </c>
      <c r="X532">
        <v>9</v>
      </c>
      <c r="Y532">
        <v>3</v>
      </c>
      <c r="Z532">
        <v>3</v>
      </c>
      <c r="AA532">
        <v>9</v>
      </c>
      <c r="AB532">
        <v>7</v>
      </c>
      <c r="AC532">
        <v>0</v>
      </c>
      <c r="AD532">
        <v>7</v>
      </c>
      <c r="AE532" t="str" cm="1">
        <f t="array" ref="AE532">_xlfn.IFS(G532=1,"Before College",G532=2,"College",G532=3,"Bachelor",G532=4,"Master",G532=5,"Doctor")</f>
        <v>College</v>
      </c>
      <c r="AF532" t="str" cm="1">
        <f t="array" ref="AF532">_xlfn.IFS(J532=1,"Low",J532=2,"Medium",J532=3,"High",J532=4,"Very High")</f>
        <v>High</v>
      </c>
      <c r="AG532" t="str" cm="1">
        <f t="array" ref="AG532">_xlfn.IFS(L532=1,"Low",L532=2,"Medium",L532=3,"High",L532=4,"Very High")</f>
        <v>High</v>
      </c>
      <c r="AH532" t="str" cm="1">
        <f t="array" ref="AH532">_xlfn.IFS(M532=1,"Junior employee",M532=2,"Mid-level",M532=3,"Senior",M532=4,"Manager",M532=5,"Executive")</f>
        <v>Senior</v>
      </c>
      <c r="AI532" t="str" cm="1">
        <f t="array" ref="AI532">_xlfn.IFS(O532=1,"Low",O532=2,"Medium",O532=3,"High",O532=4,"Very High")</f>
        <v>Low</v>
      </c>
      <c r="AJ532" t="str" cm="1">
        <f t="array" ref="AJ532">_xlfn.IFS(U532=1,"Low",U532=2,"Good",U532=3,"Excellent",U532=4,"Outstanding")</f>
        <v>Excellent</v>
      </c>
      <c r="AK532" t="str" cm="1">
        <f t="array" ref="AK532">_xlfn.IFS(V532=1,"Low",V532=2,"Medium",V532=3,"High",V532=4,"Very High")</f>
        <v>Very High</v>
      </c>
      <c r="AL532" t="str" cm="1">
        <f t="array" ref="AL532">_xlfn.IFS(Z532=1,"Bad",Z532=2,"Good",Z532=3,"Better",Z532=4,"Best")</f>
        <v>Better</v>
      </c>
      <c r="AM532" t="str" cm="1">
        <f t="array" ref="AM532">_xlfn.IFS(W532=0,"No_stock",W532=1,"Low",W532=2,"Medium",W532=3,"High")</f>
        <v>No_stock</v>
      </c>
      <c r="AN532" t="str">
        <f t="shared" si="8"/>
        <v>Near</v>
      </c>
    </row>
    <row r="533" spans="1:40" x14ac:dyDescent="0.45">
      <c r="A533">
        <v>32</v>
      </c>
      <c r="B533" t="s">
        <v>37</v>
      </c>
      <c r="C533" t="s">
        <v>31</v>
      </c>
      <c r="D533">
        <v>1018</v>
      </c>
      <c r="E533" t="s">
        <v>39</v>
      </c>
      <c r="F533">
        <v>3</v>
      </c>
      <c r="G533">
        <v>2</v>
      </c>
      <c r="H533" t="s">
        <v>33</v>
      </c>
      <c r="I533">
        <v>727</v>
      </c>
      <c r="J533">
        <v>3</v>
      </c>
      <c r="K533" t="s">
        <v>34</v>
      </c>
      <c r="L533">
        <v>3</v>
      </c>
      <c r="M533">
        <v>3</v>
      </c>
      <c r="N533" t="s">
        <v>52</v>
      </c>
      <c r="O533">
        <v>4</v>
      </c>
      <c r="P533" t="s">
        <v>36</v>
      </c>
      <c r="Q533">
        <v>11159</v>
      </c>
      <c r="R533">
        <v>3</v>
      </c>
      <c r="S533" t="s">
        <v>37</v>
      </c>
      <c r="T533">
        <v>15</v>
      </c>
      <c r="U533">
        <v>3</v>
      </c>
      <c r="V533">
        <v>4</v>
      </c>
      <c r="W533">
        <v>0</v>
      </c>
      <c r="X533">
        <v>10</v>
      </c>
      <c r="Y533">
        <v>6</v>
      </c>
      <c r="Z533">
        <v>3</v>
      </c>
      <c r="AA533">
        <v>7</v>
      </c>
      <c r="AB533">
        <v>7</v>
      </c>
      <c r="AC533">
        <v>7</v>
      </c>
      <c r="AD533">
        <v>7</v>
      </c>
      <c r="AE533" t="str" cm="1">
        <f t="array" ref="AE533">_xlfn.IFS(G533=1,"Before College",G533=2,"College",G533=3,"Bachelor",G533=4,"Master",G533=5,"Doctor")</f>
        <v>College</v>
      </c>
      <c r="AF533" t="str" cm="1">
        <f t="array" ref="AF533">_xlfn.IFS(J533=1,"Low",J533=2,"Medium",J533=3,"High",J533=4,"Very High")</f>
        <v>High</v>
      </c>
      <c r="AG533" t="str" cm="1">
        <f t="array" ref="AG533">_xlfn.IFS(L533=1,"Low",L533=2,"Medium",L533=3,"High",L533=4,"Very High")</f>
        <v>High</v>
      </c>
      <c r="AH533" t="str" cm="1">
        <f t="array" ref="AH533">_xlfn.IFS(M533=1,"Junior employee",M533=2,"Mid-level",M533=3,"Senior",M533=4,"Manager",M533=5,"Executive")</f>
        <v>Senior</v>
      </c>
      <c r="AI533" t="str" cm="1">
        <f t="array" ref="AI533">_xlfn.IFS(O533=1,"Low",O533=2,"Medium",O533=3,"High",O533=4,"Very High")</f>
        <v>Very High</v>
      </c>
      <c r="AJ533" t="str" cm="1">
        <f t="array" ref="AJ533">_xlfn.IFS(U533=1,"Low",U533=2,"Good",U533=3,"Excellent",U533=4,"Outstanding")</f>
        <v>Excellent</v>
      </c>
      <c r="AK533" t="str" cm="1">
        <f t="array" ref="AK533">_xlfn.IFS(V533=1,"Low",V533=2,"Medium",V533=3,"High",V533=4,"Very High")</f>
        <v>Very High</v>
      </c>
      <c r="AL533" t="str" cm="1">
        <f t="array" ref="AL533">_xlfn.IFS(Z533=1,"Bad",Z533=2,"Good",Z533=3,"Better",Z533=4,"Best")</f>
        <v>Better</v>
      </c>
      <c r="AM533" t="str" cm="1">
        <f t="array" ref="AM533">_xlfn.IFS(W533=0,"No_stock",W533=1,"Low",W533=2,"Medium",W533=3,"High")</f>
        <v>No_stock</v>
      </c>
      <c r="AN533" t="str">
        <f t="shared" si="8"/>
        <v>Near</v>
      </c>
    </row>
    <row r="534" spans="1:40" x14ac:dyDescent="0.45">
      <c r="A534">
        <v>47</v>
      </c>
      <c r="B534" t="s">
        <v>37</v>
      </c>
      <c r="C534" t="s">
        <v>31</v>
      </c>
      <c r="D534">
        <v>703</v>
      </c>
      <c r="E534" t="s">
        <v>32</v>
      </c>
      <c r="F534">
        <v>14</v>
      </c>
      <c r="G534">
        <v>4</v>
      </c>
      <c r="H534" t="s">
        <v>53</v>
      </c>
      <c r="I534">
        <v>728</v>
      </c>
      <c r="J534">
        <v>4</v>
      </c>
      <c r="K534" t="s">
        <v>40</v>
      </c>
      <c r="L534">
        <v>3</v>
      </c>
      <c r="M534">
        <v>2</v>
      </c>
      <c r="N534" t="s">
        <v>35</v>
      </c>
      <c r="O534">
        <v>1</v>
      </c>
      <c r="P534" t="s">
        <v>36</v>
      </c>
      <c r="Q534">
        <v>4960</v>
      </c>
      <c r="R534">
        <v>2</v>
      </c>
      <c r="S534" t="s">
        <v>37</v>
      </c>
      <c r="T534">
        <v>12</v>
      </c>
      <c r="U534">
        <v>3</v>
      </c>
      <c r="V534">
        <v>4</v>
      </c>
      <c r="W534">
        <v>0</v>
      </c>
      <c r="X534">
        <v>20</v>
      </c>
      <c r="Y534">
        <v>2</v>
      </c>
      <c r="Z534">
        <v>3</v>
      </c>
      <c r="AA534">
        <v>7</v>
      </c>
      <c r="AB534">
        <v>7</v>
      </c>
      <c r="AC534">
        <v>1</v>
      </c>
      <c r="AD534">
        <v>7</v>
      </c>
      <c r="AE534" t="str" cm="1">
        <f t="array" ref="AE534">_xlfn.IFS(G534=1,"Before College",G534=2,"College",G534=3,"Bachelor",G534=4,"Master",G534=5,"Doctor")</f>
        <v>Master</v>
      </c>
      <c r="AF534" t="str" cm="1">
        <f t="array" ref="AF534">_xlfn.IFS(J534=1,"Low",J534=2,"Medium",J534=3,"High",J534=4,"Very High")</f>
        <v>Very High</v>
      </c>
      <c r="AG534" t="str" cm="1">
        <f t="array" ref="AG534">_xlfn.IFS(L534=1,"Low",L534=2,"Medium",L534=3,"High",L534=4,"Very High")</f>
        <v>High</v>
      </c>
      <c r="AH534" t="str" cm="1">
        <f t="array" ref="AH534">_xlfn.IFS(M534=1,"Junior employee",M534=2,"Mid-level",M534=3,"Senior",M534=4,"Manager",M534=5,"Executive")</f>
        <v>Mid-level</v>
      </c>
      <c r="AI534" t="str" cm="1">
        <f t="array" ref="AI534">_xlfn.IFS(O534=1,"Low",O534=2,"Medium",O534=3,"High",O534=4,"Very High")</f>
        <v>Low</v>
      </c>
      <c r="AJ534" t="str" cm="1">
        <f t="array" ref="AJ534">_xlfn.IFS(U534=1,"Low",U534=2,"Good",U534=3,"Excellent",U534=4,"Outstanding")</f>
        <v>Excellent</v>
      </c>
      <c r="AK534" t="str" cm="1">
        <f t="array" ref="AK534">_xlfn.IFS(V534=1,"Low",V534=2,"Medium",V534=3,"High",V534=4,"Very High")</f>
        <v>Very High</v>
      </c>
      <c r="AL534" t="str" cm="1">
        <f t="array" ref="AL534">_xlfn.IFS(Z534=1,"Bad",Z534=2,"Good",Z534=3,"Better",Z534=4,"Best")</f>
        <v>Better</v>
      </c>
      <c r="AM534" t="str" cm="1">
        <f t="array" ref="AM534">_xlfn.IFS(W534=0,"No_stock",W534=1,"Low",W534=2,"Medium",W534=3,"High")</f>
        <v>No_stock</v>
      </c>
      <c r="AN534" t="str">
        <f t="shared" si="8"/>
        <v>Medium</v>
      </c>
    </row>
    <row r="535" spans="1:40" x14ac:dyDescent="0.45">
      <c r="A535">
        <v>40</v>
      </c>
      <c r="B535" t="s">
        <v>37</v>
      </c>
      <c r="C535" t="s">
        <v>38</v>
      </c>
      <c r="D535">
        <v>580</v>
      </c>
      <c r="E535" t="s">
        <v>32</v>
      </c>
      <c r="F535">
        <v>5</v>
      </c>
      <c r="G535">
        <v>4</v>
      </c>
      <c r="H535" t="s">
        <v>33</v>
      </c>
      <c r="I535">
        <v>729</v>
      </c>
      <c r="J535">
        <v>4</v>
      </c>
      <c r="K535" t="s">
        <v>40</v>
      </c>
      <c r="L535">
        <v>2</v>
      </c>
      <c r="M535">
        <v>3</v>
      </c>
      <c r="N535" t="s">
        <v>35</v>
      </c>
      <c r="O535">
        <v>1</v>
      </c>
      <c r="P535" t="s">
        <v>42</v>
      </c>
      <c r="Q535">
        <v>10475</v>
      </c>
      <c r="R535">
        <v>5</v>
      </c>
      <c r="S535" t="s">
        <v>30</v>
      </c>
      <c r="T535">
        <v>21</v>
      </c>
      <c r="U535">
        <v>4</v>
      </c>
      <c r="V535">
        <v>3</v>
      </c>
      <c r="W535">
        <v>1</v>
      </c>
      <c r="X535">
        <v>20</v>
      </c>
      <c r="Y535">
        <v>2</v>
      </c>
      <c r="Z535">
        <v>3</v>
      </c>
      <c r="AA535">
        <v>18</v>
      </c>
      <c r="AB535">
        <v>13</v>
      </c>
      <c r="AC535">
        <v>1</v>
      </c>
      <c r="AD535">
        <v>12</v>
      </c>
      <c r="AE535" t="str" cm="1">
        <f t="array" ref="AE535">_xlfn.IFS(G535=1,"Before College",G535=2,"College",G535=3,"Bachelor",G535=4,"Master",G535=5,"Doctor")</f>
        <v>Master</v>
      </c>
      <c r="AF535" t="str" cm="1">
        <f t="array" ref="AF535">_xlfn.IFS(J535=1,"Low",J535=2,"Medium",J535=3,"High",J535=4,"Very High")</f>
        <v>Very High</v>
      </c>
      <c r="AG535" t="str" cm="1">
        <f t="array" ref="AG535">_xlfn.IFS(L535=1,"Low",L535=2,"Medium",L535=3,"High",L535=4,"Very High")</f>
        <v>Medium</v>
      </c>
      <c r="AH535" t="str" cm="1">
        <f t="array" ref="AH535">_xlfn.IFS(M535=1,"Junior employee",M535=2,"Mid-level",M535=3,"Senior",M535=4,"Manager",M535=5,"Executive")</f>
        <v>Senior</v>
      </c>
      <c r="AI535" t="str" cm="1">
        <f t="array" ref="AI535">_xlfn.IFS(O535=1,"Low",O535=2,"Medium",O535=3,"High",O535=4,"Very High")</f>
        <v>Low</v>
      </c>
      <c r="AJ535" t="str" cm="1">
        <f t="array" ref="AJ535">_xlfn.IFS(U535=1,"Low",U535=2,"Good",U535=3,"Excellent",U535=4,"Outstanding")</f>
        <v>Outstanding</v>
      </c>
      <c r="AK535" t="str" cm="1">
        <f t="array" ref="AK535">_xlfn.IFS(V535=1,"Low",V535=2,"Medium",V535=3,"High",V535=4,"Very High")</f>
        <v>High</v>
      </c>
      <c r="AL535" t="str" cm="1">
        <f t="array" ref="AL535">_xlfn.IFS(Z535=1,"Bad",Z535=2,"Good",Z535=3,"Better",Z535=4,"Best")</f>
        <v>Better</v>
      </c>
      <c r="AM535" t="str" cm="1">
        <f t="array" ref="AM535">_xlfn.IFS(W535=0,"No_stock",W535=1,"Low",W535=2,"Medium",W535=3,"High")</f>
        <v>Low</v>
      </c>
      <c r="AN535" t="str">
        <f t="shared" si="8"/>
        <v>Near</v>
      </c>
    </row>
    <row r="536" spans="1:40" x14ac:dyDescent="0.45">
      <c r="A536">
        <v>53</v>
      </c>
      <c r="B536" t="s">
        <v>37</v>
      </c>
      <c r="C536" t="s">
        <v>31</v>
      </c>
      <c r="D536">
        <v>970</v>
      </c>
      <c r="E536" t="s">
        <v>39</v>
      </c>
      <c r="F536">
        <v>7</v>
      </c>
      <c r="G536">
        <v>3</v>
      </c>
      <c r="H536" t="s">
        <v>33</v>
      </c>
      <c r="I536">
        <v>730</v>
      </c>
      <c r="J536">
        <v>3</v>
      </c>
      <c r="K536" t="s">
        <v>40</v>
      </c>
      <c r="L536">
        <v>4</v>
      </c>
      <c r="M536">
        <v>4</v>
      </c>
      <c r="N536" t="s">
        <v>52</v>
      </c>
      <c r="O536">
        <v>3</v>
      </c>
      <c r="P536" t="s">
        <v>42</v>
      </c>
      <c r="Q536">
        <v>14814</v>
      </c>
      <c r="R536">
        <v>3</v>
      </c>
      <c r="S536" t="s">
        <v>37</v>
      </c>
      <c r="T536">
        <v>19</v>
      </c>
      <c r="U536">
        <v>3</v>
      </c>
      <c r="V536">
        <v>3</v>
      </c>
      <c r="W536">
        <v>0</v>
      </c>
      <c r="X536">
        <v>32</v>
      </c>
      <c r="Y536">
        <v>3</v>
      </c>
      <c r="Z536">
        <v>3</v>
      </c>
      <c r="AA536">
        <v>5</v>
      </c>
      <c r="AB536">
        <v>1</v>
      </c>
      <c r="AC536">
        <v>1</v>
      </c>
      <c r="AD536">
        <v>3</v>
      </c>
      <c r="AE536" t="str" cm="1">
        <f t="array" ref="AE536">_xlfn.IFS(G536=1,"Before College",G536=2,"College",G536=3,"Bachelor",G536=4,"Master",G536=5,"Doctor")</f>
        <v>Bachelor</v>
      </c>
      <c r="AF536" t="str" cm="1">
        <f t="array" ref="AF536">_xlfn.IFS(J536=1,"Low",J536=2,"Medium",J536=3,"High",J536=4,"Very High")</f>
        <v>High</v>
      </c>
      <c r="AG536" t="str" cm="1">
        <f t="array" ref="AG536">_xlfn.IFS(L536=1,"Low",L536=2,"Medium",L536=3,"High",L536=4,"Very High")</f>
        <v>Very High</v>
      </c>
      <c r="AH536" t="str" cm="1">
        <f t="array" ref="AH536">_xlfn.IFS(M536=1,"Junior employee",M536=2,"Mid-level",M536=3,"Senior",M536=4,"Manager",M536=5,"Executive")</f>
        <v>Manager</v>
      </c>
      <c r="AI536" t="str" cm="1">
        <f t="array" ref="AI536">_xlfn.IFS(O536=1,"Low",O536=2,"Medium",O536=3,"High",O536=4,"Very High")</f>
        <v>High</v>
      </c>
      <c r="AJ536" t="str" cm="1">
        <f t="array" ref="AJ536">_xlfn.IFS(U536=1,"Low",U536=2,"Good",U536=3,"Excellent",U536=4,"Outstanding")</f>
        <v>Excellent</v>
      </c>
      <c r="AK536" t="str" cm="1">
        <f t="array" ref="AK536">_xlfn.IFS(V536=1,"Low",V536=2,"Medium",V536=3,"High",V536=4,"Very High")</f>
        <v>High</v>
      </c>
      <c r="AL536" t="str" cm="1">
        <f t="array" ref="AL536">_xlfn.IFS(Z536=1,"Bad",Z536=2,"Good",Z536=3,"Better",Z536=4,"Best")</f>
        <v>Better</v>
      </c>
      <c r="AM536" t="str" cm="1">
        <f t="array" ref="AM536">_xlfn.IFS(W536=0,"No_stock",W536=1,"Low",W536=2,"Medium",W536=3,"High")</f>
        <v>No_stock</v>
      </c>
      <c r="AN536" t="str">
        <f t="shared" si="8"/>
        <v>Medium</v>
      </c>
    </row>
    <row r="537" spans="1:40" x14ac:dyDescent="0.45">
      <c r="A537">
        <v>41</v>
      </c>
      <c r="B537" t="s">
        <v>37</v>
      </c>
      <c r="C537" t="s">
        <v>31</v>
      </c>
      <c r="D537">
        <v>427</v>
      </c>
      <c r="E537" t="s">
        <v>55</v>
      </c>
      <c r="F537">
        <v>10</v>
      </c>
      <c r="G537">
        <v>4</v>
      </c>
      <c r="H537" t="s">
        <v>55</v>
      </c>
      <c r="I537">
        <v>731</v>
      </c>
      <c r="J537">
        <v>2</v>
      </c>
      <c r="K537" t="s">
        <v>40</v>
      </c>
      <c r="L537">
        <v>2</v>
      </c>
      <c r="M537">
        <v>5</v>
      </c>
      <c r="N537" t="s">
        <v>50</v>
      </c>
      <c r="O537">
        <v>4</v>
      </c>
      <c r="P537" t="s">
        <v>46</v>
      </c>
      <c r="Q537">
        <v>19141</v>
      </c>
      <c r="R537">
        <v>3</v>
      </c>
      <c r="S537" t="s">
        <v>37</v>
      </c>
      <c r="T537">
        <v>15</v>
      </c>
      <c r="U537">
        <v>3</v>
      </c>
      <c r="V537">
        <v>2</v>
      </c>
      <c r="W537">
        <v>3</v>
      </c>
      <c r="X537">
        <v>23</v>
      </c>
      <c r="Y537">
        <v>2</v>
      </c>
      <c r="Z537">
        <v>2</v>
      </c>
      <c r="AA537">
        <v>21</v>
      </c>
      <c r="AB537">
        <v>6</v>
      </c>
      <c r="AC537">
        <v>12</v>
      </c>
      <c r="AD537">
        <v>6</v>
      </c>
      <c r="AE537" t="str" cm="1">
        <f t="array" ref="AE537">_xlfn.IFS(G537=1,"Before College",G537=2,"College",G537=3,"Bachelor",G537=4,"Master",G537=5,"Doctor")</f>
        <v>Master</v>
      </c>
      <c r="AF537" t="str" cm="1">
        <f t="array" ref="AF537">_xlfn.IFS(J537=1,"Low",J537=2,"Medium",J537=3,"High",J537=4,"Very High")</f>
        <v>Medium</v>
      </c>
      <c r="AG537" t="str" cm="1">
        <f t="array" ref="AG537">_xlfn.IFS(L537=1,"Low",L537=2,"Medium",L537=3,"High",L537=4,"Very High")</f>
        <v>Medium</v>
      </c>
      <c r="AH537" t="str" cm="1">
        <f t="array" ref="AH537">_xlfn.IFS(M537=1,"Junior employee",M537=2,"Mid-level",M537=3,"Senior",M537=4,"Manager",M537=5,"Executive")</f>
        <v>Executive</v>
      </c>
      <c r="AI537" t="str" cm="1">
        <f t="array" ref="AI537">_xlfn.IFS(O537=1,"Low",O537=2,"Medium",O537=3,"High",O537=4,"Very High")</f>
        <v>Very High</v>
      </c>
      <c r="AJ537" t="str" cm="1">
        <f t="array" ref="AJ537">_xlfn.IFS(U537=1,"Low",U537=2,"Good",U537=3,"Excellent",U537=4,"Outstanding")</f>
        <v>Excellent</v>
      </c>
      <c r="AK537" t="str" cm="1">
        <f t="array" ref="AK537">_xlfn.IFS(V537=1,"Low",V537=2,"Medium",V537=3,"High",V537=4,"Very High")</f>
        <v>Medium</v>
      </c>
      <c r="AL537" t="str" cm="1">
        <f t="array" ref="AL537">_xlfn.IFS(Z537=1,"Bad",Z537=2,"Good",Z537=3,"Better",Z537=4,"Best")</f>
        <v>Good</v>
      </c>
      <c r="AM537" t="str" cm="1">
        <f t="array" ref="AM537">_xlfn.IFS(W537=0,"No_stock",W537=1,"Low",W537=2,"Medium",W537=3,"High")</f>
        <v>High</v>
      </c>
      <c r="AN537" t="str">
        <f t="shared" si="8"/>
        <v>Medium</v>
      </c>
    </row>
    <row r="538" spans="1:40" x14ac:dyDescent="0.45">
      <c r="A538">
        <v>60</v>
      </c>
      <c r="B538" t="s">
        <v>37</v>
      </c>
      <c r="C538" t="s">
        <v>31</v>
      </c>
      <c r="D538">
        <v>1179</v>
      </c>
      <c r="E538" t="s">
        <v>32</v>
      </c>
      <c r="F538">
        <v>16</v>
      </c>
      <c r="G538">
        <v>4</v>
      </c>
      <c r="H538" t="s">
        <v>53</v>
      </c>
      <c r="I538">
        <v>732</v>
      </c>
      <c r="J538">
        <v>1</v>
      </c>
      <c r="K538" t="s">
        <v>40</v>
      </c>
      <c r="L538">
        <v>3</v>
      </c>
      <c r="M538">
        <v>2</v>
      </c>
      <c r="N538" t="s">
        <v>35</v>
      </c>
      <c r="O538">
        <v>1</v>
      </c>
      <c r="P538" t="s">
        <v>36</v>
      </c>
      <c r="Q538">
        <v>5405</v>
      </c>
      <c r="R538">
        <v>8</v>
      </c>
      <c r="S538" t="s">
        <v>37</v>
      </c>
      <c r="T538">
        <v>14</v>
      </c>
      <c r="U538">
        <v>3</v>
      </c>
      <c r="V538">
        <v>4</v>
      </c>
      <c r="W538">
        <v>0</v>
      </c>
      <c r="X538">
        <v>10</v>
      </c>
      <c r="Y538">
        <v>1</v>
      </c>
      <c r="Z538">
        <v>3</v>
      </c>
      <c r="AA538">
        <v>2</v>
      </c>
      <c r="AB538">
        <v>2</v>
      </c>
      <c r="AC538">
        <v>2</v>
      </c>
      <c r="AD538">
        <v>2</v>
      </c>
      <c r="AE538" t="str" cm="1">
        <f t="array" ref="AE538">_xlfn.IFS(G538=1,"Before College",G538=2,"College",G538=3,"Bachelor",G538=4,"Master",G538=5,"Doctor")</f>
        <v>Master</v>
      </c>
      <c r="AF538" t="str" cm="1">
        <f t="array" ref="AF538">_xlfn.IFS(J538=1,"Low",J538=2,"Medium",J538=3,"High",J538=4,"Very High")</f>
        <v>Low</v>
      </c>
      <c r="AG538" t="str" cm="1">
        <f t="array" ref="AG538">_xlfn.IFS(L538=1,"Low",L538=2,"Medium",L538=3,"High",L538=4,"Very High")</f>
        <v>High</v>
      </c>
      <c r="AH538" t="str" cm="1">
        <f t="array" ref="AH538">_xlfn.IFS(M538=1,"Junior employee",M538=2,"Mid-level",M538=3,"Senior",M538=4,"Manager",M538=5,"Executive")</f>
        <v>Mid-level</v>
      </c>
      <c r="AI538" t="str" cm="1">
        <f t="array" ref="AI538">_xlfn.IFS(O538=1,"Low",O538=2,"Medium",O538=3,"High",O538=4,"Very High")</f>
        <v>Low</v>
      </c>
      <c r="AJ538" t="str" cm="1">
        <f t="array" ref="AJ538">_xlfn.IFS(U538=1,"Low",U538=2,"Good",U538=3,"Excellent",U538=4,"Outstanding")</f>
        <v>Excellent</v>
      </c>
      <c r="AK538" t="str" cm="1">
        <f t="array" ref="AK538">_xlfn.IFS(V538=1,"Low",V538=2,"Medium",V538=3,"High",V538=4,"Very High")</f>
        <v>Very High</v>
      </c>
      <c r="AL538" t="str" cm="1">
        <f t="array" ref="AL538">_xlfn.IFS(Z538=1,"Bad",Z538=2,"Good",Z538=3,"Better",Z538=4,"Best")</f>
        <v>Better</v>
      </c>
      <c r="AM538" t="str" cm="1">
        <f t="array" ref="AM538">_xlfn.IFS(W538=0,"No_stock",W538=1,"Low",W538=2,"Medium",W538=3,"High")</f>
        <v>No_stock</v>
      </c>
      <c r="AN538" t="str">
        <f t="shared" si="8"/>
        <v>Far</v>
      </c>
    </row>
    <row r="539" spans="1:40" x14ac:dyDescent="0.45">
      <c r="A539">
        <v>27</v>
      </c>
      <c r="B539" t="s">
        <v>37</v>
      </c>
      <c r="C539" t="s">
        <v>38</v>
      </c>
      <c r="D539">
        <v>294</v>
      </c>
      <c r="E539" t="s">
        <v>39</v>
      </c>
      <c r="F539">
        <v>10</v>
      </c>
      <c r="G539">
        <v>2</v>
      </c>
      <c r="H539" t="s">
        <v>33</v>
      </c>
      <c r="I539">
        <v>733</v>
      </c>
      <c r="J539">
        <v>4</v>
      </c>
      <c r="K539" t="s">
        <v>40</v>
      </c>
      <c r="L539">
        <v>3</v>
      </c>
      <c r="M539">
        <v>3</v>
      </c>
      <c r="N539" t="s">
        <v>47</v>
      </c>
      <c r="O539">
        <v>1</v>
      </c>
      <c r="P539" t="s">
        <v>46</v>
      </c>
      <c r="Q539">
        <v>8793</v>
      </c>
      <c r="R539">
        <v>1</v>
      </c>
      <c r="S539" t="s">
        <v>37</v>
      </c>
      <c r="T539">
        <v>21</v>
      </c>
      <c r="U539">
        <v>4</v>
      </c>
      <c r="V539">
        <v>3</v>
      </c>
      <c r="W539">
        <v>2</v>
      </c>
      <c r="X539">
        <v>9</v>
      </c>
      <c r="Y539">
        <v>4</v>
      </c>
      <c r="Z539">
        <v>2</v>
      </c>
      <c r="AA539">
        <v>9</v>
      </c>
      <c r="AB539">
        <v>7</v>
      </c>
      <c r="AC539">
        <v>1</v>
      </c>
      <c r="AD539">
        <v>7</v>
      </c>
      <c r="AE539" t="str" cm="1">
        <f t="array" ref="AE539">_xlfn.IFS(G539=1,"Before College",G539=2,"College",G539=3,"Bachelor",G539=4,"Master",G539=5,"Doctor")</f>
        <v>College</v>
      </c>
      <c r="AF539" t="str" cm="1">
        <f t="array" ref="AF539">_xlfn.IFS(J539=1,"Low",J539=2,"Medium",J539=3,"High",J539=4,"Very High")</f>
        <v>Very High</v>
      </c>
      <c r="AG539" t="str" cm="1">
        <f t="array" ref="AG539">_xlfn.IFS(L539=1,"Low",L539=2,"Medium",L539=3,"High",L539=4,"Very High")</f>
        <v>High</v>
      </c>
      <c r="AH539" t="str" cm="1">
        <f t="array" ref="AH539">_xlfn.IFS(M539=1,"Junior employee",M539=2,"Mid-level",M539=3,"Senior",M539=4,"Manager",M539=5,"Executive")</f>
        <v>Senior</v>
      </c>
      <c r="AI539" t="str" cm="1">
        <f t="array" ref="AI539">_xlfn.IFS(O539=1,"Low",O539=2,"Medium",O539=3,"High",O539=4,"Very High")</f>
        <v>Low</v>
      </c>
      <c r="AJ539" t="str" cm="1">
        <f t="array" ref="AJ539">_xlfn.IFS(U539=1,"Low",U539=2,"Good",U539=3,"Excellent",U539=4,"Outstanding")</f>
        <v>Outstanding</v>
      </c>
      <c r="AK539" t="str" cm="1">
        <f t="array" ref="AK539">_xlfn.IFS(V539=1,"Low",V539=2,"Medium",V539=3,"High",V539=4,"Very High")</f>
        <v>High</v>
      </c>
      <c r="AL539" t="str" cm="1">
        <f t="array" ref="AL539">_xlfn.IFS(Z539=1,"Bad",Z539=2,"Good",Z539=3,"Better",Z539=4,"Best")</f>
        <v>Good</v>
      </c>
      <c r="AM539" t="str" cm="1">
        <f t="array" ref="AM539">_xlfn.IFS(W539=0,"No_stock",W539=1,"Low",W539=2,"Medium",W539=3,"High")</f>
        <v>Medium</v>
      </c>
      <c r="AN539" t="str">
        <f t="shared" si="8"/>
        <v>Medium</v>
      </c>
    </row>
    <row r="540" spans="1:40" x14ac:dyDescent="0.45">
      <c r="A540">
        <v>41</v>
      </c>
      <c r="B540" t="s">
        <v>37</v>
      </c>
      <c r="C540" t="s">
        <v>31</v>
      </c>
      <c r="D540">
        <v>314</v>
      </c>
      <c r="E540" t="s">
        <v>55</v>
      </c>
      <c r="F540">
        <v>1</v>
      </c>
      <c r="G540">
        <v>3</v>
      </c>
      <c r="H540" t="s">
        <v>55</v>
      </c>
      <c r="I540">
        <v>734</v>
      </c>
      <c r="J540">
        <v>4</v>
      </c>
      <c r="K540" t="s">
        <v>40</v>
      </c>
      <c r="L540">
        <v>2</v>
      </c>
      <c r="M540">
        <v>5</v>
      </c>
      <c r="N540" t="s">
        <v>50</v>
      </c>
      <c r="O540">
        <v>3</v>
      </c>
      <c r="P540" t="s">
        <v>42</v>
      </c>
      <c r="Q540">
        <v>19189</v>
      </c>
      <c r="R540">
        <v>1</v>
      </c>
      <c r="S540" t="s">
        <v>37</v>
      </c>
      <c r="T540">
        <v>12</v>
      </c>
      <c r="U540">
        <v>3</v>
      </c>
      <c r="V540">
        <v>2</v>
      </c>
      <c r="W540">
        <v>1</v>
      </c>
      <c r="X540">
        <v>22</v>
      </c>
      <c r="Y540">
        <v>3</v>
      </c>
      <c r="Z540">
        <v>3</v>
      </c>
      <c r="AA540">
        <v>22</v>
      </c>
      <c r="AB540">
        <v>7</v>
      </c>
      <c r="AC540">
        <v>2</v>
      </c>
      <c r="AD540">
        <v>10</v>
      </c>
      <c r="AE540" t="str" cm="1">
        <f t="array" ref="AE540">_xlfn.IFS(G540=1,"Before College",G540=2,"College",G540=3,"Bachelor",G540=4,"Master",G540=5,"Doctor")</f>
        <v>Bachelor</v>
      </c>
      <c r="AF540" t="str" cm="1">
        <f t="array" ref="AF540">_xlfn.IFS(J540=1,"Low",J540=2,"Medium",J540=3,"High",J540=4,"Very High")</f>
        <v>Very High</v>
      </c>
      <c r="AG540" t="str" cm="1">
        <f t="array" ref="AG540">_xlfn.IFS(L540=1,"Low",L540=2,"Medium",L540=3,"High",L540=4,"Very High")</f>
        <v>Medium</v>
      </c>
      <c r="AH540" t="str" cm="1">
        <f t="array" ref="AH540">_xlfn.IFS(M540=1,"Junior employee",M540=2,"Mid-level",M540=3,"Senior",M540=4,"Manager",M540=5,"Executive")</f>
        <v>Executive</v>
      </c>
      <c r="AI540" t="str" cm="1">
        <f t="array" ref="AI540">_xlfn.IFS(O540=1,"Low",O540=2,"Medium",O540=3,"High",O540=4,"Very High")</f>
        <v>High</v>
      </c>
      <c r="AJ540" t="str" cm="1">
        <f t="array" ref="AJ540">_xlfn.IFS(U540=1,"Low",U540=2,"Good",U540=3,"Excellent",U540=4,"Outstanding")</f>
        <v>Excellent</v>
      </c>
      <c r="AK540" t="str" cm="1">
        <f t="array" ref="AK540">_xlfn.IFS(V540=1,"Low",V540=2,"Medium",V540=3,"High",V540=4,"Very High")</f>
        <v>Medium</v>
      </c>
      <c r="AL540" t="str" cm="1">
        <f t="array" ref="AL540">_xlfn.IFS(Z540=1,"Bad",Z540=2,"Good",Z540=3,"Better",Z540=4,"Best")</f>
        <v>Better</v>
      </c>
      <c r="AM540" t="str" cm="1">
        <f t="array" ref="AM540">_xlfn.IFS(W540=0,"No_stock",W540=1,"Low",W540=2,"Medium",W540=3,"High")</f>
        <v>Low</v>
      </c>
      <c r="AN540" t="str">
        <f t="shared" si="8"/>
        <v>Near</v>
      </c>
    </row>
    <row r="541" spans="1:40" x14ac:dyDescent="0.45">
      <c r="A541">
        <v>50</v>
      </c>
      <c r="B541" t="s">
        <v>37</v>
      </c>
      <c r="C541" t="s">
        <v>31</v>
      </c>
      <c r="D541">
        <v>316</v>
      </c>
      <c r="E541" t="s">
        <v>32</v>
      </c>
      <c r="F541">
        <v>8</v>
      </c>
      <c r="G541">
        <v>4</v>
      </c>
      <c r="H541" t="s">
        <v>53</v>
      </c>
      <c r="I541">
        <v>738</v>
      </c>
      <c r="J541">
        <v>4</v>
      </c>
      <c r="K541" t="s">
        <v>40</v>
      </c>
      <c r="L541">
        <v>3</v>
      </c>
      <c r="M541">
        <v>1</v>
      </c>
      <c r="N541" t="s">
        <v>51</v>
      </c>
      <c r="O541">
        <v>2</v>
      </c>
      <c r="P541" t="s">
        <v>42</v>
      </c>
      <c r="Q541">
        <v>3875</v>
      </c>
      <c r="R541">
        <v>7</v>
      </c>
      <c r="S541" t="s">
        <v>37</v>
      </c>
      <c r="T541">
        <v>15</v>
      </c>
      <c r="U541">
        <v>3</v>
      </c>
      <c r="V541">
        <v>4</v>
      </c>
      <c r="W541">
        <v>1</v>
      </c>
      <c r="X541">
        <v>4</v>
      </c>
      <c r="Y541">
        <v>2</v>
      </c>
      <c r="Z541">
        <v>3</v>
      </c>
      <c r="AA541">
        <v>2</v>
      </c>
      <c r="AB541">
        <v>2</v>
      </c>
      <c r="AC541">
        <v>2</v>
      </c>
      <c r="AD541">
        <v>2</v>
      </c>
      <c r="AE541" t="str" cm="1">
        <f t="array" ref="AE541">_xlfn.IFS(G541=1,"Before College",G541=2,"College",G541=3,"Bachelor",G541=4,"Master",G541=5,"Doctor")</f>
        <v>Master</v>
      </c>
      <c r="AF541" t="str" cm="1">
        <f t="array" ref="AF541">_xlfn.IFS(J541=1,"Low",J541=2,"Medium",J541=3,"High",J541=4,"Very High")</f>
        <v>Very High</v>
      </c>
      <c r="AG541" t="str" cm="1">
        <f t="array" ref="AG541">_xlfn.IFS(L541=1,"Low",L541=2,"Medium",L541=3,"High",L541=4,"Very High")</f>
        <v>High</v>
      </c>
      <c r="AH541" t="str" cm="1">
        <f t="array" ref="AH541">_xlfn.IFS(M541=1,"Junior employee",M541=2,"Mid-level",M541=3,"Senior",M541=4,"Manager",M541=5,"Executive")</f>
        <v>Junior employee</v>
      </c>
      <c r="AI541" t="str" cm="1">
        <f t="array" ref="AI541">_xlfn.IFS(O541=1,"Low",O541=2,"Medium",O541=3,"High",O541=4,"Very High")</f>
        <v>Medium</v>
      </c>
      <c r="AJ541" t="str" cm="1">
        <f t="array" ref="AJ541">_xlfn.IFS(U541=1,"Low",U541=2,"Good",U541=3,"Excellent",U541=4,"Outstanding")</f>
        <v>Excellent</v>
      </c>
      <c r="AK541" t="str" cm="1">
        <f t="array" ref="AK541">_xlfn.IFS(V541=1,"Low",V541=2,"Medium",V541=3,"High",V541=4,"Very High")</f>
        <v>Very High</v>
      </c>
      <c r="AL541" t="str" cm="1">
        <f t="array" ref="AL541">_xlfn.IFS(Z541=1,"Bad",Z541=2,"Good",Z541=3,"Better",Z541=4,"Best")</f>
        <v>Better</v>
      </c>
      <c r="AM541" t="str" cm="1">
        <f t="array" ref="AM541">_xlfn.IFS(W541=0,"No_stock",W541=1,"Low",W541=2,"Medium",W541=3,"High")</f>
        <v>Low</v>
      </c>
      <c r="AN541" t="str">
        <f t="shared" si="8"/>
        <v>Medium</v>
      </c>
    </row>
    <row r="542" spans="1:40" x14ac:dyDescent="0.45">
      <c r="A542">
        <v>28</v>
      </c>
      <c r="B542" t="s">
        <v>30</v>
      </c>
      <c r="C542" t="s">
        <v>31</v>
      </c>
      <c r="D542">
        <v>654</v>
      </c>
      <c r="E542" t="s">
        <v>39</v>
      </c>
      <c r="F542">
        <v>1</v>
      </c>
      <c r="G542">
        <v>2</v>
      </c>
      <c r="H542" t="s">
        <v>33</v>
      </c>
      <c r="I542">
        <v>741</v>
      </c>
      <c r="J542">
        <v>1</v>
      </c>
      <c r="K542" t="s">
        <v>34</v>
      </c>
      <c r="L542">
        <v>1</v>
      </c>
      <c r="M542">
        <v>1</v>
      </c>
      <c r="N542" t="s">
        <v>41</v>
      </c>
      <c r="O542">
        <v>2</v>
      </c>
      <c r="P542" t="s">
        <v>36</v>
      </c>
      <c r="Q542">
        <v>2216</v>
      </c>
      <c r="R542">
        <v>7</v>
      </c>
      <c r="S542" t="s">
        <v>30</v>
      </c>
      <c r="T542">
        <v>13</v>
      </c>
      <c r="U542">
        <v>3</v>
      </c>
      <c r="V542">
        <v>4</v>
      </c>
      <c r="W542">
        <v>0</v>
      </c>
      <c r="X542">
        <v>10</v>
      </c>
      <c r="Y542">
        <v>4</v>
      </c>
      <c r="Z542">
        <v>3</v>
      </c>
      <c r="AA542">
        <v>7</v>
      </c>
      <c r="AB542">
        <v>7</v>
      </c>
      <c r="AC542">
        <v>3</v>
      </c>
      <c r="AD542">
        <v>7</v>
      </c>
      <c r="AE542" t="str" cm="1">
        <f t="array" ref="AE542">_xlfn.IFS(G542=1,"Before College",G542=2,"College",G542=3,"Bachelor",G542=4,"Master",G542=5,"Doctor")</f>
        <v>College</v>
      </c>
      <c r="AF542" t="str" cm="1">
        <f t="array" ref="AF542">_xlfn.IFS(J542=1,"Low",J542=2,"Medium",J542=3,"High",J542=4,"Very High")</f>
        <v>Low</v>
      </c>
      <c r="AG542" t="str" cm="1">
        <f t="array" ref="AG542">_xlfn.IFS(L542=1,"Low",L542=2,"Medium",L542=3,"High",L542=4,"Very High")</f>
        <v>Low</v>
      </c>
      <c r="AH542" t="str" cm="1">
        <f t="array" ref="AH542">_xlfn.IFS(M542=1,"Junior employee",M542=2,"Mid-level",M542=3,"Senior",M542=4,"Manager",M542=5,"Executive")</f>
        <v>Junior employee</v>
      </c>
      <c r="AI542" t="str" cm="1">
        <f t="array" ref="AI542">_xlfn.IFS(O542=1,"Low",O542=2,"Medium",O542=3,"High",O542=4,"Very High")</f>
        <v>Medium</v>
      </c>
      <c r="AJ542" t="str" cm="1">
        <f t="array" ref="AJ542">_xlfn.IFS(U542=1,"Low",U542=2,"Good",U542=3,"Excellent",U542=4,"Outstanding")</f>
        <v>Excellent</v>
      </c>
      <c r="AK542" t="str" cm="1">
        <f t="array" ref="AK542">_xlfn.IFS(V542=1,"Low",V542=2,"Medium",V542=3,"High",V542=4,"Very High")</f>
        <v>Very High</v>
      </c>
      <c r="AL542" t="str" cm="1">
        <f t="array" ref="AL542">_xlfn.IFS(Z542=1,"Bad",Z542=2,"Good",Z542=3,"Better",Z542=4,"Best")</f>
        <v>Better</v>
      </c>
      <c r="AM542" t="str" cm="1">
        <f t="array" ref="AM542">_xlfn.IFS(W542=0,"No_stock",W542=1,"Low",W542=2,"Medium",W542=3,"High")</f>
        <v>No_stock</v>
      </c>
      <c r="AN542" t="str">
        <f t="shared" si="8"/>
        <v>Near</v>
      </c>
    </row>
    <row r="543" spans="1:40" x14ac:dyDescent="0.45">
      <c r="A543">
        <v>36</v>
      </c>
      <c r="B543" t="s">
        <v>37</v>
      </c>
      <c r="C543" t="s">
        <v>49</v>
      </c>
      <c r="D543">
        <v>427</v>
      </c>
      <c r="E543" t="s">
        <v>39</v>
      </c>
      <c r="F543">
        <v>8</v>
      </c>
      <c r="G543">
        <v>3</v>
      </c>
      <c r="H543" t="s">
        <v>33</v>
      </c>
      <c r="I543">
        <v>742</v>
      </c>
      <c r="J543">
        <v>1</v>
      </c>
      <c r="K543" t="s">
        <v>34</v>
      </c>
      <c r="L543">
        <v>4</v>
      </c>
      <c r="M543">
        <v>3</v>
      </c>
      <c r="N543" t="s">
        <v>52</v>
      </c>
      <c r="O543">
        <v>1</v>
      </c>
      <c r="P543" t="s">
        <v>42</v>
      </c>
      <c r="Q543">
        <v>11713</v>
      </c>
      <c r="R543">
        <v>9</v>
      </c>
      <c r="S543" t="s">
        <v>37</v>
      </c>
      <c r="T543">
        <v>14</v>
      </c>
      <c r="U543">
        <v>3</v>
      </c>
      <c r="V543">
        <v>1</v>
      </c>
      <c r="W543">
        <v>1</v>
      </c>
      <c r="X543">
        <v>10</v>
      </c>
      <c r="Y543">
        <v>2</v>
      </c>
      <c r="Z543">
        <v>3</v>
      </c>
      <c r="AA543">
        <v>8</v>
      </c>
      <c r="AB543">
        <v>7</v>
      </c>
      <c r="AC543">
        <v>0</v>
      </c>
      <c r="AD543">
        <v>5</v>
      </c>
      <c r="AE543" t="str" cm="1">
        <f t="array" ref="AE543">_xlfn.IFS(G543=1,"Before College",G543=2,"College",G543=3,"Bachelor",G543=4,"Master",G543=5,"Doctor")</f>
        <v>Bachelor</v>
      </c>
      <c r="AF543" t="str" cm="1">
        <f t="array" ref="AF543">_xlfn.IFS(J543=1,"Low",J543=2,"Medium",J543=3,"High",J543=4,"Very High")</f>
        <v>Low</v>
      </c>
      <c r="AG543" t="str" cm="1">
        <f t="array" ref="AG543">_xlfn.IFS(L543=1,"Low",L543=2,"Medium",L543=3,"High",L543=4,"Very High")</f>
        <v>Very High</v>
      </c>
      <c r="AH543" t="str" cm="1">
        <f t="array" ref="AH543">_xlfn.IFS(M543=1,"Junior employee",M543=2,"Mid-level",M543=3,"Senior",M543=4,"Manager",M543=5,"Executive")</f>
        <v>Senior</v>
      </c>
      <c r="AI543" t="str" cm="1">
        <f t="array" ref="AI543">_xlfn.IFS(O543=1,"Low",O543=2,"Medium",O543=3,"High",O543=4,"Very High")</f>
        <v>Low</v>
      </c>
      <c r="AJ543" t="str" cm="1">
        <f t="array" ref="AJ543">_xlfn.IFS(U543=1,"Low",U543=2,"Good",U543=3,"Excellent",U543=4,"Outstanding")</f>
        <v>Excellent</v>
      </c>
      <c r="AK543" t="str" cm="1">
        <f t="array" ref="AK543">_xlfn.IFS(V543=1,"Low",V543=2,"Medium",V543=3,"High",V543=4,"Very High")</f>
        <v>Low</v>
      </c>
      <c r="AL543" t="str" cm="1">
        <f t="array" ref="AL543">_xlfn.IFS(Z543=1,"Bad",Z543=2,"Good",Z543=3,"Better",Z543=4,"Best")</f>
        <v>Better</v>
      </c>
      <c r="AM543" t="str" cm="1">
        <f t="array" ref="AM543">_xlfn.IFS(W543=0,"No_stock",W543=1,"Low",W543=2,"Medium",W543=3,"High")</f>
        <v>Low</v>
      </c>
      <c r="AN543" t="str">
        <f t="shared" si="8"/>
        <v>Medium</v>
      </c>
    </row>
    <row r="544" spans="1:40" x14ac:dyDescent="0.45">
      <c r="A544">
        <v>38</v>
      </c>
      <c r="B544" t="s">
        <v>37</v>
      </c>
      <c r="C544" t="s">
        <v>31</v>
      </c>
      <c r="D544">
        <v>168</v>
      </c>
      <c r="E544" t="s">
        <v>39</v>
      </c>
      <c r="F544">
        <v>1</v>
      </c>
      <c r="G544">
        <v>3</v>
      </c>
      <c r="H544" t="s">
        <v>33</v>
      </c>
      <c r="I544">
        <v>743</v>
      </c>
      <c r="J544">
        <v>3</v>
      </c>
      <c r="K544" t="s">
        <v>34</v>
      </c>
      <c r="L544">
        <v>3</v>
      </c>
      <c r="M544">
        <v>3</v>
      </c>
      <c r="N544" t="s">
        <v>47</v>
      </c>
      <c r="O544">
        <v>3</v>
      </c>
      <c r="P544" t="s">
        <v>36</v>
      </c>
      <c r="Q544">
        <v>7861</v>
      </c>
      <c r="R544">
        <v>4</v>
      </c>
      <c r="S544" t="s">
        <v>30</v>
      </c>
      <c r="T544">
        <v>14</v>
      </c>
      <c r="U544">
        <v>3</v>
      </c>
      <c r="V544">
        <v>4</v>
      </c>
      <c r="W544">
        <v>0</v>
      </c>
      <c r="X544">
        <v>10</v>
      </c>
      <c r="Y544">
        <v>4</v>
      </c>
      <c r="Z544">
        <v>4</v>
      </c>
      <c r="AA544">
        <v>1</v>
      </c>
      <c r="AB544">
        <v>0</v>
      </c>
      <c r="AC544">
        <v>0</v>
      </c>
      <c r="AD544">
        <v>0</v>
      </c>
      <c r="AE544" t="str" cm="1">
        <f t="array" ref="AE544">_xlfn.IFS(G544=1,"Before College",G544=2,"College",G544=3,"Bachelor",G544=4,"Master",G544=5,"Doctor")</f>
        <v>Bachelor</v>
      </c>
      <c r="AF544" t="str" cm="1">
        <f t="array" ref="AF544">_xlfn.IFS(J544=1,"Low",J544=2,"Medium",J544=3,"High",J544=4,"Very High")</f>
        <v>High</v>
      </c>
      <c r="AG544" t="str" cm="1">
        <f t="array" ref="AG544">_xlfn.IFS(L544=1,"Low",L544=2,"Medium",L544=3,"High",L544=4,"Very High")</f>
        <v>High</v>
      </c>
      <c r="AH544" t="str" cm="1">
        <f t="array" ref="AH544">_xlfn.IFS(M544=1,"Junior employee",M544=2,"Mid-level",M544=3,"Senior",M544=4,"Manager",M544=5,"Executive")</f>
        <v>Senior</v>
      </c>
      <c r="AI544" t="str" cm="1">
        <f t="array" ref="AI544">_xlfn.IFS(O544=1,"Low",O544=2,"Medium",O544=3,"High",O544=4,"Very High")</f>
        <v>High</v>
      </c>
      <c r="AJ544" t="str" cm="1">
        <f t="array" ref="AJ544">_xlfn.IFS(U544=1,"Low",U544=2,"Good",U544=3,"Excellent",U544=4,"Outstanding")</f>
        <v>Excellent</v>
      </c>
      <c r="AK544" t="str" cm="1">
        <f t="array" ref="AK544">_xlfn.IFS(V544=1,"Low",V544=2,"Medium",V544=3,"High",V544=4,"Very High")</f>
        <v>Very High</v>
      </c>
      <c r="AL544" t="str" cm="1">
        <f t="array" ref="AL544">_xlfn.IFS(Z544=1,"Bad",Z544=2,"Good",Z544=3,"Better",Z544=4,"Best")</f>
        <v>Best</v>
      </c>
      <c r="AM544" t="str" cm="1">
        <f t="array" ref="AM544">_xlfn.IFS(W544=0,"No_stock",W544=1,"Low",W544=2,"Medium",W544=3,"High")</f>
        <v>No_stock</v>
      </c>
      <c r="AN544" t="str">
        <f t="shared" si="8"/>
        <v>Near</v>
      </c>
    </row>
    <row r="545" spans="1:40" x14ac:dyDescent="0.45">
      <c r="A545">
        <v>44</v>
      </c>
      <c r="B545" t="s">
        <v>37</v>
      </c>
      <c r="C545" t="s">
        <v>49</v>
      </c>
      <c r="D545">
        <v>381</v>
      </c>
      <c r="E545" t="s">
        <v>39</v>
      </c>
      <c r="F545">
        <v>24</v>
      </c>
      <c r="G545">
        <v>3</v>
      </c>
      <c r="H545" t="s">
        <v>45</v>
      </c>
      <c r="I545">
        <v>744</v>
      </c>
      <c r="J545">
        <v>1</v>
      </c>
      <c r="K545" t="s">
        <v>40</v>
      </c>
      <c r="L545">
        <v>1</v>
      </c>
      <c r="M545">
        <v>1</v>
      </c>
      <c r="N545" t="s">
        <v>44</v>
      </c>
      <c r="O545">
        <v>3</v>
      </c>
      <c r="P545" t="s">
        <v>36</v>
      </c>
      <c r="Q545">
        <v>3708</v>
      </c>
      <c r="R545">
        <v>2</v>
      </c>
      <c r="S545" t="s">
        <v>37</v>
      </c>
      <c r="T545">
        <v>14</v>
      </c>
      <c r="U545">
        <v>3</v>
      </c>
      <c r="V545">
        <v>3</v>
      </c>
      <c r="W545">
        <v>0</v>
      </c>
      <c r="X545">
        <v>9</v>
      </c>
      <c r="Y545">
        <v>5</v>
      </c>
      <c r="Z545">
        <v>3</v>
      </c>
      <c r="AA545">
        <v>5</v>
      </c>
      <c r="AB545">
        <v>2</v>
      </c>
      <c r="AC545">
        <v>1</v>
      </c>
      <c r="AD545">
        <v>4</v>
      </c>
      <c r="AE545" t="str" cm="1">
        <f t="array" ref="AE545">_xlfn.IFS(G545=1,"Before College",G545=2,"College",G545=3,"Bachelor",G545=4,"Master",G545=5,"Doctor")</f>
        <v>Bachelor</v>
      </c>
      <c r="AF545" t="str" cm="1">
        <f t="array" ref="AF545">_xlfn.IFS(J545=1,"Low",J545=2,"Medium",J545=3,"High",J545=4,"Very High")</f>
        <v>Low</v>
      </c>
      <c r="AG545" t="str" cm="1">
        <f t="array" ref="AG545">_xlfn.IFS(L545=1,"Low",L545=2,"Medium",L545=3,"High",L545=4,"Very High")</f>
        <v>Low</v>
      </c>
      <c r="AH545" t="str" cm="1">
        <f t="array" ref="AH545">_xlfn.IFS(M545=1,"Junior employee",M545=2,"Mid-level",M545=3,"Senior",M545=4,"Manager",M545=5,"Executive")</f>
        <v>Junior employee</v>
      </c>
      <c r="AI545" t="str" cm="1">
        <f t="array" ref="AI545">_xlfn.IFS(O545=1,"Low",O545=2,"Medium",O545=3,"High",O545=4,"Very High")</f>
        <v>High</v>
      </c>
      <c r="AJ545" t="str" cm="1">
        <f t="array" ref="AJ545">_xlfn.IFS(U545=1,"Low",U545=2,"Good",U545=3,"Excellent",U545=4,"Outstanding")</f>
        <v>Excellent</v>
      </c>
      <c r="AK545" t="str" cm="1">
        <f t="array" ref="AK545">_xlfn.IFS(V545=1,"Low",V545=2,"Medium",V545=3,"High",V545=4,"Very High")</f>
        <v>High</v>
      </c>
      <c r="AL545" t="str" cm="1">
        <f t="array" ref="AL545">_xlfn.IFS(Z545=1,"Bad",Z545=2,"Good",Z545=3,"Better",Z545=4,"Best")</f>
        <v>Better</v>
      </c>
      <c r="AM545" t="str" cm="1">
        <f t="array" ref="AM545">_xlfn.IFS(W545=0,"No_stock",W545=1,"Low",W545=2,"Medium",W545=3,"High")</f>
        <v>No_stock</v>
      </c>
      <c r="AN545" t="str">
        <f t="shared" si="8"/>
        <v>Far</v>
      </c>
    </row>
    <row r="546" spans="1:40" x14ac:dyDescent="0.45">
      <c r="A546">
        <v>47</v>
      </c>
      <c r="B546" t="s">
        <v>37</v>
      </c>
      <c r="C546" t="s">
        <v>38</v>
      </c>
      <c r="D546">
        <v>217</v>
      </c>
      <c r="E546" t="s">
        <v>32</v>
      </c>
      <c r="F546">
        <v>3</v>
      </c>
      <c r="G546">
        <v>3</v>
      </c>
      <c r="H546" t="s">
        <v>45</v>
      </c>
      <c r="I546">
        <v>746</v>
      </c>
      <c r="J546">
        <v>4</v>
      </c>
      <c r="K546" t="s">
        <v>34</v>
      </c>
      <c r="L546">
        <v>3</v>
      </c>
      <c r="M546">
        <v>4</v>
      </c>
      <c r="N546" t="s">
        <v>35</v>
      </c>
      <c r="O546">
        <v>3</v>
      </c>
      <c r="P546" t="s">
        <v>46</v>
      </c>
      <c r="Q546">
        <v>13770</v>
      </c>
      <c r="R546">
        <v>9</v>
      </c>
      <c r="S546" t="s">
        <v>30</v>
      </c>
      <c r="T546">
        <v>12</v>
      </c>
      <c r="U546">
        <v>3</v>
      </c>
      <c r="V546">
        <v>4</v>
      </c>
      <c r="W546">
        <v>2</v>
      </c>
      <c r="X546">
        <v>28</v>
      </c>
      <c r="Y546">
        <v>2</v>
      </c>
      <c r="Z546">
        <v>2</v>
      </c>
      <c r="AA546">
        <v>22</v>
      </c>
      <c r="AB546">
        <v>2</v>
      </c>
      <c r="AC546">
        <v>11</v>
      </c>
      <c r="AD546">
        <v>13</v>
      </c>
      <c r="AE546" t="str" cm="1">
        <f t="array" ref="AE546">_xlfn.IFS(G546=1,"Before College",G546=2,"College",G546=3,"Bachelor",G546=4,"Master",G546=5,"Doctor")</f>
        <v>Bachelor</v>
      </c>
      <c r="AF546" t="str" cm="1">
        <f t="array" ref="AF546">_xlfn.IFS(J546=1,"Low",J546=2,"Medium",J546=3,"High",J546=4,"Very High")</f>
        <v>Very High</v>
      </c>
      <c r="AG546" t="str" cm="1">
        <f t="array" ref="AG546">_xlfn.IFS(L546=1,"Low",L546=2,"Medium",L546=3,"High",L546=4,"Very High")</f>
        <v>High</v>
      </c>
      <c r="AH546" t="str" cm="1">
        <f t="array" ref="AH546">_xlfn.IFS(M546=1,"Junior employee",M546=2,"Mid-level",M546=3,"Senior",M546=4,"Manager",M546=5,"Executive")</f>
        <v>Manager</v>
      </c>
      <c r="AI546" t="str" cm="1">
        <f t="array" ref="AI546">_xlfn.IFS(O546=1,"Low",O546=2,"Medium",O546=3,"High",O546=4,"Very High")</f>
        <v>High</v>
      </c>
      <c r="AJ546" t="str" cm="1">
        <f t="array" ref="AJ546">_xlfn.IFS(U546=1,"Low",U546=2,"Good",U546=3,"Excellent",U546=4,"Outstanding")</f>
        <v>Excellent</v>
      </c>
      <c r="AK546" t="str" cm="1">
        <f t="array" ref="AK546">_xlfn.IFS(V546=1,"Low",V546=2,"Medium",V546=3,"High",V546=4,"Very High")</f>
        <v>Very High</v>
      </c>
      <c r="AL546" t="str" cm="1">
        <f t="array" ref="AL546">_xlfn.IFS(Z546=1,"Bad",Z546=2,"Good",Z546=3,"Better",Z546=4,"Best")</f>
        <v>Good</v>
      </c>
      <c r="AM546" t="str" cm="1">
        <f t="array" ref="AM546">_xlfn.IFS(W546=0,"No_stock",W546=1,"Low",W546=2,"Medium",W546=3,"High")</f>
        <v>Medium</v>
      </c>
      <c r="AN546" t="str">
        <f t="shared" si="8"/>
        <v>Near</v>
      </c>
    </row>
    <row r="547" spans="1:40" x14ac:dyDescent="0.45">
      <c r="A547">
        <v>30</v>
      </c>
      <c r="B547" t="s">
        <v>37</v>
      </c>
      <c r="C547" t="s">
        <v>31</v>
      </c>
      <c r="D547">
        <v>501</v>
      </c>
      <c r="E547" t="s">
        <v>32</v>
      </c>
      <c r="F547">
        <v>27</v>
      </c>
      <c r="G547">
        <v>5</v>
      </c>
      <c r="H547" t="s">
        <v>53</v>
      </c>
      <c r="I547">
        <v>747</v>
      </c>
      <c r="J547">
        <v>3</v>
      </c>
      <c r="K547" t="s">
        <v>40</v>
      </c>
      <c r="L547">
        <v>3</v>
      </c>
      <c r="M547">
        <v>2</v>
      </c>
      <c r="N547" t="s">
        <v>35</v>
      </c>
      <c r="O547">
        <v>4</v>
      </c>
      <c r="P547" t="s">
        <v>46</v>
      </c>
      <c r="Q547">
        <v>5304</v>
      </c>
      <c r="R547">
        <v>7</v>
      </c>
      <c r="S547" t="s">
        <v>37</v>
      </c>
      <c r="T547">
        <v>23</v>
      </c>
      <c r="U547">
        <v>4</v>
      </c>
      <c r="V547">
        <v>4</v>
      </c>
      <c r="W547">
        <v>1</v>
      </c>
      <c r="X547">
        <v>10</v>
      </c>
      <c r="Y547">
        <v>2</v>
      </c>
      <c r="Z547">
        <v>2</v>
      </c>
      <c r="AA547">
        <v>8</v>
      </c>
      <c r="AB547">
        <v>7</v>
      </c>
      <c r="AC547">
        <v>7</v>
      </c>
      <c r="AD547">
        <v>7</v>
      </c>
      <c r="AE547" t="str" cm="1">
        <f t="array" ref="AE547">_xlfn.IFS(G547=1,"Before College",G547=2,"College",G547=3,"Bachelor",G547=4,"Master",G547=5,"Doctor")</f>
        <v>Doctor</v>
      </c>
      <c r="AF547" t="str" cm="1">
        <f t="array" ref="AF547">_xlfn.IFS(J547=1,"Low",J547=2,"Medium",J547=3,"High",J547=4,"Very High")</f>
        <v>High</v>
      </c>
      <c r="AG547" t="str" cm="1">
        <f t="array" ref="AG547">_xlfn.IFS(L547=1,"Low",L547=2,"Medium",L547=3,"High",L547=4,"Very High")</f>
        <v>High</v>
      </c>
      <c r="AH547" t="str" cm="1">
        <f t="array" ref="AH547">_xlfn.IFS(M547=1,"Junior employee",M547=2,"Mid-level",M547=3,"Senior",M547=4,"Manager",M547=5,"Executive")</f>
        <v>Mid-level</v>
      </c>
      <c r="AI547" t="str" cm="1">
        <f t="array" ref="AI547">_xlfn.IFS(O547=1,"Low",O547=2,"Medium",O547=3,"High",O547=4,"Very High")</f>
        <v>Very High</v>
      </c>
      <c r="AJ547" t="str" cm="1">
        <f t="array" ref="AJ547">_xlfn.IFS(U547=1,"Low",U547=2,"Good",U547=3,"Excellent",U547=4,"Outstanding")</f>
        <v>Outstanding</v>
      </c>
      <c r="AK547" t="str" cm="1">
        <f t="array" ref="AK547">_xlfn.IFS(V547=1,"Low",V547=2,"Medium",V547=3,"High",V547=4,"Very High")</f>
        <v>Very High</v>
      </c>
      <c r="AL547" t="str" cm="1">
        <f t="array" ref="AL547">_xlfn.IFS(Z547=1,"Bad",Z547=2,"Good",Z547=3,"Better",Z547=4,"Best")</f>
        <v>Good</v>
      </c>
      <c r="AM547" t="str" cm="1">
        <f t="array" ref="AM547">_xlfn.IFS(W547=0,"No_stock",W547=1,"Low",W547=2,"Medium",W547=3,"High")</f>
        <v>Low</v>
      </c>
      <c r="AN547" t="str">
        <f t="shared" si="8"/>
        <v>Far</v>
      </c>
    </row>
    <row r="548" spans="1:40" x14ac:dyDescent="0.45">
      <c r="A548">
        <v>29</v>
      </c>
      <c r="B548" t="s">
        <v>37</v>
      </c>
      <c r="C548" t="s">
        <v>31</v>
      </c>
      <c r="D548">
        <v>1396</v>
      </c>
      <c r="E548" t="s">
        <v>32</v>
      </c>
      <c r="F548">
        <v>10</v>
      </c>
      <c r="G548">
        <v>3</v>
      </c>
      <c r="H548" t="s">
        <v>33</v>
      </c>
      <c r="I548">
        <v>749</v>
      </c>
      <c r="J548">
        <v>3</v>
      </c>
      <c r="K548" t="s">
        <v>40</v>
      </c>
      <c r="L548">
        <v>3</v>
      </c>
      <c r="M548">
        <v>1</v>
      </c>
      <c r="N548" t="s">
        <v>51</v>
      </c>
      <c r="O548">
        <v>3</v>
      </c>
      <c r="P548" t="s">
        <v>36</v>
      </c>
      <c r="Q548">
        <v>2642</v>
      </c>
      <c r="R548">
        <v>1</v>
      </c>
      <c r="S548" t="s">
        <v>37</v>
      </c>
      <c r="T548">
        <v>11</v>
      </c>
      <c r="U548">
        <v>3</v>
      </c>
      <c r="V548">
        <v>3</v>
      </c>
      <c r="W548">
        <v>0</v>
      </c>
      <c r="X548">
        <v>1</v>
      </c>
      <c r="Y548">
        <v>6</v>
      </c>
      <c r="Z548">
        <v>3</v>
      </c>
      <c r="AA548">
        <v>1</v>
      </c>
      <c r="AB548">
        <v>0</v>
      </c>
      <c r="AC548">
        <v>0</v>
      </c>
      <c r="AD548">
        <v>0</v>
      </c>
      <c r="AE548" t="str" cm="1">
        <f t="array" ref="AE548">_xlfn.IFS(G548=1,"Before College",G548=2,"College",G548=3,"Bachelor",G548=4,"Master",G548=5,"Doctor")</f>
        <v>Bachelor</v>
      </c>
      <c r="AF548" t="str" cm="1">
        <f t="array" ref="AF548">_xlfn.IFS(J548=1,"Low",J548=2,"Medium",J548=3,"High",J548=4,"Very High")</f>
        <v>High</v>
      </c>
      <c r="AG548" t="str" cm="1">
        <f t="array" ref="AG548">_xlfn.IFS(L548=1,"Low",L548=2,"Medium",L548=3,"High",L548=4,"Very High")</f>
        <v>High</v>
      </c>
      <c r="AH548" t="str" cm="1">
        <f t="array" ref="AH548">_xlfn.IFS(M548=1,"Junior employee",M548=2,"Mid-level",M548=3,"Senior",M548=4,"Manager",M548=5,"Executive")</f>
        <v>Junior employee</v>
      </c>
      <c r="AI548" t="str" cm="1">
        <f t="array" ref="AI548">_xlfn.IFS(O548=1,"Low",O548=2,"Medium",O548=3,"High",O548=4,"Very High")</f>
        <v>High</v>
      </c>
      <c r="AJ548" t="str" cm="1">
        <f t="array" ref="AJ548">_xlfn.IFS(U548=1,"Low",U548=2,"Good",U548=3,"Excellent",U548=4,"Outstanding")</f>
        <v>Excellent</v>
      </c>
      <c r="AK548" t="str" cm="1">
        <f t="array" ref="AK548">_xlfn.IFS(V548=1,"Low",V548=2,"Medium",V548=3,"High",V548=4,"Very High")</f>
        <v>High</v>
      </c>
      <c r="AL548" t="str" cm="1">
        <f t="array" ref="AL548">_xlfn.IFS(Z548=1,"Bad",Z548=2,"Good",Z548=3,"Better",Z548=4,"Best")</f>
        <v>Better</v>
      </c>
      <c r="AM548" t="str" cm="1">
        <f t="array" ref="AM548">_xlfn.IFS(W548=0,"No_stock",W548=1,"Low",W548=2,"Medium",W548=3,"High")</f>
        <v>No_stock</v>
      </c>
      <c r="AN548" t="str">
        <f t="shared" si="8"/>
        <v>Medium</v>
      </c>
    </row>
    <row r="549" spans="1:40" x14ac:dyDescent="0.45">
      <c r="A549">
        <v>42</v>
      </c>
      <c r="B549" t="s">
        <v>30</v>
      </c>
      <c r="C549" t="s">
        <v>38</v>
      </c>
      <c r="D549">
        <v>933</v>
      </c>
      <c r="E549" t="s">
        <v>39</v>
      </c>
      <c r="F549">
        <v>19</v>
      </c>
      <c r="G549">
        <v>3</v>
      </c>
      <c r="H549" t="s">
        <v>45</v>
      </c>
      <c r="I549">
        <v>752</v>
      </c>
      <c r="J549">
        <v>3</v>
      </c>
      <c r="K549" t="s">
        <v>40</v>
      </c>
      <c r="L549">
        <v>4</v>
      </c>
      <c r="M549">
        <v>1</v>
      </c>
      <c r="N549" t="s">
        <v>41</v>
      </c>
      <c r="O549">
        <v>3</v>
      </c>
      <c r="P549" t="s">
        <v>46</v>
      </c>
      <c r="Q549">
        <v>2759</v>
      </c>
      <c r="R549">
        <v>6</v>
      </c>
      <c r="S549" t="s">
        <v>30</v>
      </c>
      <c r="T549">
        <v>12</v>
      </c>
      <c r="U549">
        <v>3</v>
      </c>
      <c r="V549">
        <v>4</v>
      </c>
      <c r="W549">
        <v>0</v>
      </c>
      <c r="X549">
        <v>7</v>
      </c>
      <c r="Y549">
        <v>2</v>
      </c>
      <c r="Z549">
        <v>3</v>
      </c>
      <c r="AA549">
        <v>2</v>
      </c>
      <c r="AB549">
        <v>2</v>
      </c>
      <c r="AC549">
        <v>2</v>
      </c>
      <c r="AD549">
        <v>2</v>
      </c>
      <c r="AE549" t="str" cm="1">
        <f t="array" ref="AE549">_xlfn.IFS(G549=1,"Before College",G549=2,"College",G549=3,"Bachelor",G549=4,"Master",G549=5,"Doctor")</f>
        <v>Bachelor</v>
      </c>
      <c r="AF549" t="str" cm="1">
        <f t="array" ref="AF549">_xlfn.IFS(J549=1,"Low",J549=2,"Medium",J549=3,"High",J549=4,"Very High")</f>
        <v>High</v>
      </c>
      <c r="AG549" t="str" cm="1">
        <f t="array" ref="AG549">_xlfn.IFS(L549=1,"Low",L549=2,"Medium",L549=3,"High",L549=4,"Very High")</f>
        <v>Very High</v>
      </c>
      <c r="AH549" t="str" cm="1">
        <f t="array" ref="AH549">_xlfn.IFS(M549=1,"Junior employee",M549=2,"Mid-level",M549=3,"Senior",M549=4,"Manager",M549=5,"Executive")</f>
        <v>Junior employee</v>
      </c>
      <c r="AI549" t="str" cm="1">
        <f t="array" ref="AI549">_xlfn.IFS(O549=1,"Low",O549=2,"Medium",O549=3,"High",O549=4,"Very High")</f>
        <v>High</v>
      </c>
      <c r="AJ549" t="str" cm="1">
        <f t="array" ref="AJ549">_xlfn.IFS(U549=1,"Low",U549=2,"Good",U549=3,"Excellent",U549=4,"Outstanding")</f>
        <v>Excellent</v>
      </c>
      <c r="AK549" t="str" cm="1">
        <f t="array" ref="AK549">_xlfn.IFS(V549=1,"Low",V549=2,"Medium",V549=3,"High",V549=4,"Very High")</f>
        <v>Very High</v>
      </c>
      <c r="AL549" t="str" cm="1">
        <f t="array" ref="AL549">_xlfn.IFS(Z549=1,"Bad",Z549=2,"Good",Z549=3,"Better",Z549=4,"Best")</f>
        <v>Better</v>
      </c>
      <c r="AM549" t="str" cm="1">
        <f t="array" ref="AM549">_xlfn.IFS(W549=0,"No_stock",W549=1,"Low",W549=2,"Medium",W549=3,"High")</f>
        <v>No_stock</v>
      </c>
      <c r="AN549" t="str">
        <f t="shared" si="8"/>
        <v>Far</v>
      </c>
    </row>
    <row r="550" spans="1:40" x14ac:dyDescent="0.45">
      <c r="A550">
        <v>43</v>
      </c>
      <c r="B550" t="s">
        <v>37</v>
      </c>
      <c r="C550" t="s">
        <v>38</v>
      </c>
      <c r="D550">
        <v>775</v>
      </c>
      <c r="E550" t="s">
        <v>32</v>
      </c>
      <c r="F550">
        <v>15</v>
      </c>
      <c r="G550">
        <v>3</v>
      </c>
      <c r="H550" t="s">
        <v>33</v>
      </c>
      <c r="I550">
        <v>754</v>
      </c>
      <c r="J550">
        <v>4</v>
      </c>
      <c r="K550" t="s">
        <v>40</v>
      </c>
      <c r="L550">
        <v>2</v>
      </c>
      <c r="M550">
        <v>2</v>
      </c>
      <c r="N550" t="s">
        <v>35</v>
      </c>
      <c r="O550">
        <v>4</v>
      </c>
      <c r="P550" t="s">
        <v>42</v>
      </c>
      <c r="Q550">
        <v>6804</v>
      </c>
      <c r="R550">
        <v>3</v>
      </c>
      <c r="S550" t="s">
        <v>37</v>
      </c>
      <c r="T550">
        <v>18</v>
      </c>
      <c r="U550">
        <v>3</v>
      </c>
      <c r="V550">
        <v>3</v>
      </c>
      <c r="W550">
        <v>1</v>
      </c>
      <c r="X550">
        <v>7</v>
      </c>
      <c r="Y550">
        <v>5</v>
      </c>
      <c r="Z550">
        <v>3</v>
      </c>
      <c r="AA550">
        <v>2</v>
      </c>
      <c r="AB550">
        <v>2</v>
      </c>
      <c r="AC550">
        <v>2</v>
      </c>
      <c r="AD550">
        <v>2</v>
      </c>
      <c r="AE550" t="str" cm="1">
        <f t="array" ref="AE550">_xlfn.IFS(G550=1,"Before College",G550=2,"College",G550=3,"Bachelor",G550=4,"Master",G550=5,"Doctor")</f>
        <v>Bachelor</v>
      </c>
      <c r="AF550" t="str" cm="1">
        <f t="array" ref="AF550">_xlfn.IFS(J550=1,"Low",J550=2,"Medium",J550=3,"High",J550=4,"Very High")</f>
        <v>Very High</v>
      </c>
      <c r="AG550" t="str" cm="1">
        <f t="array" ref="AG550">_xlfn.IFS(L550=1,"Low",L550=2,"Medium",L550=3,"High",L550=4,"Very High")</f>
        <v>Medium</v>
      </c>
      <c r="AH550" t="str" cm="1">
        <f t="array" ref="AH550">_xlfn.IFS(M550=1,"Junior employee",M550=2,"Mid-level",M550=3,"Senior",M550=4,"Manager",M550=5,"Executive")</f>
        <v>Mid-level</v>
      </c>
      <c r="AI550" t="str" cm="1">
        <f t="array" ref="AI550">_xlfn.IFS(O550=1,"Low",O550=2,"Medium",O550=3,"High",O550=4,"Very High")</f>
        <v>Very High</v>
      </c>
      <c r="AJ550" t="str" cm="1">
        <f t="array" ref="AJ550">_xlfn.IFS(U550=1,"Low",U550=2,"Good",U550=3,"Excellent",U550=4,"Outstanding")</f>
        <v>Excellent</v>
      </c>
      <c r="AK550" t="str" cm="1">
        <f t="array" ref="AK550">_xlfn.IFS(V550=1,"Low",V550=2,"Medium",V550=3,"High",V550=4,"Very High")</f>
        <v>High</v>
      </c>
      <c r="AL550" t="str" cm="1">
        <f t="array" ref="AL550">_xlfn.IFS(Z550=1,"Bad",Z550=2,"Good",Z550=3,"Better",Z550=4,"Best")</f>
        <v>Better</v>
      </c>
      <c r="AM550" t="str" cm="1">
        <f t="array" ref="AM550">_xlfn.IFS(W550=0,"No_stock",W550=1,"Low",W550=2,"Medium",W550=3,"High")</f>
        <v>Low</v>
      </c>
      <c r="AN550" t="str">
        <f t="shared" si="8"/>
        <v>Medium</v>
      </c>
    </row>
    <row r="551" spans="1:40" x14ac:dyDescent="0.45">
      <c r="A551">
        <v>34</v>
      </c>
      <c r="B551" t="s">
        <v>37</v>
      </c>
      <c r="C551" t="s">
        <v>31</v>
      </c>
      <c r="D551">
        <v>970</v>
      </c>
      <c r="E551" t="s">
        <v>39</v>
      </c>
      <c r="F551">
        <v>8</v>
      </c>
      <c r="G551">
        <v>2</v>
      </c>
      <c r="H551" t="s">
        <v>45</v>
      </c>
      <c r="I551">
        <v>757</v>
      </c>
      <c r="J551">
        <v>2</v>
      </c>
      <c r="K551" t="s">
        <v>34</v>
      </c>
      <c r="L551">
        <v>3</v>
      </c>
      <c r="M551">
        <v>2</v>
      </c>
      <c r="N551" t="s">
        <v>48</v>
      </c>
      <c r="O551">
        <v>3</v>
      </c>
      <c r="P551" t="s">
        <v>36</v>
      </c>
      <c r="Q551">
        <v>6142</v>
      </c>
      <c r="R551">
        <v>3</v>
      </c>
      <c r="S551" t="s">
        <v>37</v>
      </c>
      <c r="T551">
        <v>11</v>
      </c>
      <c r="U551">
        <v>3</v>
      </c>
      <c r="V551">
        <v>4</v>
      </c>
      <c r="W551">
        <v>0</v>
      </c>
      <c r="X551">
        <v>10</v>
      </c>
      <c r="Y551">
        <v>2</v>
      </c>
      <c r="Z551">
        <v>3</v>
      </c>
      <c r="AA551">
        <v>5</v>
      </c>
      <c r="AB551">
        <v>1</v>
      </c>
      <c r="AC551">
        <v>4</v>
      </c>
      <c r="AD551">
        <v>3</v>
      </c>
      <c r="AE551" t="str" cm="1">
        <f t="array" ref="AE551">_xlfn.IFS(G551=1,"Before College",G551=2,"College",G551=3,"Bachelor",G551=4,"Master",G551=5,"Doctor")</f>
        <v>College</v>
      </c>
      <c r="AF551" t="str" cm="1">
        <f t="array" ref="AF551">_xlfn.IFS(J551=1,"Low",J551=2,"Medium",J551=3,"High",J551=4,"Very High")</f>
        <v>Medium</v>
      </c>
      <c r="AG551" t="str" cm="1">
        <f t="array" ref="AG551">_xlfn.IFS(L551=1,"Low",L551=2,"Medium",L551=3,"High",L551=4,"Very High")</f>
        <v>High</v>
      </c>
      <c r="AH551" t="str" cm="1">
        <f t="array" ref="AH551">_xlfn.IFS(M551=1,"Junior employee",M551=2,"Mid-level",M551=3,"Senior",M551=4,"Manager",M551=5,"Executive")</f>
        <v>Mid-level</v>
      </c>
      <c r="AI551" t="str" cm="1">
        <f t="array" ref="AI551">_xlfn.IFS(O551=1,"Low",O551=2,"Medium",O551=3,"High",O551=4,"Very High")</f>
        <v>High</v>
      </c>
      <c r="AJ551" t="str" cm="1">
        <f t="array" ref="AJ551">_xlfn.IFS(U551=1,"Low",U551=2,"Good",U551=3,"Excellent",U551=4,"Outstanding")</f>
        <v>Excellent</v>
      </c>
      <c r="AK551" t="str" cm="1">
        <f t="array" ref="AK551">_xlfn.IFS(V551=1,"Low",V551=2,"Medium",V551=3,"High",V551=4,"Very High")</f>
        <v>Very High</v>
      </c>
      <c r="AL551" t="str" cm="1">
        <f t="array" ref="AL551">_xlfn.IFS(Z551=1,"Bad",Z551=2,"Good",Z551=3,"Better",Z551=4,"Best")</f>
        <v>Better</v>
      </c>
      <c r="AM551" t="str" cm="1">
        <f t="array" ref="AM551">_xlfn.IFS(W551=0,"No_stock",W551=1,"Low",W551=2,"Medium",W551=3,"High")</f>
        <v>No_stock</v>
      </c>
      <c r="AN551" t="str">
        <f t="shared" si="8"/>
        <v>Medium</v>
      </c>
    </row>
    <row r="552" spans="1:40" x14ac:dyDescent="0.45">
      <c r="A552">
        <v>23</v>
      </c>
      <c r="B552" t="s">
        <v>37</v>
      </c>
      <c r="C552" t="s">
        <v>31</v>
      </c>
      <c r="D552">
        <v>650</v>
      </c>
      <c r="E552" t="s">
        <v>39</v>
      </c>
      <c r="F552">
        <v>9</v>
      </c>
      <c r="G552">
        <v>1</v>
      </c>
      <c r="H552" t="s">
        <v>45</v>
      </c>
      <c r="I552">
        <v>758</v>
      </c>
      <c r="J552">
        <v>2</v>
      </c>
      <c r="K552" t="s">
        <v>40</v>
      </c>
      <c r="L552">
        <v>3</v>
      </c>
      <c r="M552">
        <v>1</v>
      </c>
      <c r="N552" t="s">
        <v>44</v>
      </c>
      <c r="O552">
        <v>1</v>
      </c>
      <c r="P552" t="s">
        <v>42</v>
      </c>
      <c r="Q552">
        <v>2500</v>
      </c>
      <c r="R552">
        <v>1</v>
      </c>
      <c r="S552" t="s">
        <v>37</v>
      </c>
      <c r="T552">
        <v>14</v>
      </c>
      <c r="U552">
        <v>3</v>
      </c>
      <c r="V552">
        <v>4</v>
      </c>
      <c r="W552">
        <v>1</v>
      </c>
      <c r="X552">
        <v>5</v>
      </c>
      <c r="Y552">
        <v>2</v>
      </c>
      <c r="Z552">
        <v>4</v>
      </c>
      <c r="AA552">
        <v>4</v>
      </c>
      <c r="AB552">
        <v>3</v>
      </c>
      <c r="AC552">
        <v>0</v>
      </c>
      <c r="AD552">
        <v>2</v>
      </c>
      <c r="AE552" t="str" cm="1">
        <f t="array" ref="AE552">_xlfn.IFS(G552=1,"Before College",G552=2,"College",G552=3,"Bachelor",G552=4,"Master",G552=5,"Doctor")</f>
        <v>Before College</v>
      </c>
      <c r="AF552" t="str" cm="1">
        <f t="array" ref="AF552">_xlfn.IFS(J552=1,"Low",J552=2,"Medium",J552=3,"High",J552=4,"Very High")</f>
        <v>Medium</v>
      </c>
      <c r="AG552" t="str" cm="1">
        <f t="array" ref="AG552">_xlfn.IFS(L552=1,"Low",L552=2,"Medium",L552=3,"High",L552=4,"Very High")</f>
        <v>High</v>
      </c>
      <c r="AH552" t="str" cm="1">
        <f t="array" ref="AH552">_xlfn.IFS(M552=1,"Junior employee",M552=2,"Mid-level",M552=3,"Senior",M552=4,"Manager",M552=5,"Executive")</f>
        <v>Junior employee</v>
      </c>
      <c r="AI552" t="str" cm="1">
        <f t="array" ref="AI552">_xlfn.IFS(O552=1,"Low",O552=2,"Medium",O552=3,"High",O552=4,"Very High")</f>
        <v>Low</v>
      </c>
      <c r="AJ552" t="str" cm="1">
        <f t="array" ref="AJ552">_xlfn.IFS(U552=1,"Low",U552=2,"Good",U552=3,"Excellent",U552=4,"Outstanding")</f>
        <v>Excellent</v>
      </c>
      <c r="AK552" t="str" cm="1">
        <f t="array" ref="AK552">_xlfn.IFS(V552=1,"Low",V552=2,"Medium",V552=3,"High",V552=4,"Very High")</f>
        <v>Very High</v>
      </c>
      <c r="AL552" t="str" cm="1">
        <f t="array" ref="AL552">_xlfn.IFS(Z552=1,"Bad",Z552=2,"Good",Z552=3,"Better",Z552=4,"Best")</f>
        <v>Best</v>
      </c>
      <c r="AM552" t="str" cm="1">
        <f t="array" ref="AM552">_xlfn.IFS(W552=0,"No_stock",W552=1,"Low",W552=2,"Medium",W552=3,"High")</f>
        <v>Low</v>
      </c>
      <c r="AN552" t="str">
        <f t="shared" si="8"/>
        <v>Medium</v>
      </c>
    </row>
    <row r="553" spans="1:40" x14ac:dyDescent="0.45">
      <c r="A553">
        <v>39</v>
      </c>
      <c r="B553" t="s">
        <v>37</v>
      </c>
      <c r="C553" t="s">
        <v>31</v>
      </c>
      <c r="D553">
        <v>141</v>
      </c>
      <c r="E553" t="s">
        <v>55</v>
      </c>
      <c r="F553">
        <v>3</v>
      </c>
      <c r="G553">
        <v>3</v>
      </c>
      <c r="H553" t="s">
        <v>55</v>
      </c>
      <c r="I553">
        <v>760</v>
      </c>
      <c r="J553">
        <v>3</v>
      </c>
      <c r="K553" t="s">
        <v>34</v>
      </c>
      <c r="L553">
        <v>4</v>
      </c>
      <c r="M553">
        <v>2</v>
      </c>
      <c r="N553" t="s">
        <v>55</v>
      </c>
      <c r="O553">
        <v>2</v>
      </c>
      <c r="P553" t="s">
        <v>42</v>
      </c>
      <c r="Q553">
        <v>6389</v>
      </c>
      <c r="R553">
        <v>9</v>
      </c>
      <c r="S553" t="s">
        <v>37</v>
      </c>
      <c r="T553">
        <v>15</v>
      </c>
      <c r="U553">
        <v>3</v>
      </c>
      <c r="V553">
        <v>3</v>
      </c>
      <c r="W553">
        <v>1</v>
      </c>
      <c r="X553">
        <v>12</v>
      </c>
      <c r="Y553">
        <v>3</v>
      </c>
      <c r="Z553">
        <v>1</v>
      </c>
      <c r="AA553">
        <v>8</v>
      </c>
      <c r="AB553">
        <v>3</v>
      </c>
      <c r="AC553">
        <v>3</v>
      </c>
      <c r="AD553">
        <v>6</v>
      </c>
      <c r="AE553" t="str" cm="1">
        <f t="array" ref="AE553">_xlfn.IFS(G553=1,"Before College",G553=2,"College",G553=3,"Bachelor",G553=4,"Master",G553=5,"Doctor")</f>
        <v>Bachelor</v>
      </c>
      <c r="AF553" t="str" cm="1">
        <f t="array" ref="AF553">_xlfn.IFS(J553=1,"Low",J553=2,"Medium",J553=3,"High",J553=4,"Very High")</f>
        <v>High</v>
      </c>
      <c r="AG553" t="str" cm="1">
        <f t="array" ref="AG553">_xlfn.IFS(L553=1,"Low",L553=2,"Medium",L553=3,"High",L553=4,"Very High")</f>
        <v>Very High</v>
      </c>
      <c r="AH553" t="str" cm="1">
        <f t="array" ref="AH553">_xlfn.IFS(M553=1,"Junior employee",M553=2,"Mid-level",M553=3,"Senior",M553=4,"Manager",M553=5,"Executive")</f>
        <v>Mid-level</v>
      </c>
      <c r="AI553" t="str" cm="1">
        <f t="array" ref="AI553">_xlfn.IFS(O553=1,"Low",O553=2,"Medium",O553=3,"High",O553=4,"Very High")</f>
        <v>Medium</v>
      </c>
      <c r="AJ553" t="str" cm="1">
        <f t="array" ref="AJ553">_xlfn.IFS(U553=1,"Low",U553=2,"Good",U553=3,"Excellent",U553=4,"Outstanding")</f>
        <v>Excellent</v>
      </c>
      <c r="AK553" t="str" cm="1">
        <f t="array" ref="AK553">_xlfn.IFS(V553=1,"Low",V553=2,"Medium",V553=3,"High",V553=4,"Very High")</f>
        <v>High</v>
      </c>
      <c r="AL553" t="str" cm="1">
        <f t="array" ref="AL553">_xlfn.IFS(Z553=1,"Bad",Z553=2,"Good",Z553=3,"Better",Z553=4,"Best")</f>
        <v>Bad</v>
      </c>
      <c r="AM553" t="str" cm="1">
        <f t="array" ref="AM553">_xlfn.IFS(W553=0,"No_stock",W553=1,"Low",W553=2,"Medium",W553=3,"High")</f>
        <v>Low</v>
      </c>
      <c r="AN553" t="str">
        <f t="shared" si="8"/>
        <v>Near</v>
      </c>
    </row>
    <row r="554" spans="1:40" x14ac:dyDescent="0.45">
      <c r="A554">
        <v>56</v>
      </c>
      <c r="B554" t="s">
        <v>37</v>
      </c>
      <c r="C554" t="s">
        <v>31</v>
      </c>
      <c r="D554">
        <v>832</v>
      </c>
      <c r="E554" t="s">
        <v>39</v>
      </c>
      <c r="F554">
        <v>9</v>
      </c>
      <c r="G554">
        <v>3</v>
      </c>
      <c r="H554" t="s">
        <v>45</v>
      </c>
      <c r="I554">
        <v>762</v>
      </c>
      <c r="J554">
        <v>3</v>
      </c>
      <c r="K554" t="s">
        <v>40</v>
      </c>
      <c r="L554">
        <v>3</v>
      </c>
      <c r="M554">
        <v>4</v>
      </c>
      <c r="N554" t="s">
        <v>48</v>
      </c>
      <c r="O554">
        <v>4</v>
      </c>
      <c r="P554" t="s">
        <v>42</v>
      </c>
      <c r="Q554">
        <v>11103</v>
      </c>
      <c r="R554">
        <v>7</v>
      </c>
      <c r="S554" t="s">
        <v>37</v>
      </c>
      <c r="T554">
        <v>11</v>
      </c>
      <c r="U554">
        <v>3</v>
      </c>
      <c r="V554">
        <v>3</v>
      </c>
      <c r="W554">
        <v>0</v>
      </c>
      <c r="X554">
        <v>30</v>
      </c>
      <c r="Y554">
        <v>1</v>
      </c>
      <c r="Z554">
        <v>2</v>
      </c>
      <c r="AA554">
        <v>10</v>
      </c>
      <c r="AB554">
        <v>7</v>
      </c>
      <c r="AC554">
        <v>1</v>
      </c>
      <c r="AD554">
        <v>1</v>
      </c>
      <c r="AE554" t="str" cm="1">
        <f t="array" ref="AE554">_xlfn.IFS(G554=1,"Before College",G554=2,"College",G554=3,"Bachelor",G554=4,"Master",G554=5,"Doctor")</f>
        <v>Bachelor</v>
      </c>
      <c r="AF554" t="str" cm="1">
        <f t="array" ref="AF554">_xlfn.IFS(J554=1,"Low",J554=2,"Medium",J554=3,"High",J554=4,"Very High")</f>
        <v>High</v>
      </c>
      <c r="AG554" t="str" cm="1">
        <f t="array" ref="AG554">_xlfn.IFS(L554=1,"Low",L554=2,"Medium",L554=3,"High",L554=4,"Very High")</f>
        <v>High</v>
      </c>
      <c r="AH554" t="str" cm="1">
        <f t="array" ref="AH554">_xlfn.IFS(M554=1,"Junior employee",M554=2,"Mid-level",M554=3,"Senior",M554=4,"Manager",M554=5,"Executive")</f>
        <v>Manager</v>
      </c>
      <c r="AI554" t="str" cm="1">
        <f t="array" ref="AI554">_xlfn.IFS(O554=1,"Low",O554=2,"Medium",O554=3,"High",O554=4,"Very High")</f>
        <v>Very High</v>
      </c>
      <c r="AJ554" t="str" cm="1">
        <f t="array" ref="AJ554">_xlfn.IFS(U554=1,"Low",U554=2,"Good",U554=3,"Excellent",U554=4,"Outstanding")</f>
        <v>Excellent</v>
      </c>
      <c r="AK554" t="str" cm="1">
        <f t="array" ref="AK554">_xlfn.IFS(V554=1,"Low",V554=2,"Medium",V554=3,"High",V554=4,"Very High")</f>
        <v>High</v>
      </c>
      <c r="AL554" t="str" cm="1">
        <f t="array" ref="AL554">_xlfn.IFS(Z554=1,"Bad",Z554=2,"Good",Z554=3,"Better",Z554=4,"Best")</f>
        <v>Good</v>
      </c>
      <c r="AM554" t="str" cm="1">
        <f t="array" ref="AM554">_xlfn.IFS(W554=0,"No_stock",W554=1,"Low",W554=2,"Medium",W554=3,"High")</f>
        <v>No_stock</v>
      </c>
      <c r="AN554" t="str">
        <f t="shared" si="8"/>
        <v>Medium</v>
      </c>
    </row>
    <row r="555" spans="1:40" x14ac:dyDescent="0.45">
      <c r="A555">
        <v>40</v>
      </c>
      <c r="B555" t="s">
        <v>37</v>
      </c>
      <c r="C555" t="s">
        <v>31</v>
      </c>
      <c r="D555">
        <v>804</v>
      </c>
      <c r="E555" t="s">
        <v>39</v>
      </c>
      <c r="F555">
        <v>2</v>
      </c>
      <c r="G555">
        <v>1</v>
      </c>
      <c r="H555" t="s">
        <v>45</v>
      </c>
      <c r="I555">
        <v>763</v>
      </c>
      <c r="J555">
        <v>4</v>
      </c>
      <c r="K555" t="s">
        <v>34</v>
      </c>
      <c r="L555">
        <v>2</v>
      </c>
      <c r="M555">
        <v>1</v>
      </c>
      <c r="N555" t="s">
        <v>41</v>
      </c>
      <c r="O555">
        <v>4</v>
      </c>
      <c r="P555" t="s">
        <v>36</v>
      </c>
      <c r="Q555">
        <v>2342</v>
      </c>
      <c r="R555">
        <v>0</v>
      </c>
      <c r="S555" t="s">
        <v>30</v>
      </c>
      <c r="T555">
        <v>20</v>
      </c>
      <c r="U555">
        <v>4</v>
      </c>
      <c r="V555">
        <v>4</v>
      </c>
      <c r="W555">
        <v>0</v>
      </c>
      <c r="X555">
        <v>5</v>
      </c>
      <c r="Y555">
        <v>2</v>
      </c>
      <c r="Z555">
        <v>2</v>
      </c>
      <c r="AA555">
        <v>4</v>
      </c>
      <c r="AB555">
        <v>2</v>
      </c>
      <c r="AC555">
        <v>2</v>
      </c>
      <c r="AD555">
        <v>3</v>
      </c>
      <c r="AE555" t="str" cm="1">
        <f t="array" ref="AE555">_xlfn.IFS(G555=1,"Before College",G555=2,"College",G555=3,"Bachelor",G555=4,"Master",G555=5,"Doctor")</f>
        <v>Before College</v>
      </c>
      <c r="AF555" t="str" cm="1">
        <f t="array" ref="AF555">_xlfn.IFS(J555=1,"Low",J555=2,"Medium",J555=3,"High",J555=4,"Very High")</f>
        <v>Very High</v>
      </c>
      <c r="AG555" t="str" cm="1">
        <f t="array" ref="AG555">_xlfn.IFS(L555=1,"Low",L555=2,"Medium",L555=3,"High",L555=4,"Very High")</f>
        <v>Medium</v>
      </c>
      <c r="AH555" t="str" cm="1">
        <f t="array" ref="AH555">_xlfn.IFS(M555=1,"Junior employee",M555=2,"Mid-level",M555=3,"Senior",M555=4,"Manager",M555=5,"Executive")</f>
        <v>Junior employee</v>
      </c>
      <c r="AI555" t="str" cm="1">
        <f t="array" ref="AI555">_xlfn.IFS(O555=1,"Low",O555=2,"Medium",O555=3,"High",O555=4,"Very High")</f>
        <v>Very High</v>
      </c>
      <c r="AJ555" t="str" cm="1">
        <f t="array" ref="AJ555">_xlfn.IFS(U555=1,"Low",U555=2,"Good",U555=3,"Excellent",U555=4,"Outstanding")</f>
        <v>Outstanding</v>
      </c>
      <c r="AK555" t="str" cm="1">
        <f t="array" ref="AK555">_xlfn.IFS(V555=1,"Low",V555=2,"Medium",V555=3,"High",V555=4,"Very High")</f>
        <v>Very High</v>
      </c>
      <c r="AL555" t="str" cm="1">
        <f t="array" ref="AL555">_xlfn.IFS(Z555=1,"Bad",Z555=2,"Good",Z555=3,"Better",Z555=4,"Best")</f>
        <v>Good</v>
      </c>
      <c r="AM555" t="str" cm="1">
        <f t="array" ref="AM555">_xlfn.IFS(W555=0,"No_stock",W555=1,"Low",W555=2,"Medium",W555=3,"High")</f>
        <v>No_stock</v>
      </c>
      <c r="AN555" t="str">
        <f t="shared" si="8"/>
        <v>Near</v>
      </c>
    </row>
    <row r="556" spans="1:40" x14ac:dyDescent="0.45">
      <c r="A556">
        <v>27</v>
      </c>
      <c r="B556" t="s">
        <v>37</v>
      </c>
      <c r="C556" t="s">
        <v>31</v>
      </c>
      <c r="D556">
        <v>975</v>
      </c>
      <c r="E556" t="s">
        <v>39</v>
      </c>
      <c r="F556">
        <v>7</v>
      </c>
      <c r="G556">
        <v>3</v>
      </c>
      <c r="H556" t="s">
        <v>45</v>
      </c>
      <c r="I556">
        <v>764</v>
      </c>
      <c r="J556">
        <v>4</v>
      </c>
      <c r="K556" t="s">
        <v>34</v>
      </c>
      <c r="L556">
        <v>2</v>
      </c>
      <c r="M556">
        <v>2</v>
      </c>
      <c r="N556" t="s">
        <v>48</v>
      </c>
      <c r="O556">
        <v>1</v>
      </c>
      <c r="P556" t="s">
        <v>36</v>
      </c>
      <c r="Q556">
        <v>6811</v>
      </c>
      <c r="R556">
        <v>8</v>
      </c>
      <c r="S556" t="s">
        <v>37</v>
      </c>
      <c r="T556">
        <v>19</v>
      </c>
      <c r="U556">
        <v>3</v>
      </c>
      <c r="V556">
        <v>1</v>
      </c>
      <c r="W556">
        <v>0</v>
      </c>
      <c r="X556">
        <v>9</v>
      </c>
      <c r="Y556">
        <v>2</v>
      </c>
      <c r="Z556">
        <v>1</v>
      </c>
      <c r="AA556">
        <v>7</v>
      </c>
      <c r="AB556">
        <v>6</v>
      </c>
      <c r="AC556">
        <v>0</v>
      </c>
      <c r="AD556">
        <v>7</v>
      </c>
      <c r="AE556" t="str" cm="1">
        <f t="array" ref="AE556">_xlfn.IFS(G556=1,"Before College",G556=2,"College",G556=3,"Bachelor",G556=4,"Master",G556=5,"Doctor")</f>
        <v>Bachelor</v>
      </c>
      <c r="AF556" t="str" cm="1">
        <f t="array" ref="AF556">_xlfn.IFS(J556=1,"Low",J556=2,"Medium",J556=3,"High",J556=4,"Very High")</f>
        <v>Very High</v>
      </c>
      <c r="AG556" t="str" cm="1">
        <f t="array" ref="AG556">_xlfn.IFS(L556=1,"Low",L556=2,"Medium",L556=3,"High",L556=4,"Very High")</f>
        <v>Medium</v>
      </c>
      <c r="AH556" t="str" cm="1">
        <f t="array" ref="AH556">_xlfn.IFS(M556=1,"Junior employee",M556=2,"Mid-level",M556=3,"Senior",M556=4,"Manager",M556=5,"Executive")</f>
        <v>Mid-level</v>
      </c>
      <c r="AI556" t="str" cm="1">
        <f t="array" ref="AI556">_xlfn.IFS(O556=1,"Low",O556=2,"Medium",O556=3,"High",O556=4,"Very High")</f>
        <v>Low</v>
      </c>
      <c r="AJ556" t="str" cm="1">
        <f t="array" ref="AJ556">_xlfn.IFS(U556=1,"Low",U556=2,"Good",U556=3,"Excellent",U556=4,"Outstanding")</f>
        <v>Excellent</v>
      </c>
      <c r="AK556" t="str" cm="1">
        <f t="array" ref="AK556">_xlfn.IFS(V556=1,"Low",V556=2,"Medium",V556=3,"High",V556=4,"Very High")</f>
        <v>Low</v>
      </c>
      <c r="AL556" t="str" cm="1">
        <f t="array" ref="AL556">_xlfn.IFS(Z556=1,"Bad",Z556=2,"Good",Z556=3,"Better",Z556=4,"Best")</f>
        <v>Bad</v>
      </c>
      <c r="AM556" t="str" cm="1">
        <f t="array" ref="AM556">_xlfn.IFS(W556=0,"No_stock",W556=1,"Low",W556=2,"Medium",W556=3,"High")</f>
        <v>No_stock</v>
      </c>
      <c r="AN556" t="str">
        <f t="shared" si="8"/>
        <v>Medium</v>
      </c>
    </row>
    <row r="557" spans="1:40" x14ac:dyDescent="0.45">
      <c r="A557">
        <v>29</v>
      </c>
      <c r="B557" t="s">
        <v>37</v>
      </c>
      <c r="C557" t="s">
        <v>31</v>
      </c>
      <c r="D557">
        <v>1090</v>
      </c>
      <c r="E557" t="s">
        <v>32</v>
      </c>
      <c r="F557">
        <v>10</v>
      </c>
      <c r="G557">
        <v>3</v>
      </c>
      <c r="H557" t="s">
        <v>53</v>
      </c>
      <c r="I557">
        <v>766</v>
      </c>
      <c r="J557">
        <v>4</v>
      </c>
      <c r="K557" t="s">
        <v>40</v>
      </c>
      <c r="L557">
        <v>3</v>
      </c>
      <c r="M557">
        <v>1</v>
      </c>
      <c r="N557" t="s">
        <v>51</v>
      </c>
      <c r="O557">
        <v>2</v>
      </c>
      <c r="P557" t="s">
        <v>46</v>
      </c>
      <c r="Q557">
        <v>2297</v>
      </c>
      <c r="R557">
        <v>1</v>
      </c>
      <c r="S557" t="s">
        <v>37</v>
      </c>
      <c r="T557">
        <v>14</v>
      </c>
      <c r="U557">
        <v>3</v>
      </c>
      <c r="V557">
        <v>4</v>
      </c>
      <c r="W557">
        <v>2</v>
      </c>
      <c r="X557">
        <v>2</v>
      </c>
      <c r="Y557">
        <v>2</v>
      </c>
      <c r="Z557">
        <v>3</v>
      </c>
      <c r="AA557">
        <v>2</v>
      </c>
      <c r="AB557">
        <v>2</v>
      </c>
      <c r="AC557">
        <v>2</v>
      </c>
      <c r="AD557">
        <v>2</v>
      </c>
      <c r="AE557" t="str" cm="1">
        <f t="array" ref="AE557">_xlfn.IFS(G557=1,"Before College",G557=2,"College",G557=3,"Bachelor",G557=4,"Master",G557=5,"Doctor")</f>
        <v>Bachelor</v>
      </c>
      <c r="AF557" t="str" cm="1">
        <f t="array" ref="AF557">_xlfn.IFS(J557=1,"Low",J557=2,"Medium",J557=3,"High",J557=4,"Very High")</f>
        <v>Very High</v>
      </c>
      <c r="AG557" t="str" cm="1">
        <f t="array" ref="AG557">_xlfn.IFS(L557=1,"Low",L557=2,"Medium",L557=3,"High",L557=4,"Very High")</f>
        <v>High</v>
      </c>
      <c r="AH557" t="str" cm="1">
        <f t="array" ref="AH557">_xlfn.IFS(M557=1,"Junior employee",M557=2,"Mid-level",M557=3,"Senior",M557=4,"Manager",M557=5,"Executive")</f>
        <v>Junior employee</v>
      </c>
      <c r="AI557" t="str" cm="1">
        <f t="array" ref="AI557">_xlfn.IFS(O557=1,"Low",O557=2,"Medium",O557=3,"High",O557=4,"Very High")</f>
        <v>Medium</v>
      </c>
      <c r="AJ557" t="str" cm="1">
        <f t="array" ref="AJ557">_xlfn.IFS(U557=1,"Low",U557=2,"Good",U557=3,"Excellent",U557=4,"Outstanding")</f>
        <v>Excellent</v>
      </c>
      <c r="AK557" t="str" cm="1">
        <f t="array" ref="AK557">_xlfn.IFS(V557=1,"Low",V557=2,"Medium",V557=3,"High",V557=4,"Very High")</f>
        <v>Very High</v>
      </c>
      <c r="AL557" t="str" cm="1">
        <f t="array" ref="AL557">_xlfn.IFS(Z557=1,"Bad",Z557=2,"Good",Z557=3,"Better",Z557=4,"Best")</f>
        <v>Better</v>
      </c>
      <c r="AM557" t="str" cm="1">
        <f t="array" ref="AM557">_xlfn.IFS(W557=0,"No_stock",W557=1,"Low",W557=2,"Medium",W557=3,"High")</f>
        <v>Medium</v>
      </c>
      <c r="AN557" t="str">
        <f t="shared" si="8"/>
        <v>Medium</v>
      </c>
    </row>
    <row r="558" spans="1:40" x14ac:dyDescent="0.45">
      <c r="A558">
        <v>53</v>
      </c>
      <c r="B558" t="s">
        <v>37</v>
      </c>
      <c r="C558" t="s">
        <v>31</v>
      </c>
      <c r="D558">
        <v>346</v>
      </c>
      <c r="E558" t="s">
        <v>39</v>
      </c>
      <c r="F558">
        <v>6</v>
      </c>
      <c r="G558">
        <v>3</v>
      </c>
      <c r="H558" t="s">
        <v>33</v>
      </c>
      <c r="I558">
        <v>769</v>
      </c>
      <c r="J558">
        <v>4</v>
      </c>
      <c r="K558" t="s">
        <v>40</v>
      </c>
      <c r="L558">
        <v>3</v>
      </c>
      <c r="M558">
        <v>2</v>
      </c>
      <c r="N558" t="s">
        <v>44</v>
      </c>
      <c r="O558">
        <v>4</v>
      </c>
      <c r="P558" t="s">
        <v>36</v>
      </c>
      <c r="Q558">
        <v>2450</v>
      </c>
      <c r="R558">
        <v>2</v>
      </c>
      <c r="S558" t="s">
        <v>37</v>
      </c>
      <c r="T558">
        <v>17</v>
      </c>
      <c r="U558">
        <v>3</v>
      </c>
      <c r="V558">
        <v>4</v>
      </c>
      <c r="W558">
        <v>0</v>
      </c>
      <c r="X558">
        <v>19</v>
      </c>
      <c r="Y558">
        <v>4</v>
      </c>
      <c r="Z558">
        <v>3</v>
      </c>
      <c r="AA558">
        <v>2</v>
      </c>
      <c r="AB558">
        <v>2</v>
      </c>
      <c r="AC558">
        <v>2</v>
      </c>
      <c r="AD558">
        <v>2</v>
      </c>
      <c r="AE558" t="str" cm="1">
        <f t="array" ref="AE558">_xlfn.IFS(G558=1,"Before College",G558=2,"College",G558=3,"Bachelor",G558=4,"Master",G558=5,"Doctor")</f>
        <v>Bachelor</v>
      </c>
      <c r="AF558" t="str" cm="1">
        <f t="array" ref="AF558">_xlfn.IFS(J558=1,"Low",J558=2,"Medium",J558=3,"High",J558=4,"Very High")</f>
        <v>Very High</v>
      </c>
      <c r="AG558" t="str" cm="1">
        <f t="array" ref="AG558">_xlfn.IFS(L558=1,"Low",L558=2,"Medium",L558=3,"High",L558=4,"Very High")</f>
        <v>High</v>
      </c>
      <c r="AH558" t="str" cm="1">
        <f t="array" ref="AH558">_xlfn.IFS(M558=1,"Junior employee",M558=2,"Mid-level",M558=3,"Senior",M558=4,"Manager",M558=5,"Executive")</f>
        <v>Mid-level</v>
      </c>
      <c r="AI558" t="str" cm="1">
        <f t="array" ref="AI558">_xlfn.IFS(O558=1,"Low",O558=2,"Medium",O558=3,"High",O558=4,"Very High")</f>
        <v>Very High</v>
      </c>
      <c r="AJ558" t="str" cm="1">
        <f t="array" ref="AJ558">_xlfn.IFS(U558=1,"Low",U558=2,"Good",U558=3,"Excellent",U558=4,"Outstanding")</f>
        <v>Excellent</v>
      </c>
      <c r="AK558" t="str" cm="1">
        <f t="array" ref="AK558">_xlfn.IFS(V558=1,"Low",V558=2,"Medium",V558=3,"High",V558=4,"Very High")</f>
        <v>Very High</v>
      </c>
      <c r="AL558" t="str" cm="1">
        <f t="array" ref="AL558">_xlfn.IFS(Z558=1,"Bad",Z558=2,"Good",Z558=3,"Better",Z558=4,"Best")</f>
        <v>Better</v>
      </c>
      <c r="AM558" t="str" cm="1">
        <f t="array" ref="AM558">_xlfn.IFS(W558=0,"No_stock",W558=1,"Low",W558=2,"Medium",W558=3,"High")</f>
        <v>No_stock</v>
      </c>
      <c r="AN558" t="str">
        <f t="shared" si="8"/>
        <v>Medium</v>
      </c>
    </row>
    <row r="559" spans="1:40" x14ac:dyDescent="0.45">
      <c r="A559">
        <v>35</v>
      </c>
      <c r="B559" t="s">
        <v>37</v>
      </c>
      <c r="C559" t="s">
        <v>49</v>
      </c>
      <c r="D559">
        <v>1225</v>
      </c>
      <c r="E559" t="s">
        <v>39</v>
      </c>
      <c r="F559">
        <v>2</v>
      </c>
      <c r="G559">
        <v>4</v>
      </c>
      <c r="H559" t="s">
        <v>33</v>
      </c>
      <c r="I559">
        <v>771</v>
      </c>
      <c r="J559">
        <v>4</v>
      </c>
      <c r="K559" t="s">
        <v>34</v>
      </c>
      <c r="L559">
        <v>3</v>
      </c>
      <c r="M559">
        <v>2</v>
      </c>
      <c r="N559" t="s">
        <v>48</v>
      </c>
      <c r="O559">
        <v>1</v>
      </c>
      <c r="P559" t="s">
        <v>46</v>
      </c>
      <c r="Q559">
        <v>5093</v>
      </c>
      <c r="R559">
        <v>2</v>
      </c>
      <c r="S559" t="s">
        <v>37</v>
      </c>
      <c r="T559">
        <v>11</v>
      </c>
      <c r="U559">
        <v>3</v>
      </c>
      <c r="V559">
        <v>1</v>
      </c>
      <c r="W559">
        <v>1</v>
      </c>
      <c r="X559">
        <v>16</v>
      </c>
      <c r="Y559">
        <v>2</v>
      </c>
      <c r="Z559">
        <v>4</v>
      </c>
      <c r="AA559">
        <v>1</v>
      </c>
      <c r="AB559">
        <v>0</v>
      </c>
      <c r="AC559">
        <v>0</v>
      </c>
      <c r="AD559">
        <v>0</v>
      </c>
      <c r="AE559" t="str" cm="1">
        <f t="array" ref="AE559">_xlfn.IFS(G559=1,"Before College",G559=2,"College",G559=3,"Bachelor",G559=4,"Master",G559=5,"Doctor")</f>
        <v>Master</v>
      </c>
      <c r="AF559" t="str" cm="1">
        <f t="array" ref="AF559">_xlfn.IFS(J559=1,"Low",J559=2,"Medium",J559=3,"High",J559=4,"Very High")</f>
        <v>Very High</v>
      </c>
      <c r="AG559" t="str" cm="1">
        <f t="array" ref="AG559">_xlfn.IFS(L559=1,"Low",L559=2,"Medium",L559=3,"High",L559=4,"Very High")</f>
        <v>High</v>
      </c>
      <c r="AH559" t="str" cm="1">
        <f t="array" ref="AH559">_xlfn.IFS(M559=1,"Junior employee",M559=2,"Mid-level",M559=3,"Senior",M559=4,"Manager",M559=5,"Executive")</f>
        <v>Mid-level</v>
      </c>
      <c r="AI559" t="str" cm="1">
        <f t="array" ref="AI559">_xlfn.IFS(O559=1,"Low",O559=2,"Medium",O559=3,"High",O559=4,"Very High")</f>
        <v>Low</v>
      </c>
      <c r="AJ559" t="str" cm="1">
        <f t="array" ref="AJ559">_xlfn.IFS(U559=1,"Low",U559=2,"Good",U559=3,"Excellent",U559=4,"Outstanding")</f>
        <v>Excellent</v>
      </c>
      <c r="AK559" t="str" cm="1">
        <f t="array" ref="AK559">_xlfn.IFS(V559=1,"Low",V559=2,"Medium",V559=3,"High",V559=4,"Very High")</f>
        <v>Low</v>
      </c>
      <c r="AL559" t="str" cm="1">
        <f t="array" ref="AL559">_xlfn.IFS(Z559=1,"Bad",Z559=2,"Good",Z559=3,"Better",Z559=4,"Best")</f>
        <v>Best</v>
      </c>
      <c r="AM559" t="str" cm="1">
        <f t="array" ref="AM559">_xlfn.IFS(W559=0,"No_stock",W559=1,"Low",W559=2,"Medium",W559=3,"High")</f>
        <v>Low</v>
      </c>
      <c r="AN559" t="str">
        <f t="shared" si="8"/>
        <v>Near</v>
      </c>
    </row>
    <row r="560" spans="1:40" x14ac:dyDescent="0.45">
      <c r="A560">
        <v>32</v>
      </c>
      <c r="B560" t="s">
        <v>37</v>
      </c>
      <c r="C560" t="s">
        <v>38</v>
      </c>
      <c r="D560">
        <v>430</v>
      </c>
      <c r="E560" t="s">
        <v>39</v>
      </c>
      <c r="F560">
        <v>24</v>
      </c>
      <c r="G560">
        <v>4</v>
      </c>
      <c r="H560" t="s">
        <v>33</v>
      </c>
      <c r="I560">
        <v>772</v>
      </c>
      <c r="J560">
        <v>1</v>
      </c>
      <c r="K560" t="s">
        <v>40</v>
      </c>
      <c r="L560">
        <v>3</v>
      </c>
      <c r="M560">
        <v>2</v>
      </c>
      <c r="N560" t="s">
        <v>44</v>
      </c>
      <c r="O560">
        <v>4</v>
      </c>
      <c r="P560" t="s">
        <v>42</v>
      </c>
      <c r="Q560">
        <v>5309</v>
      </c>
      <c r="R560">
        <v>1</v>
      </c>
      <c r="S560" t="s">
        <v>37</v>
      </c>
      <c r="T560">
        <v>15</v>
      </c>
      <c r="U560">
        <v>3</v>
      </c>
      <c r="V560">
        <v>4</v>
      </c>
      <c r="W560">
        <v>2</v>
      </c>
      <c r="X560">
        <v>10</v>
      </c>
      <c r="Y560">
        <v>2</v>
      </c>
      <c r="Z560">
        <v>3</v>
      </c>
      <c r="AA560">
        <v>10</v>
      </c>
      <c r="AB560">
        <v>8</v>
      </c>
      <c r="AC560">
        <v>4</v>
      </c>
      <c r="AD560">
        <v>7</v>
      </c>
      <c r="AE560" t="str" cm="1">
        <f t="array" ref="AE560">_xlfn.IFS(G560=1,"Before College",G560=2,"College",G560=3,"Bachelor",G560=4,"Master",G560=5,"Doctor")</f>
        <v>Master</v>
      </c>
      <c r="AF560" t="str" cm="1">
        <f t="array" ref="AF560">_xlfn.IFS(J560=1,"Low",J560=2,"Medium",J560=3,"High",J560=4,"Very High")</f>
        <v>Low</v>
      </c>
      <c r="AG560" t="str" cm="1">
        <f t="array" ref="AG560">_xlfn.IFS(L560=1,"Low",L560=2,"Medium",L560=3,"High",L560=4,"Very High")</f>
        <v>High</v>
      </c>
      <c r="AH560" t="str" cm="1">
        <f t="array" ref="AH560">_xlfn.IFS(M560=1,"Junior employee",M560=2,"Mid-level",M560=3,"Senior",M560=4,"Manager",M560=5,"Executive")</f>
        <v>Mid-level</v>
      </c>
      <c r="AI560" t="str" cm="1">
        <f t="array" ref="AI560">_xlfn.IFS(O560=1,"Low",O560=2,"Medium",O560=3,"High",O560=4,"Very High")</f>
        <v>Very High</v>
      </c>
      <c r="AJ560" t="str" cm="1">
        <f t="array" ref="AJ560">_xlfn.IFS(U560=1,"Low",U560=2,"Good",U560=3,"Excellent",U560=4,"Outstanding")</f>
        <v>Excellent</v>
      </c>
      <c r="AK560" t="str" cm="1">
        <f t="array" ref="AK560">_xlfn.IFS(V560=1,"Low",V560=2,"Medium",V560=3,"High",V560=4,"Very High")</f>
        <v>Very High</v>
      </c>
      <c r="AL560" t="str" cm="1">
        <f t="array" ref="AL560">_xlfn.IFS(Z560=1,"Bad",Z560=2,"Good",Z560=3,"Better",Z560=4,"Best")</f>
        <v>Better</v>
      </c>
      <c r="AM560" t="str" cm="1">
        <f t="array" ref="AM560">_xlfn.IFS(W560=0,"No_stock",W560=1,"Low",W560=2,"Medium",W560=3,"High")</f>
        <v>Medium</v>
      </c>
      <c r="AN560" t="str">
        <f t="shared" si="8"/>
        <v>Far</v>
      </c>
    </row>
    <row r="561" spans="1:40" x14ac:dyDescent="0.45">
      <c r="A561">
        <v>38</v>
      </c>
      <c r="B561" t="s">
        <v>37</v>
      </c>
      <c r="C561" t="s">
        <v>31</v>
      </c>
      <c r="D561">
        <v>268</v>
      </c>
      <c r="E561" t="s">
        <v>39</v>
      </c>
      <c r="F561">
        <v>2</v>
      </c>
      <c r="G561">
        <v>5</v>
      </c>
      <c r="H561" t="s">
        <v>45</v>
      </c>
      <c r="I561">
        <v>773</v>
      </c>
      <c r="J561">
        <v>4</v>
      </c>
      <c r="K561" t="s">
        <v>40</v>
      </c>
      <c r="L561">
        <v>3</v>
      </c>
      <c r="M561">
        <v>1</v>
      </c>
      <c r="N561" t="s">
        <v>41</v>
      </c>
      <c r="O561">
        <v>3</v>
      </c>
      <c r="P561" t="s">
        <v>42</v>
      </c>
      <c r="Q561">
        <v>3057</v>
      </c>
      <c r="R561">
        <v>6</v>
      </c>
      <c r="S561" t="s">
        <v>30</v>
      </c>
      <c r="T561">
        <v>13</v>
      </c>
      <c r="U561">
        <v>3</v>
      </c>
      <c r="V561">
        <v>2</v>
      </c>
      <c r="W561">
        <v>1</v>
      </c>
      <c r="X561">
        <v>6</v>
      </c>
      <c r="Y561">
        <v>0</v>
      </c>
      <c r="Z561">
        <v>1</v>
      </c>
      <c r="AA561">
        <v>1</v>
      </c>
      <c r="AB561">
        <v>0</v>
      </c>
      <c r="AC561">
        <v>0</v>
      </c>
      <c r="AD561">
        <v>1</v>
      </c>
      <c r="AE561" t="str" cm="1">
        <f t="array" ref="AE561">_xlfn.IFS(G561=1,"Before College",G561=2,"College",G561=3,"Bachelor",G561=4,"Master",G561=5,"Doctor")</f>
        <v>Doctor</v>
      </c>
      <c r="AF561" t="str" cm="1">
        <f t="array" ref="AF561">_xlfn.IFS(J561=1,"Low",J561=2,"Medium",J561=3,"High",J561=4,"Very High")</f>
        <v>Very High</v>
      </c>
      <c r="AG561" t="str" cm="1">
        <f t="array" ref="AG561">_xlfn.IFS(L561=1,"Low",L561=2,"Medium",L561=3,"High",L561=4,"Very High")</f>
        <v>High</v>
      </c>
      <c r="AH561" t="str" cm="1">
        <f t="array" ref="AH561">_xlfn.IFS(M561=1,"Junior employee",M561=2,"Mid-level",M561=3,"Senior",M561=4,"Manager",M561=5,"Executive")</f>
        <v>Junior employee</v>
      </c>
      <c r="AI561" t="str" cm="1">
        <f t="array" ref="AI561">_xlfn.IFS(O561=1,"Low",O561=2,"Medium",O561=3,"High",O561=4,"Very High")</f>
        <v>High</v>
      </c>
      <c r="AJ561" t="str" cm="1">
        <f t="array" ref="AJ561">_xlfn.IFS(U561=1,"Low",U561=2,"Good",U561=3,"Excellent",U561=4,"Outstanding")</f>
        <v>Excellent</v>
      </c>
      <c r="AK561" t="str" cm="1">
        <f t="array" ref="AK561">_xlfn.IFS(V561=1,"Low",V561=2,"Medium",V561=3,"High",V561=4,"Very High")</f>
        <v>Medium</v>
      </c>
      <c r="AL561" t="str" cm="1">
        <f t="array" ref="AL561">_xlfn.IFS(Z561=1,"Bad",Z561=2,"Good",Z561=3,"Better",Z561=4,"Best")</f>
        <v>Bad</v>
      </c>
      <c r="AM561" t="str" cm="1">
        <f t="array" ref="AM561">_xlfn.IFS(W561=0,"No_stock",W561=1,"Low",W561=2,"Medium",W561=3,"High")</f>
        <v>Low</v>
      </c>
      <c r="AN561" t="str">
        <f t="shared" si="8"/>
        <v>Near</v>
      </c>
    </row>
    <row r="562" spans="1:40" x14ac:dyDescent="0.45">
      <c r="A562">
        <v>34</v>
      </c>
      <c r="B562" t="s">
        <v>37</v>
      </c>
      <c r="C562" t="s">
        <v>31</v>
      </c>
      <c r="D562">
        <v>167</v>
      </c>
      <c r="E562" t="s">
        <v>39</v>
      </c>
      <c r="F562">
        <v>8</v>
      </c>
      <c r="G562">
        <v>5</v>
      </c>
      <c r="H562" t="s">
        <v>33</v>
      </c>
      <c r="I562">
        <v>775</v>
      </c>
      <c r="J562">
        <v>2</v>
      </c>
      <c r="K562" t="s">
        <v>34</v>
      </c>
      <c r="L562">
        <v>3</v>
      </c>
      <c r="M562">
        <v>2</v>
      </c>
      <c r="N562" t="s">
        <v>47</v>
      </c>
      <c r="O562">
        <v>1</v>
      </c>
      <c r="P562" t="s">
        <v>46</v>
      </c>
      <c r="Q562">
        <v>5121</v>
      </c>
      <c r="R562">
        <v>3</v>
      </c>
      <c r="S562" t="s">
        <v>37</v>
      </c>
      <c r="T562">
        <v>14</v>
      </c>
      <c r="U562">
        <v>3</v>
      </c>
      <c r="V562">
        <v>3</v>
      </c>
      <c r="W562">
        <v>1</v>
      </c>
      <c r="X562">
        <v>7</v>
      </c>
      <c r="Y562">
        <v>3</v>
      </c>
      <c r="Z562">
        <v>3</v>
      </c>
      <c r="AA562">
        <v>0</v>
      </c>
      <c r="AB562">
        <v>0</v>
      </c>
      <c r="AC562">
        <v>0</v>
      </c>
      <c r="AD562">
        <v>0</v>
      </c>
      <c r="AE562" t="str" cm="1">
        <f t="array" ref="AE562">_xlfn.IFS(G562=1,"Before College",G562=2,"College",G562=3,"Bachelor",G562=4,"Master",G562=5,"Doctor")</f>
        <v>Doctor</v>
      </c>
      <c r="AF562" t="str" cm="1">
        <f t="array" ref="AF562">_xlfn.IFS(J562=1,"Low",J562=2,"Medium",J562=3,"High",J562=4,"Very High")</f>
        <v>Medium</v>
      </c>
      <c r="AG562" t="str" cm="1">
        <f t="array" ref="AG562">_xlfn.IFS(L562=1,"Low",L562=2,"Medium",L562=3,"High",L562=4,"Very High")</f>
        <v>High</v>
      </c>
      <c r="AH562" t="str" cm="1">
        <f t="array" ref="AH562">_xlfn.IFS(M562=1,"Junior employee",M562=2,"Mid-level",M562=3,"Senior",M562=4,"Manager",M562=5,"Executive")</f>
        <v>Mid-level</v>
      </c>
      <c r="AI562" t="str" cm="1">
        <f t="array" ref="AI562">_xlfn.IFS(O562=1,"Low",O562=2,"Medium",O562=3,"High",O562=4,"Very High")</f>
        <v>Low</v>
      </c>
      <c r="AJ562" t="str" cm="1">
        <f t="array" ref="AJ562">_xlfn.IFS(U562=1,"Low",U562=2,"Good",U562=3,"Excellent",U562=4,"Outstanding")</f>
        <v>Excellent</v>
      </c>
      <c r="AK562" t="str" cm="1">
        <f t="array" ref="AK562">_xlfn.IFS(V562=1,"Low",V562=2,"Medium",V562=3,"High",V562=4,"Very High")</f>
        <v>High</v>
      </c>
      <c r="AL562" t="str" cm="1">
        <f t="array" ref="AL562">_xlfn.IFS(Z562=1,"Bad",Z562=2,"Good",Z562=3,"Better",Z562=4,"Best")</f>
        <v>Better</v>
      </c>
      <c r="AM562" t="str" cm="1">
        <f t="array" ref="AM562">_xlfn.IFS(W562=0,"No_stock",W562=1,"Low",W562=2,"Medium",W562=3,"High")</f>
        <v>Low</v>
      </c>
      <c r="AN562" t="str">
        <f t="shared" si="8"/>
        <v>Medium</v>
      </c>
    </row>
    <row r="563" spans="1:40" x14ac:dyDescent="0.45">
      <c r="A563">
        <v>52</v>
      </c>
      <c r="B563" t="s">
        <v>37</v>
      </c>
      <c r="C563" t="s">
        <v>31</v>
      </c>
      <c r="D563">
        <v>621</v>
      </c>
      <c r="E563" t="s">
        <v>32</v>
      </c>
      <c r="F563">
        <v>3</v>
      </c>
      <c r="G563">
        <v>4</v>
      </c>
      <c r="H563" t="s">
        <v>53</v>
      </c>
      <c r="I563">
        <v>776</v>
      </c>
      <c r="J563">
        <v>3</v>
      </c>
      <c r="K563" t="s">
        <v>40</v>
      </c>
      <c r="L563">
        <v>2</v>
      </c>
      <c r="M563">
        <v>4</v>
      </c>
      <c r="N563" t="s">
        <v>50</v>
      </c>
      <c r="O563">
        <v>1</v>
      </c>
      <c r="P563" t="s">
        <v>42</v>
      </c>
      <c r="Q563">
        <v>16856</v>
      </c>
      <c r="R563">
        <v>1</v>
      </c>
      <c r="S563" t="s">
        <v>37</v>
      </c>
      <c r="T563">
        <v>11</v>
      </c>
      <c r="U563">
        <v>3</v>
      </c>
      <c r="V563">
        <v>1</v>
      </c>
      <c r="W563">
        <v>0</v>
      </c>
      <c r="X563">
        <v>34</v>
      </c>
      <c r="Y563">
        <v>3</v>
      </c>
      <c r="Z563">
        <v>4</v>
      </c>
      <c r="AA563">
        <v>34</v>
      </c>
      <c r="AB563">
        <v>6</v>
      </c>
      <c r="AC563">
        <v>1</v>
      </c>
      <c r="AD563">
        <v>16</v>
      </c>
      <c r="AE563" t="str" cm="1">
        <f t="array" ref="AE563">_xlfn.IFS(G563=1,"Before College",G563=2,"College",G563=3,"Bachelor",G563=4,"Master",G563=5,"Doctor")</f>
        <v>Master</v>
      </c>
      <c r="AF563" t="str" cm="1">
        <f t="array" ref="AF563">_xlfn.IFS(J563=1,"Low",J563=2,"Medium",J563=3,"High",J563=4,"Very High")</f>
        <v>High</v>
      </c>
      <c r="AG563" t="str" cm="1">
        <f t="array" ref="AG563">_xlfn.IFS(L563=1,"Low",L563=2,"Medium",L563=3,"High",L563=4,"Very High")</f>
        <v>Medium</v>
      </c>
      <c r="AH563" t="str" cm="1">
        <f t="array" ref="AH563">_xlfn.IFS(M563=1,"Junior employee",M563=2,"Mid-level",M563=3,"Senior",M563=4,"Manager",M563=5,"Executive")</f>
        <v>Manager</v>
      </c>
      <c r="AI563" t="str" cm="1">
        <f t="array" ref="AI563">_xlfn.IFS(O563=1,"Low",O563=2,"Medium",O563=3,"High",O563=4,"Very High")</f>
        <v>Low</v>
      </c>
      <c r="AJ563" t="str" cm="1">
        <f t="array" ref="AJ563">_xlfn.IFS(U563=1,"Low",U563=2,"Good",U563=3,"Excellent",U563=4,"Outstanding")</f>
        <v>Excellent</v>
      </c>
      <c r="AK563" t="str" cm="1">
        <f t="array" ref="AK563">_xlfn.IFS(V563=1,"Low",V563=2,"Medium",V563=3,"High",V563=4,"Very High")</f>
        <v>Low</v>
      </c>
      <c r="AL563" t="str" cm="1">
        <f t="array" ref="AL563">_xlfn.IFS(Z563=1,"Bad",Z563=2,"Good",Z563=3,"Better",Z563=4,"Best")</f>
        <v>Best</v>
      </c>
      <c r="AM563" t="str" cm="1">
        <f t="array" ref="AM563">_xlfn.IFS(W563=0,"No_stock",W563=1,"Low",W563=2,"Medium",W563=3,"High")</f>
        <v>No_stock</v>
      </c>
      <c r="AN563" t="str">
        <f t="shared" si="8"/>
        <v>Near</v>
      </c>
    </row>
    <row r="564" spans="1:40" x14ac:dyDescent="0.45">
      <c r="A564">
        <v>33</v>
      </c>
      <c r="B564" t="s">
        <v>30</v>
      </c>
      <c r="C564" t="s">
        <v>31</v>
      </c>
      <c r="D564">
        <v>527</v>
      </c>
      <c r="E564" t="s">
        <v>39</v>
      </c>
      <c r="F564">
        <v>1</v>
      </c>
      <c r="G564">
        <v>4</v>
      </c>
      <c r="H564" t="s">
        <v>43</v>
      </c>
      <c r="I564">
        <v>780</v>
      </c>
      <c r="J564">
        <v>4</v>
      </c>
      <c r="K564" t="s">
        <v>40</v>
      </c>
      <c r="L564">
        <v>3</v>
      </c>
      <c r="M564">
        <v>1</v>
      </c>
      <c r="N564" t="s">
        <v>41</v>
      </c>
      <c r="O564">
        <v>4</v>
      </c>
      <c r="P564" t="s">
        <v>36</v>
      </c>
      <c r="Q564">
        <v>2686</v>
      </c>
      <c r="R564">
        <v>1</v>
      </c>
      <c r="S564" t="s">
        <v>30</v>
      </c>
      <c r="T564">
        <v>13</v>
      </c>
      <c r="U564">
        <v>3</v>
      </c>
      <c r="V564">
        <v>3</v>
      </c>
      <c r="W564">
        <v>0</v>
      </c>
      <c r="X564">
        <v>10</v>
      </c>
      <c r="Y564">
        <v>2</v>
      </c>
      <c r="Z564">
        <v>2</v>
      </c>
      <c r="AA564">
        <v>10</v>
      </c>
      <c r="AB564">
        <v>9</v>
      </c>
      <c r="AC564">
        <v>7</v>
      </c>
      <c r="AD564">
        <v>8</v>
      </c>
      <c r="AE564" t="str" cm="1">
        <f t="array" ref="AE564">_xlfn.IFS(G564=1,"Before College",G564=2,"College",G564=3,"Bachelor",G564=4,"Master",G564=5,"Doctor")</f>
        <v>Master</v>
      </c>
      <c r="AF564" t="str" cm="1">
        <f t="array" ref="AF564">_xlfn.IFS(J564=1,"Low",J564=2,"Medium",J564=3,"High",J564=4,"Very High")</f>
        <v>Very High</v>
      </c>
      <c r="AG564" t="str" cm="1">
        <f t="array" ref="AG564">_xlfn.IFS(L564=1,"Low",L564=2,"Medium",L564=3,"High",L564=4,"Very High")</f>
        <v>High</v>
      </c>
      <c r="AH564" t="str" cm="1">
        <f t="array" ref="AH564">_xlfn.IFS(M564=1,"Junior employee",M564=2,"Mid-level",M564=3,"Senior",M564=4,"Manager",M564=5,"Executive")</f>
        <v>Junior employee</v>
      </c>
      <c r="AI564" t="str" cm="1">
        <f t="array" ref="AI564">_xlfn.IFS(O564=1,"Low",O564=2,"Medium",O564=3,"High",O564=4,"Very High")</f>
        <v>Very High</v>
      </c>
      <c r="AJ564" t="str" cm="1">
        <f t="array" ref="AJ564">_xlfn.IFS(U564=1,"Low",U564=2,"Good",U564=3,"Excellent",U564=4,"Outstanding")</f>
        <v>Excellent</v>
      </c>
      <c r="AK564" t="str" cm="1">
        <f t="array" ref="AK564">_xlfn.IFS(V564=1,"Low",V564=2,"Medium",V564=3,"High",V564=4,"Very High")</f>
        <v>High</v>
      </c>
      <c r="AL564" t="str" cm="1">
        <f t="array" ref="AL564">_xlfn.IFS(Z564=1,"Bad",Z564=2,"Good",Z564=3,"Better",Z564=4,"Best")</f>
        <v>Good</v>
      </c>
      <c r="AM564" t="str" cm="1">
        <f t="array" ref="AM564">_xlfn.IFS(W564=0,"No_stock",W564=1,"Low",W564=2,"Medium",W564=3,"High")</f>
        <v>No_stock</v>
      </c>
      <c r="AN564" t="str">
        <f t="shared" si="8"/>
        <v>Near</v>
      </c>
    </row>
    <row r="565" spans="1:40" x14ac:dyDescent="0.45">
      <c r="A565">
        <v>25</v>
      </c>
      <c r="B565" t="s">
        <v>37</v>
      </c>
      <c r="C565" t="s">
        <v>31</v>
      </c>
      <c r="D565">
        <v>883</v>
      </c>
      <c r="E565" t="s">
        <v>32</v>
      </c>
      <c r="F565">
        <v>26</v>
      </c>
      <c r="G565">
        <v>1</v>
      </c>
      <c r="H565" t="s">
        <v>45</v>
      </c>
      <c r="I565">
        <v>781</v>
      </c>
      <c r="J565">
        <v>3</v>
      </c>
      <c r="K565" t="s">
        <v>34</v>
      </c>
      <c r="L565">
        <v>3</v>
      </c>
      <c r="M565">
        <v>2</v>
      </c>
      <c r="N565" t="s">
        <v>35</v>
      </c>
      <c r="O565">
        <v>4</v>
      </c>
      <c r="P565" t="s">
        <v>36</v>
      </c>
      <c r="Q565">
        <v>6180</v>
      </c>
      <c r="R565">
        <v>1</v>
      </c>
      <c r="S565" t="s">
        <v>37</v>
      </c>
      <c r="T565">
        <v>23</v>
      </c>
      <c r="U565">
        <v>4</v>
      </c>
      <c r="V565">
        <v>2</v>
      </c>
      <c r="W565">
        <v>0</v>
      </c>
      <c r="X565">
        <v>6</v>
      </c>
      <c r="Y565">
        <v>5</v>
      </c>
      <c r="Z565">
        <v>2</v>
      </c>
      <c r="AA565">
        <v>6</v>
      </c>
      <c r="AB565">
        <v>5</v>
      </c>
      <c r="AC565">
        <v>1</v>
      </c>
      <c r="AD565">
        <v>4</v>
      </c>
      <c r="AE565" t="str" cm="1">
        <f t="array" ref="AE565">_xlfn.IFS(G565=1,"Before College",G565=2,"College",G565=3,"Bachelor",G565=4,"Master",G565=5,"Doctor")</f>
        <v>Before College</v>
      </c>
      <c r="AF565" t="str" cm="1">
        <f t="array" ref="AF565">_xlfn.IFS(J565=1,"Low",J565=2,"Medium",J565=3,"High",J565=4,"Very High")</f>
        <v>High</v>
      </c>
      <c r="AG565" t="str" cm="1">
        <f t="array" ref="AG565">_xlfn.IFS(L565=1,"Low",L565=2,"Medium",L565=3,"High",L565=4,"Very High")</f>
        <v>High</v>
      </c>
      <c r="AH565" t="str" cm="1">
        <f t="array" ref="AH565">_xlfn.IFS(M565=1,"Junior employee",M565=2,"Mid-level",M565=3,"Senior",M565=4,"Manager",M565=5,"Executive")</f>
        <v>Mid-level</v>
      </c>
      <c r="AI565" t="str" cm="1">
        <f t="array" ref="AI565">_xlfn.IFS(O565=1,"Low",O565=2,"Medium",O565=3,"High",O565=4,"Very High")</f>
        <v>Very High</v>
      </c>
      <c r="AJ565" t="str" cm="1">
        <f t="array" ref="AJ565">_xlfn.IFS(U565=1,"Low",U565=2,"Good",U565=3,"Excellent",U565=4,"Outstanding")</f>
        <v>Outstanding</v>
      </c>
      <c r="AK565" t="str" cm="1">
        <f t="array" ref="AK565">_xlfn.IFS(V565=1,"Low",V565=2,"Medium",V565=3,"High",V565=4,"Very High")</f>
        <v>Medium</v>
      </c>
      <c r="AL565" t="str" cm="1">
        <f t="array" ref="AL565">_xlfn.IFS(Z565=1,"Bad",Z565=2,"Good",Z565=3,"Better",Z565=4,"Best")</f>
        <v>Good</v>
      </c>
      <c r="AM565" t="str" cm="1">
        <f t="array" ref="AM565">_xlfn.IFS(W565=0,"No_stock",W565=1,"Low",W565=2,"Medium",W565=3,"High")</f>
        <v>No_stock</v>
      </c>
      <c r="AN565" t="str">
        <f t="shared" si="8"/>
        <v>Far</v>
      </c>
    </row>
    <row r="566" spans="1:40" x14ac:dyDescent="0.45">
      <c r="A566">
        <v>45</v>
      </c>
      <c r="B566" t="s">
        <v>37</v>
      </c>
      <c r="C566" t="s">
        <v>31</v>
      </c>
      <c r="D566">
        <v>954</v>
      </c>
      <c r="E566" t="s">
        <v>32</v>
      </c>
      <c r="F566">
        <v>2</v>
      </c>
      <c r="G566">
        <v>2</v>
      </c>
      <c r="H566" t="s">
        <v>54</v>
      </c>
      <c r="I566">
        <v>783</v>
      </c>
      <c r="J566">
        <v>2</v>
      </c>
      <c r="K566" t="s">
        <v>40</v>
      </c>
      <c r="L566">
        <v>1</v>
      </c>
      <c r="M566">
        <v>2</v>
      </c>
      <c r="N566" t="s">
        <v>51</v>
      </c>
      <c r="O566">
        <v>3</v>
      </c>
      <c r="P566" t="s">
        <v>36</v>
      </c>
      <c r="Q566">
        <v>6632</v>
      </c>
      <c r="R566">
        <v>0</v>
      </c>
      <c r="S566" t="s">
        <v>37</v>
      </c>
      <c r="T566">
        <v>13</v>
      </c>
      <c r="U566">
        <v>3</v>
      </c>
      <c r="V566">
        <v>1</v>
      </c>
      <c r="W566">
        <v>0</v>
      </c>
      <c r="X566">
        <v>9</v>
      </c>
      <c r="Y566">
        <v>3</v>
      </c>
      <c r="Z566">
        <v>3</v>
      </c>
      <c r="AA566">
        <v>8</v>
      </c>
      <c r="AB566">
        <v>7</v>
      </c>
      <c r="AC566">
        <v>3</v>
      </c>
      <c r="AD566">
        <v>1</v>
      </c>
      <c r="AE566" t="str" cm="1">
        <f t="array" ref="AE566">_xlfn.IFS(G566=1,"Before College",G566=2,"College",G566=3,"Bachelor",G566=4,"Master",G566=5,"Doctor")</f>
        <v>College</v>
      </c>
      <c r="AF566" t="str" cm="1">
        <f t="array" ref="AF566">_xlfn.IFS(J566=1,"Low",J566=2,"Medium",J566=3,"High",J566=4,"Very High")</f>
        <v>Medium</v>
      </c>
      <c r="AG566" t="str" cm="1">
        <f t="array" ref="AG566">_xlfn.IFS(L566=1,"Low",L566=2,"Medium",L566=3,"High",L566=4,"Very High")</f>
        <v>Low</v>
      </c>
      <c r="AH566" t="str" cm="1">
        <f t="array" ref="AH566">_xlfn.IFS(M566=1,"Junior employee",M566=2,"Mid-level",M566=3,"Senior",M566=4,"Manager",M566=5,"Executive")</f>
        <v>Mid-level</v>
      </c>
      <c r="AI566" t="str" cm="1">
        <f t="array" ref="AI566">_xlfn.IFS(O566=1,"Low",O566=2,"Medium",O566=3,"High",O566=4,"Very High")</f>
        <v>High</v>
      </c>
      <c r="AJ566" t="str" cm="1">
        <f t="array" ref="AJ566">_xlfn.IFS(U566=1,"Low",U566=2,"Good",U566=3,"Excellent",U566=4,"Outstanding")</f>
        <v>Excellent</v>
      </c>
      <c r="AK566" t="str" cm="1">
        <f t="array" ref="AK566">_xlfn.IFS(V566=1,"Low",V566=2,"Medium",V566=3,"High",V566=4,"Very High")</f>
        <v>Low</v>
      </c>
      <c r="AL566" t="str" cm="1">
        <f t="array" ref="AL566">_xlfn.IFS(Z566=1,"Bad",Z566=2,"Good",Z566=3,"Better",Z566=4,"Best")</f>
        <v>Better</v>
      </c>
      <c r="AM566" t="str" cm="1">
        <f t="array" ref="AM566">_xlfn.IFS(W566=0,"No_stock",W566=1,"Low",W566=2,"Medium",W566=3,"High")</f>
        <v>No_stock</v>
      </c>
      <c r="AN566" t="str">
        <f t="shared" si="8"/>
        <v>Near</v>
      </c>
    </row>
    <row r="567" spans="1:40" x14ac:dyDescent="0.45">
      <c r="A567">
        <v>23</v>
      </c>
      <c r="B567" t="s">
        <v>37</v>
      </c>
      <c r="C567" t="s">
        <v>31</v>
      </c>
      <c r="D567">
        <v>310</v>
      </c>
      <c r="E567" t="s">
        <v>39</v>
      </c>
      <c r="F567">
        <v>10</v>
      </c>
      <c r="G567">
        <v>1</v>
      </c>
      <c r="H567" t="s">
        <v>45</v>
      </c>
      <c r="I567">
        <v>784</v>
      </c>
      <c r="J567">
        <v>1</v>
      </c>
      <c r="K567" t="s">
        <v>40</v>
      </c>
      <c r="L567">
        <v>4</v>
      </c>
      <c r="M567">
        <v>1</v>
      </c>
      <c r="N567" t="s">
        <v>41</v>
      </c>
      <c r="O567">
        <v>3</v>
      </c>
      <c r="P567" t="s">
        <v>36</v>
      </c>
      <c r="Q567">
        <v>3505</v>
      </c>
      <c r="R567">
        <v>1</v>
      </c>
      <c r="S567" t="s">
        <v>37</v>
      </c>
      <c r="T567">
        <v>18</v>
      </c>
      <c r="U567">
        <v>3</v>
      </c>
      <c r="V567">
        <v>4</v>
      </c>
      <c r="W567">
        <v>0</v>
      </c>
      <c r="X567">
        <v>2</v>
      </c>
      <c r="Y567">
        <v>3</v>
      </c>
      <c r="Z567">
        <v>3</v>
      </c>
      <c r="AA567">
        <v>2</v>
      </c>
      <c r="AB567">
        <v>2</v>
      </c>
      <c r="AC567">
        <v>0</v>
      </c>
      <c r="AD567">
        <v>2</v>
      </c>
      <c r="AE567" t="str" cm="1">
        <f t="array" ref="AE567">_xlfn.IFS(G567=1,"Before College",G567=2,"College",G567=3,"Bachelor",G567=4,"Master",G567=5,"Doctor")</f>
        <v>Before College</v>
      </c>
      <c r="AF567" t="str" cm="1">
        <f t="array" ref="AF567">_xlfn.IFS(J567=1,"Low",J567=2,"Medium",J567=3,"High",J567=4,"Very High")</f>
        <v>Low</v>
      </c>
      <c r="AG567" t="str" cm="1">
        <f t="array" ref="AG567">_xlfn.IFS(L567=1,"Low",L567=2,"Medium",L567=3,"High",L567=4,"Very High")</f>
        <v>Very High</v>
      </c>
      <c r="AH567" t="str" cm="1">
        <f t="array" ref="AH567">_xlfn.IFS(M567=1,"Junior employee",M567=2,"Mid-level",M567=3,"Senior",M567=4,"Manager",M567=5,"Executive")</f>
        <v>Junior employee</v>
      </c>
      <c r="AI567" t="str" cm="1">
        <f t="array" ref="AI567">_xlfn.IFS(O567=1,"Low",O567=2,"Medium",O567=3,"High",O567=4,"Very High")</f>
        <v>High</v>
      </c>
      <c r="AJ567" t="str" cm="1">
        <f t="array" ref="AJ567">_xlfn.IFS(U567=1,"Low",U567=2,"Good",U567=3,"Excellent",U567=4,"Outstanding")</f>
        <v>Excellent</v>
      </c>
      <c r="AK567" t="str" cm="1">
        <f t="array" ref="AK567">_xlfn.IFS(V567=1,"Low",V567=2,"Medium",V567=3,"High",V567=4,"Very High")</f>
        <v>Very High</v>
      </c>
      <c r="AL567" t="str" cm="1">
        <f t="array" ref="AL567">_xlfn.IFS(Z567=1,"Bad",Z567=2,"Good",Z567=3,"Better",Z567=4,"Best")</f>
        <v>Better</v>
      </c>
      <c r="AM567" t="str" cm="1">
        <f t="array" ref="AM567">_xlfn.IFS(W567=0,"No_stock",W567=1,"Low",W567=2,"Medium",W567=3,"High")</f>
        <v>No_stock</v>
      </c>
      <c r="AN567" t="str">
        <f t="shared" si="8"/>
        <v>Medium</v>
      </c>
    </row>
    <row r="568" spans="1:40" x14ac:dyDescent="0.45">
      <c r="A568">
        <v>47</v>
      </c>
      <c r="B568" t="s">
        <v>30</v>
      </c>
      <c r="C568" t="s">
        <v>38</v>
      </c>
      <c r="D568">
        <v>719</v>
      </c>
      <c r="E568" t="s">
        <v>32</v>
      </c>
      <c r="F568">
        <v>27</v>
      </c>
      <c r="G568">
        <v>2</v>
      </c>
      <c r="H568" t="s">
        <v>33</v>
      </c>
      <c r="I568">
        <v>785</v>
      </c>
      <c r="J568">
        <v>2</v>
      </c>
      <c r="K568" t="s">
        <v>34</v>
      </c>
      <c r="L568">
        <v>4</v>
      </c>
      <c r="M568">
        <v>2</v>
      </c>
      <c r="N568" t="s">
        <v>35</v>
      </c>
      <c r="O568">
        <v>3</v>
      </c>
      <c r="P568" t="s">
        <v>36</v>
      </c>
      <c r="Q568">
        <v>6397</v>
      </c>
      <c r="R568">
        <v>4</v>
      </c>
      <c r="S568" t="s">
        <v>30</v>
      </c>
      <c r="T568">
        <v>12</v>
      </c>
      <c r="U568">
        <v>3</v>
      </c>
      <c r="V568">
        <v>4</v>
      </c>
      <c r="W568">
        <v>0</v>
      </c>
      <c r="X568">
        <v>8</v>
      </c>
      <c r="Y568">
        <v>2</v>
      </c>
      <c r="Z568">
        <v>3</v>
      </c>
      <c r="AA568">
        <v>5</v>
      </c>
      <c r="AB568">
        <v>4</v>
      </c>
      <c r="AC568">
        <v>1</v>
      </c>
      <c r="AD568">
        <v>3</v>
      </c>
      <c r="AE568" t="str" cm="1">
        <f t="array" ref="AE568">_xlfn.IFS(G568=1,"Before College",G568=2,"College",G568=3,"Bachelor",G568=4,"Master",G568=5,"Doctor")</f>
        <v>College</v>
      </c>
      <c r="AF568" t="str" cm="1">
        <f t="array" ref="AF568">_xlfn.IFS(J568=1,"Low",J568=2,"Medium",J568=3,"High",J568=4,"Very High")</f>
        <v>Medium</v>
      </c>
      <c r="AG568" t="str" cm="1">
        <f t="array" ref="AG568">_xlfn.IFS(L568=1,"Low",L568=2,"Medium",L568=3,"High",L568=4,"Very High")</f>
        <v>Very High</v>
      </c>
      <c r="AH568" t="str" cm="1">
        <f t="array" ref="AH568">_xlfn.IFS(M568=1,"Junior employee",M568=2,"Mid-level",M568=3,"Senior",M568=4,"Manager",M568=5,"Executive")</f>
        <v>Mid-level</v>
      </c>
      <c r="AI568" t="str" cm="1">
        <f t="array" ref="AI568">_xlfn.IFS(O568=1,"Low",O568=2,"Medium",O568=3,"High",O568=4,"Very High")</f>
        <v>High</v>
      </c>
      <c r="AJ568" t="str" cm="1">
        <f t="array" ref="AJ568">_xlfn.IFS(U568=1,"Low",U568=2,"Good",U568=3,"Excellent",U568=4,"Outstanding")</f>
        <v>Excellent</v>
      </c>
      <c r="AK568" t="str" cm="1">
        <f t="array" ref="AK568">_xlfn.IFS(V568=1,"Low",V568=2,"Medium",V568=3,"High",V568=4,"Very High")</f>
        <v>Very High</v>
      </c>
      <c r="AL568" t="str" cm="1">
        <f t="array" ref="AL568">_xlfn.IFS(Z568=1,"Bad",Z568=2,"Good",Z568=3,"Better",Z568=4,"Best")</f>
        <v>Better</v>
      </c>
      <c r="AM568" t="str" cm="1">
        <f t="array" ref="AM568">_xlfn.IFS(W568=0,"No_stock",W568=1,"Low",W568=2,"Medium",W568=3,"High")</f>
        <v>No_stock</v>
      </c>
      <c r="AN568" t="str">
        <f t="shared" si="8"/>
        <v>Far</v>
      </c>
    </row>
    <row r="569" spans="1:40" x14ac:dyDescent="0.45">
      <c r="A569">
        <v>34</v>
      </c>
      <c r="B569" t="s">
        <v>37</v>
      </c>
      <c r="C569" t="s">
        <v>31</v>
      </c>
      <c r="D569">
        <v>304</v>
      </c>
      <c r="E569" t="s">
        <v>32</v>
      </c>
      <c r="F569">
        <v>2</v>
      </c>
      <c r="G569">
        <v>3</v>
      </c>
      <c r="H569" t="s">
        <v>43</v>
      </c>
      <c r="I569">
        <v>786</v>
      </c>
      <c r="J569">
        <v>4</v>
      </c>
      <c r="K569" t="s">
        <v>40</v>
      </c>
      <c r="L569">
        <v>3</v>
      </c>
      <c r="M569">
        <v>2</v>
      </c>
      <c r="N569" t="s">
        <v>35</v>
      </c>
      <c r="O569">
        <v>4</v>
      </c>
      <c r="P569" t="s">
        <v>36</v>
      </c>
      <c r="Q569">
        <v>6274</v>
      </c>
      <c r="R569">
        <v>1</v>
      </c>
      <c r="S569" t="s">
        <v>37</v>
      </c>
      <c r="T569">
        <v>22</v>
      </c>
      <c r="U569">
        <v>4</v>
      </c>
      <c r="V569">
        <v>3</v>
      </c>
      <c r="W569">
        <v>0</v>
      </c>
      <c r="X569">
        <v>6</v>
      </c>
      <c r="Y569">
        <v>5</v>
      </c>
      <c r="Z569">
        <v>3</v>
      </c>
      <c r="AA569">
        <v>6</v>
      </c>
      <c r="AB569">
        <v>5</v>
      </c>
      <c r="AC569">
        <v>1</v>
      </c>
      <c r="AD569">
        <v>4</v>
      </c>
      <c r="AE569" t="str" cm="1">
        <f t="array" ref="AE569">_xlfn.IFS(G569=1,"Before College",G569=2,"College",G569=3,"Bachelor",G569=4,"Master",G569=5,"Doctor")</f>
        <v>Bachelor</v>
      </c>
      <c r="AF569" t="str" cm="1">
        <f t="array" ref="AF569">_xlfn.IFS(J569=1,"Low",J569=2,"Medium",J569=3,"High",J569=4,"Very High")</f>
        <v>Very High</v>
      </c>
      <c r="AG569" t="str" cm="1">
        <f t="array" ref="AG569">_xlfn.IFS(L569=1,"Low",L569=2,"Medium",L569=3,"High",L569=4,"Very High")</f>
        <v>High</v>
      </c>
      <c r="AH569" t="str" cm="1">
        <f t="array" ref="AH569">_xlfn.IFS(M569=1,"Junior employee",M569=2,"Mid-level",M569=3,"Senior",M569=4,"Manager",M569=5,"Executive")</f>
        <v>Mid-level</v>
      </c>
      <c r="AI569" t="str" cm="1">
        <f t="array" ref="AI569">_xlfn.IFS(O569=1,"Low",O569=2,"Medium",O569=3,"High",O569=4,"Very High")</f>
        <v>Very High</v>
      </c>
      <c r="AJ569" t="str" cm="1">
        <f t="array" ref="AJ569">_xlfn.IFS(U569=1,"Low",U569=2,"Good",U569=3,"Excellent",U569=4,"Outstanding")</f>
        <v>Outstanding</v>
      </c>
      <c r="AK569" t="str" cm="1">
        <f t="array" ref="AK569">_xlfn.IFS(V569=1,"Low",V569=2,"Medium",V569=3,"High",V569=4,"Very High")</f>
        <v>High</v>
      </c>
      <c r="AL569" t="str" cm="1">
        <f t="array" ref="AL569">_xlfn.IFS(Z569=1,"Bad",Z569=2,"Good",Z569=3,"Better",Z569=4,"Best")</f>
        <v>Better</v>
      </c>
      <c r="AM569" t="str" cm="1">
        <f t="array" ref="AM569">_xlfn.IFS(W569=0,"No_stock",W569=1,"Low",W569=2,"Medium",W569=3,"High")</f>
        <v>No_stock</v>
      </c>
      <c r="AN569" t="str">
        <f t="shared" si="8"/>
        <v>Near</v>
      </c>
    </row>
    <row r="570" spans="1:40" x14ac:dyDescent="0.45">
      <c r="A570">
        <v>55</v>
      </c>
      <c r="B570" t="s">
        <v>30</v>
      </c>
      <c r="C570" t="s">
        <v>31</v>
      </c>
      <c r="D570">
        <v>725</v>
      </c>
      <c r="E570" t="s">
        <v>39</v>
      </c>
      <c r="F570">
        <v>2</v>
      </c>
      <c r="G570">
        <v>3</v>
      </c>
      <c r="H570" t="s">
        <v>45</v>
      </c>
      <c r="I570">
        <v>787</v>
      </c>
      <c r="J570">
        <v>4</v>
      </c>
      <c r="K570" t="s">
        <v>40</v>
      </c>
      <c r="L570">
        <v>3</v>
      </c>
      <c r="M570">
        <v>5</v>
      </c>
      <c r="N570" t="s">
        <v>50</v>
      </c>
      <c r="O570">
        <v>1</v>
      </c>
      <c r="P570" t="s">
        <v>42</v>
      </c>
      <c r="Q570">
        <v>19859</v>
      </c>
      <c r="R570">
        <v>5</v>
      </c>
      <c r="S570" t="s">
        <v>30</v>
      </c>
      <c r="T570">
        <v>13</v>
      </c>
      <c r="U570">
        <v>3</v>
      </c>
      <c r="V570">
        <v>4</v>
      </c>
      <c r="W570">
        <v>1</v>
      </c>
      <c r="X570">
        <v>24</v>
      </c>
      <c r="Y570">
        <v>2</v>
      </c>
      <c r="Z570">
        <v>3</v>
      </c>
      <c r="AA570">
        <v>5</v>
      </c>
      <c r="AB570">
        <v>2</v>
      </c>
      <c r="AC570">
        <v>1</v>
      </c>
      <c r="AD570">
        <v>4</v>
      </c>
      <c r="AE570" t="str" cm="1">
        <f t="array" ref="AE570">_xlfn.IFS(G570=1,"Before College",G570=2,"College",G570=3,"Bachelor",G570=4,"Master",G570=5,"Doctor")</f>
        <v>Bachelor</v>
      </c>
      <c r="AF570" t="str" cm="1">
        <f t="array" ref="AF570">_xlfn.IFS(J570=1,"Low",J570=2,"Medium",J570=3,"High",J570=4,"Very High")</f>
        <v>Very High</v>
      </c>
      <c r="AG570" t="str" cm="1">
        <f t="array" ref="AG570">_xlfn.IFS(L570=1,"Low",L570=2,"Medium",L570=3,"High",L570=4,"Very High")</f>
        <v>High</v>
      </c>
      <c r="AH570" t="str" cm="1">
        <f t="array" ref="AH570">_xlfn.IFS(M570=1,"Junior employee",M570=2,"Mid-level",M570=3,"Senior",M570=4,"Manager",M570=5,"Executive")</f>
        <v>Executive</v>
      </c>
      <c r="AI570" t="str" cm="1">
        <f t="array" ref="AI570">_xlfn.IFS(O570=1,"Low",O570=2,"Medium",O570=3,"High",O570=4,"Very High")</f>
        <v>Low</v>
      </c>
      <c r="AJ570" t="str" cm="1">
        <f t="array" ref="AJ570">_xlfn.IFS(U570=1,"Low",U570=2,"Good",U570=3,"Excellent",U570=4,"Outstanding")</f>
        <v>Excellent</v>
      </c>
      <c r="AK570" t="str" cm="1">
        <f t="array" ref="AK570">_xlfn.IFS(V570=1,"Low",V570=2,"Medium",V570=3,"High",V570=4,"Very High")</f>
        <v>Very High</v>
      </c>
      <c r="AL570" t="str" cm="1">
        <f t="array" ref="AL570">_xlfn.IFS(Z570=1,"Bad",Z570=2,"Good",Z570=3,"Better",Z570=4,"Best")</f>
        <v>Better</v>
      </c>
      <c r="AM570" t="str" cm="1">
        <f t="array" ref="AM570">_xlfn.IFS(W570=0,"No_stock",W570=1,"Low",W570=2,"Medium",W570=3,"High")</f>
        <v>Low</v>
      </c>
      <c r="AN570" t="str">
        <f t="shared" si="8"/>
        <v>Near</v>
      </c>
    </row>
    <row r="571" spans="1:40" x14ac:dyDescent="0.45">
      <c r="A571">
        <v>36</v>
      </c>
      <c r="B571" t="s">
        <v>37</v>
      </c>
      <c r="C571" t="s">
        <v>49</v>
      </c>
      <c r="D571">
        <v>1434</v>
      </c>
      <c r="E571" t="s">
        <v>32</v>
      </c>
      <c r="F571">
        <v>8</v>
      </c>
      <c r="G571">
        <v>4</v>
      </c>
      <c r="H571" t="s">
        <v>33</v>
      </c>
      <c r="I571">
        <v>789</v>
      </c>
      <c r="J571">
        <v>1</v>
      </c>
      <c r="K571" t="s">
        <v>40</v>
      </c>
      <c r="L571">
        <v>2</v>
      </c>
      <c r="M571">
        <v>3</v>
      </c>
      <c r="N571" t="s">
        <v>35</v>
      </c>
      <c r="O571">
        <v>1</v>
      </c>
      <c r="P571" t="s">
        <v>36</v>
      </c>
      <c r="Q571">
        <v>7587</v>
      </c>
      <c r="R571">
        <v>1</v>
      </c>
      <c r="S571" t="s">
        <v>37</v>
      </c>
      <c r="T571">
        <v>15</v>
      </c>
      <c r="U571">
        <v>3</v>
      </c>
      <c r="V571">
        <v>2</v>
      </c>
      <c r="W571">
        <v>0</v>
      </c>
      <c r="X571">
        <v>10</v>
      </c>
      <c r="Y571">
        <v>1</v>
      </c>
      <c r="Z571">
        <v>3</v>
      </c>
      <c r="AA571">
        <v>10</v>
      </c>
      <c r="AB571">
        <v>7</v>
      </c>
      <c r="AC571">
        <v>0</v>
      </c>
      <c r="AD571">
        <v>9</v>
      </c>
      <c r="AE571" t="str" cm="1">
        <f t="array" ref="AE571">_xlfn.IFS(G571=1,"Before College",G571=2,"College",G571=3,"Bachelor",G571=4,"Master",G571=5,"Doctor")</f>
        <v>Master</v>
      </c>
      <c r="AF571" t="str" cm="1">
        <f t="array" ref="AF571">_xlfn.IFS(J571=1,"Low",J571=2,"Medium",J571=3,"High",J571=4,"Very High")</f>
        <v>Low</v>
      </c>
      <c r="AG571" t="str" cm="1">
        <f t="array" ref="AG571">_xlfn.IFS(L571=1,"Low",L571=2,"Medium",L571=3,"High",L571=4,"Very High")</f>
        <v>Medium</v>
      </c>
      <c r="AH571" t="str" cm="1">
        <f t="array" ref="AH571">_xlfn.IFS(M571=1,"Junior employee",M571=2,"Mid-level",M571=3,"Senior",M571=4,"Manager",M571=5,"Executive")</f>
        <v>Senior</v>
      </c>
      <c r="AI571" t="str" cm="1">
        <f t="array" ref="AI571">_xlfn.IFS(O571=1,"Low",O571=2,"Medium",O571=3,"High",O571=4,"Very High")</f>
        <v>Low</v>
      </c>
      <c r="AJ571" t="str" cm="1">
        <f t="array" ref="AJ571">_xlfn.IFS(U571=1,"Low",U571=2,"Good",U571=3,"Excellent",U571=4,"Outstanding")</f>
        <v>Excellent</v>
      </c>
      <c r="AK571" t="str" cm="1">
        <f t="array" ref="AK571">_xlfn.IFS(V571=1,"Low",V571=2,"Medium",V571=3,"High",V571=4,"Very High")</f>
        <v>Medium</v>
      </c>
      <c r="AL571" t="str" cm="1">
        <f t="array" ref="AL571">_xlfn.IFS(Z571=1,"Bad",Z571=2,"Good",Z571=3,"Better",Z571=4,"Best")</f>
        <v>Better</v>
      </c>
      <c r="AM571" t="str" cm="1">
        <f t="array" ref="AM571">_xlfn.IFS(W571=0,"No_stock",W571=1,"Low",W571=2,"Medium",W571=3,"High")</f>
        <v>No_stock</v>
      </c>
      <c r="AN571" t="str">
        <f t="shared" si="8"/>
        <v>Medium</v>
      </c>
    </row>
    <row r="572" spans="1:40" x14ac:dyDescent="0.45">
      <c r="A572">
        <v>52</v>
      </c>
      <c r="B572" t="s">
        <v>37</v>
      </c>
      <c r="C572" t="s">
        <v>49</v>
      </c>
      <c r="D572">
        <v>715</v>
      </c>
      <c r="E572" t="s">
        <v>39</v>
      </c>
      <c r="F572">
        <v>19</v>
      </c>
      <c r="G572">
        <v>4</v>
      </c>
      <c r="H572" t="s">
        <v>45</v>
      </c>
      <c r="I572">
        <v>791</v>
      </c>
      <c r="J572">
        <v>4</v>
      </c>
      <c r="K572" t="s">
        <v>40</v>
      </c>
      <c r="L572">
        <v>3</v>
      </c>
      <c r="M572">
        <v>1</v>
      </c>
      <c r="N572" t="s">
        <v>41</v>
      </c>
      <c r="O572">
        <v>4</v>
      </c>
      <c r="P572" t="s">
        <v>42</v>
      </c>
      <c r="Q572">
        <v>4258</v>
      </c>
      <c r="R572">
        <v>0</v>
      </c>
      <c r="S572" t="s">
        <v>37</v>
      </c>
      <c r="T572">
        <v>18</v>
      </c>
      <c r="U572">
        <v>3</v>
      </c>
      <c r="V572">
        <v>1</v>
      </c>
      <c r="W572">
        <v>1</v>
      </c>
      <c r="X572">
        <v>5</v>
      </c>
      <c r="Y572">
        <v>3</v>
      </c>
      <c r="Z572">
        <v>3</v>
      </c>
      <c r="AA572">
        <v>4</v>
      </c>
      <c r="AB572">
        <v>3</v>
      </c>
      <c r="AC572">
        <v>1</v>
      </c>
      <c r="AD572">
        <v>2</v>
      </c>
      <c r="AE572" t="str" cm="1">
        <f t="array" ref="AE572">_xlfn.IFS(G572=1,"Before College",G572=2,"College",G572=3,"Bachelor",G572=4,"Master",G572=5,"Doctor")</f>
        <v>Master</v>
      </c>
      <c r="AF572" t="str" cm="1">
        <f t="array" ref="AF572">_xlfn.IFS(J572=1,"Low",J572=2,"Medium",J572=3,"High",J572=4,"Very High")</f>
        <v>Very High</v>
      </c>
      <c r="AG572" t="str" cm="1">
        <f t="array" ref="AG572">_xlfn.IFS(L572=1,"Low",L572=2,"Medium",L572=3,"High",L572=4,"Very High")</f>
        <v>High</v>
      </c>
      <c r="AH572" t="str" cm="1">
        <f t="array" ref="AH572">_xlfn.IFS(M572=1,"Junior employee",M572=2,"Mid-level",M572=3,"Senior",M572=4,"Manager",M572=5,"Executive")</f>
        <v>Junior employee</v>
      </c>
      <c r="AI572" t="str" cm="1">
        <f t="array" ref="AI572">_xlfn.IFS(O572=1,"Low",O572=2,"Medium",O572=3,"High",O572=4,"Very High")</f>
        <v>Very High</v>
      </c>
      <c r="AJ572" t="str" cm="1">
        <f t="array" ref="AJ572">_xlfn.IFS(U572=1,"Low",U572=2,"Good",U572=3,"Excellent",U572=4,"Outstanding")</f>
        <v>Excellent</v>
      </c>
      <c r="AK572" t="str" cm="1">
        <f t="array" ref="AK572">_xlfn.IFS(V572=1,"Low",V572=2,"Medium",V572=3,"High",V572=4,"Very High")</f>
        <v>Low</v>
      </c>
      <c r="AL572" t="str" cm="1">
        <f t="array" ref="AL572">_xlfn.IFS(Z572=1,"Bad",Z572=2,"Good",Z572=3,"Better",Z572=4,"Best")</f>
        <v>Better</v>
      </c>
      <c r="AM572" t="str" cm="1">
        <f t="array" ref="AM572">_xlfn.IFS(W572=0,"No_stock",W572=1,"Low",W572=2,"Medium",W572=3,"High")</f>
        <v>Low</v>
      </c>
      <c r="AN572" t="str">
        <f t="shared" si="8"/>
        <v>Far</v>
      </c>
    </row>
    <row r="573" spans="1:40" x14ac:dyDescent="0.45">
      <c r="A573">
        <v>26</v>
      </c>
      <c r="B573" t="s">
        <v>37</v>
      </c>
      <c r="C573" t="s">
        <v>38</v>
      </c>
      <c r="D573">
        <v>575</v>
      </c>
      <c r="E573" t="s">
        <v>39</v>
      </c>
      <c r="F573">
        <v>1</v>
      </c>
      <c r="G573">
        <v>2</v>
      </c>
      <c r="H573" t="s">
        <v>33</v>
      </c>
      <c r="I573">
        <v>792</v>
      </c>
      <c r="J573">
        <v>1</v>
      </c>
      <c r="K573" t="s">
        <v>34</v>
      </c>
      <c r="L573">
        <v>1</v>
      </c>
      <c r="M573">
        <v>1</v>
      </c>
      <c r="N573" t="s">
        <v>44</v>
      </c>
      <c r="O573">
        <v>4</v>
      </c>
      <c r="P573" t="s">
        <v>46</v>
      </c>
      <c r="Q573">
        <v>4364</v>
      </c>
      <c r="R573">
        <v>3</v>
      </c>
      <c r="S573" t="s">
        <v>37</v>
      </c>
      <c r="T573">
        <v>14</v>
      </c>
      <c r="U573">
        <v>3</v>
      </c>
      <c r="V573">
        <v>1</v>
      </c>
      <c r="W573">
        <v>1</v>
      </c>
      <c r="X573">
        <v>5</v>
      </c>
      <c r="Y573">
        <v>2</v>
      </c>
      <c r="Z573">
        <v>3</v>
      </c>
      <c r="AA573">
        <v>2</v>
      </c>
      <c r="AB573">
        <v>2</v>
      </c>
      <c r="AC573">
        <v>2</v>
      </c>
      <c r="AD573">
        <v>0</v>
      </c>
      <c r="AE573" t="str" cm="1">
        <f t="array" ref="AE573">_xlfn.IFS(G573=1,"Before College",G573=2,"College",G573=3,"Bachelor",G573=4,"Master",G573=5,"Doctor")</f>
        <v>College</v>
      </c>
      <c r="AF573" t="str" cm="1">
        <f t="array" ref="AF573">_xlfn.IFS(J573=1,"Low",J573=2,"Medium",J573=3,"High",J573=4,"Very High")</f>
        <v>Low</v>
      </c>
      <c r="AG573" t="str" cm="1">
        <f t="array" ref="AG573">_xlfn.IFS(L573=1,"Low",L573=2,"Medium",L573=3,"High",L573=4,"Very High")</f>
        <v>Low</v>
      </c>
      <c r="AH573" t="str" cm="1">
        <f t="array" ref="AH573">_xlfn.IFS(M573=1,"Junior employee",M573=2,"Mid-level",M573=3,"Senior",M573=4,"Manager",M573=5,"Executive")</f>
        <v>Junior employee</v>
      </c>
      <c r="AI573" t="str" cm="1">
        <f t="array" ref="AI573">_xlfn.IFS(O573=1,"Low",O573=2,"Medium",O573=3,"High",O573=4,"Very High")</f>
        <v>Very High</v>
      </c>
      <c r="AJ573" t="str" cm="1">
        <f t="array" ref="AJ573">_xlfn.IFS(U573=1,"Low",U573=2,"Good",U573=3,"Excellent",U573=4,"Outstanding")</f>
        <v>Excellent</v>
      </c>
      <c r="AK573" t="str" cm="1">
        <f t="array" ref="AK573">_xlfn.IFS(V573=1,"Low",V573=2,"Medium",V573=3,"High",V573=4,"Very High")</f>
        <v>Low</v>
      </c>
      <c r="AL573" t="str" cm="1">
        <f t="array" ref="AL573">_xlfn.IFS(Z573=1,"Bad",Z573=2,"Good",Z573=3,"Better",Z573=4,"Best")</f>
        <v>Better</v>
      </c>
      <c r="AM573" t="str" cm="1">
        <f t="array" ref="AM573">_xlfn.IFS(W573=0,"No_stock",W573=1,"Low",W573=2,"Medium",W573=3,"High")</f>
        <v>Low</v>
      </c>
      <c r="AN573" t="str">
        <f t="shared" si="8"/>
        <v>Near</v>
      </c>
    </row>
    <row r="574" spans="1:40" x14ac:dyDescent="0.45">
      <c r="A574">
        <v>29</v>
      </c>
      <c r="B574" t="s">
        <v>37</v>
      </c>
      <c r="C574" t="s">
        <v>31</v>
      </c>
      <c r="D574">
        <v>657</v>
      </c>
      <c r="E574" t="s">
        <v>39</v>
      </c>
      <c r="F574">
        <v>27</v>
      </c>
      <c r="G574">
        <v>3</v>
      </c>
      <c r="H574" t="s">
        <v>45</v>
      </c>
      <c r="I574">
        <v>793</v>
      </c>
      <c r="J574">
        <v>2</v>
      </c>
      <c r="K574" t="s">
        <v>34</v>
      </c>
      <c r="L574">
        <v>3</v>
      </c>
      <c r="M574">
        <v>2</v>
      </c>
      <c r="N574" t="s">
        <v>48</v>
      </c>
      <c r="O574">
        <v>3</v>
      </c>
      <c r="P574" t="s">
        <v>42</v>
      </c>
      <c r="Q574">
        <v>4335</v>
      </c>
      <c r="R574">
        <v>4</v>
      </c>
      <c r="S574" t="s">
        <v>37</v>
      </c>
      <c r="T574">
        <v>12</v>
      </c>
      <c r="U574">
        <v>3</v>
      </c>
      <c r="V574">
        <v>1</v>
      </c>
      <c r="W574">
        <v>1</v>
      </c>
      <c r="X574">
        <v>11</v>
      </c>
      <c r="Y574">
        <v>3</v>
      </c>
      <c r="Z574">
        <v>2</v>
      </c>
      <c r="AA574">
        <v>8</v>
      </c>
      <c r="AB574">
        <v>7</v>
      </c>
      <c r="AC574">
        <v>1</v>
      </c>
      <c r="AD574">
        <v>1</v>
      </c>
      <c r="AE574" t="str" cm="1">
        <f t="array" ref="AE574">_xlfn.IFS(G574=1,"Before College",G574=2,"College",G574=3,"Bachelor",G574=4,"Master",G574=5,"Doctor")</f>
        <v>Bachelor</v>
      </c>
      <c r="AF574" t="str" cm="1">
        <f t="array" ref="AF574">_xlfn.IFS(J574=1,"Low",J574=2,"Medium",J574=3,"High",J574=4,"Very High")</f>
        <v>Medium</v>
      </c>
      <c r="AG574" t="str" cm="1">
        <f t="array" ref="AG574">_xlfn.IFS(L574=1,"Low",L574=2,"Medium",L574=3,"High",L574=4,"Very High")</f>
        <v>High</v>
      </c>
      <c r="AH574" t="str" cm="1">
        <f t="array" ref="AH574">_xlfn.IFS(M574=1,"Junior employee",M574=2,"Mid-level",M574=3,"Senior",M574=4,"Manager",M574=5,"Executive")</f>
        <v>Mid-level</v>
      </c>
      <c r="AI574" t="str" cm="1">
        <f t="array" ref="AI574">_xlfn.IFS(O574=1,"Low",O574=2,"Medium",O574=3,"High",O574=4,"Very High")</f>
        <v>High</v>
      </c>
      <c r="AJ574" t="str" cm="1">
        <f t="array" ref="AJ574">_xlfn.IFS(U574=1,"Low",U574=2,"Good",U574=3,"Excellent",U574=4,"Outstanding")</f>
        <v>Excellent</v>
      </c>
      <c r="AK574" t="str" cm="1">
        <f t="array" ref="AK574">_xlfn.IFS(V574=1,"Low",V574=2,"Medium",V574=3,"High",V574=4,"Very High")</f>
        <v>Low</v>
      </c>
      <c r="AL574" t="str" cm="1">
        <f t="array" ref="AL574">_xlfn.IFS(Z574=1,"Bad",Z574=2,"Good",Z574=3,"Better",Z574=4,"Best")</f>
        <v>Good</v>
      </c>
      <c r="AM574" t="str" cm="1">
        <f t="array" ref="AM574">_xlfn.IFS(W574=0,"No_stock",W574=1,"Low",W574=2,"Medium",W574=3,"High")</f>
        <v>Low</v>
      </c>
      <c r="AN574" t="str">
        <f t="shared" si="8"/>
        <v>Far</v>
      </c>
    </row>
    <row r="575" spans="1:40" x14ac:dyDescent="0.45">
      <c r="A575">
        <v>26</v>
      </c>
      <c r="B575" t="s">
        <v>30</v>
      </c>
      <c r="C575" t="s">
        <v>31</v>
      </c>
      <c r="D575">
        <v>1146</v>
      </c>
      <c r="E575" t="s">
        <v>32</v>
      </c>
      <c r="F575">
        <v>8</v>
      </c>
      <c r="G575">
        <v>3</v>
      </c>
      <c r="H575" t="s">
        <v>54</v>
      </c>
      <c r="I575">
        <v>796</v>
      </c>
      <c r="J575">
        <v>4</v>
      </c>
      <c r="K575" t="s">
        <v>40</v>
      </c>
      <c r="L575">
        <v>2</v>
      </c>
      <c r="M575">
        <v>2</v>
      </c>
      <c r="N575" t="s">
        <v>35</v>
      </c>
      <c r="O575">
        <v>1</v>
      </c>
      <c r="P575" t="s">
        <v>36</v>
      </c>
      <c r="Q575">
        <v>5326</v>
      </c>
      <c r="R575">
        <v>6</v>
      </c>
      <c r="S575" t="s">
        <v>37</v>
      </c>
      <c r="T575">
        <v>17</v>
      </c>
      <c r="U575">
        <v>3</v>
      </c>
      <c r="V575">
        <v>3</v>
      </c>
      <c r="W575">
        <v>0</v>
      </c>
      <c r="X575">
        <v>6</v>
      </c>
      <c r="Y575">
        <v>2</v>
      </c>
      <c r="Z575">
        <v>2</v>
      </c>
      <c r="AA575">
        <v>4</v>
      </c>
      <c r="AB575">
        <v>3</v>
      </c>
      <c r="AC575">
        <v>1</v>
      </c>
      <c r="AD575">
        <v>2</v>
      </c>
      <c r="AE575" t="str" cm="1">
        <f t="array" ref="AE575">_xlfn.IFS(G575=1,"Before College",G575=2,"College",G575=3,"Bachelor",G575=4,"Master",G575=5,"Doctor")</f>
        <v>Bachelor</v>
      </c>
      <c r="AF575" t="str" cm="1">
        <f t="array" ref="AF575">_xlfn.IFS(J575=1,"Low",J575=2,"Medium",J575=3,"High",J575=4,"Very High")</f>
        <v>Very High</v>
      </c>
      <c r="AG575" t="str" cm="1">
        <f t="array" ref="AG575">_xlfn.IFS(L575=1,"Low",L575=2,"Medium",L575=3,"High",L575=4,"Very High")</f>
        <v>Medium</v>
      </c>
      <c r="AH575" t="str" cm="1">
        <f t="array" ref="AH575">_xlfn.IFS(M575=1,"Junior employee",M575=2,"Mid-level",M575=3,"Senior",M575=4,"Manager",M575=5,"Executive")</f>
        <v>Mid-level</v>
      </c>
      <c r="AI575" t="str" cm="1">
        <f t="array" ref="AI575">_xlfn.IFS(O575=1,"Low",O575=2,"Medium",O575=3,"High",O575=4,"Very High")</f>
        <v>Low</v>
      </c>
      <c r="AJ575" t="str" cm="1">
        <f t="array" ref="AJ575">_xlfn.IFS(U575=1,"Low",U575=2,"Good",U575=3,"Excellent",U575=4,"Outstanding")</f>
        <v>Excellent</v>
      </c>
      <c r="AK575" t="str" cm="1">
        <f t="array" ref="AK575">_xlfn.IFS(V575=1,"Low",V575=2,"Medium",V575=3,"High",V575=4,"Very High")</f>
        <v>High</v>
      </c>
      <c r="AL575" t="str" cm="1">
        <f t="array" ref="AL575">_xlfn.IFS(Z575=1,"Bad",Z575=2,"Good",Z575=3,"Better",Z575=4,"Best")</f>
        <v>Good</v>
      </c>
      <c r="AM575" t="str" cm="1">
        <f t="array" ref="AM575">_xlfn.IFS(W575=0,"No_stock",W575=1,"Low",W575=2,"Medium",W575=3,"High")</f>
        <v>No_stock</v>
      </c>
      <c r="AN575" t="str">
        <f t="shared" si="8"/>
        <v>Medium</v>
      </c>
    </row>
    <row r="576" spans="1:40" x14ac:dyDescent="0.45">
      <c r="A576">
        <v>34</v>
      </c>
      <c r="B576" t="s">
        <v>37</v>
      </c>
      <c r="C576" t="s">
        <v>31</v>
      </c>
      <c r="D576">
        <v>182</v>
      </c>
      <c r="E576" t="s">
        <v>39</v>
      </c>
      <c r="F576">
        <v>1</v>
      </c>
      <c r="G576">
        <v>4</v>
      </c>
      <c r="H576" t="s">
        <v>33</v>
      </c>
      <c r="I576">
        <v>797</v>
      </c>
      <c r="J576">
        <v>2</v>
      </c>
      <c r="K576" t="s">
        <v>34</v>
      </c>
      <c r="L576">
        <v>4</v>
      </c>
      <c r="M576">
        <v>1</v>
      </c>
      <c r="N576" t="s">
        <v>41</v>
      </c>
      <c r="O576">
        <v>4</v>
      </c>
      <c r="P576" t="s">
        <v>36</v>
      </c>
      <c r="Q576">
        <v>3280</v>
      </c>
      <c r="R576">
        <v>2</v>
      </c>
      <c r="S576" t="s">
        <v>37</v>
      </c>
      <c r="T576">
        <v>16</v>
      </c>
      <c r="U576">
        <v>3</v>
      </c>
      <c r="V576">
        <v>3</v>
      </c>
      <c r="W576">
        <v>0</v>
      </c>
      <c r="X576">
        <v>10</v>
      </c>
      <c r="Y576">
        <v>2</v>
      </c>
      <c r="Z576">
        <v>3</v>
      </c>
      <c r="AA576">
        <v>4</v>
      </c>
      <c r="AB576">
        <v>2</v>
      </c>
      <c r="AC576">
        <v>1</v>
      </c>
      <c r="AD576">
        <v>3</v>
      </c>
      <c r="AE576" t="str" cm="1">
        <f t="array" ref="AE576">_xlfn.IFS(G576=1,"Before College",G576=2,"College",G576=3,"Bachelor",G576=4,"Master",G576=5,"Doctor")</f>
        <v>Master</v>
      </c>
      <c r="AF576" t="str" cm="1">
        <f t="array" ref="AF576">_xlfn.IFS(J576=1,"Low",J576=2,"Medium",J576=3,"High",J576=4,"Very High")</f>
        <v>Medium</v>
      </c>
      <c r="AG576" t="str" cm="1">
        <f t="array" ref="AG576">_xlfn.IFS(L576=1,"Low",L576=2,"Medium",L576=3,"High",L576=4,"Very High")</f>
        <v>Very High</v>
      </c>
      <c r="AH576" t="str" cm="1">
        <f t="array" ref="AH576">_xlfn.IFS(M576=1,"Junior employee",M576=2,"Mid-level",M576=3,"Senior",M576=4,"Manager",M576=5,"Executive")</f>
        <v>Junior employee</v>
      </c>
      <c r="AI576" t="str" cm="1">
        <f t="array" ref="AI576">_xlfn.IFS(O576=1,"Low",O576=2,"Medium",O576=3,"High",O576=4,"Very High")</f>
        <v>Very High</v>
      </c>
      <c r="AJ576" t="str" cm="1">
        <f t="array" ref="AJ576">_xlfn.IFS(U576=1,"Low",U576=2,"Good",U576=3,"Excellent",U576=4,"Outstanding")</f>
        <v>Excellent</v>
      </c>
      <c r="AK576" t="str" cm="1">
        <f t="array" ref="AK576">_xlfn.IFS(V576=1,"Low",V576=2,"Medium",V576=3,"High",V576=4,"Very High")</f>
        <v>High</v>
      </c>
      <c r="AL576" t="str" cm="1">
        <f t="array" ref="AL576">_xlfn.IFS(Z576=1,"Bad",Z576=2,"Good",Z576=3,"Better",Z576=4,"Best")</f>
        <v>Better</v>
      </c>
      <c r="AM576" t="str" cm="1">
        <f t="array" ref="AM576">_xlfn.IFS(W576=0,"No_stock",W576=1,"Low",W576=2,"Medium",W576=3,"High")</f>
        <v>No_stock</v>
      </c>
      <c r="AN576" t="str">
        <f t="shared" si="8"/>
        <v>Near</v>
      </c>
    </row>
    <row r="577" spans="1:40" x14ac:dyDescent="0.45">
      <c r="A577">
        <v>54</v>
      </c>
      <c r="B577" t="s">
        <v>37</v>
      </c>
      <c r="C577" t="s">
        <v>31</v>
      </c>
      <c r="D577">
        <v>376</v>
      </c>
      <c r="E577" t="s">
        <v>39</v>
      </c>
      <c r="F577">
        <v>19</v>
      </c>
      <c r="G577">
        <v>4</v>
      </c>
      <c r="H577" t="s">
        <v>45</v>
      </c>
      <c r="I577">
        <v>799</v>
      </c>
      <c r="J577">
        <v>4</v>
      </c>
      <c r="K577" t="s">
        <v>34</v>
      </c>
      <c r="L577">
        <v>3</v>
      </c>
      <c r="M577">
        <v>2</v>
      </c>
      <c r="N577" t="s">
        <v>47</v>
      </c>
      <c r="O577">
        <v>1</v>
      </c>
      <c r="P577" t="s">
        <v>46</v>
      </c>
      <c r="Q577">
        <v>5485</v>
      </c>
      <c r="R577">
        <v>9</v>
      </c>
      <c r="S577" t="s">
        <v>30</v>
      </c>
      <c r="T577">
        <v>11</v>
      </c>
      <c r="U577">
        <v>3</v>
      </c>
      <c r="V577">
        <v>2</v>
      </c>
      <c r="W577">
        <v>2</v>
      </c>
      <c r="X577">
        <v>9</v>
      </c>
      <c r="Y577">
        <v>4</v>
      </c>
      <c r="Z577">
        <v>3</v>
      </c>
      <c r="AA577">
        <v>5</v>
      </c>
      <c r="AB577">
        <v>3</v>
      </c>
      <c r="AC577">
        <v>1</v>
      </c>
      <c r="AD577">
        <v>4</v>
      </c>
      <c r="AE577" t="str" cm="1">
        <f t="array" ref="AE577">_xlfn.IFS(G577=1,"Before College",G577=2,"College",G577=3,"Bachelor",G577=4,"Master",G577=5,"Doctor")</f>
        <v>Master</v>
      </c>
      <c r="AF577" t="str" cm="1">
        <f t="array" ref="AF577">_xlfn.IFS(J577=1,"Low",J577=2,"Medium",J577=3,"High",J577=4,"Very High")</f>
        <v>Very High</v>
      </c>
      <c r="AG577" t="str" cm="1">
        <f t="array" ref="AG577">_xlfn.IFS(L577=1,"Low",L577=2,"Medium",L577=3,"High",L577=4,"Very High")</f>
        <v>High</v>
      </c>
      <c r="AH577" t="str" cm="1">
        <f t="array" ref="AH577">_xlfn.IFS(M577=1,"Junior employee",M577=2,"Mid-level",M577=3,"Senior",M577=4,"Manager",M577=5,"Executive")</f>
        <v>Mid-level</v>
      </c>
      <c r="AI577" t="str" cm="1">
        <f t="array" ref="AI577">_xlfn.IFS(O577=1,"Low",O577=2,"Medium",O577=3,"High",O577=4,"Very High")</f>
        <v>Low</v>
      </c>
      <c r="AJ577" t="str" cm="1">
        <f t="array" ref="AJ577">_xlfn.IFS(U577=1,"Low",U577=2,"Good",U577=3,"Excellent",U577=4,"Outstanding")</f>
        <v>Excellent</v>
      </c>
      <c r="AK577" t="str" cm="1">
        <f t="array" ref="AK577">_xlfn.IFS(V577=1,"Low",V577=2,"Medium",V577=3,"High",V577=4,"Very High")</f>
        <v>Medium</v>
      </c>
      <c r="AL577" t="str" cm="1">
        <f t="array" ref="AL577">_xlfn.IFS(Z577=1,"Bad",Z577=2,"Good",Z577=3,"Better",Z577=4,"Best")</f>
        <v>Better</v>
      </c>
      <c r="AM577" t="str" cm="1">
        <f t="array" ref="AM577">_xlfn.IFS(W577=0,"No_stock",W577=1,"Low",W577=2,"Medium",W577=3,"High")</f>
        <v>Medium</v>
      </c>
      <c r="AN577" t="str">
        <f t="shared" si="8"/>
        <v>Far</v>
      </c>
    </row>
    <row r="578" spans="1:40" x14ac:dyDescent="0.45">
      <c r="A578">
        <v>27</v>
      </c>
      <c r="B578" t="s">
        <v>37</v>
      </c>
      <c r="C578" t="s">
        <v>38</v>
      </c>
      <c r="D578">
        <v>829</v>
      </c>
      <c r="E578" t="s">
        <v>32</v>
      </c>
      <c r="F578">
        <v>8</v>
      </c>
      <c r="G578">
        <v>1</v>
      </c>
      <c r="H578" t="s">
        <v>53</v>
      </c>
      <c r="I578">
        <v>800</v>
      </c>
      <c r="J578">
        <v>3</v>
      </c>
      <c r="K578" t="s">
        <v>40</v>
      </c>
      <c r="L578">
        <v>3</v>
      </c>
      <c r="M578">
        <v>2</v>
      </c>
      <c r="N578" t="s">
        <v>35</v>
      </c>
      <c r="O578">
        <v>4</v>
      </c>
      <c r="P578" t="s">
        <v>42</v>
      </c>
      <c r="Q578">
        <v>4342</v>
      </c>
      <c r="R578">
        <v>0</v>
      </c>
      <c r="S578" t="s">
        <v>37</v>
      </c>
      <c r="T578">
        <v>19</v>
      </c>
      <c r="U578">
        <v>3</v>
      </c>
      <c r="V578">
        <v>2</v>
      </c>
      <c r="W578">
        <v>1</v>
      </c>
      <c r="X578">
        <v>5</v>
      </c>
      <c r="Y578">
        <v>3</v>
      </c>
      <c r="Z578">
        <v>3</v>
      </c>
      <c r="AA578">
        <v>4</v>
      </c>
      <c r="AB578">
        <v>2</v>
      </c>
      <c r="AC578">
        <v>1</v>
      </c>
      <c r="AD578">
        <v>1</v>
      </c>
      <c r="AE578" t="str" cm="1">
        <f t="array" ref="AE578">_xlfn.IFS(G578=1,"Before College",G578=2,"College",G578=3,"Bachelor",G578=4,"Master",G578=5,"Doctor")</f>
        <v>Before College</v>
      </c>
      <c r="AF578" t="str" cm="1">
        <f t="array" ref="AF578">_xlfn.IFS(J578=1,"Low",J578=2,"Medium",J578=3,"High",J578=4,"Very High")</f>
        <v>High</v>
      </c>
      <c r="AG578" t="str" cm="1">
        <f t="array" ref="AG578">_xlfn.IFS(L578=1,"Low",L578=2,"Medium",L578=3,"High",L578=4,"Very High")</f>
        <v>High</v>
      </c>
      <c r="AH578" t="str" cm="1">
        <f t="array" ref="AH578">_xlfn.IFS(M578=1,"Junior employee",M578=2,"Mid-level",M578=3,"Senior",M578=4,"Manager",M578=5,"Executive")</f>
        <v>Mid-level</v>
      </c>
      <c r="AI578" t="str" cm="1">
        <f t="array" ref="AI578">_xlfn.IFS(O578=1,"Low",O578=2,"Medium",O578=3,"High",O578=4,"Very High")</f>
        <v>Very High</v>
      </c>
      <c r="AJ578" t="str" cm="1">
        <f t="array" ref="AJ578">_xlfn.IFS(U578=1,"Low",U578=2,"Good",U578=3,"Excellent",U578=4,"Outstanding")</f>
        <v>Excellent</v>
      </c>
      <c r="AK578" t="str" cm="1">
        <f t="array" ref="AK578">_xlfn.IFS(V578=1,"Low",V578=2,"Medium",V578=3,"High",V578=4,"Very High")</f>
        <v>Medium</v>
      </c>
      <c r="AL578" t="str" cm="1">
        <f t="array" ref="AL578">_xlfn.IFS(Z578=1,"Bad",Z578=2,"Good",Z578=3,"Better",Z578=4,"Best")</f>
        <v>Better</v>
      </c>
      <c r="AM578" t="str" cm="1">
        <f t="array" ref="AM578">_xlfn.IFS(W578=0,"No_stock",W578=1,"Low",W578=2,"Medium",W578=3,"High")</f>
        <v>Low</v>
      </c>
      <c r="AN578" t="str">
        <f t="shared" ref="AN578:AN641" si="9">IF(F578&lt;=5,"Near",IF(F578&lt;=15,"Medium","Far"))</f>
        <v>Medium</v>
      </c>
    </row>
    <row r="579" spans="1:40" x14ac:dyDescent="0.45">
      <c r="A579">
        <v>37</v>
      </c>
      <c r="B579" t="s">
        <v>37</v>
      </c>
      <c r="C579" t="s">
        <v>31</v>
      </c>
      <c r="D579">
        <v>571</v>
      </c>
      <c r="E579" t="s">
        <v>39</v>
      </c>
      <c r="F579">
        <v>10</v>
      </c>
      <c r="G579">
        <v>1</v>
      </c>
      <c r="H579" t="s">
        <v>33</v>
      </c>
      <c r="I579">
        <v>802</v>
      </c>
      <c r="J579">
        <v>4</v>
      </c>
      <c r="K579" t="s">
        <v>34</v>
      </c>
      <c r="L579">
        <v>3</v>
      </c>
      <c r="M579">
        <v>1</v>
      </c>
      <c r="N579" t="s">
        <v>41</v>
      </c>
      <c r="O579">
        <v>1</v>
      </c>
      <c r="P579" t="s">
        <v>46</v>
      </c>
      <c r="Q579">
        <v>2782</v>
      </c>
      <c r="R579">
        <v>0</v>
      </c>
      <c r="S579" t="s">
        <v>30</v>
      </c>
      <c r="T579">
        <v>13</v>
      </c>
      <c r="U579">
        <v>3</v>
      </c>
      <c r="V579">
        <v>2</v>
      </c>
      <c r="W579">
        <v>2</v>
      </c>
      <c r="X579">
        <v>6</v>
      </c>
      <c r="Y579">
        <v>3</v>
      </c>
      <c r="Z579">
        <v>2</v>
      </c>
      <c r="AA579">
        <v>5</v>
      </c>
      <c r="AB579">
        <v>3</v>
      </c>
      <c r="AC579">
        <v>4</v>
      </c>
      <c r="AD579">
        <v>3</v>
      </c>
      <c r="AE579" t="str" cm="1">
        <f t="array" ref="AE579">_xlfn.IFS(G579=1,"Before College",G579=2,"College",G579=3,"Bachelor",G579=4,"Master",G579=5,"Doctor")</f>
        <v>Before College</v>
      </c>
      <c r="AF579" t="str" cm="1">
        <f t="array" ref="AF579">_xlfn.IFS(J579=1,"Low",J579=2,"Medium",J579=3,"High",J579=4,"Very High")</f>
        <v>Very High</v>
      </c>
      <c r="AG579" t="str" cm="1">
        <f t="array" ref="AG579">_xlfn.IFS(L579=1,"Low",L579=2,"Medium",L579=3,"High",L579=4,"Very High")</f>
        <v>High</v>
      </c>
      <c r="AH579" t="str" cm="1">
        <f t="array" ref="AH579">_xlfn.IFS(M579=1,"Junior employee",M579=2,"Mid-level",M579=3,"Senior",M579=4,"Manager",M579=5,"Executive")</f>
        <v>Junior employee</v>
      </c>
      <c r="AI579" t="str" cm="1">
        <f t="array" ref="AI579">_xlfn.IFS(O579=1,"Low",O579=2,"Medium",O579=3,"High",O579=4,"Very High")</f>
        <v>Low</v>
      </c>
      <c r="AJ579" t="str" cm="1">
        <f t="array" ref="AJ579">_xlfn.IFS(U579=1,"Low",U579=2,"Good",U579=3,"Excellent",U579=4,"Outstanding")</f>
        <v>Excellent</v>
      </c>
      <c r="AK579" t="str" cm="1">
        <f t="array" ref="AK579">_xlfn.IFS(V579=1,"Low",V579=2,"Medium",V579=3,"High",V579=4,"Very High")</f>
        <v>Medium</v>
      </c>
      <c r="AL579" t="str" cm="1">
        <f t="array" ref="AL579">_xlfn.IFS(Z579=1,"Bad",Z579=2,"Good",Z579=3,"Better",Z579=4,"Best")</f>
        <v>Good</v>
      </c>
      <c r="AM579" t="str" cm="1">
        <f t="array" ref="AM579">_xlfn.IFS(W579=0,"No_stock",W579=1,"Low",W579=2,"Medium",W579=3,"High")</f>
        <v>Medium</v>
      </c>
      <c r="AN579" t="str">
        <f t="shared" si="9"/>
        <v>Medium</v>
      </c>
    </row>
    <row r="580" spans="1:40" x14ac:dyDescent="0.45">
      <c r="A580">
        <v>38</v>
      </c>
      <c r="B580" t="s">
        <v>37</v>
      </c>
      <c r="C580" t="s">
        <v>38</v>
      </c>
      <c r="D580">
        <v>240</v>
      </c>
      <c r="E580" t="s">
        <v>39</v>
      </c>
      <c r="F580">
        <v>2</v>
      </c>
      <c r="G580">
        <v>4</v>
      </c>
      <c r="H580" t="s">
        <v>33</v>
      </c>
      <c r="I580">
        <v>803</v>
      </c>
      <c r="J580">
        <v>1</v>
      </c>
      <c r="K580" t="s">
        <v>34</v>
      </c>
      <c r="L580">
        <v>4</v>
      </c>
      <c r="M580">
        <v>2</v>
      </c>
      <c r="N580" t="s">
        <v>47</v>
      </c>
      <c r="O580">
        <v>1</v>
      </c>
      <c r="P580" t="s">
        <v>36</v>
      </c>
      <c r="Q580">
        <v>5980</v>
      </c>
      <c r="R580">
        <v>6</v>
      </c>
      <c r="S580" t="s">
        <v>30</v>
      </c>
      <c r="T580">
        <v>12</v>
      </c>
      <c r="U580">
        <v>3</v>
      </c>
      <c r="V580">
        <v>4</v>
      </c>
      <c r="W580">
        <v>0</v>
      </c>
      <c r="X580">
        <v>17</v>
      </c>
      <c r="Y580">
        <v>2</v>
      </c>
      <c r="Z580">
        <v>3</v>
      </c>
      <c r="AA580">
        <v>15</v>
      </c>
      <c r="AB580">
        <v>7</v>
      </c>
      <c r="AC580">
        <v>4</v>
      </c>
      <c r="AD580">
        <v>12</v>
      </c>
      <c r="AE580" t="str" cm="1">
        <f t="array" ref="AE580">_xlfn.IFS(G580=1,"Before College",G580=2,"College",G580=3,"Bachelor",G580=4,"Master",G580=5,"Doctor")</f>
        <v>Master</v>
      </c>
      <c r="AF580" t="str" cm="1">
        <f t="array" ref="AF580">_xlfn.IFS(J580=1,"Low",J580=2,"Medium",J580=3,"High",J580=4,"Very High")</f>
        <v>Low</v>
      </c>
      <c r="AG580" t="str" cm="1">
        <f t="array" ref="AG580">_xlfn.IFS(L580=1,"Low",L580=2,"Medium",L580=3,"High",L580=4,"Very High")</f>
        <v>Very High</v>
      </c>
      <c r="AH580" t="str" cm="1">
        <f t="array" ref="AH580">_xlfn.IFS(M580=1,"Junior employee",M580=2,"Mid-level",M580=3,"Senior",M580=4,"Manager",M580=5,"Executive")</f>
        <v>Mid-level</v>
      </c>
      <c r="AI580" t="str" cm="1">
        <f t="array" ref="AI580">_xlfn.IFS(O580=1,"Low",O580=2,"Medium",O580=3,"High",O580=4,"Very High")</f>
        <v>Low</v>
      </c>
      <c r="AJ580" t="str" cm="1">
        <f t="array" ref="AJ580">_xlfn.IFS(U580=1,"Low",U580=2,"Good",U580=3,"Excellent",U580=4,"Outstanding")</f>
        <v>Excellent</v>
      </c>
      <c r="AK580" t="str" cm="1">
        <f t="array" ref="AK580">_xlfn.IFS(V580=1,"Low",V580=2,"Medium",V580=3,"High",V580=4,"Very High")</f>
        <v>Very High</v>
      </c>
      <c r="AL580" t="str" cm="1">
        <f t="array" ref="AL580">_xlfn.IFS(Z580=1,"Bad",Z580=2,"Good",Z580=3,"Better",Z580=4,"Best")</f>
        <v>Better</v>
      </c>
      <c r="AM580" t="str" cm="1">
        <f t="array" ref="AM580">_xlfn.IFS(W580=0,"No_stock",W580=1,"Low",W580=2,"Medium",W580=3,"High")</f>
        <v>No_stock</v>
      </c>
      <c r="AN580" t="str">
        <f t="shared" si="9"/>
        <v>Near</v>
      </c>
    </row>
    <row r="581" spans="1:40" x14ac:dyDescent="0.45">
      <c r="A581">
        <v>34</v>
      </c>
      <c r="B581" t="s">
        <v>37</v>
      </c>
      <c r="C581" t="s">
        <v>31</v>
      </c>
      <c r="D581">
        <v>121</v>
      </c>
      <c r="E581" t="s">
        <v>39</v>
      </c>
      <c r="F581">
        <v>2</v>
      </c>
      <c r="G581">
        <v>4</v>
      </c>
      <c r="H581" t="s">
        <v>45</v>
      </c>
      <c r="I581">
        <v>804</v>
      </c>
      <c r="J581">
        <v>3</v>
      </c>
      <c r="K581" t="s">
        <v>34</v>
      </c>
      <c r="L581">
        <v>2</v>
      </c>
      <c r="M581">
        <v>1</v>
      </c>
      <c r="N581" t="s">
        <v>41</v>
      </c>
      <c r="O581">
        <v>1</v>
      </c>
      <c r="P581" t="s">
        <v>36</v>
      </c>
      <c r="Q581">
        <v>4381</v>
      </c>
      <c r="R581">
        <v>1</v>
      </c>
      <c r="S581" t="s">
        <v>37</v>
      </c>
      <c r="T581">
        <v>11</v>
      </c>
      <c r="U581">
        <v>3</v>
      </c>
      <c r="V581">
        <v>3</v>
      </c>
      <c r="W581">
        <v>0</v>
      </c>
      <c r="X581">
        <v>6</v>
      </c>
      <c r="Y581">
        <v>3</v>
      </c>
      <c r="Z581">
        <v>3</v>
      </c>
      <c r="AA581">
        <v>6</v>
      </c>
      <c r="AB581">
        <v>5</v>
      </c>
      <c r="AC581">
        <v>1</v>
      </c>
      <c r="AD581">
        <v>3</v>
      </c>
      <c r="AE581" t="str" cm="1">
        <f t="array" ref="AE581">_xlfn.IFS(G581=1,"Before College",G581=2,"College",G581=3,"Bachelor",G581=4,"Master",G581=5,"Doctor")</f>
        <v>Master</v>
      </c>
      <c r="AF581" t="str" cm="1">
        <f t="array" ref="AF581">_xlfn.IFS(J581=1,"Low",J581=2,"Medium",J581=3,"High",J581=4,"Very High")</f>
        <v>High</v>
      </c>
      <c r="AG581" t="str" cm="1">
        <f t="array" ref="AG581">_xlfn.IFS(L581=1,"Low",L581=2,"Medium",L581=3,"High",L581=4,"Very High")</f>
        <v>Medium</v>
      </c>
      <c r="AH581" t="str" cm="1">
        <f t="array" ref="AH581">_xlfn.IFS(M581=1,"Junior employee",M581=2,"Mid-level",M581=3,"Senior",M581=4,"Manager",M581=5,"Executive")</f>
        <v>Junior employee</v>
      </c>
      <c r="AI581" t="str" cm="1">
        <f t="array" ref="AI581">_xlfn.IFS(O581=1,"Low",O581=2,"Medium",O581=3,"High",O581=4,"Very High")</f>
        <v>Low</v>
      </c>
      <c r="AJ581" t="str" cm="1">
        <f t="array" ref="AJ581">_xlfn.IFS(U581=1,"Low",U581=2,"Good",U581=3,"Excellent",U581=4,"Outstanding")</f>
        <v>Excellent</v>
      </c>
      <c r="AK581" t="str" cm="1">
        <f t="array" ref="AK581">_xlfn.IFS(V581=1,"Low",V581=2,"Medium",V581=3,"High",V581=4,"Very High")</f>
        <v>High</v>
      </c>
      <c r="AL581" t="str" cm="1">
        <f t="array" ref="AL581">_xlfn.IFS(Z581=1,"Bad",Z581=2,"Good",Z581=3,"Better",Z581=4,"Best")</f>
        <v>Better</v>
      </c>
      <c r="AM581" t="str" cm="1">
        <f t="array" ref="AM581">_xlfn.IFS(W581=0,"No_stock",W581=1,"Low",W581=2,"Medium",W581=3,"High")</f>
        <v>No_stock</v>
      </c>
      <c r="AN581" t="str">
        <f t="shared" si="9"/>
        <v>Near</v>
      </c>
    </row>
    <row r="582" spans="1:40" x14ac:dyDescent="0.45">
      <c r="A582">
        <v>35</v>
      </c>
      <c r="B582" t="s">
        <v>37</v>
      </c>
      <c r="C582" t="s">
        <v>31</v>
      </c>
      <c r="D582">
        <v>384</v>
      </c>
      <c r="E582" t="s">
        <v>32</v>
      </c>
      <c r="F582">
        <v>8</v>
      </c>
      <c r="G582">
        <v>4</v>
      </c>
      <c r="H582" t="s">
        <v>33</v>
      </c>
      <c r="I582">
        <v>805</v>
      </c>
      <c r="J582">
        <v>1</v>
      </c>
      <c r="K582" t="s">
        <v>34</v>
      </c>
      <c r="L582">
        <v>3</v>
      </c>
      <c r="M582">
        <v>1</v>
      </c>
      <c r="N582" t="s">
        <v>51</v>
      </c>
      <c r="O582">
        <v>4</v>
      </c>
      <c r="P582" t="s">
        <v>42</v>
      </c>
      <c r="Q582">
        <v>2572</v>
      </c>
      <c r="R582">
        <v>1</v>
      </c>
      <c r="S582" t="s">
        <v>37</v>
      </c>
      <c r="T582">
        <v>16</v>
      </c>
      <c r="U582">
        <v>3</v>
      </c>
      <c r="V582">
        <v>2</v>
      </c>
      <c r="W582">
        <v>1</v>
      </c>
      <c r="X582">
        <v>3</v>
      </c>
      <c r="Y582">
        <v>1</v>
      </c>
      <c r="Z582">
        <v>2</v>
      </c>
      <c r="AA582">
        <v>3</v>
      </c>
      <c r="AB582">
        <v>2</v>
      </c>
      <c r="AC582">
        <v>0</v>
      </c>
      <c r="AD582">
        <v>2</v>
      </c>
      <c r="AE582" t="str" cm="1">
        <f t="array" ref="AE582">_xlfn.IFS(G582=1,"Before College",G582=2,"College",G582=3,"Bachelor",G582=4,"Master",G582=5,"Doctor")</f>
        <v>Master</v>
      </c>
      <c r="AF582" t="str" cm="1">
        <f t="array" ref="AF582">_xlfn.IFS(J582=1,"Low",J582=2,"Medium",J582=3,"High",J582=4,"Very High")</f>
        <v>Low</v>
      </c>
      <c r="AG582" t="str" cm="1">
        <f t="array" ref="AG582">_xlfn.IFS(L582=1,"Low",L582=2,"Medium",L582=3,"High",L582=4,"Very High")</f>
        <v>High</v>
      </c>
      <c r="AH582" t="str" cm="1">
        <f t="array" ref="AH582">_xlfn.IFS(M582=1,"Junior employee",M582=2,"Mid-level",M582=3,"Senior",M582=4,"Manager",M582=5,"Executive")</f>
        <v>Junior employee</v>
      </c>
      <c r="AI582" t="str" cm="1">
        <f t="array" ref="AI582">_xlfn.IFS(O582=1,"Low",O582=2,"Medium",O582=3,"High",O582=4,"Very High")</f>
        <v>Very High</v>
      </c>
      <c r="AJ582" t="str" cm="1">
        <f t="array" ref="AJ582">_xlfn.IFS(U582=1,"Low",U582=2,"Good",U582=3,"Excellent",U582=4,"Outstanding")</f>
        <v>Excellent</v>
      </c>
      <c r="AK582" t="str" cm="1">
        <f t="array" ref="AK582">_xlfn.IFS(V582=1,"Low",V582=2,"Medium",V582=3,"High",V582=4,"Very High")</f>
        <v>Medium</v>
      </c>
      <c r="AL582" t="str" cm="1">
        <f t="array" ref="AL582">_xlfn.IFS(Z582=1,"Bad",Z582=2,"Good",Z582=3,"Better",Z582=4,"Best")</f>
        <v>Good</v>
      </c>
      <c r="AM582" t="str" cm="1">
        <f t="array" ref="AM582">_xlfn.IFS(W582=0,"No_stock",W582=1,"Low",W582=2,"Medium",W582=3,"High")</f>
        <v>Low</v>
      </c>
      <c r="AN582" t="str">
        <f t="shared" si="9"/>
        <v>Medium</v>
      </c>
    </row>
    <row r="583" spans="1:40" x14ac:dyDescent="0.45">
      <c r="A583">
        <v>30</v>
      </c>
      <c r="B583" t="s">
        <v>37</v>
      </c>
      <c r="C583" t="s">
        <v>31</v>
      </c>
      <c r="D583">
        <v>921</v>
      </c>
      <c r="E583" t="s">
        <v>39</v>
      </c>
      <c r="F583">
        <v>1</v>
      </c>
      <c r="G583">
        <v>3</v>
      </c>
      <c r="H583" t="s">
        <v>33</v>
      </c>
      <c r="I583">
        <v>806</v>
      </c>
      <c r="J583">
        <v>4</v>
      </c>
      <c r="K583" t="s">
        <v>40</v>
      </c>
      <c r="L583">
        <v>1</v>
      </c>
      <c r="M583">
        <v>1</v>
      </c>
      <c r="N583" t="s">
        <v>44</v>
      </c>
      <c r="O583">
        <v>3</v>
      </c>
      <c r="P583" t="s">
        <v>42</v>
      </c>
      <c r="Q583">
        <v>3833</v>
      </c>
      <c r="R583">
        <v>3</v>
      </c>
      <c r="S583" t="s">
        <v>37</v>
      </c>
      <c r="T583">
        <v>21</v>
      </c>
      <c r="U583">
        <v>4</v>
      </c>
      <c r="V583">
        <v>3</v>
      </c>
      <c r="W583">
        <v>2</v>
      </c>
      <c r="X583">
        <v>7</v>
      </c>
      <c r="Y583">
        <v>2</v>
      </c>
      <c r="Z583">
        <v>3</v>
      </c>
      <c r="AA583">
        <v>2</v>
      </c>
      <c r="AB583">
        <v>2</v>
      </c>
      <c r="AC583">
        <v>0</v>
      </c>
      <c r="AD583">
        <v>2</v>
      </c>
      <c r="AE583" t="str" cm="1">
        <f t="array" ref="AE583">_xlfn.IFS(G583=1,"Before College",G583=2,"College",G583=3,"Bachelor",G583=4,"Master",G583=5,"Doctor")</f>
        <v>Bachelor</v>
      </c>
      <c r="AF583" t="str" cm="1">
        <f t="array" ref="AF583">_xlfn.IFS(J583=1,"Low",J583=2,"Medium",J583=3,"High",J583=4,"Very High")</f>
        <v>Very High</v>
      </c>
      <c r="AG583" t="str" cm="1">
        <f t="array" ref="AG583">_xlfn.IFS(L583=1,"Low",L583=2,"Medium",L583=3,"High",L583=4,"Very High")</f>
        <v>Low</v>
      </c>
      <c r="AH583" t="str" cm="1">
        <f t="array" ref="AH583">_xlfn.IFS(M583=1,"Junior employee",M583=2,"Mid-level",M583=3,"Senior",M583=4,"Manager",M583=5,"Executive")</f>
        <v>Junior employee</v>
      </c>
      <c r="AI583" t="str" cm="1">
        <f t="array" ref="AI583">_xlfn.IFS(O583=1,"Low",O583=2,"Medium",O583=3,"High",O583=4,"Very High")</f>
        <v>High</v>
      </c>
      <c r="AJ583" t="str" cm="1">
        <f t="array" ref="AJ583">_xlfn.IFS(U583=1,"Low",U583=2,"Good",U583=3,"Excellent",U583=4,"Outstanding")</f>
        <v>Outstanding</v>
      </c>
      <c r="AK583" t="str" cm="1">
        <f t="array" ref="AK583">_xlfn.IFS(V583=1,"Low",V583=2,"Medium",V583=3,"High",V583=4,"Very High")</f>
        <v>High</v>
      </c>
      <c r="AL583" t="str" cm="1">
        <f t="array" ref="AL583">_xlfn.IFS(Z583=1,"Bad",Z583=2,"Good",Z583=3,"Better",Z583=4,"Best")</f>
        <v>Better</v>
      </c>
      <c r="AM583" t="str" cm="1">
        <f t="array" ref="AM583">_xlfn.IFS(W583=0,"No_stock",W583=1,"Low",W583=2,"Medium",W583=3,"High")</f>
        <v>Medium</v>
      </c>
      <c r="AN583" t="str">
        <f t="shared" si="9"/>
        <v>Near</v>
      </c>
    </row>
    <row r="584" spans="1:40" x14ac:dyDescent="0.45">
      <c r="A584">
        <v>40</v>
      </c>
      <c r="B584" t="s">
        <v>37</v>
      </c>
      <c r="C584" t="s">
        <v>38</v>
      </c>
      <c r="D584">
        <v>791</v>
      </c>
      <c r="E584" t="s">
        <v>39</v>
      </c>
      <c r="F584">
        <v>2</v>
      </c>
      <c r="G584">
        <v>2</v>
      </c>
      <c r="H584" t="s">
        <v>45</v>
      </c>
      <c r="I584">
        <v>807</v>
      </c>
      <c r="J584">
        <v>3</v>
      </c>
      <c r="K584" t="s">
        <v>34</v>
      </c>
      <c r="L584">
        <v>4</v>
      </c>
      <c r="M584">
        <v>2</v>
      </c>
      <c r="N584" t="s">
        <v>48</v>
      </c>
      <c r="O584">
        <v>2</v>
      </c>
      <c r="P584" t="s">
        <v>42</v>
      </c>
      <c r="Q584">
        <v>4244</v>
      </c>
      <c r="R584">
        <v>1</v>
      </c>
      <c r="S584" t="s">
        <v>37</v>
      </c>
      <c r="T584">
        <v>24</v>
      </c>
      <c r="U584">
        <v>4</v>
      </c>
      <c r="V584">
        <v>4</v>
      </c>
      <c r="W584">
        <v>1</v>
      </c>
      <c r="X584">
        <v>8</v>
      </c>
      <c r="Y584">
        <v>2</v>
      </c>
      <c r="Z584">
        <v>3</v>
      </c>
      <c r="AA584">
        <v>8</v>
      </c>
      <c r="AB584">
        <v>7</v>
      </c>
      <c r="AC584">
        <v>3</v>
      </c>
      <c r="AD584">
        <v>7</v>
      </c>
      <c r="AE584" t="str" cm="1">
        <f t="array" ref="AE584">_xlfn.IFS(G584=1,"Before College",G584=2,"College",G584=3,"Bachelor",G584=4,"Master",G584=5,"Doctor")</f>
        <v>College</v>
      </c>
      <c r="AF584" t="str" cm="1">
        <f t="array" ref="AF584">_xlfn.IFS(J584=1,"Low",J584=2,"Medium",J584=3,"High",J584=4,"Very High")</f>
        <v>High</v>
      </c>
      <c r="AG584" t="str" cm="1">
        <f t="array" ref="AG584">_xlfn.IFS(L584=1,"Low",L584=2,"Medium",L584=3,"High",L584=4,"Very High")</f>
        <v>Very High</v>
      </c>
      <c r="AH584" t="str" cm="1">
        <f t="array" ref="AH584">_xlfn.IFS(M584=1,"Junior employee",M584=2,"Mid-level",M584=3,"Senior",M584=4,"Manager",M584=5,"Executive")</f>
        <v>Mid-level</v>
      </c>
      <c r="AI584" t="str" cm="1">
        <f t="array" ref="AI584">_xlfn.IFS(O584=1,"Low",O584=2,"Medium",O584=3,"High",O584=4,"Very High")</f>
        <v>Medium</v>
      </c>
      <c r="AJ584" t="str" cm="1">
        <f t="array" ref="AJ584">_xlfn.IFS(U584=1,"Low",U584=2,"Good",U584=3,"Excellent",U584=4,"Outstanding")</f>
        <v>Outstanding</v>
      </c>
      <c r="AK584" t="str" cm="1">
        <f t="array" ref="AK584">_xlfn.IFS(V584=1,"Low",V584=2,"Medium",V584=3,"High",V584=4,"Very High")</f>
        <v>Very High</v>
      </c>
      <c r="AL584" t="str" cm="1">
        <f t="array" ref="AL584">_xlfn.IFS(Z584=1,"Bad",Z584=2,"Good",Z584=3,"Better",Z584=4,"Best")</f>
        <v>Better</v>
      </c>
      <c r="AM584" t="str" cm="1">
        <f t="array" ref="AM584">_xlfn.IFS(W584=0,"No_stock",W584=1,"Low",W584=2,"Medium",W584=3,"High")</f>
        <v>Low</v>
      </c>
      <c r="AN584" t="str">
        <f t="shared" si="9"/>
        <v>Near</v>
      </c>
    </row>
    <row r="585" spans="1:40" x14ac:dyDescent="0.45">
      <c r="A585">
        <v>34</v>
      </c>
      <c r="B585" t="s">
        <v>37</v>
      </c>
      <c r="C585" t="s">
        <v>31</v>
      </c>
      <c r="D585">
        <v>1111</v>
      </c>
      <c r="E585" t="s">
        <v>32</v>
      </c>
      <c r="F585">
        <v>8</v>
      </c>
      <c r="G585">
        <v>2</v>
      </c>
      <c r="H585" t="s">
        <v>33</v>
      </c>
      <c r="I585">
        <v>808</v>
      </c>
      <c r="J585">
        <v>3</v>
      </c>
      <c r="K585" t="s">
        <v>34</v>
      </c>
      <c r="L585">
        <v>3</v>
      </c>
      <c r="M585">
        <v>2</v>
      </c>
      <c r="N585" t="s">
        <v>35</v>
      </c>
      <c r="O585">
        <v>1</v>
      </c>
      <c r="P585" t="s">
        <v>42</v>
      </c>
      <c r="Q585">
        <v>6500</v>
      </c>
      <c r="R585">
        <v>5</v>
      </c>
      <c r="S585" t="s">
        <v>37</v>
      </c>
      <c r="T585">
        <v>17</v>
      </c>
      <c r="U585">
        <v>3</v>
      </c>
      <c r="V585">
        <v>2</v>
      </c>
      <c r="W585">
        <v>1</v>
      </c>
      <c r="X585">
        <v>6</v>
      </c>
      <c r="Y585">
        <v>1</v>
      </c>
      <c r="Z585">
        <v>3</v>
      </c>
      <c r="AA585">
        <v>3</v>
      </c>
      <c r="AB585">
        <v>2</v>
      </c>
      <c r="AC585">
        <v>1</v>
      </c>
      <c r="AD585">
        <v>2</v>
      </c>
      <c r="AE585" t="str" cm="1">
        <f t="array" ref="AE585">_xlfn.IFS(G585=1,"Before College",G585=2,"College",G585=3,"Bachelor",G585=4,"Master",G585=5,"Doctor")</f>
        <v>College</v>
      </c>
      <c r="AF585" t="str" cm="1">
        <f t="array" ref="AF585">_xlfn.IFS(J585=1,"Low",J585=2,"Medium",J585=3,"High",J585=4,"Very High")</f>
        <v>High</v>
      </c>
      <c r="AG585" t="str" cm="1">
        <f t="array" ref="AG585">_xlfn.IFS(L585=1,"Low",L585=2,"Medium",L585=3,"High",L585=4,"Very High")</f>
        <v>High</v>
      </c>
      <c r="AH585" t="str" cm="1">
        <f t="array" ref="AH585">_xlfn.IFS(M585=1,"Junior employee",M585=2,"Mid-level",M585=3,"Senior",M585=4,"Manager",M585=5,"Executive")</f>
        <v>Mid-level</v>
      </c>
      <c r="AI585" t="str" cm="1">
        <f t="array" ref="AI585">_xlfn.IFS(O585=1,"Low",O585=2,"Medium",O585=3,"High",O585=4,"Very High")</f>
        <v>Low</v>
      </c>
      <c r="AJ585" t="str" cm="1">
        <f t="array" ref="AJ585">_xlfn.IFS(U585=1,"Low",U585=2,"Good",U585=3,"Excellent",U585=4,"Outstanding")</f>
        <v>Excellent</v>
      </c>
      <c r="AK585" t="str" cm="1">
        <f t="array" ref="AK585">_xlfn.IFS(V585=1,"Low",V585=2,"Medium",V585=3,"High",V585=4,"Very High")</f>
        <v>Medium</v>
      </c>
      <c r="AL585" t="str" cm="1">
        <f t="array" ref="AL585">_xlfn.IFS(Z585=1,"Bad",Z585=2,"Good",Z585=3,"Better",Z585=4,"Best")</f>
        <v>Better</v>
      </c>
      <c r="AM585" t="str" cm="1">
        <f t="array" ref="AM585">_xlfn.IFS(W585=0,"No_stock",W585=1,"Low",W585=2,"Medium",W585=3,"High")</f>
        <v>Low</v>
      </c>
      <c r="AN585" t="str">
        <f t="shared" si="9"/>
        <v>Medium</v>
      </c>
    </row>
    <row r="586" spans="1:40" x14ac:dyDescent="0.45">
      <c r="A586">
        <v>42</v>
      </c>
      <c r="B586" t="s">
        <v>37</v>
      </c>
      <c r="C586" t="s">
        <v>38</v>
      </c>
      <c r="D586">
        <v>570</v>
      </c>
      <c r="E586" t="s">
        <v>39</v>
      </c>
      <c r="F586">
        <v>8</v>
      </c>
      <c r="G586">
        <v>3</v>
      </c>
      <c r="H586" t="s">
        <v>33</v>
      </c>
      <c r="I586">
        <v>809</v>
      </c>
      <c r="J586">
        <v>2</v>
      </c>
      <c r="K586" t="s">
        <v>40</v>
      </c>
      <c r="L586">
        <v>3</v>
      </c>
      <c r="M586">
        <v>5</v>
      </c>
      <c r="N586" t="s">
        <v>50</v>
      </c>
      <c r="O586">
        <v>4</v>
      </c>
      <c r="P586" t="s">
        <v>46</v>
      </c>
      <c r="Q586">
        <v>18430</v>
      </c>
      <c r="R586">
        <v>1</v>
      </c>
      <c r="S586" t="s">
        <v>37</v>
      </c>
      <c r="T586">
        <v>13</v>
      </c>
      <c r="U586">
        <v>3</v>
      </c>
      <c r="V586">
        <v>2</v>
      </c>
      <c r="W586">
        <v>1</v>
      </c>
      <c r="X586">
        <v>24</v>
      </c>
      <c r="Y586">
        <v>4</v>
      </c>
      <c r="Z586">
        <v>2</v>
      </c>
      <c r="AA586">
        <v>24</v>
      </c>
      <c r="AB586">
        <v>7</v>
      </c>
      <c r="AC586">
        <v>14</v>
      </c>
      <c r="AD586">
        <v>9</v>
      </c>
      <c r="AE586" t="str" cm="1">
        <f t="array" ref="AE586">_xlfn.IFS(G586=1,"Before College",G586=2,"College",G586=3,"Bachelor",G586=4,"Master",G586=5,"Doctor")</f>
        <v>Bachelor</v>
      </c>
      <c r="AF586" t="str" cm="1">
        <f t="array" ref="AF586">_xlfn.IFS(J586=1,"Low",J586=2,"Medium",J586=3,"High",J586=4,"Very High")</f>
        <v>Medium</v>
      </c>
      <c r="AG586" t="str" cm="1">
        <f t="array" ref="AG586">_xlfn.IFS(L586=1,"Low",L586=2,"Medium",L586=3,"High",L586=4,"Very High")</f>
        <v>High</v>
      </c>
      <c r="AH586" t="str" cm="1">
        <f t="array" ref="AH586">_xlfn.IFS(M586=1,"Junior employee",M586=2,"Mid-level",M586=3,"Senior",M586=4,"Manager",M586=5,"Executive")</f>
        <v>Executive</v>
      </c>
      <c r="AI586" t="str" cm="1">
        <f t="array" ref="AI586">_xlfn.IFS(O586=1,"Low",O586=2,"Medium",O586=3,"High",O586=4,"Very High")</f>
        <v>Very High</v>
      </c>
      <c r="AJ586" t="str" cm="1">
        <f t="array" ref="AJ586">_xlfn.IFS(U586=1,"Low",U586=2,"Good",U586=3,"Excellent",U586=4,"Outstanding")</f>
        <v>Excellent</v>
      </c>
      <c r="AK586" t="str" cm="1">
        <f t="array" ref="AK586">_xlfn.IFS(V586=1,"Low",V586=2,"Medium",V586=3,"High",V586=4,"Very High")</f>
        <v>Medium</v>
      </c>
      <c r="AL586" t="str" cm="1">
        <f t="array" ref="AL586">_xlfn.IFS(Z586=1,"Bad",Z586=2,"Good",Z586=3,"Better",Z586=4,"Best")</f>
        <v>Good</v>
      </c>
      <c r="AM586" t="str" cm="1">
        <f t="array" ref="AM586">_xlfn.IFS(W586=0,"No_stock",W586=1,"Low",W586=2,"Medium",W586=3,"High")</f>
        <v>Low</v>
      </c>
      <c r="AN586" t="str">
        <f t="shared" si="9"/>
        <v>Medium</v>
      </c>
    </row>
    <row r="587" spans="1:40" x14ac:dyDescent="0.45">
      <c r="A587">
        <v>23</v>
      </c>
      <c r="B587" t="s">
        <v>30</v>
      </c>
      <c r="C587" t="s">
        <v>31</v>
      </c>
      <c r="D587">
        <v>1243</v>
      </c>
      <c r="E587" t="s">
        <v>39</v>
      </c>
      <c r="F587">
        <v>6</v>
      </c>
      <c r="G587">
        <v>3</v>
      </c>
      <c r="H587" t="s">
        <v>33</v>
      </c>
      <c r="I587">
        <v>811</v>
      </c>
      <c r="J587">
        <v>3</v>
      </c>
      <c r="K587" t="s">
        <v>40</v>
      </c>
      <c r="L587">
        <v>4</v>
      </c>
      <c r="M587">
        <v>1</v>
      </c>
      <c r="N587" t="s">
        <v>44</v>
      </c>
      <c r="O587">
        <v>1</v>
      </c>
      <c r="P587" t="s">
        <v>42</v>
      </c>
      <c r="Q587">
        <v>1601</v>
      </c>
      <c r="R587">
        <v>1</v>
      </c>
      <c r="S587" t="s">
        <v>30</v>
      </c>
      <c r="T587">
        <v>21</v>
      </c>
      <c r="U587">
        <v>4</v>
      </c>
      <c r="V587">
        <v>3</v>
      </c>
      <c r="W587">
        <v>2</v>
      </c>
      <c r="X587">
        <v>1</v>
      </c>
      <c r="Y587">
        <v>2</v>
      </c>
      <c r="Z587">
        <v>3</v>
      </c>
      <c r="AA587">
        <v>0</v>
      </c>
      <c r="AB587">
        <v>0</v>
      </c>
      <c r="AC587">
        <v>0</v>
      </c>
      <c r="AD587">
        <v>0</v>
      </c>
      <c r="AE587" t="str" cm="1">
        <f t="array" ref="AE587">_xlfn.IFS(G587=1,"Before College",G587=2,"College",G587=3,"Bachelor",G587=4,"Master",G587=5,"Doctor")</f>
        <v>Bachelor</v>
      </c>
      <c r="AF587" t="str" cm="1">
        <f t="array" ref="AF587">_xlfn.IFS(J587=1,"Low",J587=2,"Medium",J587=3,"High",J587=4,"Very High")</f>
        <v>High</v>
      </c>
      <c r="AG587" t="str" cm="1">
        <f t="array" ref="AG587">_xlfn.IFS(L587=1,"Low",L587=2,"Medium",L587=3,"High",L587=4,"Very High")</f>
        <v>Very High</v>
      </c>
      <c r="AH587" t="str" cm="1">
        <f t="array" ref="AH587">_xlfn.IFS(M587=1,"Junior employee",M587=2,"Mid-level",M587=3,"Senior",M587=4,"Manager",M587=5,"Executive")</f>
        <v>Junior employee</v>
      </c>
      <c r="AI587" t="str" cm="1">
        <f t="array" ref="AI587">_xlfn.IFS(O587=1,"Low",O587=2,"Medium",O587=3,"High",O587=4,"Very High")</f>
        <v>Low</v>
      </c>
      <c r="AJ587" t="str" cm="1">
        <f t="array" ref="AJ587">_xlfn.IFS(U587=1,"Low",U587=2,"Good",U587=3,"Excellent",U587=4,"Outstanding")</f>
        <v>Outstanding</v>
      </c>
      <c r="AK587" t="str" cm="1">
        <f t="array" ref="AK587">_xlfn.IFS(V587=1,"Low",V587=2,"Medium",V587=3,"High",V587=4,"Very High")</f>
        <v>High</v>
      </c>
      <c r="AL587" t="str" cm="1">
        <f t="array" ref="AL587">_xlfn.IFS(Z587=1,"Bad",Z587=2,"Good",Z587=3,"Better",Z587=4,"Best")</f>
        <v>Better</v>
      </c>
      <c r="AM587" t="str" cm="1">
        <f t="array" ref="AM587">_xlfn.IFS(W587=0,"No_stock",W587=1,"Low",W587=2,"Medium",W587=3,"High")</f>
        <v>Medium</v>
      </c>
      <c r="AN587" t="str">
        <f t="shared" si="9"/>
        <v>Medium</v>
      </c>
    </row>
    <row r="588" spans="1:40" x14ac:dyDescent="0.45">
      <c r="A588">
        <v>24</v>
      </c>
      <c r="B588" t="s">
        <v>37</v>
      </c>
      <c r="C588" t="s">
        <v>49</v>
      </c>
      <c r="D588">
        <v>1092</v>
      </c>
      <c r="E588" t="s">
        <v>39</v>
      </c>
      <c r="F588">
        <v>9</v>
      </c>
      <c r="G588">
        <v>3</v>
      </c>
      <c r="H588" t="s">
        <v>33</v>
      </c>
      <c r="I588">
        <v>812</v>
      </c>
      <c r="J588">
        <v>3</v>
      </c>
      <c r="K588" t="s">
        <v>40</v>
      </c>
      <c r="L588">
        <v>2</v>
      </c>
      <c r="M588">
        <v>1</v>
      </c>
      <c r="N588" t="s">
        <v>44</v>
      </c>
      <c r="O588">
        <v>2</v>
      </c>
      <c r="P588" t="s">
        <v>46</v>
      </c>
      <c r="Q588">
        <v>2694</v>
      </c>
      <c r="R588">
        <v>1</v>
      </c>
      <c r="S588" t="s">
        <v>37</v>
      </c>
      <c r="T588">
        <v>11</v>
      </c>
      <c r="U588">
        <v>3</v>
      </c>
      <c r="V588">
        <v>3</v>
      </c>
      <c r="W588">
        <v>3</v>
      </c>
      <c r="X588">
        <v>1</v>
      </c>
      <c r="Y588">
        <v>4</v>
      </c>
      <c r="Z588">
        <v>3</v>
      </c>
      <c r="AA588">
        <v>1</v>
      </c>
      <c r="AB588">
        <v>0</v>
      </c>
      <c r="AC588">
        <v>0</v>
      </c>
      <c r="AD588">
        <v>0</v>
      </c>
      <c r="AE588" t="str" cm="1">
        <f t="array" ref="AE588">_xlfn.IFS(G588=1,"Before College",G588=2,"College",G588=3,"Bachelor",G588=4,"Master",G588=5,"Doctor")</f>
        <v>Bachelor</v>
      </c>
      <c r="AF588" t="str" cm="1">
        <f t="array" ref="AF588">_xlfn.IFS(J588=1,"Low",J588=2,"Medium",J588=3,"High",J588=4,"Very High")</f>
        <v>High</v>
      </c>
      <c r="AG588" t="str" cm="1">
        <f t="array" ref="AG588">_xlfn.IFS(L588=1,"Low",L588=2,"Medium",L588=3,"High",L588=4,"Very High")</f>
        <v>Medium</v>
      </c>
      <c r="AH588" t="str" cm="1">
        <f t="array" ref="AH588">_xlfn.IFS(M588=1,"Junior employee",M588=2,"Mid-level",M588=3,"Senior",M588=4,"Manager",M588=5,"Executive")</f>
        <v>Junior employee</v>
      </c>
      <c r="AI588" t="str" cm="1">
        <f t="array" ref="AI588">_xlfn.IFS(O588=1,"Low",O588=2,"Medium",O588=3,"High",O588=4,"Very High")</f>
        <v>Medium</v>
      </c>
      <c r="AJ588" t="str" cm="1">
        <f t="array" ref="AJ588">_xlfn.IFS(U588=1,"Low",U588=2,"Good",U588=3,"Excellent",U588=4,"Outstanding")</f>
        <v>Excellent</v>
      </c>
      <c r="AK588" t="str" cm="1">
        <f t="array" ref="AK588">_xlfn.IFS(V588=1,"Low",V588=2,"Medium",V588=3,"High",V588=4,"Very High")</f>
        <v>High</v>
      </c>
      <c r="AL588" t="str" cm="1">
        <f t="array" ref="AL588">_xlfn.IFS(Z588=1,"Bad",Z588=2,"Good",Z588=3,"Better",Z588=4,"Best")</f>
        <v>Better</v>
      </c>
      <c r="AM588" t="str" cm="1">
        <f t="array" ref="AM588">_xlfn.IFS(W588=0,"No_stock",W588=1,"Low",W588=2,"Medium",W588=3,"High")</f>
        <v>High</v>
      </c>
      <c r="AN588" t="str">
        <f t="shared" si="9"/>
        <v>Medium</v>
      </c>
    </row>
    <row r="589" spans="1:40" x14ac:dyDescent="0.45">
      <c r="A589">
        <v>52</v>
      </c>
      <c r="B589" t="s">
        <v>37</v>
      </c>
      <c r="C589" t="s">
        <v>31</v>
      </c>
      <c r="D589">
        <v>1325</v>
      </c>
      <c r="E589" t="s">
        <v>39</v>
      </c>
      <c r="F589">
        <v>11</v>
      </c>
      <c r="G589">
        <v>4</v>
      </c>
      <c r="H589" t="s">
        <v>33</v>
      </c>
      <c r="I589">
        <v>813</v>
      </c>
      <c r="J589">
        <v>4</v>
      </c>
      <c r="K589" t="s">
        <v>34</v>
      </c>
      <c r="L589">
        <v>3</v>
      </c>
      <c r="M589">
        <v>2</v>
      </c>
      <c r="N589" t="s">
        <v>44</v>
      </c>
      <c r="O589">
        <v>3</v>
      </c>
      <c r="P589" t="s">
        <v>42</v>
      </c>
      <c r="Q589">
        <v>3149</v>
      </c>
      <c r="R589">
        <v>8</v>
      </c>
      <c r="S589" t="s">
        <v>37</v>
      </c>
      <c r="T589">
        <v>20</v>
      </c>
      <c r="U589">
        <v>4</v>
      </c>
      <c r="V589">
        <v>2</v>
      </c>
      <c r="W589">
        <v>1</v>
      </c>
      <c r="X589">
        <v>9</v>
      </c>
      <c r="Y589">
        <v>3</v>
      </c>
      <c r="Z589">
        <v>3</v>
      </c>
      <c r="AA589">
        <v>5</v>
      </c>
      <c r="AB589">
        <v>2</v>
      </c>
      <c r="AC589">
        <v>1</v>
      </c>
      <c r="AD589">
        <v>4</v>
      </c>
      <c r="AE589" t="str" cm="1">
        <f t="array" ref="AE589">_xlfn.IFS(G589=1,"Before College",G589=2,"College",G589=3,"Bachelor",G589=4,"Master",G589=5,"Doctor")</f>
        <v>Master</v>
      </c>
      <c r="AF589" t="str" cm="1">
        <f t="array" ref="AF589">_xlfn.IFS(J589=1,"Low",J589=2,"Medium",J589=3,"High",J589=4,"Very High")</f>
        <v>Very High</v>
      </c>
      <c r="AG589" t="str" cm="1">
        <f t="array" ref="AG589">_xlfn.IFS(L589=1,"Low",L589=2,"Medium",L589=3,"High",L589=4,"Very High")</f>
        <v>High</v>
      </c>
      <c r="AH589" t="str" cm="1">
        <f t="array" ref="AH589">_xlfn.IFS(M589=1,"Junior employee",M589=2,"Mid-level",M589=3,"Senior",M589=4,"Manager",M589=5,"Executive")</f>
        <v>Mid-level</v>
      </c>
      <c r="AI589" t="str" cm="1">
        <f t="array" ref="AI589">_xlfn.IFS(O589=1,"Low",O589=2,"Medium",O589=3,"High",O589=4,"Very High")</f>
        <v>High</v>
      </c>
      <c r="AJ589" t="str" cm="1">
        <f t="array" ref="AJ589">_xlfn.IFS(U589=1,"Low",U589=2,"Good",U589=3,"Excellent",U589=4,"Outstanding")</f>
        <v>Outstanding</v>
      </c>
      <c r="AK589" t="str" cm="1">
        <f t="array" ref="AK589">_xlfn.IFS(V589=1,"Low",V589=2,"Medium",V589=3,"High",V589=4,"Very High")</f>
        <v>Medium</v>
      </c>
      <c r="AL589" t="str" cm="1">
        <f t="array" ref="AL589">_xlfn.IFS(Z589=1,"Bad",Z589=2,"Good",Z589=3,"Better",Z589=4,"Best")</f>
        <v>Better</v>
      </c>
      <c r="AM589" t="str" cm="1">
        <f t="array" ref="AM589">_xlfn.IFS(W589=0,"No_stock",W589=1,"Low",W589=2,"Medium",W589=3,"High")</f>
        <v>Low</v>
      </c>
      <c r="AN589" t="str">
        <f t="shared" si="9"/>
        <v>Medium</v>
      </c>
    </row>
    <row r="590" spans="1:40" x14ac:dyDescent="0.45">
      <c r="A590">
        <v>50</v>
      </c>
      <c r="B590" t="s">
        <v>37</v>
      </c>
      <c r="C590" t="s">
        <v>31</v>
      </c>
      <c r="D590">
        <v>691</v>
      </c>
      <c r="E590" t="s">
        <v>39</v>
      </c>
      <c r="F590">
        <v>2</v>
      </c>
      <c r="G590">
        <v>3</v>
      </c>
      <c r="H590" t="s">
        <v>45</v>
      </c>
      <c r="I590">
        <v>815</v>
      </c>
      <c r="J590">
        <v>3</v>
      </c>
      <c r="K590" t="s">
        <v>40</v>
      </c>
      <c r="L590">
        <v>3</v>
      </c>
      <c r="M590">
        <v>4</v>
      </c>
      <c r="N590" t="s">
        <v>52</v>
      </c>
      <c r="O590">
        <v>3</v>
      </c>
      <c r="P590" t="s">
        <v>42</v>
      </c>
      <c r="Q590">
        <v>17639</v>
      </c>
      <c r="R590">
        <v>5</v>
      </c>
      <c r="S590" t="s">
        <v>37</v>
      </c>
      <c r="T590">
        <v>16</v>
      </c>
      <c r="U590">
        <v>3</v>
      </c>
      <c r="V590">
        <v>4</v>
      </c>
      <c r="W590">
        <v>0</v>
      </c>
      <c r="X590">
        <v>30</v>
      </c>
      <c r="Y590">
        <v>3</v>
      </c>
      <c r="Z590">
        <v>3</v>
      </c>
      <c r="AA590">
        <v>4</v>
      </c>
      <c r="AB590">
        <v>3</v>
      </c>
      <c r="AC590">
        <v>0</v>
      </c>
      <c r="AD590">
        <v>3</v>
      </c>
      <c r="AE590" t="str" cm="1">
        <f t="array" ref="AE590">_xlfn.IFS(G590=1,"Before College",G590=2,"College",G590=3,"Bachelor",G590=4,"Master",G590=5,"Doctor")</f>
        <v>Bachelor</v>
      </c>
      <c r="AF590" t="str" cm="1">
        <f t="array" ref="AF590">_xlfn.IFS(J590=1,"Low",J590=2,"Medium",J590=3,"High",J590=4,"Very High")</f>
        <v>High</v>
      </c>
      <c r="AG590" t="str" cm="1">
        <f t="array" ref="AG590">_xlfn.IFS(L590=1,"Low",L590=2,"Medium",L590=3,"High",L590=4,"Very High")</f>
        <v>High</v>
      </c>
      <c r="AH590" t="str" cm="1">
        <f t="array" ref="AH590">_xlfn.IFS(M590=1,"Junior employee",M590=2,"Mid-level",M590=3,"Senior",M590=4,"Manager",M590=5,"Executive")</f>
        <v>Manager</v>
      </c>
      <c r="AI590" t="str" cm="1">
        <f t="array" ref="AI590">_xlfn.IFS(O590=1,"Low",O590=2,"Medium",O590=3,"High",O590=4,"Very High")</f>
        <v>High</v>
      </c>
      <c r="AJ590" t="str" cm="1">
        <f t="array" ref="AJ590">_xlfn.IFS(U590=1,"Low",U590=2,"Good",U590=3,"Excellent",U590=4,"Outstanding")</f>
        <v>Excellent</v>
      </c>
      <c r="AK590" t="str" cm="1">
        <f t="array" ref="AK590">_xlfn.IFS(V590=1,"Low",V590=2,"Medium",V590=3,"High",V590=4,"Very High")</f>
        <v>Very High</v>
      </c>
      <c r="AL590" t="str" cm="1">
        <f t="array" ref="AL590">_xlfn.IFS(Z590=1,"Bad",Z590=2,"Good",Z590=3,"Better",Z590=4,"Best")</f>
        <v>Better</v>
      </c>
      <c r="AM590" t="str" cm="1">
        <f t="array" ref="AM590">_xlfn.IFS(W590=0,"No_stock",W590=1,"Low",W590=2,"Medium",W590=3,"High")</f>
        <v>No_stock</v>
      </c>
      <c r="AN590" t="str">
        <f t="shared" si="9"/>
        <v>Near</v>
      </c>
    </row>
    <row r="591" spans="1:40" x14ac:dyDescent="0.45">
      <c r="A591">
        <v>29</v>
      </c>
      <c r="B591" t="s">
        <v>30</v>
      </c>
      <c r="C591" t="s">
        <v>31</v>
      </c>
      <c r="D591">
        <v>805</v>
      </c>
      <c r="E591" t="s">
        <v>39</v>
      </c>
      <c r="F591">
        <v>1</v>
      </c>
      <c r="G591">
        <v>2</v>
      </c>
      <c r="H591" t="s">
        <v>33</v>
      </c>
      <c r="I591">
        <v>816</v>
      </c>
      <c r="J591">
        <v>2</v>
      </c>
      <c r="K591" t="s">
        <v>34</v>
      </c>
      <c r="L591">
        <v>2</v>
      </c>
      <c r="M591">
        <v>1</v>
      </c>
      <c r="N591" t="s">
        <v>44</v>
      </c>
      <c r="O591">
        <v>1</v>
      </c>
      <c r="P591" t="s">
        <v>42</v>
      </c>
      <c r="Q591">
        <v>2319</v>
      </c>
      <c r="R591">
        <v>1</v>
      </c>
      <c r="S591" t="s">
        <v>30</v>
      </c>
      <c r="T591">
        <v>11</v>
      </c>
      <c r="U591">
        <v>3</v>
      </c>
      <c r="V591">
        <v>4</v>
      </c>
      <c r="W591">
        <v>1</v>
      </c>
      <c r="X591">
        <v>1</v>
      </c>
      <c r="Y591">
        <v>1</v>
      </c>
      <c r="Z591">
        <v>3</v>
      </c>
      <c r="AA591">
        <v>1</v>
      </c>
      <c r="AB591">
        <v>0</v>
      </c>
      <c r="AC591">
        <v>0</v>
      </c>
      <c r="AD591">
        <v>0</v>
      </c>
      <c r="AE591" t="str" cm="1">
        <f t="array" ref="AE591">_xlfn.IFS(G591=1,"Before College",G591=2,"College",G591=3,"Bachelor",G591=4,"Master",G591=5,"Doctor")</f>
        <v>College</v>
      </c>
      <c r="AF591" t="str" cm="1">
        <f t="array" ref="AF591">_xlfn.IFS(J591=1,"Low",J591=2,"Medium",J591=3,"High",J591=4,"Very High")</f>
        <v>Medium</v>
      </c>
      <c r="AG591" t="str" cm="1">
        <f t="array" ref="AG591">_xlfn.IFS(L591=1,"Low",L591=2,"Medium",L591=3,"High",L591=4,"Very High")</f>
        <v>Medium</v>
      </c>
      <c r="AH591" t="str" cm="1">
        <f t="array" ref="AH591">_xlfn.IFS(M591=1,"Junior employee",M591=2,"Mid-level",M591=3,"Senior",M591=4,"Manager",M591=5,"Executive")</f>
        <v>Junior employee</v>
      </c>
      <c r="AI591" t="str" cm="1">
        <f t="array" ref="AI591">_xlfn.IFS(O591=1,"Low",O591=2,"Medium",O591=3,"High",O591=4,"Very High")</f>
        <v>Low</v>
      </c>
      <c r="AJ591" t="str" cm="1">
        <f t="array" ref="AJ591">_xlfn.IFS(U591=1,"Low",U591=2,"Good",U591=3,"Excellent",U591=4,"Outstanding")</f>
        <v>Excellent</v>
      </c>
      <c r="AK591" t="str" cm="1">
        <f t="array" ref="AK591">_xlfn.IFS(V591=1,"Low",V591=2,"Medium",V591=3,"High",V591=4,"Very High")</f>
        <v>Very High</v>
      </c>
      <c r="AL591" t="str" cm="1">
        <f t="array" ref="AL591">_xlfn.IFS(Z591=1,"Bad",Z591=2,"Good",Z591=3,"Better",Z591=4,"Best")</f>
        <v>Better</v>
      </c>
      <c r="AM591" t="str" cm="1">
        <f t="array" ref="AM591">_xlfn.IFS(W591=0,"No_stock",W591=1,"Low",W591=2,"Medium",W591=3,"High")</f>
        <v>Low</v>
      </c>
      <c r="AN591" t="str">
        <f t="shared" si="9"/>
        <v>Near</v>
      </c>
    </row>
    <row r="592" spans="1:40" x14ac:dyDescent="0.45">
      <c r="A592">
        <v>33</v>
      </c>
      <c r="B592" t="s">
        <v>37</v>
      </c>
      <c r="C592" t="s">
        <v>31</v>
      </c>
      <c r="D592">
        <v>213</v>
      </c>
      <c r="E592" t="s">
        <v>39</v>
      </c>
      <c r="F592">
        <v>7</v>
      </c>
      <c r="G592">
        <v>3</v>
      </c>
      <c r="H592" t="s">
        <v>45</v>
      </c>
      <c r="I592">
        <v>817</v>
      </c>
      <c r="J592">
        <v>3</v>
      </c>
      <c r="K592" t="s">
        <v>40</v>
      </c>
      <c r="L592">
        <v>3</v>
      </c>
      <c r="M592">
        <v>3</v>
      </c>
      <c r="N592" t="s">
        <v>52</v>
      </c>
      <c r="O592">
        <v>3</v>
      </c>
      <c r="P592" t="s">
        <v>42</v>
      </c>
      <c r="Q592">
        <v>11691</v>
      </c>
      <c r="R592">
        <v>0</v>
      </c>
      <c r="S592" t="s">
        <v>37</v>
      </c>
      <c r="T592">
        <v>11</v>
      </c>
      <c r="U592">
        <v>3</v>
      </c>
      <c r="V592">
        <v>4</v>
      </c>
      <c r="W592">
        <v>0</v>
      </c>
      <c r="X592">
        <v>14</v>
      </c>
      <c r="Y592">
        <v>3</v>
      </c>
      <c r="Z592">
        <v>4</v>
      </c>
      <c r="AA592">
        <v>13</v>
      </c>
      <c r="AB592">
        <v>9</v>
      </c>
      <c r="AC592">
        <v>3</v>
      </c>
      <c r="AD592">
        <v>7</v>
      </c>
      <c r="AE592" t="str" cm="1">
        <f t="array" ref="AE592">_xlfn.IFS(G592=1,"Before College",G592=2,"College",G592=3,"Bachelor",G592=4,"Master",G592=5,"Doctor")</f>
        <v>Bachelor</v>
      </c>
      <c r="AF592" t="str" cm="1">
        <f t="array" ref="AF592">_xlfn.IFS(J592=1,"Low",J592=2,"Medium",J592=3,"High",J592=4,"Very High")</f>
        <v>High</v>
      </c>
      <c r="AG592" t="str" cm="1">
        <f t="array" ref="AG592">_xlfn.IFS(L592=1,"Low",L592=2,"Medium",L592=3,"High",L592=4,"Very High")</f>
        <v>High</v>
      </c>
      <c r="AH592" t="str" cm="1">
        <f t="array" ref="AH592">_xlfn.IFS(M592=1,"Junior employee",M592=2,"Mid-level",M592=3,"Senior",M592=4,"Manager",M592=5,"Executive")</f>
        <v>Senior</v>
      </c>
      <c r="AI592" t="str" cm="1">
        <f t="array" ref="AI592">_xlfn.IFS(O592=1,"Low",O592=2,"Medium",O592=3,"High",O592=4,"Very High")</f>
        <v>High</v>
      </c>
      <c r="AJ592" t="str" cm="1">
        <f t="array" ref="AJ592">_xlfn.IFS(U592=1,"Low",U592=2,"Good",U592=3,"Excellent",U592=4,"Outstanding")</f>
        <v>Excellent</v>
      </c>
      <c r="AK592" t="str" cm="1">
        <f t="array" ref="AK592">_xlfn.IFS(V592=1,"Low",V592=2,"Medium",V592=3,"High",V592=4,"Very High")</f>
        <v>Very High</v>
      </c>
      <c r="AL592" t="str" cm="1">
        <f t="array" ref="AL592">_xlfn.IFS(Z592=1,"Bad",Z592=2,"Good",Z592=3,"Better",Z592=4,"Best")</f>
        <v>Best</v>
      </c>
      <c r="AM592" t="str" cm="1">
        <f t="array" ref="AM592">_xlfn.IFS(W592=0,"No_stock",W592=1,"Low",W592=2,"Medium",W592=3,"High")</f>
        <v>No_stock</v>
      </c>
      <c r="AN592" t="str">
        <f t="shared" si="9"/>
        <v>Medium</v>
      </c>
    </row>
    <row r="593" spans="1:40" x14ac:dyDescent="0.45">
      <c r="A593">
        <v>33</v>
      </c>
      <c r="B593" t="s">
        <v>30</v>
      </c>
      <c r="C593" t="s">
        <v>31</v>
      </c>
      <c r="D593">
        <v>118</v>
      </c>
      <c r="E593" t="s">
        <v>32</v>
      </c>
      <c r="F593">
        <v>16</v>
      </c>
      <c r="G593">
        <v>3</v>
      </c>
      <c r="H593" t="s">
        <v>53</v>
      </c>
      <c r="I593">
        <v>819</v>
      </c>
      <c r="J593">
        <v>1</v>
      </c>
      <c r="K593" t="s">
        <v>34</v>
      </c>
      <c r="L593">
        <v>3</v>
      </c>
      <c r="M593">
        <v>2</v>
      </c>
      <c r="N593" t="s">
        <v>35</v>
      </c>
      <c r="O593">
        <v>1</v>
      </c>
      <c r="P593" t="s">
        <v>36</v>
      </c>
      <c r="Q593">
        <v>5324</v>
      </c>
      <c r="R593">
        <v>5</v>
      </c>
      <c r="S593" t="s">
        <v>37</v>
      </c>
      <c r="T593">
        <v>15</v>
      </c>
      <c r="U593">
        <v>3</v>
      </c>
      <c r="V593">
        <v>3</v>
      </c>
      <c r="W593">
        <v>0</v>
      </c>
      <c r="X593">
        <v>6</v>
      </c>
      <c r="Y593">
        <v>3</v>
      </c>
      <c r="Z593">
        <v>3</v>
      </c>
      <c r="AA593">
        <v>3</v>
      </c>
      <c r="AB593">
        <v>2</v>
      </c>
      <c r="AC593">
        <v>0</v>
      </c>
      <c r="AD593">
        <v>2</v>
      </c>
      <c r="AE593" t="str" cm="1">
        <f t="array" ref="AE593">_xlfn.IFS(G593=1,"Before College",G593=2,"College",G593=3,"Bachelor",G593=4,"Master",G593=5,"Doctor")</f>
        <v>Bachelor</v>
      </c>
      <c r="AF593" t="str" cm="1">
        <f t="array" ref="AF593">_xlfn.IFS(J593=1,"Low",J593=2,"Medium",J593=3,"High",J593=4,"Very High")</f>
        <v>Low</v>
      </c>
      <c r="AG593" t="str" cm="1">
        <f t="array" ref="AG593">_xlfn.IFS(L593=1,"Low",L593=2,"Medium",L593=3,"High",L593=4,"Very High")</f>
        <v>High</v>
      </c>
      <c r="AH593" t="str" cm="1">
        <f t="array" ref="AH593">_xlfn.IFS(M593=1,"Junior employee",M593=2,"Mid-level",M593=3,"Senior",M593=4,"Manager",M593=5,"Executive")</f>
        <v>Mid-level</v>
      </c>
      <c r="AI593" t="str" cm="1">
        <f t="array" ref="AI593">_xlfn.IFS(O593=1,"Low",O593=2,"Medium",O593=3,"High",O593=4,"Very High")</f>
        <v>Low</v>
      </c>
      <c r="AJ593" t="str" cm="1">
        <f t="array" ref="AJ593">_xlfn.IFS(U593=1,"Low",U593=2,"Good",U593=3,"Excellent",U593=4,"Outstanding")</f>
        <v>Excellent</v>
      </c>
      <c r="AK593" t="str" cm="1">
        <f t="array" ref="AK593">_xlfn.IFS(V593=1,"Low",V593=2,"Medium",V593=3,"High",V593=4,"Very High")</f>
        <v>High</v>
      </c>
      <c r="AL593" t="str" cm="1">
        <f t="array" ref="AL593">_xlfn.IFS(Z593=1,"Bad",Z593=2,"Good",Z593=3,"Better",Z593=4,"Best")</f>
        <v>Better</v>
      </c>
      <c r="AM593" t="str" cm="1">
        <f t="array" ref="AM593">_xlfn.IFS(W593=0,"No_stock",W593=1,"Low",W593=2,"Medium",W593=3,"High")</f>
        <v>No_stock</v>
      </c>
      <c r="AN593" t="str">
        <f t="shared" si="9"/>
        <v>Far</v>
      </c>
    </row>
    <row r="594" spans="1:40" x14ac:dyDescent="0.45">
      <c r="A594">
        <v>47</v>
      </c>
      <c r="B594" t="s">
        <v>37</v>
      </c>
      <c r="C594" t="s">
        <v>31</v>
      </c>
      <c r="D594">
        <v>202</v>
      </c>
      <c r="E594" t="s">
        <v>39</v>
      </c>
      <c r="F594">
        <v>2</v>
      </c>
      <c r="G594">
        <v>2</v>
      </c>
      <c r="H594" t="s">
        <v>43</v>
      </c>
      <c r="I594">
        <v>820</v>
      </c>
      <c r="J594">
        <v>3</v>
      </c>
      <c r="K594" t="s">
        <v>34</v>
      </c>
      <c r="L594">
        <v>3</v>
      </c>
      <c r="M594">
        <v>4</v>
      </c>
      <c r="N594" t="s">
        <v>50</v>
      </c>
      <c r="O594">
        <v>4</v>
      </c>
      <c r="P594" t="s">
        <v>42</v>
      </c>
      <c r="Q594">
        <v>16752</v>
      </c>
      <c r="R594">
        <v>1</v>
      </c>
      <c r="S594" t="s">
        <v>30</v>
      </c>
      <c r="T594">
        <v>11</v>
      </c>
      <c r="U594">
        <v>3</v>
      </c>
      <c r="V594">
        <v>3</v>
      </c>
      <c r="W594">
        <v>1</v>
      </c>
      <c r="X594">
        <v>26</v>
      </c>
      <c r="Y594">
        <v>3</v>
      </c>
      <c r="Z594">
        <v>2</v>
      </c>
      <c r="AA594">
        <v>26</v>
      </c>
      <c r="AB594">
        <v>14</v>
      </c>
      <c r="AC594">
        <v>3</v>
      </c>
      <c r="AD594">
        <v>0</v>
      </c>
      <c r="AE594" t="str" cm="1">
        <f t="array" ref="AE594">_xlfn.IFS(G594=1,"Before College",G594=2,"College",G594=3,"Bachelor",G594=4,"Master",G594=5,"Doctor")</f>
        <v>College</v>
      </c>
      <c r="AF594" t="str" cm="1">
        <f t="array" ref="AF594">_xlfn.IFS(J594=1,"Low",J594=2,"Medium",J594=3,"High",J594=4,"Very High")</f>
        <v>High</v>
      </c>
      <c r="AG594" t="str" cm="1">
        <f t="array" ref="AG594">_xlfn.IFS(L594=1,"Low",L594=2,"Medium",L594=3,"High",L594=4,"Very High")</f>
        <v>High</v>
      </c>
      <c r="AH594" t="str" cm="1">
        <f t="array" ref="AH594">_xlfn.IFS(M594=1,"Junior employee",M594=2,"Mid-level",M594=3,"Senior",M594=4,"Manager",M594=5,"Executive")</f>
        <v>Manager</v>
      </c>
      <c r="AI594" t="str" cm="1">
        <f t="array" ref="AI594">_xlfn.IFS(O594=1,"Low",O594=2,"Medium",O594=3,"High",O594=4,"Very High")</f>
        <v>Very High</v>
      </c>
      <c r="AJ594" t="str" cm="1">
        <f t="array" ref="AJ594">_xlfn.IFS(U594=1,"Low",U594=2,"Good",U594=3,"Excellent",U594=4,"Outstanding")</f>
        <v>Excellent</v>
      </c>
      <c r="AK594" t="str" cm="1">
        <f t="array" ref="AK594">_xlfn.IFS(V594=1,"Low",V594=2,"Medium",V594=3,"High",V594=4,"Very High")</f>
        <v>High</v>
      </c>
      <c r="AL594" t="str" cm="1">
        <f t="array" ref="AL594">_xlfn.IFS(Z594=1,"Bad",Z594=2,"Good",Z594=3,"Better",Z594=4,"Best")</f>
        <v>Good</v>
      </c>
      <c r="AM594" t="str" cm="1">
        <f t="array" ref="AM594">_xlfn.IFS(W594=0,"No_stock",W594=1,"Low",W594=2,"Medium",W594=3,"High")</f>
        <v>Low</v>
      </c>
      <c r="AN594" t="str">
        <f t="shared" si="9"/>
        <v>Near</v>
      </c>
    </row>
    <row r="595" spans="1:40" x14ac:dyDescent="0.45">
      <c r="A595">
        <v>36</v>
      </c>
      <c r="B595" t="s">
        <v>37</v>
      </c>
      <c r="C595" t="s">
        <v>31</v>
      </c>
      <c r="D595">
        <v>676</v>
      </c>
      <c r="E595" t="s">
        <v>39</v>
      </c>
      <c r="F595">
        <v>1</v>
      </c>
      <c r="G595">
        <v>3</v>
      </c>
      <c r="H595" t="s">
        <v>43</v>
      </c>
      <c r="I595">
        <v>823</v>
      </c>
      <c r="J595">
        <v>3</v>
      </c>
      <c r="K595" t="s">
        <v>34</v>
      </c>
      <c r="L595">
        <v>3</v>
      </c>
      <c r="M595">
        <v>2</v>
      </c>
      <c r="N595" t="s">
        <v>47</v>
      </c>
      <c r="O595">
        <v>2</v>
      </c>
      <c r="P595" t="s">
        <v>42</v>
      </c>
      <c r="Q595">
        <v>5228</v>
      </c>
      <c r="R595">
        <v>0</v>
      </c>
      <c r="S595" t="s">
        <v>37</v>
      </c>
      <c r="T595">
        <v>15</v>
      </c>
      <c r="U595">
        <v>3</v>
      </c>
      <c r="V595">
        <v>1</v>
      </c>
      <c r="W595">
        <v>1</v>
      </c>
      <c r="X595">
        <v>10</v>
      </c>
      <c r="Y595">
        <v>2</v>
      </c>
      <c r="Z595">
        <v>3</v>
      </c>
      <c r="AA595">
        <v>9</v>
      </c>
      <c r="AB595">
        <v>7</v>
      </c>
      <c r="AC595">
        <v>0</v>
      </c>
      <c r="AD595">
        <v>5</v>
      </c>
      <c r="AE595" t="str" cm="1">
        <f t="array" ref="AE595">_xlfn.IFS(G595=1,"Before College",G595=2,"College",G595=3,"Bachelor",G595=4,"Master",G595=5,"Doctor")</f>
        <v>Bachelor</v>
      </c>
      <c r="AF595" t="str" cm="1">
        <f t="array" ref="AF595">_xlfn.IFS(J595=1,"Low",J595=2,"Medium",J595=3,"High",J595=4,"Very High")</f>
        <v>High</v>
      </c>
      <c r="AG595" t="str" cm="1">
        <f t="array" ref="AG595">_xlfn.IFS(L595=1,"Low",L595=2,"Medium",L595=3,"High",L595=4,"Very High")</f>
        <v>High</v>
      </c>
      <c r="AH595" t="str" cm="1">
        <f t="array" ref="AH595">_xlfn.IFS(M595=1,"Junior employee",M595=2,"Mid-level",M595=3,"Senior",M595=4,"Manager",M595=5,"Executive")</f>
        <v>Mid-level</v>
      </c>
      <c r="AI595" t="str" cm="1">
        <f t="array" ref="AI595">_xlfn.IFS(O595=1,"Low",O595=2,"Medium",O595=3,"High",O595=4,"Very High")</f>
        <v>Medium</v>
      </c>
      <c r="AJ595" t="str" cm="1">
        <f t="array" ref="AJ595">_xlfn.IFS(U595=1,"Low",U595=2,"Good",U595=3,"Excellent",U595=4,"Outstanding")</f>
        <v>Excellent</v>
      </c>
      <c r="AK595" t="str" cm="1">
        <f t="array" ref="AK595">_xlfn.IFS(V595=1,"Low",V595=2,"Medium",V595=3,"High",V595=4,"Very High")</f>
        <v>Low</v>
      </c>
      <c r="AL595" t="str" cm="1">
        <f t="array" ref="AL595">_xlfn.IFS(Z595=1,"Bad",Z595=2,"Good",Z595=3,"Better",Z595=4,"Best")</f>
        <v>Better</v>
      </c>
      <c r="AM595" t="str" cm="1">
        <f t="array" ref="AM595">_xlfn.IFS(W595=0,"No_stock",W595=1,"Low",W595=2,"Medium",W595=3,"High")</f>
        <v>Low</v>
      </c>
      <c r="AN595" t="str">
        <f t="shared" si="9"/>
        <v>Near</v>
      </c>
    </row>
    <row r="596" spans="1:40" x14ac:dyDescent="0.45">
      <c r="A596">
        <v>29</v>
      </c>
      <c r="B596" t="s">
        <v>37</v>
      </c>
      <c r="C596" t="s">
        <v>31</v>
      </c>
      <c r="D596">
        <v>1252</v>
      </c>
      <c r="E596" t="s">
        <v>39</v>
      </c>
      <c r="F596">
        <v>23</v>
      </c>
      <c r="G596">
        <v>2</v>
      </c>
      <c r="H596" t="s">
        <v>33</v>
      </c>
      <c r="I596">
        <v>824</v>
      </c>
      <c r="J596">
        <v>3</v>
      </c>
      <c r="K596" t="s">
        <v>40</v>
      </c>
      <c r="L596">
        <v>4</v>
      </c>
      <c r="M596">
        <v>1</v>
      </c>
      <c r="N596" t="s">
        <v>41</v>
      </c>
      <c r="O596">
        <v>3</v>
      </c>
      <c r="P596" t="s">
        <v>42</v>
      </c>
      <c r="Q596">
        <v>2700</v>
      </c>
      <c r="R596">
        <v>1</v>
      </c>
      <c r="S596" t="s">
        <v>37</v>
      </c>
      <c r="T596">
        <v>24</v>
      </c>
      <c r="U596">
        <v>4</v>
      </c>
      <c r="V596">
        <v>3</v>
      </c>
      <c r="W596">
        <v>1</v>
      </c>
      <c r="X596">
        <v>10</v>
      </c>
      <c r="Y596">
        <v>3</v>
      </c>
      <c r="Z596">
        <v>3</v>
      </c>
      <c r="AA596">
        <v>10</v>
      </c>
      <c r="AB596">
        <v>7</v>
      </c>
      <c r="AC596">
        <v>0</v>
      </c>
      <c r="AD596">
        <v>7</v>
      </c>
      <c r="AE596" t="str" cm="1">
        <f t="array" ref="AE596">_xlfn.IFS(G596=1,"Before College",G596=2,"College",G596=3,"Bachelor",G596=4,"Master",G596=5,"Doctor")</f>
        <v>College</v>
      </c>
      <c r="AF596" t="str" cm="1">
        <f t="array" ref="AF596">_xlfn.IFS(J596=1,"Low",J596=2,"Medium",J596=3,"High",J596=4,"Very High")</f>
        <v>High</v>
      </c>
      <c r="AG596" t="str" cm="1">
        <f t="array" ref="AG596">_xlfn.IFS(L596=1,"Low",L596=2,"Medium",L596=3,"High",L596=4,"Very High")</f>
        <v>Very High</v>
      </c>
      <c r="AH596" t="str" cm="1">
        <f t="array" ref="AH596">_xlfn.IFS(M596=1,"Junior employee",M596=2,"Mid-level",M596=3,"Senior",M596=4,"Manager",M596=5,"Executive")</f>
        <v>Junior employee</v>
      </c>
      <c r="AI596" t="str" cm="1">
        <f t="array" ref="AI596">_xlfn.IFS(O596=1,"Low",O596=2,"Medium",O596=3,"High",O596=4,"Very High")</f>
        <v>High</v>
      </c>
      <c r="AJ596" t="str" cm="1">
        <f t="array" ref="AJ596">_xlfn.IFS(U596=1,"Low",U596=2,"Good",U596=3,"Excellent",U596=4,"Outstanding")</f>
        <v>Outstanding</v>
      </c>
      <c r="AK596" t="str" cm="1">
        <f t="array" ref="AK596">_xlfn.IFS(V596=1,"Low",V596=2,"Medium",V596=3,"High",V596=4,"Very High")</f>
        <v>High</v>
      </c>
      <c r="AL596" t="str" cm="1">
        <f t="array" ref="AL596">_xlfn.IFS(Z596=1,"Bad",Z596=2,"Good",Z596=3,"Better",Z596=4,"Best")</f>
        <v>Better</v>
      </c>
      <c r="AM596" t="str" cm="1">
        <f t="array" ref="AM596">_xlfn.IFS(W596=0,"No_stock",W596=1,"Low",W596=2,"Medium",W596=3,"High")</f>
        <v>Low</v>
      </c>
      <c r="AN596" t="str">
        <f t="shared" si="9"/>
        <v>Far</v>
      </c>
    </row>
    <row r="597" spans="1:40" x14ac:dyDescent="0.45">
      <c r="A597">
        <v>58</v>
      </c>
      <c r="B597" t="s">
        <v>30</v>
      </c>
      <c r="C597" t="s">
        <v>31</v>
      </c>
      <c r="D597">
        <v>286</v>
      </c>
      <c r="E597" t="s">
        <v>39</v>
      </c>
      <c r="F597">
        <v>2</v>
      </c>
      <c r="G597">
        <v>4</v>
      </c>
      <c r="H597" t="s">
        <v>33</v>
      </c>
      <c r="I597">
        <v>825</v>
      </c>
      <c r="J597">
        <v>4</v>
      </c>
      <c r="K597" t="s">
        <v>40</v>
      </c>
      <c r="L597">
        <v>3</v>
      </c>
      <c r="M597">
        <v>5</v>
      </c>
      <c r="N597" t="s">
        <v>52</v>
      </c>
      <c r="O597">
        <v>2</v>
      </c>
      <c r="P597" t="s">
        <v>36</v>
      </c>
      <c r="Q597">
        <v>19246</v>
      </c>
      <c r="R597">
        <v>7</v>
      </c>
      <c r="S597" t="s">
        <v>30</v>
      </c>
      <c r="T597">
        <v>12</v>
      </c>
      <c r="U597">
        <v>3</v>
      </c>
      <c r="V597">
        <v>4</v>
      </c>
      <c r="W597">
        <v>0</v>
      </c>
      <c r="X597">
        <v>40</v>
      </c>
      <c r="Y597">
        <v>2</v>
      </c>
      <c r="Z597">
        <v>3</v>
      </c>
      <c r="AA597">
        <v>31</v>
      </c>
      <c r="AB597">
        <v>15</v>
      </c>
      <c r="AC597">
        <v>13</v>
      </c>
      <c r="AD597">
        <v>8</v>
      </c>
      <c r="AE597" t="str" cm="1">
        <f t="array" ref="AE597">_xlfn.IFS(G597=1,"Before College",G597=2,"College",G597=3,"Bachelor",G597=4,"Master",G597=5,"Doctor")</f>
        <v>Master</v>
      </c>
      <c r="AF597" t="str" cm="1">
        <f t="array" ref="AF597">_xlfn.IFS(J597=1,"Low",J597=2,"Medium",J597=3,"High",J597=4,"Very High")</f>
        <v>Very High</v>
      </c>
      <c r="AG597" t="str" cm="1">
        <f t="array" ref="AG597">_xlfn.IFS(L597=1,"Low",L597=2,"Medium",L597=3,"High",L597=4,"Very High")</f>
        <v>High</v>
      </c>
      <c r="AH597" t="str" cm="1">
        <f t="array" ref="AH597">_xlfn.IFS(M597=1,"Junior employee",M597=2,"Mid-level",M597=3,"Senior",M597=4,"Manager",M597=5,"Executive")</f>
        <v>Executive</v>
      </c>
      <c r="AI597" t="str" cm="1">
        <f t="array" ref="AI597">_xlfn.IFS(O597=1,"Low",O597=2,"Medium",O597=3,"High",O597=4,"Very High")</f>
        <v>Medium</v>
      </c>
      <c r="AJ597" t="str" cm="1">
        <f t="array" ref="AJ597">_xlfn.IFS(U597=1,"Low",U597=2,"Good",U597=3,"Excellent",U597=4,"Outstanding")</f>
        <v>Excellent</v>
      </c>
      <c r="AK597" t="str" cm="1">
        <f t="array" ref="AK597">_xlfn.IFS(V597=1,"Low",V597=2,"Medium",V597=3,"High",V597=4,"Very High")</f>
        <v>Very High</v>
      </c>
      <c r="AL597" t="str" cm="1">
        <f t="array" ref="AL597">_xlfn.IFS(Z597=1,"Bad",Z597=2,"Good",Z597=3,"Better",Z597=4,"Best")</f>
        <v>Better</v>
      </c>
      <c r="AM597" t="str" cm="1">
        <f t="array" ref="AM597">_xlfn.IFS(W597=0,"No_stock",W597=1,"Low",W597=2,"Medium",W597=3,"High")</f>
        <v>No_stock</v>
      </c>
      <c r="AN597" t="str">
        <f t="shared" si="9"/>
        <v>Near</v>
      </c>
    </row>
    <row r="598" spans="1:40" x14ac:dyDescent="0.45">
      <c r="A598">
        <v>35</v>
      </c>
      <c r="B598" t="s">
        <v>37</v>
      </c>
      <c r="C598" t="s">
        <v>31</v>
      </c>
      <c r="D598">
        <v>1258</v>
      </c>
      <c r="E598" t="s">
        <v>39</v>
      </c>
      <c r="F598">
        <v>1</v>
      </c>
      <c r="G598">
        <v>4</v>
      </c>
      <c r="H598" t="s">
        <v>33</v>
      </c>
      <c r="I598">
        <v>826</v>
      </c>
      <c r="J598">
        <v>4</v>
      </c>
      <c r="K598" t="s">
        <v>34</v>
      </c>
      <c r="L598">
        <v>4</v>
      </c>
      <c r="M598">
        <v>1</v>
      </c>
      <c r="N598" t="s">
        <v>41</v>
      </c>
      <c r="O598">
        <v>3</v>
      </c>
      <c r="P598" t="s">
        <v>36</v>
      </c>
      <c r="Q598">
        <v>2506</v>
      </c>
      <c r="R598">
        <v>3</v>
      </c>
      <c r="S598" t="s">
        <v>37</v>
      </c>
      <c r="T598">
        <v>13</v>
      </c>
      <c r="U598">
        <v>3</v>
      </c>
      <c r="V598">
        <v>3</v>
      </c>
      <c r="W598">
        <v>0</v>
      </c>
      <c r="X598">
        <v>7</v>
      </c>
      <c r="Y598">
        <v>0</v>
      </c>
      <c r="Z598">
        <v>3</v>
      </c>
      <c r="AA598">
        <v>2</v>
      </c>
      <c r="AB598">
        <v>2</v>
      </c>
      <c r="AC598">
        <v>2</v>
      </c>
      <c r="AD598">
        <v>2</v>
      </c>
      <c r="AE598" t="str" cm="1">
        <f t="array" ref="AE598">_xlfn.IFS(G598=1,"Before College",G598=2,"College",G598=3,"Bachelor",G598=4,"Master",G598=5,"Doctor")</f>
        <v>Master</v>
      </c>
      <c r="AF598" t="str" cm="1">
        <f t="array" ref="AF598">_xlfn.IFS(J598=1,"Low",J598=2,"Medium",J598=3,"High",J598=4,"Very High")</f>
        <v>Very High</v>
      </c>
      <c r="AG598" t="str" cm="1">
        <f t="array" ref="AG598">_xlfn.IFS(L598=1,"Low",L598=2,"Medium",L598=3,"High",L598=4,"Very High")</f>
        <v>Very High</v>
      </c>
      <c r="AH598" t="str" cm="1">
        <f t="array" ref="AH598">_xlfn.IFS(M598=1,"Junior employee",M598=2,"Mid-level",M598=3,"Senior",M598=4,"Manager",M598=5,"Executive")</f>
        <v>Junior employee</v>
      </c>
      <c r="AI598" t="str" cm="1">
        <f t="array" ref="AI598">_xlfn.IFS(O598=1,"Low",O598=2,"Medium",O598=3,"High",O598=4,"Very High")</f>
        <v>High</v>
      </c>
      <c r="AJ598" t="str" cm="1">
        <f t="array" ref="AJ598">_xlfn.IFS(U598=1,"Low",U598=2,"Good",U598=3,"Excellent",U598=4,"Outstanding")</f>
        <v>Excellent</v>
      </c>
      <c r="AK598" t="str" cm="1">
        <f t="array" ref="AK598">_xlfn.IFS(V598=1,"Low",V598=2,"Medium",V598=3,"High",V598=4,"Very High")</f>
        <v>High</v>
      </c>
      <c r="AL598" t="str" cm="1">
        <f t="array" ref="AL598">_xlfn.IFS(Z598=1,"Bad",Z598=2,"Good",Z598=3,"Better",Z598=4,"Best")</f>
        <v>Better</v>
      </c>
      <c r="AM598" t="str" cm="1">
        <f t="array" ref="AM598">_xlfn.IFS(W598=0,"No_stock",W598=1,"Low",W598=2,"Medium",W598=3,"High")</f>
        <v>No_stock</v>
      </c>
      <c r="AN598" t="str">
        <f t="shared" si="9"/>
        <v>Near</v>
      </c>
    </row>
    <row r="599" spans="1:40" x14ac:dyDescent="0.45">
      <c r="A599">
        <v>42</v>
      </c>
      <c r="B599" t="s">
        <v>37</v>
      </c>
      <c r="C599" t="s">
        <v>31</v>
      </c>
      <c r="D599">
        <v>932</v>
      </c>
      <c r="E599" t="s">
        <v>39</v>
      </c>
      <c r="F599">
        <v>1</v>
      </c>
      <c r="G599">
        <v>2</v>
      </c>
      <c r="H599" t="s">
        <v>33</v>
      </c>
      <c r="I599">
        <v>827</v>
      </c>
      <c r="J599">
        <v>4</v>
      </c>
      <c r="K599" t="s">
        <v>34</v>
      </c>
      <c r="L599">
        <v>2</v>
      </c>
      <c r="M599">
        <v>2</v>
      </c>
      <c r="N599" t="s">
        <v>47</v>
      </c>
      <c r="O599">
        <v>4</v>
      </c>
      <c r="P599" t="s">
        <v>42</v>
      </c>
      <c r="Q599">
        <v>6062</v>
      </c>
      <c r="R599">
        <v>9</v>
      </c>
      <c r="S599" t="s">
        <v>30</v>
      </c>
      <c r="T599">
        <v>13</v>
      </c>
      <c r="U599">
        <v>3</v>
      </c>
      <c r="V599">
        <v>4</v>
      </c>
      <c r="W599">
        <v>1</v>
      </c>
      <c r="X599">
        <v>8</v>
      </c>
      <c r="Y599">
        <v>4</v>
      </c>
      <c r="Z599">
        <v>3</v>
      </c>
      <c r="AA599">
        <v>4</v>
      </c>
      <c r="AB599">
        <v>3</v>
      </c>
      <c r="AC599">
        <v>0</v>
      </c>
      <c r="AD599">
        <v>2</v>
      </c>
      <c r="AE599" t="str" cm="1">
        <f t="array" ref="AE599">_xlfn.IFS(G599=1,"Before College",G599=2,"College",G599=3,"Bachelor",G599=4,"Master",G599=5,"Doctor")</f>
        <v>College</v>
      </c>
      <c r="AF599" t="str" cm="1">
        <f t="array" ref="AF599">_xlfn.IFS(J599=1,"Low",J599=2,"Medium",J599=3,"High",J599=4,"Very High")</f>
        <v>Very High</v>
      </c>
      <c r="AG599" t="str" cm="1">
        <f t="array" ref="AG599">_xlfn.IFS(L599=1,"Low",L599=2,"Medium",L599=3,"High",L599=4,"Very High")</f>
        <v>Medium</v>
      </c>
      <c r="AH599" t="str" cm="1">
        <f t="array" ref="AH599">_xlfn.IFS(M599=1,"Junior employee",M599=2,"Mid-level",M599=3,"Senior",M599=4,"Manager",M599=5,"Executive")</f>
        <v>Mid-level</v>
      </c>
      <c r="AI599" t="str" cm="1">
        <f t="array" ref="AI599">_xlfn.IFS(O599=1,"Low",O599=2,"Medium",O599=3,"High",O599=4,"Very High")</f>
        <v>Very High</v>
      </c>
      <c r="AJ599" t="str" cm="1">
        <f t="array" ref="AJ599">_xlfn.IFS(U599=1,"Low",U599=2,"Good",U599=3,"Excellent",U599=4,"Outstanding")</f>
        <v>Excellent</v>
      </c>
      <c r="AK599" t="str" cm="1">
        <f t="array" ref="AK599">_xlfn.IFS(V599=1,"Low",V599=2,"Medium",V599=3,"High",V599=4,"Very High")</f>
        <v>Very High</v>
      </c>
      <c r="AL599" t="str" cm="1">
        <f t="array" ref="AL599">_xlfn.IFS(Z599=1,"Bad",Z599=2,"Good",Z599=3,"Better",Z599=4,"Best")</f>
        <v>Better</v>
      </c>
      <c r="AM599" t="str" cm="1">
        <f t="array" ref="AM599">_xlfn.IFS(W599=0,"No_stock",W599=1,"Low",W599=2,"Medium",W599=3,"High")</f>
        <v>Low</v>
      </c>
      <c r="AN599" t="str">
        <f t="shared" si="9"/>
        <v>Near</v>
      </c>
    </row>
    <row r="600" spans="1:40" x14ac:dyDescent="0.45">
      <c r="A600">
        <v>28</v>
      </c>
      <c r="B600" t="s">
        <v>30</v>
      </c>
      <c r="C600" t="s">
        <v>31</v>
      </c>
      <c r="D600">
        <v>890</v>
      </c>
      <c r="E600" t="s">
        <v>39</v>
      </c>
      <c r="F600">
        <v>2</v>
      </c>
      <c r="G600">
        <v>4</v>
      </c>
      <c r="H600" t="s">
        <v>45</v>
      </c>
      <c r="I600">
        <v>828</v>
      </c>
      <c r="J600">
        <v>3</v>
      </c>
      <c r="K600" t="s">
        <v>40</v>
      </c>
      <c r="L600">
        <v>3</v>
      </c>
      <c r="M600">
        <v>1</v>
      </c>
      <c r="N600" t="s">
        <v>41</v>
      </c>
      <c r="O600">
        <v>3</v>
      </c>
      <c r="P600" t="s">
        <v>36</v>
      </c>
      <c r="Q600">
        <v>4382</v>
      </c>
      <c r="R600">
        <v>6</v>
      </c>
      <c r="S600" t="s">
        <v>37</v>
      </c>
      <c r="T600">
        <v>17</v>
      </c>
      <c r="U600">
        <v>3</v>
      </c>
      <c r="V600">
        <v>4</v>
      </c>
      <c r="W600">
        <v>0</v>
      </c>
      <c r="X600">
        <v>5</v>
      </c>
      <c r="Y600">
        <v>3</v>
      </c>
      <c r="Z600">
        <v>2</v>
      </c>
      <c r="AA600">
        <v>2</v>
      </c>
      <c r="AB600">
        <v>2</v>
      </c>
      <c r="AC600">
        <v>2</v>
      </c>
      <c r="AD600">
        <v>1</v>
      </c>
      <c r="AE600" t="str" cm="1">
        <f t="array" ref="AE600">_xlfn.IFS(G600=1,"Before College",G600=2,"College",G600=3,"Bachelor",G600=4,"Master",G600=5,"Doctor")</f>
        <v>Master</v>
      </c>
      <c r="AF600" t="str" cm="1">
        <f t="array" ref="AF600">_xlfn.IFS(J600=1,"Low",J600=2,"Medium",J600=3,"High",J600=4,"Very High")</f>
        <v>High</v>
      </c>
      <c r="AG600" t="str" cm="1">
        <f t="array" ref="AG600">_xlfn.IFS(L600=1,"Low",L600=2,"Medium",L600=3,"High",L600=4,"Very High")</f>
        <v>High</v>
      </c>
      <c r="AH600" t="str" cm="1">
        <f t="array" ref="AH600">_xlfn.IFS(M600=1,"Junior employee",M600=2,"Mid-level",M600=3,"Senior",M600=4,"Manager",M600=5,"Executive")</f>
        <v>Junior employee</v>
      </c>
      <c r="AI600" t="str" cm="1">
        <f t="array" ref="AI600">_xlfn.IFS(O600=1,"Low",O600=2,"Medium",O600=3,"High",O600=4,"Very High")</f>
        <v>High</v>
      </c>
      <c r="AJ600" t="str" cm="1">
        <f t="array" ref="AJ600">_xlfn.IFS(U600=1,"Low",U600=2,"Good",U600=3,"Excellent",U600=4,"Outstanding")</f>
        <v>Excellent</v>
      </c>
      <c r="AK600" t="str" cm="1">
        <f t="array" ref="AK600">_xlfn.IFS(V600=1,"Low",V600=2,"Medium",V600=3,"High",V600=4,"Very High")</f>
        <v>Very High</v>
      </c>
      <c r="AL600" t="str" cm="1">
        <f t="array" ref="AL600">_xlfn.IFS(Z600=1,"Bad",Z600=2,"Good",Z600=3,"Better",Z600=4,"Best")</f>
        <v>Good</v>
      </c>
      <c r="AM600" t="str" cm="1">
        <f t="array" ref="AM600">_xlfn.IFS(W600=0,"No_stock",W600=1,"Low",W600=2,"Medium",W600=3,"High")</f>
        <v>No_stock</v>
      </c>
      <c r="AN600" t="str">
        <f t="shared" si="9"/>
        <v>Near</v>
      </c>
    </row>
    <row r="601" spans="1:40" x14ac:dyDescent="0.45">
      <c r="A601">
        <v>36</v>
      </c>
      <c r="B601" t="s">
        <v>37</v>
      </c>
      <c r="C601" t="s">
        <v>31</v>
      </c>
      <c r="D601">
        <v>1041</v>
      </c>
      <c r="E601" t="s">
        <v>55</v>
      </c>
      <c r="F601">
        <v>13</v>
      </c>
      <c r="G601">
        <v>3</v>
      </c>
      <c r="H601" t="s">
        <v>55</v>
      </c>
      <c r="I601">
        <v>829</v>
      </c>
      <c r="J601">
        <v>3</v>
      </c>
      <c r="K601" t="s">
        <v>40</v>
      </c>
      <c r="L601">
        <v>3</v>
      </c>
      <c r="M601">
        <v>1</v>
      </c>
      <c r="N601" t="s">
        <v>55</v>
      </c>
      <c r="O601">
        <v>2</v>
      </c>
      <c r="P601" t="s">
        <v>42</v>
      </c>
      <c r="Q601">
        <v>2143</v>
      </c>
      <c r="R601">
        <v>4</v>
      </c>
      <c r="S601" t="s">
        <v>37</v>
      </c>
      <c r="T601">
        <v>13</v>
      </c>
      <c r="U601">
        <v>3</v>
      </c>
      <c r="V601">
        <v>2</v>
      </c>
      <c r="W601">
        <v>1</v>
      </c>
      <c r="X601">
        <v>8</v>
      </c>
      <c r="Y601">
        <v>2</v>
      </c>
      <c r="Z601">
        <v>3</v>
      </c>
      <c r="AA601">
        <v>5</v>
      </c>
      <c r="AB601">
        <v>2</v>
      </c>
      <c r="AC601">
        <v>0</v>
      </c>
      <c r="AD601">
        <v>4</v>
      </c>
      <c r="AE601" t="str" cm="1">
        <f t="array" ref="AE601">_xlfn.IFS(G601=1,"Before College",G601=2,"College",G601=3,"Bachelor",G601=4,"Master",G601=5,"Doctor")</f>
        <v>Bachelor</v>
      </c>
      <c r="AF601" t="str" cm="1">
        <f t="array" ref="AF601">_xlfn.IFS(J601=1,"Low",J601=2,"Medium",J601=3,"High",J601=4,"Very High")</f>
        <v>High</v>
      </c>
      <c r="AG601" t="str" cm="1">
        <f t="array" ref="AG601">_xlfn.IFS(L601=1,"Low",L601=2,"Medium",L601=3,"High",L601=4,"Very High")</f>
        <v>High</v>
      </c>
      <c r="AH601" t="str" cm="1">
        <f t="array" ref="AH601">_xlfn.IFS(M601=1,"Junior employee",M601=2,"Mid-level",M601=3,"Senior",M601=4,"Manager",M601=5,"Executive")</f>
        <v>Junior employee</v>
      </c>
      <c r="AI601" t="str" cm="1">
        <f t="array" ref="AI601">_xlfn.IFS(O601=1,"Low",O601=2,"Medium",O601=3,"High",O601=4,"Very High")</f>
        <v>Medium</v>
      </c>
      <c r="AJ601" t="str" cm="1">
        <f t="array" ref="AJ601">_xlfn.IFS(U601=1,"Low",U601=2,"Good",U601=3,"Excellent",U601=4,"Outstanding")</f>
        <v>Excellent</v>
      </c>
      <c r="AK601" t="str" cm="1">
        <f t="array" ref="AK601">_xlfn.IFS(V601=1,"Low",V601=2,"Medium",V601=3,"High",V601=4,"Very High")</f>
        <v>Medium</v>
      </c>
      <c r="AL601" t="str" cm="1">
        <f t="array" ref="AL601">_xlfn.IFS(Z601=1,"Bad",Z601=2,"Good",Z601=3,"Better",Z601=4,"Best")</f>
        <v>Better</v>
      </c>
      <c r="AM601" t="str" cm="1">
        <f t="array" ref="AM601">_xlfn.IFS(W601=0,"No_stock",W601=1,"Low",W601=2,"Medium",W601=3,"High")</f>
        <v>Low</v>
      </c>
      <c r="AN601" t="str">
        <f t="shared" si="9"/>
        <v>Medium</v>
      </c>
    </row>
    <row r="602" spans="1:40" x14ac:dyDescent="0.45">
      <c r="A602">
        <v>32</v>
      </c>
      <c r="B602" t="s">
        <v>37</v>
      </c>
      <c r="C602" t="s">
        <v>31</v>
      </c>
      <c r="D602">
        <v>859</v>
      </c>
      <c r="E602" t="s">
        <v>39</v>
      </c>
      <c r="F602">
        <v>4</v>
      </c>
      <c r="G602">
        <v>3</v>
      </c>
      <c r="H602" t="s">
        <v>33</v>
      </c>
      <c r="I602">
        <v>830</v>
      </c>
      <c r="J602">
        <v>3</v>
      </c>
      <c r="K602" t="s">
        <v>34</v>
      </c>
      <c r="L602">
        <v>2</v>
      </c>
      <c r="M602">
        <v>2</v>
      </c>
      <c r="N602" t="s">
        <v>47</v>
      </c>
      <c r="O602">
        <v>3</v>
      </c>
      <c r="P602" t="s">
        <v>42</v>
      </c>
      <c r="Q602">
        <v>6162</v>
      </c>
      <c r="R602">
        <v>1</v>
      </c>
      <c r="S602" t="s">
        <v>37</v>
      </c>
      <c r="T602">
        <v>12</v>
      </c>
      <c r="U602">
        <v>3</v>
      </c>
      <c r="V602">
        <v>3</v>
      </c>
      <c r="W602">
        <v>1</v>
      </c>
      <c r="X602">
        <v>14</v>
      </c>
      <c r="Y602">
        <v>3</v>
      </c>
      <c r="Z602">
        <v>3</v>
      </c>
      <c r="AA602">
        <v>14</v>
      </c>
      <c r="AB602">
        <v>13</v>
      </c>
      <c r="AC602">
        <v>6</v>
      </c>
      <c r="AD602">
        <v>8</v>
      </c>
      <c r="AE602" t="str" cm="1">
        <f t="array" ref="AE602">_xlfn.IFS(G602=1,"Before College",G602=2,"College",G602=3,"Bachelor",G602=4,"Master",G602=5,"Doctor")</f>
        <v>Bachelor</v>
      </c>
      <c r="AF602" t="str" cm="1">
        <f t="array" ref="AF602">_xlfn.IFS(J602=1,"Low",J602=2,"Medium",J602=3,"High",J602=4,"Very High")</f>
        <v>High</v>
      </c>
      <c r="AG602" t="str" cm="1">
        <f t="array" ref="AG602">_xlfn.IFS(L602=1,"Low",L602=2,"Medium",L602=3,"High",L602=4,"Very High")</f>
        <v>Medium</v>
      </c>
      <c r="AH602" t="str" cm="1">
        <f t="array" ref="AH602">_xlfn.IFS(M602=1,"Junior employee",M602=2,"Mid-level",M602=3,"Senior",M602=4,"Manager",M602=5,"Executive")</f>
        <v>Mid-level</v>
      </c>
      <c r="AI602" t="str" cm="1">
        <f t="array" ref="AI602">_xlfn.IFS(O602=1,"Low",O602=2,"Medium",O602=3,"High",O602=4,"Very High")</f>
        <v>High</v>
      </c>
      <c r="AJ602" t="str" cm="1">
        <f t="array" ref="AJ602">_xlfn.IFS(U602=1,"Low",U602=2,"Good",U602=3,"Excellent",U602=4,"Outstanding")</f>
        <v>Excellent</v>
      </c>
      <c r="AK602" t="str" cm="1">
        <f t="array" ref="AK602">_xlfn.IFS(V602=1,"Low",V602=2,"Medium",V602=3,"High",V602=4,"Very High")</f>
        <v>High</v>
      </c>
      <c r="AL602" t="str" cm="1">
        <f t="array" ref="AL602">_xlfn.IFS(Z602=1,"Bad",Z602=2,"Good",Z602=3,"Better",Z602=4,"Best")</f>
        <v>Better</v>
      </c>
      <c r="AM602" t="str" cm="1">
        <f t="array" ref="AM602">_xlfn.IFS(W602=0,"No_stock",W602=1,"Low",W602=2,"Medium",W602=3,"High")</f>
        <v>Low</v>
      </c>
      <c r="AN602" t="str">
        <f t="shared" si="9"/>
        <v>Near</v>
      </c>
    </row>
    <row r="603" spans="1:40" x14ac:dyDescent="0.45">
      <c r="A603">
        <v>40</v>
      </c>
      <c r="B603" t="s">
        <v>37</v>
      </c>
      <c r="C603" t="s">
        <v>38</v>
      </c>
      <c r="D603">
        <v>720</v>
      </c>
      <c r="E603" t="s">
        <v>39</v>
      </c>
      <c r="F603">
        <v>16</v>
      </c>
      <c r="G603">
        <v>4</v>
      </c>
      <c r="H603" t="s">
        <v>45</v>
      </c>
      <c r="I603">
        <v>832</v>
      </c>
      <c r="J603">
        <v>1</v>
      </c>
      <c r="K603" t="s">
        <v>40</v>
      </c>
      <c r="L603">
        <v>2</v>
      </c>
      <c r="M603">
        <v>2</v>
      </c>
      <c r="N603" t="s">
        <v>44</v>
      </c>
      <c r="O603">
        <v>3</v>
      </c>
      <c r="P603" t="s">
        <v>36</v>
      </c>
      <c r="Q603">
        <v>5094</v>
      </c>
      <c r="R603">
        <v>6</v>
      </c>
      <c r="S603" t="s">
        <v>37</v>
      </c>
      <c r="T603">
        <v>14</v>
      </c>
      <c r="U603">
        <v>3</v>
      </c>
      <c r="V603">
        <v>4</v>
      </c>
      <c r="W603">
        <v>0</v>
      </c>
      <c r="X603">
        <v>10</v>
      </c>
      <c r="Y603">
        <v>6</v>
      </c>
      <c r="Z603">
        <v>3</v>
      </c>
      <c r="AA603">
        <v>1</v>
      </c>
      <c r="AB603">
        <v>0</v>
      </c>
      <c r="AC603">
        <v>0</v>
      </c>
      <c r="AD603">
        <v>0</v>
      </c>
      <c r="AE603" t="str" cm="1">
        <f t="array" ref="AE603">_xlfn.IFS(G603=1,"Before College",G603=2,"College",G603=3,"Bachelor",G603=4,"Master",G603=5,"Doctor")</f>
        <v>Master</v>
      </c>
      <c r="AF603" t="str" cm="1">
        <f t="array" ref="AF603">_xlfn.IFS(J603=1,"Low",J603=2,"Medium",J603=3,"High",J603=4,"Very High")</f>
        <v>Low</v>
      </c>
      <c r="AG603" t="str" cm="1">
        <f t="array" ref="AG603">_xlfn.IFS(L603=1,"Low",L603=2,"Medium",L603=3,"High",L603=4,"Very High")</f>
        <v>Medium</v>
      </c>
      <c r="AH603" t="str" cm="1">
        <f t="array" ref="AH603">_xlfn.IFS(M603=1,"Junior employee",M603=2,"Mid-level",M603=3,"Senior",M603=4,"Manager",M603=5,"Executive")</f>
        <v>Mid-level</v>
      </c>
      <c r="AI603" t="str" cm="1">
        <f t="array" ref="AI603">_xlfn.IFS(O603=1,"Low",O603=2,"Medium",O603=3,"High",O603=4,"Very High")</f>
        <v>High</v>
      </c>
      <c r="AJ603" t="str" cm="1">
        <f t="array" ref="AJ603">_xlfn.IFS(U603=1,"Low",U603=2,"Good",U603=3,"Excellent",U603=4,"Outstanding")</f>
        <v>Excellent</v>
      </c>
      <c r="AK603" t="str" cm="1">
        <f t="array" ref="AK603">_xlfn.IFS(V603=1,"Low",V603=2,"Medium",V603=3,"High",V603=4,"Very High")</f>
        <v>Very High</v>
      </c>
      <c r="AL603" t="str" cm="1">
        <f t="array" ref="AL603">_xlfn.IFS(Z603=1,"Bad",Z603=2,"Good",Z603=3,"Better",Z603=4,"Best")</f>
        <v>Better</v>
      </c>
      <c r="AM603" t="str" cm="1">
        <f t="array" ref="AM603">_xlfn.IFS(W603=0,"No_stock",W603=1,"Low",W603=2,"Medium",W603=3,"High")</f>
        <v>No_stock</v>
      </c>
      <c r="AN603" t="str">
        <f t="shared" si="9"/>
        <v>Far</v>
      </c>
    </row>
    <row r="604" spans="1:40" x14ac:dyDescent="0.45">
      <c r="A604">
        <v>30</v>
      </c>
      <c r="B604" t="s">
        <v>37</v>
      </c>
      <c r="C604" t="s">
        <v>31</v>
      </c>
      <c r="D604">
        <v>946</v>
      </c>
      <c r="E604" t="s">
        <v>39</v>
      </c>
      <c r="F604">
        <v>2</v>
      </c>
      <c r="G604">
        <v>3</v>
      </c>
      <c r="H604" t="s">
        <v>45</v>
      </c>
      <c r="I604">
        <v>833</v>
      </c>
      <c r="J604">
        <v>3</v>
      </c>
      <c r="K604" t="s">
        <v>34</v>
      </c>
      <c r="L604">
        <v>2</v>
      </c>
      <c r="M604">
        <v>2</v>
      </c>
      <c r="N604" t="s">
        <v>47</v>
      </c>
      <c r="O604">
        <v>4</v>
      </c>
      <c r="P604" t="s">
        <v>36</v>
      </c>
      <c r="Q604">
        <v>6877</v>
      </c>
      <c r="R604">
        <v>5</v>
      </c>
      <c r="S604" t="s">
        <v>30</v>
      </c>
      <c r="T604">
        <v>24</v>
      </c>
      <c r="U604">
        <v>4</v>
      </c>
      <c r="V604">
        <v>2</v>
      </c>
      <c r="W604">
        <v>0</v>
      </c>
      <c r="X604">
        <v>12</v>
      </c>
      <c r="Y604">
        <v>4</v>
      </c>
      <c r="Z604">
        <v>2</v>
      </c>
      <c r="AA604">
        <v>0</v>
      </c>
      <c r="AB604">
        <v>0</v>
      </c>
      <c r="AC604">
        <v>0</v>
      </c>
      <c r="AD604">
        <v>0</v>
      </c>
      <c r="AE604" t="str" cm="1">
        <f t="array" ref="AE604">_xlfn.IFS(G604=1,"Before College",G604=2,"College",G604=3,"Bachelor",G604=4,"Master",G604=5,"Doctor")</f>
        <v>Bachelor</v>
      </c>
      <c r="AF604" t="str" cm="1">
        <f t="array" ref="AF604">_xlfn.IFS(J604=1,"Low",J604=2,"Medium",J604=3,"High",J604=4,"Very High")</f>
        <v>High</v>
      </c>
      <c r="AG604" t="str" cm="1">
        <f t="array" ref="AG604">_xlfn.IFS(L604=1,"Low",L604=2,"Medium",L604=3,"High",L604=4,"Very High")</f>
        <v>Medium</v>
      </c>
      <c r="AH604" t="str" cm="1">
        <f t="array" ref="AH604">_xlfn.IFS(M604=1,"Junior employee",M604=2,"Mid-level",M604=3,"Senior",M604=4,"Manager",M604=5,"Executive")</f>
        <v>Mid-level</v>
      </c>
      <c r="AI604" t="str" cm="1">
        <f t="array" ref="AI604">_xlfn.IFS(O604=1,"Low",O604=2,"Medium",O604=3,"High",O604=4,"Very High")</f>
        <v>Very High</v>
      </c>
      <c r="AJ604" t="str" cm="1">
        <f t="array" ref="AJ604">_xlfn.IFS(U604=1,"Low",U604=2,"Good",U604=3,"Excellent",U604=4,"Outstanding")</f>
        <v>Outstanding</v>
      </c>
      <c r="AK604" t="str" cm="1">
        <f t="array" ref="AK604">_xlfn.IFS(V604=1,"Low",V604=2,"Medium",V604=3,"High",V604=4,"Very High")</f>
        <v>Medium</v>
      </c>
      <c r="AL604" t="str" cm="1">
        <f t="array" ref="AL604">_xlfn.IFS(Z604=1,"Bad",Z604=2,"Good",Z604=3,"Better",Z604=4,"Best")</f>
        <v>Good</v>
      </c>
      <c r="AM604" t="str" cm="1">
        <f t="array" ref="AM604">_xlfn.IFS(W604=0,"No_stock",W604=1,"Low",W604=2,"Medium",W604=3,"High")</f>
        <v>No_stock</v>
      </c>
      <c r="AN604" t="str">
        <f t="shared" si="9"/>
        <v>Near</v>
      </c>
    </row>
    <row r="605" spans="1:40" x14ac:dyDescent="0.45">
      <c r="A605">
        <v>45</v>
      </c>
      <c r="B605" t="s">
        <v>37</v>
      </c>
      <c r="C605" t="s">
        <v>31</v>
      </c>
      <c r="D605">
        <v>252</v>
      </c>
      <c r="E605" t="s">
        <v>39</v>
      </c>
      <c r="F605">
        <v>2</v>
      </c>
      <c r="G605">
        <v>3</v>
      </c>
      <c r="H605" t="s">
        <v>33</v>
      </c>
      <c r="I605">
        <v>834</v>
      </c>
      <c r="J605">
        <v>2</v>
      </c>
      <c r="K605" t="s">
        <v>34</v>
      </c>
      <c r="L605">
        <v>2</v>
      </c>
      <c r="M605">
        <v>1</v>
      </c>
      <c r="N605" t="s">
        <v>41</v>
      </c>
      <c r="O605">
        <v>3</v>
      </c>
      <c r="P605" t="s">
        <v>36</v>
      </c>
      <c r="Q605">
        <v>2274</v>
      </c>
      <c r="R605">
        <v>1</v>
      </c>
      <c r="S605" t="s">
        <v>37</v>
      </c>
      <c r="T605">
        <v>14</v>
      </c>
      <c r="U605">
        <v>3</v>
      </c>
      <c r="V605">
        <v>4</v>
      </c>
      <c r="W605">
        <v>0</v>
      </c>
      <c r="X605">
        <v>1</v>
      </c>
      <c r="Y605">
        <v>3</v>
      </c>
      <c r="Z605">
        <v>3</v>
      </c>
      <c r="AA605">
        <v>1</v>
      </c>
      <c r="AB605">
        <v>0</v>
      </c>
      <c r="AC605">
        <v>0</v>
      </c>
      <c r="AD605">
        <v>0</v>
      </c>
      <c r="AE605" t="str" cm="1">
        <f t="array" ref="AE605">_xlfn.IFS(G605=1,"Before College",G605=2,"College",G605=3,"Bachelor",G605=4,"Master",G605=5,"Doctor")</f>
        <v>Bachelor</v>
      </c>
      <c r="AF605" t="str" cm="1">
        <f t="array" ref="AF605">_xlfn.IFS(J605=1,"Low",J605=2,"Medium",J605=3,"High",J605=4,"Very High")</f>
        <v>Medium</v>
      </c>
      <c r="AG605" t="str" cm="1">
        <f t="array" ref="AG605">_xlfn.IFS(L605=1,"Low",L605=2,"Medium",L605=3,"High",L605=4,"Very High")</f>
        <v>Medium</v>
      </c>
      <c r="AH605" t="str" cm="1">
        <f t="array" ref="AH605">_xlfn.IFS(M605=1,"Junior employee",M605=2,"Mid-level",M605=3,"Senior",M605=4,"Manager",M605=5,"Executive")</f>
        <v>Junior employee</v>
      </c>
      <c r="AI605" t="str" cm="1">
        <f t="array" ref="AI605">_xlfn.IFS(O605=1,"Low",O605=2,"Medium",O605=3,"High",O605=4,"Very High")</f>
        <v>High</v>
      </c>
      <c r="AJ605" t="str" cm="1">
        <f t="array" ref="AJ605">_xlfn.IFS(U605=1,"Low",U605=2,"Good",U605=3,"Excellent",U605=4,"Outstanding")</f>
        <v>Excellent</v>
      </c>
      <c r="AK605" t="str" cm="1">
        <f t="array" ref="AK605">_xlfn.IFS(V605=1,"Low",V605=2,"Medium",V605=3,"High",V605=4,"Very High")</f>
        <v>Very High</v>
      </c>
      <c r="AL605" t="str" cm="1">
        <f t="array" ref="AL605">_xlfn.IFS(Z605=1,"Bad",Z605=2,"Good",Z605=3,"Better",Z605=4,"Best")</f>
        <v>Better</v>
      </c>
      <c r="AM605" t="str" cm="1">
        <f t="array" ref="AM605">_xlfn.IFS(W605=0,"No_stock",W605=1,"Low",W605=2,"Medium",W605=3,"High")</f>
        <v>No_stock</v>
      </c>
      <c r="AN605" t="str">
        <f t="shared" si="9"/>
        <v>Near</v>
      </c>
    </row>
    <row r="606" spans="1:40" x14ac:dyDescent="0.45">
      <c r="A606">
        <v>42</v>
      </c>
      <c r="B606" t="s">
        <v>37</v>
      </c>
      <c r="C606" t="s">
        <v>31</v>
      </c>
      <c r="D606">
        <v>933</v>
      </c>
      <c r="E606" t="s">
        <v>39</v>
      </c>
      <c r="F606">
        <v>29</v>
      </c>
      <c r="G606">
        <v>3</v>
      </c>
      <c r="H606" t="s">
        <v>33</v>
      </c>
      <c r="I606">
        <v>836</v>
      </c>
      <c r="J606">
        <v>2</v>
      </c>
      <c r="K606" t="s">
        <v>40</v>
      </c>
      <c r="L606">
        <v>3</v>
      </c>
      <c r="M606">
        <v>2</v>
      </c>
      <c r="N606" t="s">
        <v>47</v>
      </c>
      <c r="O606">
        <v>2</v>
      </c>
      <c r="P606" t="s">
        <v>42</v>
      </c>
      <c r="Q606">
        <v>4434</v>
      </c>
      <c r="R606">
        <v>1</v>
      </c>
      <c r="S606" t="s">
        <v>37</v>
      </c>
      <c r="T606">
        <v>13</v>
      </c>
      <c r="U606">
        <v>3</v>
      </c>
      <c r="V606">
        <v>4</v>
      </c>
      <c r="W606">
        <v>1</v>
      </c>
      <c r="X606">
        <v>10</v>
      </c>
      <c r="Y606">
        <v>3</v>
      </c>
      <c r="Z606">
        <v>2</v>
      </c>
      <c r="AA606">
        <v>9</v>
      </c>
      <c r="AB606">
        <v>8</v>
      </c>
      <c r="AC606">
        <v>7</v>
      </c>
      <c r="AD606">
        <v>8</v>
      </c>
      <c r="AE606" t="str" cm="1">
        <f t="array" ref="AE606">_xlfn.IFS(G606=1,"Before College",G606=2,"College",G606=3,"Bachelor",G606=4,"Master",G606=5,"Doctor")</f>
        <v>Bachelor</v>
      </c>
      <c r="AF606" t="str" cm="1">
        <f t="array" ref="AF606">_xlfn.IFS(J606=1,"Low",J606=2,"Medium",J606=3,"High",J606=4,"Very High")</f>
        <v>Medium</v>
      </c>
      <c r="AG606" t="str" cm="1">
        <f t="array" ref="AG606">_xlfn.IFS(L606=1,"Low",L606=2,"Medium",L606=3,"High",L606=4,"Very High")</f>
        <v>High</v>
      </c>
      <c r="AH606" t="str" cm="1">
        <f t="array" ref="AH606">_xlfn.IFS(M606=1,"Junior employee",M606=2,"Mid-level",M606=3,"Senior",M606=4,"Manager",M606=5,"Executive")</f>
        <v>Mid-level</v>
      </c>
      <c r="AI606" t="str" cm="1">
        <f t="array" ref="AI606">_xlfn.IFS(O606=1,"Low",O606=2,"Medium",O606=3,"High",O606=4,"Very High")</f>
        <v>Medium</v>
      </c>
      <c r="AJ606" t="str" cm="1">
        <f t="array" ref="AJ606">_xlfn.IFS(U606=1,"Low",U606=2,"Good",U606=3,"Excellent",U606=4,"Outstanding")</f>
        <v>Excellent</v>
      </c>
      <c r="AK606" t="str" cm="1">
        <f t="array" ref="AK606">_xlfn.IFS(V606=1,"Low",V606=2,"Medium",V606=3,"High",V606=4,"Very High")</f>
        <v>Very High</v>
      </c>
      <c r="AL606" t="str" cm="1">
        <f t="array" ref="AL606">_xlfn.IFS(Z606=1,"Bad",Z606=2,"Good",Z606=3,"Better",Z606=4,"Best")</f>
        <v>Good</v>
      </c>
      <c r="AM606" t="str" cm="1">
        <f t="array" ref="AM606">_xlfn.IFS(W606=0,"No_stock",W606=1,"Low",W606=2,"Medium",W606=3,"High")</f>
        <v>Low</v>
      </c>
      <c r="AN606" t="str">
        <f t="shared" si="9"/>
        <v>Far</v>
      </c>
    </row>
    <row r="607" spans="1:40" x14ac:dyDescent="0.45">
      <c r="A607">
        <v>38</v>
      </c>
      <c r="B607" t="s">
        <v>37</v>
      </c>
      <c r="C607" t="s">
        <v>38</v>
      </c>
      <c r="D607">
        <v>471</v>
      </c>
      <c r="E607" t="s">
        <v>39</v>
      </c>
      <c r="F607">
        <v>12</v>
      </c>
      <c r="G607">
        <v>3</v>
      </c>
      <c r="H607" t="s">
        <v>33</v>
      </c>
      <c r="I607">
        <v>837</v>
      </c>
      <c r="J607">
        <v>1</v>
      </c>
      <c r="K607" t="s">
        <v>40</v>
      </c>
      <c r="L607">
        <v>2</v>
      </c>
      <c r="M607">
        <v>2</v>
      </c>
      <c r="N607" t="s">
        <v>48</v>
      </c>
      <c r="O607">
        <v>1</v>
      </c>
      <c r="P607" t="s">
        <v>46</v>
      </c>
      <c r="Q607">
        <v>6288</v>
      </c>
      <c r="R607">
        <v>2</v>
      </c>
      <c r="S607" t="s">
        <v>37</v>
      </c>
      <c r="T607">
        <v>15</v>
      </c>
      <c r="U607">
        <v>3</v>
      </c>
      <c r="V607">
        <v>3</v>
      </c>
      <c r="W607">
        <v>1</v>
      </c>
      <c r="X607">
        <v>13</v>
      </c>
      <c r="Y607">
        <v>3</v>
      </c>
      <c r="Z607">
        <v>2</v>
      </c>
      <c r="AA607">
        <v>4</v>
      </c>
      <c r="AB607">
        <v>3</v>
      </c>
      <c r="AC607">
        <v>1</v>
      </c>
      <c r="AD607">
        <v>2</v>
      </c>
      <c r="AE607" t="str" cm="1">
        <f t="array" ref="AE607">_xlfn.IFS(G607=1,"Before College",G607=2,"College",G607=3,"Bachelor",G607=4,"Master",G607=5,"Doctor")</f>
        <v>Bachelor</v>
      </c>
      <c r="AF607" t="str" cm="1">
        <f t="array" ref="AF607">_xlfn.IFS(J607=1,"Low",J607=2,"Medium",J607=3,"High",J607=4,"Very High")</f>
        <v>Low</v>
      </c>
      <c r="AG607" t="str" cm="1">
        <f t="array" ref="AG607">_xlfn.IFS(L607=1,"Low",L607=2,"Medium",L607=3,"High",L607=4,"Very High")</f>
        <v>Medium</v>
      </c>
      <c r="AH607" t="str" cm="1">
        <f t="array" ref="AH607">_xlfn.IFS(M607=1,"Junior employee",M607=2,"Mid-level",M607=3,"Senior",M607=4,"Manager",M607=5,"Executive")</f>
        <v>Mid-level</v>
      </c>
      <c r="AI607" t="str" cm="1">
        <f t="array" ref="AI607">_xlfn.IFS(O607=1,"Low",O607=2,"Medium",O607=3,"High",O607=4,"Very High")</f>
        <v>Low</v>
      </c>
      <c r="AJ607" t="str" cm="1">
        <f t="array" ref="AJ607">_xlfn.IFS(U607=1,"Low",U607=2,"Good",U607=3,"Excellent",U607=4,"Outstanding")</f>
        <v>Excellent</v>
      </c>
      <c r="AK607" t="str" cm="1">
        <f t="array" ref="AK607">_xlfn.IFS(V607=1,"Low",V607=2,"Medium",V607=3,"High",V607=4,"Very High")</f>
        <v>High</v>
      </c>
      <c r="AL607" t="str" cm="1">
        <f t="array" ref="AL607">_xlfn.IFS(Z607=1,"Bad",Z607=2,"Good",Z607=3,"Better",Z607=4,"Best")</f>
        <v>Good</v>
      </c>
      <c r="AM607" t="str" cm="1">
        <f t="array" ref="AM607">_xlfn.IFS(W607=0,"No_stock",W607=1,"Low",W607=2,"Medium",W607=3,"High")</f>
        <v>Low</v>
      </c>
      <c r="AN607" t="str">
        <f t="shared" si="9"/>
        <v>Medium</v>
      </c>
    </row>
    <row r="608" spans="1:40" x14ac:dyDescent="0.45">
      <c r="A608">
        <v>34</v>
      </c>
      <c r="B608" t="s">
        <v>37</v>
      </c>
      <c r="C608" t="s">
        <v>38</v>
      </c>
      <c r="D608">
        <v>702</v>
      </c>
      <c r="E608" t="s">
        <v>39</v>
      </c>
      <c r="F608">
        <v>16</v>
      </c>
      <c r="G608">
        <v>4</v>
      </c>
      <c r="H608" t="s">
        <v>33</v>
      </c>
      <c r="I608">
        <v>838</v>
      </c>
      <c r="J608">
        <v>3</v>
      </c>
      <c r="K608" t="s">
        <v>34</v>
      </c>
      <c r="L608">
        <v>2</v>
      </c>
      <c r="M608">
        <v>1</v>
      </c>
      <c r="N608" t="s">
        <v>41</v>
      </c>
      <c r="O608">
        <v>4</v>
      </c>
      <c r="P608" t="s">
        <v>36</v>
      </c>
      <c r="Q608">
        <v>2553</v>
      </c>
      <c r="R608">
        <v>1</v>
      </c>
      <c r="S608" t="s">
        <v>37</v>
      </c>
      <c r="T608">
        <v>16</v>
      </c>
      <c r="U608">
        <v>3</v>
      </c>
      <c r="V608">
        <v>3</v>
      </c>
      <c r="W608">
        <v>0</v>
      </c>
      <c r="X608">
        <v>6</v>
      </c>
      <c r="Y608">
        <v>3</v>
      </c>
      <c r="Z608">
        <v>3</v>
      </c>
      <c r="AA608">
        <v>5</v>
      </c>
      <c r="AB608">
        <v>2</v>
      </c>
      <c r="AC608">
        <v>1</v>
      </c>
      <c r="AD608">
        <v>3</v>
      </c>
      <c r="AE608" t="str" cm="1">
        <f t="array" ref="AE608">_xlfn.IFS(G608=1,"Before College",G608=2,"College",G608=3,"Bachelor",G608=4,"Master",G608=5,"Doctor")</f>
        <v>Master</v>
      </c>
      <c r="AF608" t="str" cm="1">
        <f t="array" ref="AF608">_xlfn.IFS(J608=1,"Low",J608=2,"Medium",J608=3,"High",J608=4,"Very High")</f>
        <v>High</v>
      </c>
      <c r="AG608" t="str" cm="1">
        <f t="array" ref="AG608">_xlfn.IFS(L608=1,"Low",L608=2,"Medium",L608=3,"High",L608=4,"Very High")</f>
        <v>Medium</v>
      </c>
      <c r="AH608" t="str" cm="1">
        <f t="array" ref="AH608">_xlfn.IFS(M608=1,"Junior employee",M608=2,"Mid-level",M608=3,"Senior",M608=4,"Manager",M608=5,"Executive")</f>
        <v>Junior employee</v>
      </c>
      <c r="AI608" t="str" cm="1">
        <f t="array" ref="AI608">_xlfn.IFS(O608=1,"Low",O608=2,"Medium",O608=3,"High",O608=4,"Very High")</f>
        <v>Very High</v>
      </c>
      <c r="AJ608" t="str" cm="1">
        <f t="array" ref="AJ608">_xlfn.IFS(U608=1,"Low",U608=2,"Good",U608=3,"Excellent",U608=4,"Outstanding")</f>
        <v>Excellent</v>
      </c>
      <c r="AK608" t="str" cm="1">
        <f t="array" ref="AK608">_xlfn.IFS(V608=1,"Low",V608=2,"Medium",V608=3,"High",V608=4,"Very High")</f>
        <v>High</v>
      </c>
      <c r="AL608" t="str" cm="1">
        <f t="array" ref="AL608">_xlfn.IFS(Z608=1,"Bad",Z608=2,"Good",Z608=3,"Better",Z608=4,"Best")</f>
        <v>Better</v>
      </c>
      <c r="AM608" t="str" cm="1">
        <f t="array" ref="AM608">_xlfn.IFS(W608=0,"No_stock",W608=1,"Low",W608=2,"Medium",W608=3,"High")</f>
        <v>No_stock</v>
      </c>
      <c r="AN608" t="str">
        <f t="shared" si="9"/>
        <v>Far</v>
      </c>
    </row>
    <row r="609" spans="1:40" x14ac:dyDescent="0.45">
      <c r="A609">
        <v>49</v>
      </c>
      <c r="B609" t="s">
        <v>30</v>
      </c>
      <c r="C609" t="s">
        <v>31</v>
      </c>
      <c r="D609">
        <v>1184</v>
      </c>
      <c r="E609" t="s">
        <v>32</v>
      </c>
      <c r="F609">
        <v>11</v>
      </c>
      <c r="G609">
        <v>3</v>
      </c>
      <c r="H609" t="s">
        <v>53</v>
      </c>
      <c r="I609">
        <v>840</v>
      </c>
      <c r="J609">
        <v>3</v>
      </c>
      <c r="K609" t="s">
        <v>34</v>
      </c>
      <c r="L609">
        <v>3</v>
      </c>
      <c r="M609">
        <v>3</v>
      </c>
      <c r="N609" t="s">
        <v>35</v>
      </c>
      <c r="O609">
        <v>4</v>
      </c>
      <c r="P609" t="s">
        <v>42</v>
      </c>
      <c r="Q609">
        <v>7654</v>
      </c>
      <c r="R609">
        <v>1</v>
      </c>
      <c r="S609" t="s">
        <v>37</v>
      </c>
      <c r="T609">
        <v>18</v>
      </c>
      <c r="U609">
        <v>3</v>
      </c>
      <c r="V609">
        <v>1</v>
      </c>
      <c r="W609">
        <v>2</v>
      </c>
      <c r="X609">
        <v>9</v>
      </c>
      <c r="Y609">
        <v>3</v>
      </c>
      <c r="Z609">
        <v>4</v>
      </c>
      <c r="AA609">
        <v>9</v>
      </c>
      <c r="AB609">
        <v>8</v>
      </c>
      <c r="AC609">
        <v>7</v>
      </c>
      <c r="AD609">
        <v>7</v>
      </c>
      <c r="AE609" t="str" cm="1">
        <f t="array" ref="AE609">_xlfn.IFS(G609=1,"Before College",G609=2,"College",G609=3,"Bachelor",G609=4,"Master",G609=5,"Doctor")</f>
        <v>Bachelor</v>
      </c>
      <c r="AF609" t="str" cm="1">
        <f t="array" ref="AF609">_xlfn.IFS(J609=1,"Low",J609=2,"Medium",J609=3,"High",J609=4,"Very High")</f>
        <v>High</v>
      </c>
      <c r="AG609" t="str" cm="1">
        <f t="array" ref="AG609">_xlfn.IFS(L609=1,"Low",L609=2,"Medium",L609=3,"High",L609=4,"Very High")</f>
        <v>High</v>
      </c>
      <c r="AH609" t="str" cm="1">
        <f t="array" ref="AH609">_xlfn.IFS(M609=1,"Junior employee",M609=2,"Mid-level",M609=3,"Senior",M609=4,"Manager",M609=5,"Executive")</f>
        <v>Senior</v>
      </c>
      <c r="AI609" t="str" cm="1">
        <f t="array" ref="AI609">_xlfn.IFS(O609=1,"Low",O609=2,"Medium",O609=3,"High",O609=4,"Very High")</f>
        <v>Very High</v>
      </c>
      <c r="AJ609" t="str" cm="1">
        <f t="array" ref="AJ609">_xlfn.IFS(U609=1,"Low",U609=2,"Good",U609=3,"Excellent",U609=4,"Outstanding")</f>
        <v>Excellent</v>
      </c>
      <c r="AK609" t="str" cm="1">
        <f t="array" ref="AK609">_xlfn.IFS(V609=1,"Low",V609=2,"Medium",V609=3,"High",V609=4,"Very High")</f>
        <v>Low</v>
      </c>
      <c r="AL609" t="str" cm="1">
        <f t="array" ref="AL609">_xlfn.IFS(Z609=1,"Bad",Z609=2,"Good",Z609=3,"Better",Z609=4,"Best")</f>
        <v>Best</v>
      </c>
      <c r="AM609" t="str" cm="1">
        <f t="array" ref="AM609">_xlfn.IFS(W609=0,"No_stock",W609=1,"Low",W609=2,"Medium",W609=3,"High")</f>
        <v>Medium</v>
      </c>
      <c r="AN609" t="str">
        <f t="shared" si="9"/>
        <v>Medium</v>
      </c>
    </row>
    <row r="610" spans="1:40" x14ac:dyDescent="0.45">
      <c r="A610">
        <v>55</v>
      </c>
      <c r="B610" t="s">
        <v>30</v>
      </c>
      <c r="C610" t="s">
        <v>31</v>
      </c>
      <c r="D610">
        <v>436</v>
      </c>
      <c r="E610" t="s">
        <v>32</v>
      </c>
      <c r="F610">
        <v>2</v>
      </c>
      <c r="G610">
        <v>1</v>
      </c>
      <c r="H610" t="s">
        <v>45</v>
      </c>
      <c r="I610">
        <v>842</v>
      </c>
      <c r="J610">
        <v>3</v>
      </c>
      <c r="K610" t="s">
        <v>40</v>
      </c>
      <c r="L610">
        <v>3</v>
      </c>
      <c r="M610">
        <v>2</v>
      </c>
      <c r="N610" t="s">
        <v>35</v>
      </c>
      <c r="O610">
        <v>4</v>
      </c>
      <c r="P610" t="s">
        <v>36</v>
      </c>
      <c r="Q610">
        <v>5160</v>
      </c>
      <c r="R610">
        <v>4</v>
      </c>
      <c r="S610" t="s">
        <v>37</v>
      </c>
      <c r="T610">
        <v>16</v>
      </c>
      <c r="U610">
        <v>3</v>
      </c>
      <c r="V610">
        <v>3</v>
      </c>
      <c r="W610">
        <v>0</v>
      </c>
      <c r="X610">
        <v>12</v>
      </c>
      <c r="Y610">
        <v>3</v>
      </c>
      <c r="Z610">
        <v>2</v>
      </c>
      <c r="AA610">
        <v>9</v>
      </c>
      <c r="AB610">
        <v>7</v>
      </c>
      <c r="AC610">
        <v>7</v>
      </c>
      <c r="AD610">
        <v>3</v>
      </c>
      <c r="AE610" t="str" cm="1">
        <f t="array" ref="AE610">_xlfn.IFS(G610=1,"Before College",G610=2,"College",G610=3,"Bachelor",G610=4,"Master",G610=5,"Doctor")</f>
        <v>Before College</v>
      </c>
      <c r="AF610" t="str" cm="1">
        <f t="array" ref="AF610">_xlfn.IFS(J610=1,"Low",J610=2,"Medium",J610=3,"High",J610=4,"Very High")</f>
        <v>High</v>
      </c>
      <c r="AG610" t="str" cm="1">
        <f t="array" ref="AG610">_xlfn.IFS(L610=1,"Low",L610=2,"Medium",L610=3,"High",L610=4,"Very High")</f>
        <v>High</v>
      </c>
      <c r="AH610" t="str" cm="1">
        <f t="array" ref="AH610">_xlfn.IFS(M610=1,"Junior employee",M610=2,"Mid-level",M610=3,"Senior",M610=4,"Manager",M610=5,"Executive")</f>
        <v>Mid-level</v>
      </c>
      <c r="AI610" t="str" cm="1">
        <f t="array" ref="AI610">_xlfn.IFS(O610=1,"Low",O610=2,"Medium",O610=3,"High",O610=4,"Very High")</f>
        <v>Very High</v>
      </c>
      <c r="AJ610" t="str" cm="1">
        <f t="array" ref="AJ610">_xlfn.IFS(U610=1,"Low",U610=2,"Good",U610=3,"Excellent",U610=4,"Outstanding")</f>
        <v>Excellent</v>
      </c>
      <c r="AK610" t="str" cm="1">
        <f t="array" ref="AK610">_xlfn.IFS(V610=1,"Low",V610=2,"Medium",V610=3,"High",V610=4,"Very High")</f>
        <v>High</v>
      </c>
      <c r="AL610" t="str" cm="1">
        <f t="array" ref="AL610">_xlfn.IFS(Z610=1,"Bad",Z610=2,"Good",Z610=3,"Better",Z610=4,"Best")</f>
        <v>Good</v>
      </c>
      <c r="AM610" t="str" cm="1">
        <f t="array" ref="AM610">_xlfn.IFS(W610=0,"No_stock",W610=1,"Low",W610=2,"Medium",W610=3,"High")</f>
        <v>No_stock</v>
      </c>
      <c r="AN610" t="str">
        <f t="shared" si="9"/>
        <v>Near</v>
      </c>
    </row>
    <row r="611" spans="1:40" x14ac:dyDescent="0.45">
      <c r="A611">
        <v>43</v>
      </c>
      <c r="B611" t="s">
        <v>37</v>
      </c>
      <c r="C611" t="s">
        <v>31</v>
      </c>
      <c r="D611">
        <v>589</v>
      </c>
      <c r="E611" t="s">
        <v>39</v>
      </c>
      <c r="F611">
        <v>14</v>
      </c>
      <c r="G611">
        <v>2</v>
      </c>
      <c r="H611" t="s">
        <v>33</v>
      </c>
      <c r="I611">
        <v>843</v>
      </c>
      <c r="J611">
        <v>2</v>
      </c>
      <c r="K611" t="s">
        <v>40</v>
      </c>
      <c r="L611">
        <v>3</v>
      </c>
      <c r="M611">
        <v>4</v>
      </c>
      <c r="N611" t="s">
        <v>52</v>
      </c>
      <c r="O611">
        <v>1</v>
      </c>
      <c r="P611" t="s">
        <v>42</v>
      </c>
      <c r="Q611">
        <v>17159</v>
      </c>
      <c r="R611">
        <v>6</v>
      </c>
      <c r="S611" t="s">
        <v>37</v>
      </c>
      <c r="T611">
        <v>24</v>
      </c>
      <c r="U611">
        <v>4</v>
      </c>
      <c r="V611">
        <v>3</v>
      </c>
      <c r="W611">
        <v>1</v>
      </c>
      <c r="X611">
        <v>22</v>
      </c>
      <c r="Y611">
        <v>3</v>
      </c>
      <c r="Z611">
        <v>3</v>
      </c>
      <c r="AA611">
        <v>4</v>
      </c>
      <c r="AB611">
        <v>1</v>
      </c>
      <c r="AC611">
        <v>1</v>
      </c>
      <c r="AD611">
        <v>0</v>
      </c>
      <c r="AE611" t="str" cm="1">
        <f t="array" ref="AE611">_xlfn.IFS(G611=1,"Before College",G611=2,"College",G611=3,"Bachelor",G611=4,"Master",G611=5,"Doctor")</f>
        <v>College</v>
      </c>
      <c r="AF611" t="str" cm="1">
        <f t="array" ref="AF611">_xlfn.IFS(J611=1,"Low",J611=2,"Medium",J611=3,"High",J611=4,"Very High")</f>
        <v>Medium</v>
      </c>
      <c r="AG611" t="str" cm="1">
        <f t="array" ref="AG611">_xlfn.IFS(L611=1,"Low",L611=2,"Medium",L611=3,"High",L611=4,"Very High")</f>
        <v>High</v>
      </c>
      <c r="AH611" t="str" cm="1">
        <f t="array" ref="AH611">_xlfn.IFS(M611=1,"Junior employee",M611=2,"Mid-level",M611=3,"Senior",M611=4,"Manager",M611=5,"Executive")</f>
        <v>Manager</v>
      </c>
      <c r="AI611" t="str" cm="1">
        <f t="array" ref="AI611">_xlfn.IFS(O611=1,"Low",O611=2,"Medium",O611=3,"High",O611=4,"Very High")</f>
        <v>Low</v>
      </c>
      <c r="AJ611" t="str" cm="1">
        <f t="array" ref="AJ611">_xlfn.IFS(U611=1,"Low",U611=2,"Good",U611=3,"Excellent",U611=4,"Outstanding")</f>
        <v>Outstanding</v>
      </c>
      <c r="AK611" t="str" cm="1">
        <f t="array" ref="AK611">_xlfn.IFS(V611=1,"Low",V611=2,"Medium",V611=3,"High",V611=4,"Very High")</f>
        <v>High</v>
      </c>
      <c r="AL611" t="str" cm="1">
        <f t="array" ref="AL611">_xlfn.IFS(Z611=1,"Bad",Z611=2,"Good",Z611=3,"Better",Z611=4,"Best")</f>
        <v>Better</v>
      </c>
      <c r="AM611" t="str" cm="1">
        <f t="array" ref="AM611">_xlfn.IFS(W611=0,"No_stock",W611=1,"Low",W611=2,"Medium",W611=3,"High")</f>
        <v>Low</v>
      </c>
      <c r="AN611" t="str">
        <f t="shared" si="9"/>
        <v>Medium</v>
      </c>
    </row>
    <row r="612" spans="1:40" x14ac:dyDescent="0.45">
      <c r="A612">
        <v>27</v>
      </c>
      <c r="B612" t="s">
        <v>37</v>
      </c>
      <c r="C612" t="s">
        <v>31</v>
      </c>
      <c r="D612">
        <v>269</v>
      </c>
      <c r="E612" t="s">
        <v>39</v>
      </c>
      <c r="F612">
        <v>5</v>
      </c>
      <c r="G612">
        <v>1</v>
      </c>
      <c r="H612" t="s">
        <v>54</v>
      </c>
      <c r="I612">
        <v>844</v>
      </c>
      <c r="J612">
        <v>3</v>
      </c>
      <c r="K612" t="s">
        <v>40</v>
      </c>
      <c r="L612">
        <v>2</v>
      </c>
      <c r="M612">
        <v>3</v>
      </c>
      <c r="N612" t="s">
        <v>52</v>
      </c>
      <c r="O612">
        <v>4</v>
      </c>
      <c r="P612" t="s">
        <v>46</v>
      </c>
      <c r="Q612">
        <v>12808</v>
      </c>
      <c r="R612">
        <v>1</v>
      </c>
      <c r="S612" t="s">
        <v>30</v>
      </c>
      <c r="T612">
        <v>16</v>
      </c>
      <c r="U612">
        <v>3</v>
      </c>
      <c r="V612">
        <v>2</v>
      </c>
      <c r="W612">
        <v>1</v>
      </c>
      <c r="X612">
        <v>9</v>
      </c>
      <c r="Y612">
        <v>3</v>
      </c>
      <c r="Z612">
        <v>3</v>
      </c>
      <c r="AA612">
        <v>9</v>
      </c>
      <c r="AB612">
        <v>8</v>
      </c>
      <c r="AC612">
        <v>0</v>
      </c>
      <c r="AD612">
        <v>8</v>
      </c>
      <c r="AE612" t="str" cm="1">
        <f t="array" ref="AE612">_xlfn.IFS(G612=1,"Before College",G612=2,"College",G612=3,"Bachelor",G612=4,"Master",G612=5,"Doctor")</f>
        <v>Before College</v>
      </c>
      <c r="AF612" t="str" cm="1">
        <f t="array" ref="AF612">_xlfn.IFS(J612=1,"Low",J612=2,"Medium",J612=3,"High",J612=4,"Very High")</f>
        <v>High</v>
      </c>
      <c r="AG612" t="str" cm="1">
        <f t="array" ref="AG612">_xlfn.IFS(L612=1,"Low",L612=2,"Medium",L612=3,"High",L612=4,"Very High")</f>
        <v>Medium</v>
      </c>
      <c r="AH612" t="str" cm="1">
        <f t="array" ref="AH612">_xlfn.IFS(M612=1,"Junior employee",M612=2,"Mid-level",M612=3,"Senior",M612=4,"Manager",M612=5,"Executive")</f>
        <v>Senior</v>
      </c>
      <c r="AI612" t="str" cm="1">
        <f t="array" ref="AI612">_xlfn.IFS(O612=1,"Low",O612=2,"Medium",O612=3,"High",O612=4,"Very High")</f>
        <v>Very High</v>
      </c>
      <c r="AJ612" t="str" cm="1">
        <f t="array" ref="AJ612">_xlfn.IFS(U612=1,"Low",U612=2,"Good",U612=3,"Excellent",U612=4,"Outstanding")</f>
        <v>Excellent</v>
      </c>
      <c r="AK612" t="str" cm="1">
        <f t="array" ref="AK612">_xlfn.IFS(V612=1,"Low",V612=2,"Medium",V612=3,"High",V612=4,"Very High")</f>
        <v>Medium</v>
      </c>
      <c r="AL612" t="str" cm="1">
        <f t="array" ref="AL612">_xlfn.IFS(Z612=1,"Bad",Z612=2,"Good",Z612=3,"Better",Z612=4,"Best")</f>
        <v>Better</v>
      </c>
      <c r="AM612" t="str" cm="1">
        <f t="array" ref="AM612">_xlfn.IFS(W612=0,"No_stock",W612=1,"Low",W612=2,"Medium",W612=3,"High")</f>
        <v>Low</v>
      </c>
      <c r="AN612" t="str">
        <f t="shared" si="9"/>
        <v>Near</v>
      </c>
    </row>
    <row r="613" spans="1:40" x14ac:dyDescent="0.45">
      <c r="A613">
        <v>35</v>
      </c>
      <c r="B613" t="s">
        <v>37</v>
      </c>
      <c r="C613" t="s">
        <v>31</v>
      </c>
      <c r="D613">
        <v>950</v>
      </c>
      <c r="E613" t="s">
        <v>39</v>
      </c>
      <c r="F613">
        <v>7</v>
      </c>
      <c r="G613">
        <v>3</v>
      </c>
      <c r="H613" t="s">
        <v>43</v>
      </c>
      <c r="I613">
        <v>845</v>
      </c>
      <c r="J613">
        <v>3</v>
      </c>
      <c r="K613" t="s">
        <v>40</v>
      </c>
      <c r="L613">
        <v>3</v>
      </c>
      <c r="M613">
        <v>3</v>
      </c>
      <c r="N613" t="s">
        <v>47</v>
      </c>
      <c r="O613">
        <v>3</v>
      </c>
      <c r="P613" t="s">
        <v>36</v>
      </c>
      <c r="Q613">
        <v>10221</v>
      </c>
      <c r="R613">
        <v>3</v>
      </c>
      <c r="S613" t="s">
        <v>37</v>
      </c>
      <c r="T613">
        <v>21</v>
      </c>
      <c r="U613">
        <v>4</v>
      </c>
      <c r="V613">
        <v>2</v>
      </c>
      <c r="W613">
        <v>0</v>
      </c>
      <c r="X613">
        <v>17</v>
      </c>
      <c r="Y613">
        <v>3</v>
      </c>
      <c r="Z613">
        <v>4</v>
      </c>
      <c r="AA613">
        <v>8</v>
      </c>
      <c r="AB613">
        <v>5</v>
      </c>
      <c r="AC613">
        <v>1</v>
      </c>
      <c r="AD613">
        <v>6</v>
      </c>
      <c r="AE613" t="str" cm="1">
        <f t="array" ref="AE613">_xlfn.IFS(G613=1,"Before College",G613=2,"College",G613=3,"Bachelor",G613=4,"Master",G613=5,"Doctor")</f>
        <v>Bachelor</v>
      </c>
      <c r="AF613" t="str" cm="1">
        <f t="array" ref="AF613">_xlfn.IFS(J613=1,"Low",J613=2,"Medium",J613=3,"High",J613=4,"Very High")</f>
        <v>High</v>
      </c>
      <c r="AG613" t="str" cm="1">
        <f t="array" ref="AG613">_xlfn.IFS(L613=1,"Low",L613=2,"Medium",L613=3,"High",L613=4,"Very High")</f>
        <v>High</v>
      </c>
      <c r="AH613" t="str" cm="1">
        <f t="array" ref="AH613">_xlfn.IFS(M613=1,"Junior employee",M613=2,"Mid-level",M613=3,"Senior",M613=4,"Manager",M613=5,"Executive")</f>
        <v>Senior</v>
      </c>
      <c r="AI613" t="str" cm="1">
        <f t="array" ref="AI613">_xlfn.IFS(O613=1,"Low",O613=2,"Medium",O613=3,"High",O613=4,"Very High")</f>
        <v>High</v>
      </c>
      <c r="AJ613" t="str" cm="1">
        <f t="array" ref="AJ613">_xlfn.IFS(U613=1,"Low",U613=2,"Good",U613=3,"Excellent",U613=4,"Outstanding")</f>
        <v>Outstanding</v>
      </c>
      <c r="AK613" t="str" cm="1">
        <f t="array" ref="AK613">_xlfn.IFS(V613=1,"Low",V613=2,"Medium",V613=3,"High",V613=4,"Very High")</f>
        <v>Medium</v>
      </c>
      <c r="AL613" t="str" cm="1">
        <f t="array" ref="AL613">_xlfn.IFS(Z613=1,"Bad",Z613=2,"Good",Z613=3,"Better",Z613=4,"Best")</f>
        <v>Best</v>
      </c>
      <c r="AM613" t="str" cm="1">
        <f t="array" ref="AM613">_xlfn.IFS(W613=0,"No_stock",W613=1,"Low",W613=2,"Medium",W613=3,"High")</f>
        <v>No_stock</v>
      </c>
      <c r="AN613" t="str">
        <f t="shared" si="9"/>
        <v>Medium</v>
      </c>
    </row>
    <row r="614" spans="1:40" x14ac:dyDescent="0.45">
      <c r="A614">
        <v>28</v>
      </c>
      <c r="B614" t="s">
        <v>37</v>
      </c>
      <c r="C614" t="s">
        <v>31</v>
      </c>
      <c r="D614">
        <v>760</v>
      </c>
      <c r="E614" t="s">
        <v>32</v>
      </c>
      <c r="F614">
        <v>2</v>
      </c>
      <c r="G614">
        <v>4</v>
      </c>
      <c r="H614" t="s">
        <v>53</v>
      </c>
      <c r="I614">
        <v>846</v>
      </c>
      <c r="J614">
        <v>2</v>
      </c>
      <c r="K614" t="s">
        <v>34</v>
      </c>
      <c r="L614">
        <v>3</v>
      </c>
      <c r="M614">
        <v>2</v>
      </c>
      <c r="N614" t="s">
        <v>35</v>
      </c>
      <c r="O614">
        <v>2</v>
      </c>
      <c r="P614" t="s">
        <v>42</v>
      </c>
      <c r="Q614">
        <v>4779</v>
      </c>
      <c r="R614">
        <v>1</v>
      </c>
      <c r="S614" t="s">
        <v>30</v>
      </c>
      <c r="T614">
        <v>20</v>
      </c>
      <c r="U614">
        <v>4</v>
      </c>
      <c r="V614">
        <v>1</v>
      </c>
      <c r="W614">
        <v>0</v>
      </c>
      <c r="X614">
        <v>8</v>
      </c>
      <c r="Y614">
        <v>2</v>
      </c>
      <c r="Z614">
        <v>3</v>
      </c>
      <c r="AA614">
        <v>8</v>
      </c>
      <c r="AB614">
        <v>7</v>
      </c>
      <c r="AC614">
        <v>7</v>
      </c>
      <c r="AD614">
        <v>5</v>
      </c>
      <c r="AE614" t="str" cm="1">
        <f t="array" ref="AE614">_xlfn.IFS(G614=1,"Before College",G614=2,"College",G614=3,"Bachelor",G614=4,"Master",G614=5,"Doctor")</f>
        <v>Master</v>
      </c>
      <c r="AF614" t="str" cm="1">
        <f t="array" ref="AF614">_xlfn.IFS(J614=1,"Low",J614=2,"Medium",J614=3,"High",J614=4,"Very High")</f>
        <v>Medium</v>
      </c>
      <c r="AG614" t="str" cm="1">
        <f t="array" ref="AG614">_xlfn.IFS(L614=1,"Low",L614=2,"Medium",L614=3,"High",L614=4,"Very High")</f>
        <v>High</v>
      </c>
      <c r="AH614" t="str" cm="1">
        <f t="array" ref="AH614">_xlfn.IFS(M614=1,"Junior employee",M614=2,"Mid-level",M614=3,"Senior",M614=4,"Manager",M614=5,"Executive")</f>
        <v>Mid-level</v>
      </c>
      <c r="AI614" t="str" cm="1">
        <f t="array" ref="AI614">_xlfn.IFS(O614=1,"Low",O614=2,"Medium",O614=3,"High",O614=4,"Very High")</f>
        <v>Medium</v>
      </c>
      <c r="AJ614" t="str" cm="1">
        <f t="array" ref="AJ614">_xlfn.IFS(U614=1,"Low",U614=2,"Good",U614=3,"Excellent",U614=4,"Outstanding")</f>
        <v>Outstanding</v>
      </c>
      <c r="AK614" t="str" cm="1">
        <f t="array" ref="AK614">_xlfn.IFS(V614=1,"Low",V614=2,"Medium",V614=3,"High",V614=4,"Very High")</f>
        <v>Low</v>
      </c>
      <c r="AL614" t="str" cm="1">
        <f t="array" ref="AL614">_xlfn.IFS(Z614=1,"Bad",Z614=2,"Good",Z614=3,"Better",Z614=4,"Best")</f>
        <v>Better</v>
      </c>
      <c r="AM614" t="str" cm="1">
        <f t="array" ref="AM614">_xlfn.IFS(W614=0,"No_stock",W614=1,"Low",W614=2,"Medium",W614=3,"High")</f>
        <v>No_stock</v>
      </c>
      <c r="AN614" t="str">
        <f t="shared" si="9"/>
        <v>Near</v>
      </c>
    </row>
    <row r="615" spans="1:40" x14ac:dyDescent="0.45">
      <c r="A615">
        <v>34</v>
      </c>
      <c r="B615" t="s">
        <v>37</v>
      </c>
      <c r="C615" t="s">
        <v>31</v>
      </c>
      <c r="D615">
        <v>829</v>
      </c>
      <c r="E615" t="s">
        <v>55</v>
      </c>
      <c r="F615">
        <v>3</v>
      </c>
      <c r="G615">
        <v>2</v>
      </c>
      <c r="H615" t="s">
        <v>55</v>
      </c>
      <c r="I615">
        <v>847</v>
      </c>
      <c r="J615">
        <v>3</v>
      </c>
      <c r="K615" t="s">
        <v>40</v>
      </c>
      <c r="L615">
        <v>3</v>
      </c>
      <c r="M615">
        <v>1</v>
      </c>
      <c r="N615" t="s">
        <v>55</v>
      </c>
      <c r="O615">
        <v>4</v>
      </c>
      <c r="P615" t="s">
        <v>42</v>
      </c>
      <c r="Q615">
        <v>3737</v>
      </c>
      <c r="R615">
        <v>0</v>
      </c>
      <c r="S615" t="s">
        <v>37</v>
      </c>
      <c r="T615">
        <v>19</v>
      </c>
      <c r="U615">
        <v>3</v>
      </c>
      <c r="V615">
        <v>3</v>
      </c>
      <c r="W615">
        <v>1</v>
      </c>
      <c r="X615">
        <v>4</v>
      </c>
      <c r="Y615">
        <v>1</v>
      </c>
      <c r="Z615">
        <v>1</v>
      </c>
      <c r="AA615">
        <v>3</v>
      </c>
      <c r="AB615">
        <v>2</v>
      </c>
      <c r="AC615">
        <v>0</v>
      </c>
      <c r="AD615">
        <v>2</v>
      </c>
      <c r="AE615" t="str" cm="1">
        <f t="array" ref="AE615">_xlfn.IFS(G615=1,"Before College",G615=2,"College",G615=3,"Bachelor",G615=4,"Master",G615=5,"Doctor")</f>
        <v>College</v>
      </c>
      <c r="AF615" t="str" cm="1">
        <f t="array" ref="AF615">_xlfn.IFS(J615=1,"Low",J615=2,"Medium",J615=3,"High",J615=4,"Very High")</f>
        <v>High</v>
      </c>
      <c r="AG615" t="str" cm="1">
        <f t="array" ref="AG615">_xlfn.IFS(L615=1,"Low",L615=2,"Medium",L615=3,"High",L615=4,"Very High")</f>
        <v>High</v>
      </c>
      <c r="AH615" t="str" cm="1">
        <f t="array" ref="AH615">_xlfn.IFS(M615=1,"Junior employee",M615=2,"Mid-level",M615=3,"Senior",M615=4,"Manager",M615=5,"Executive")</f>
        <v>Junior employee</v>
      </c>
      <c r="AI615" t="str" cm="1">
        <f t="array" ref="AI615">_xlfn.IFS(O615=1,"Low",O615=2,"Medium",O615=3,"High",O615=4,"Very High")</f>
        <v>Very High</v>
      </c>
      <c r="AJ615" t="str" cm="1">
        <f t="array" ref="AJ615">_xlfn.IFS(U615=1,"Low",U615=2,"Good",U615=3,"Excellent",U615=4,"Outstanding")</f>
        <v>Excellent</v>
      </c>
      <c r="AK615" t="str" cm="1">
        <f t="array" ref="AK615">_xlfn.IFS(V615=1,"Low",V615=2,"Medium",V615=3,"High",V615=4,"Very High")</f>
        <v>High</v>
      </c>
      <c r="AL615" t="str" cm="1">
        <f t="array" ref="AL615">_xlfn.IFS(Z615=1,"Bad",Z615=2,"Good",Z615=3,"Better",Z615=4,"Best")</f>
        <v>Bad</v>
      </c>
      <c r="AM615" t="str" cm="1">
        <f t="array" ref="AM615">_xlfn.IFS(W615=0,"No_stock",W615=1,"Low",W615=2,"Medium",W615=3,"High")</f>
        <v>Low</v>
      </c>
      <c r="AN615" t="str">
        <f t="shared" si="9"/>
        <v>Near</v>
      </c>
    </row>
    <row r="616" spans="1:40" x14ac:dyDescent="0.45">
      <c r="A616">
        <v>26</v>
      </c>
      <c r="B616" t="s">
        <v>30</v>
      </c>
      <c r="C616" t="s">
        <v>38</v>
      </c>
      <c r="D616">
        <v>887</v>
      </c>
      <c r="E616" t="s">
        <v>39</v>
      </c>
      <c r="F616">
        <v>5</v>
      </c>
      <c r="G616">
        <v>2</v>
      </c>
      <c r="H616" t="s">
        <v>45</v>
      </c>
      <c r="I616">
        <v>848</v>
      </c>
      <c r="J616">
        <v>3</v>
      </c>
      <c r="K616" t="s">
        <v>34</v>
      </c>
      <c r="L616">
        <v>2</v>
      </c>
      <c r="M616">
        <v>1</v>
      </c>
      <c r="N616" t="s">
        <v>41</v>
      </c>
      <c r="O616">
        <v>3</v>
      </c>
      <c r="P616" t="s">
        <v>42</v>
      </c>
      <c r="Q616">
        <v>2366</v>
      </c>
      <c r="R616">
        <v>1</v>
      </c>
      <c r="S616" t="s">
        <v>30</v>
      </c>
      <c r="T616">
        <v>14</v>
      </c>
      <c r="U616">
        <v>3</v>
      </c>
      <c r="V616">
        <v>1</v>
      </c>
      <c r="W616">
        <v>1</v>
      </c>
      <c r="X616">
        <v>8</v>
      </c>
      <c r="Y616">
        <v>2</v>
      </c>
      <c r="Z616">
        <v>3</v>
      </c>
      <c r="AA616">
        <v>8</v>
      </c>
      <c r="AB616">
        <v>7</v>
      </c>
      <c r="AC616">
        <v>1</v>
      </c>
      <c r="AD616">
        <v>7</v>
      </c>
      <c r="AE616" t="str" cm="1">
        <f t="array" ref="AE616">_xlfn.IFS(G616=1,"Before College",G616=2,"College",G616=3,"Bachelor",G616=4,"Master",G616=5,"Doctor")</f>
        <v>College</v>
      </c>
      <c r="AF616" t="str" cm="1">
        <f t="array" ref="AF616">_xlfn.IFS(J616=1,"Low",J616=2,"Medium",J616=3,"High",J616=4,"Very High")</f>
        <v>High</v>
      </c>
      <c r="AG616" t="str" cm="1">
        <f t="array" ref="AG616">_xlfn.IFS(L616=1,"Low",L616=2,"Medium",L616=3,"High",L616=4,"Very High")</f>
        <v>Medium</v>
      </c>
      <c r="AH616" t="str" cm="1">
        <f t="array" ref="AH616">_xlfn.IFS(M616=1,"Junior employee",M616=2,"Mid-level",M616=3,"Senior",M616=4,"Manager",M616=5,"Executive")</f>
        <v>Junior employee</v>
      </c>
      <c r="AI616" t="str" cm="1">
        <f t="array" ref="AI616">_xlfn.IFS(O616=1,"Low",O616=2,"Medium",O616=3,"High",O616=4,"Very High")</f>
        <v>High</v>
      </c>
      <c r="AJ616" t="str" cm="1">
        <f t="array" ref="AJ616">_xlfn.IFS(U616=1,"Low",U616=2,"Good",U616=3,"Excellent",U616=4,"Outstanding")</f>
        <v>Excellent</v>
      </c>
      <c r="AK616" t="str" cm="1">
        <f t="array" ref="AK616">_xlfn.IFS(V616=1,"Low",V616=2,"Medium",V616=3,"High",V616=4,"Very High")</f>
        <v>Low</v>
      </c>
      <c r="AL616" t="str" cm="1">
        <f t="array" ref="AL616">_xlfn.IFS(Z616=1,"Bad",Z616=2,"Good",Z616=3,"Better",Z616=4,"Best")</f>
        <v>Better</v>
      </c>
      <c r="AM616" t="str" cm="1">
        <f t="array" ref="AM616">_xlfn.IFS(W616=0,"No_stock",W616=1,"Low",W616=2,"Medium",W616=3,"High")</f>
        <v>Low</v>
      </c>
      <c r="AN616" t="str">
        <f t="shared" si="9"/>
        <v>Near</v>
      </c>
    </row>
    <row r="617" spans="1:40" x14ac:dyDescent="0.45">
      <c r="A617">
        <v>27</v>
      </c>
      <c r="B617" t="s">
        <v>37</v>
      </c>
      <c r="C617" t="s">
        <v>49</v>
      </c>
      <c r="D617">
        <v>443</v>
      </c>
      <c r="E617" t="s">
        <v>39</v>
      </c>
      <c r="F617">
        <v>3</v>
      </c>
      <c r="G617">
        <v>3</v>
      </c>
      <c r="H617" t="s">
        <v>45</v>
      </c>
      <c r="I617">
        <v>850</v>
      </c>
      <c r="J617">
        <v>4</v>
      </c>
      <c r="K617" t="s">
        <v>40</v>
      </c>
      <c r="L617">
        <v>3</v>
      </c>
      <c r="M617">
        <v>1</v>
      </c>
      <c r="N617" t="s">
        <v>41</v>
      </c>
      <c r="O617">
        <v>4</v>
      </c>
      <c r="P617" t="s">
        <v>42</v>
      </c>
      <c r="Q617">
        <v>1706</v>
      </c>
      <c r="R617">
        <v>1</v>
      </c>
      <c r="S617" t="s">
        <v>37</v>
      </c>
      <c r="T617">
        <v>11</v>
      </c>
      <c r="U617">
        <v>3</v>
      </c>
      <c r="V617">
        <v>3</v>
      </c>
      <c r="W617">
        <v>3</v>
      </c>
      <c r="X617">
        <v>0</v>
      </c>
      <c r="Y617">
        <v>6</v>
      </c>
      <c r="Z617">
        <v>2</v>
      </c>
      <c r="AA617">
        <v>0</v>
      </c>
      <c r="AB617">
        <v>0</v>
      </c>
      <c r="AC617">
        <v>0</v>
      </c>
      <c r="AD617">
        <v>0</v>
      </c>
      <c r="AE617" t="str" cm="1">
        <f t="array" ref="AE617">_xlfn.IFS(G617=1,"Before College",G617=2,"College",G617=3,"Bachelor",G617=4,"Master",G617=5,"Doctor")</f>
        <v>Bachelor</v>
      </c>
      <c r="AF617" t="str" cm="1">
        <f t="array" ref="AF617">_xlfn.IFS(J617=1,"Low",J617=2,"Medium",J617=3,"High",J617=4,"Very High")</f>
        <v>Very High</v>
      </c>
      <c r="AG617" t="str" cm="1">
        <f t="array" ref="AG617">_xlfn.IFS(L617=1,"Low",L617=2,"Medium",L617=3,"High",L617=4,"Very High")</f>
        <v>High</v>
      </c>
      <c r="AH617" t="str" cm="1">
        <f t="array" ref="AH617">_xlfn.IFS(M617=1,"Junior employee",M617=2,"Mid-level",M617=3,"Senior",M617=4,"Manager",M617=5,"Executive")</f>
        <v>Junior employee</v>
      </c>
      <c r="AI617" t="str" cm="1">
        <f t="array" ref="AI617">_xlfn.IFS(O617=1,"Low",O617=2,"Medium",O617=3,"High",O617=4,"Very High")</f>
        <v>Very High</v>
      </c>
      <c r="AJ617" t="str" cm="1">
        <f t="array" ref="AJ617">_xlfn.IFS(U617=1,"Low",U617=2,"Good",U617=3,"Excellent",U617=4,"Outstanding")</f>
        <v>Excellent</v>
      </c>
      <c r="AK617" t="str" cm="1">
        <f t="array" ref="AK617">_xlfn.IFS(V617=1,"Low",V617=2,"Medium",V617=3,"High",V617=4,"Very High")</f>
        <v>High</v>
      </c>
      <c r="AL617" t="str" cm="1">
        <f t="array" ref="AL617">_xlfn.IFS(Z617=1,"Bad",Z617=2,"Good",Z617=3,"Better",Z617=4,"Best")</f>
        <v>Good</v>
      </c>
      <c r="AM617" t="str" cm="1">
        <f t="array" ref="AM617">_xlfn.IFS(W617=0,"No_stock",W617=1,"Low",W617=2,"Medium",W617=3,"High")</f>
        <v>High</v>
      </c>
      <c r="AN617" t="str">
        <f t="shared" si="9"/>
        <v>Near</v>
      </c>
    </row>
    <row r="618" spans="1:40" x14ac:dyDescent="0.45">
      <c r="A618">
        <v>51</v>
      </c>
      <c r="B618" t="s">
        <v>37</v>
      </c>
      <c r="C618" t="s">
        <v>31</v>
      </c>
      <c r="D618">
        <v>1318</v>
      </c>
      <c r="E618" t="s">
        <v>32</v>
      </c>
      <c r="F618">
        <v>26</v>
      </c>
      <c r="G618">
        <v>4</v>
      </c>
      <c r="H618" t="s">
        <v>53</v>
      </c>
      <c r="I618">
        <v>851</v>
      </c>
      <c r="J618">
        <v>1</v>
      </c>
      <c r="K618" t="s">
        <v>34</v>
      </c>
      <c r="L618">
        <v>3</v>
      </c>
      <c r="M618">
        <v>4</v>
      </c>
      <c r="N618" t="s">
        <v>50</v>
      </c>
      <c r="O618">
        <v>3</v>
      </c>
      <c r="P618" t="s">
        <v>42</v>
      </c>
      <c r="Q618">
        <v>16307</v>
      </c>
      <c r="R618">
        <v>2</v>
      </c>
      <c r="S618" t="s">
        <v>37</v>
      </c>
      <c r="T618">
        <v>14</v>
      </c>
      <c r="U618">
        <v>3</v>
      </c>
      <c r="V618">
        <v>3</v>
      </c>
      <c r="W618">
        <v>1</v>
      </c>
      <c r="X618">
        <v>29</v>
      </c>
      <c r="Y618">
        <v>2</v>
      </c>
      <c r="Z618">
        <v>2</v>
      </c>
      <c r="AA618">
        <v>20</v>
      </c>
      <c r="AB618">
        <v>6</v>
      </c>
      <c r="AC618">
        <v>4</v>
      </c>
      <c r="AD618">
        <v>17</v>
      </c>
      <c r="AE618" t="str" cm="1">
        <f t="array" ref="AE618">_xlfn.IFS(G618=1,"Before College",G618=2,"College",G618=3,"Bachelor",G618=4,"Master",G618=5,"Doctor")</f>
        <v>Master</v>
      </c>
      <c r="AF618" t="str" cm="1">
        <f t="array" ref="AF618">_xlfn.IFS(J618=1,"Low",J618=2,"Medium",J618=3,"High",J618=4,"Very High")</f>
        <v>Low</v>
      </c>
      <c r="AG618" t="str" cm="1">
        <f t="array" ref="AG618">_xlfn.IFS(L618=1,"Low",L618=2,"Medium",L618=3,"High",L618=4,"Very High")</f>
        <v>High</v>
      </c>
      <c r="AH618" t="str" cm="1">
        <f t="array" ref="AH618">_xlfn.IFS(M618=1,"Junior employee",M618=2,"Mid-level",M618=3,"Senior",M618=4,"Manager",M618=5,"Executive")</f>
        <v>Manager</v>
      </c>
      <c r="AI618" t="str" cm="1">
        <f t="array" ref="AI618">_xlfn.IFS(O618=1,"Low",O618=2,"Medium",O618=3,"High",O618=4,"Very High")</f>
        <v>High</v>
      </c>
      <c r="AJ618" t="str" cm="1">
        <f t="array" ref="AJ618">_xlfn.IFS(U618=1,"Low",U618=2,"Good",U618=3,"Excellent",U618=4,"Outstanding")</f>
        <v>Excellent</v>
      </c>
      <c r="AK618" t="str" cm="1">
        <f t="array" ref="AK618">_xlfn.IFS(V618=1,"Low",V618=2,"Medium",V618=3,"High",V618=4,"Very High")</f>
        <v>High</v>
      </c>
      <c r="AL618" t="str" cm="1">
        <f t="array" ref="AL618">_xlfn.IFS(Z618=1,"Bad",Z618=2,"Good",Z618=3,"Better",Z618=4,"Best")</f>
        <v>Good</v>
      </c>
      <c r="AM618" t="str" cm="1">
        <f t="array" ref="AM618">_xlfn.IFS(W618=0,"No_stock",W618=1,"Low",W618=2,"Medium",W618=3,"High")</f>
        <v>Low</v>
      </c>
      <c r="AN618" t="str">
        <f t="shared" si="9"/>
        <v>Far</v>
      </c>
    </row>
    <row r="619" spans="1:40" x14ac:dyDescent="0.45">
      <c r="A619">
        <v>44</v>
      </c>
      <c r="B619" t="s">
        <v>37</v>
      </c>
      <c r="C619" t="s">
        <v>31</v>
      </c>
      <c r="D619">
        <v>625</v>
      </c>
      <c r="E619" t="s">
        <v>39</v>
      </c>
      <c r="F619">
        <v>4</v>
      </c>
      <c r="G619">
        <v>3</v>
      </c>
      <c r="H619" t="s">
        <v>45</v>
      </c>
      <c r="I619">
        <v>852</v>
      </c>
      <c r="J619">
        <v>4</v>
      </c>
      <c r="K619" t="s">
        <v>40</v>
      </c>
      <c r="L619">
        <v>3</v>
      </c>
      <c r="M619">
        <v>2</v>
      </c>
      <c r="N619" t="s">
        <v>48</v>
      </c>
      <c r="O619">
        <v>2</v>
      </c>
      <c r="P619" t="s">
        <v>36</v>
      </c>
      <c r="Q619">
        <v>5933</v>
      </c>
      <c r="R619">
        <v>9</v>
      </c>
      <c r="S619" t="s">
        <v>37</v>
      </c>
      <c r="T619">
        <v>12</v>
      </c>
      <c r="U619">
        <v>3</v>
      </c>
      <c r="V619">
        <v>4</v>
      </c>
      <c r="W619">
        <v>0</v>
      </c>
      <c r="X619">
        <v>10</v>
      </c>
      <c r="Y619">
        <v>2</v>
      </c>
      <c r="Z619">
        <v>2</v>
      </c>
      <c r="AA619">
        <v>5</v>
      </c>
      <c r="AB619">
        <v>2</v>
      </c>
      <c r="AC619">
        <v>2</v>
      </c>
      <c r="AD619">
        <v>3</v>
      </c>
      <c r="AE619" t="str" cm="1">
        <f t="array" ref="AE619">_xlfn.IFS(G619=1,"Before College",G619=2,"College",G619=3,"Bachelor",G619=4,"Master",G619=5,"Doctor")</f>
        <v>Bachelor</v>
      </c>
      <c r="AF619" t="str" cm="1">
        <f t="array" ref="AF619">_xlfn.IFS(J619=1,"Low",J619=2,"Medium",J619=3,"High",J619=4,"Very High")</f>
        <v>Very High</v>
      </c>
      <c r="AG619" t="str" cm="1">
        <f t="array" ref="AG619">_xlfn.IFS(L619=1,"Low",L619=2,"Medium",L619=3,"High",L619=4,"Very High")</f>
        <v>High</v>
      </c>
      <c r="AH619" t="str" cm="1">
        <f t="array" ref="AH619">_xlfn.IFS(M619=1,"Junior employee",M619=2,"Mid-level",M619=3,"Senior",M619=4,"Manager",M619=5,"Executive")</f>
        <v>Mid-level</v>
      </c>
      <c r="AI619" t="str" cm="1">
        <f t="array" ref="AI619">_xlfn.IFS(O619=1,"Low",O619=2,"Medium",O619=3,"High",O619=4,"Very High")</f>
        <v>Medium</v>
      </c>
      <c r="AJ619" t="str" cm="1">
        <f t="array" ref="AJ619">_xlfn.IFS(U619=1,"Low",U619=2,"Good",U619=3,"Excellent",U619=4,"Outstanding")</f>
        <v>Excellent</v>
      </c>
      <c r="AK619" t="str" cm="1">
        <f t="array" ref="AK619">_xlfn.IFS(V619=1,"Low",V619=2,"Medium",V619=3,"High",V619=4,"Very High")</f>
        <v>Very High</v>
      </c>
      <c r="AL619" t="str" cm="1">
        <f t="array" ref="AL619">_xlfn.IFS(Z619=1,"Bad",Z619=2,"Good",Z619=3,"Better",Z619=4,"Best")</f>
        <v>Good</v>
      </c>
      <c r="AM619" t="str" cm="1">
        <f t="array" ref="AM619">_xlfn.IFS(W619=0,"No_stock",W619=1,"Low",W619=2,"Medium",W619=3,"High")</f>
        <v>No_stock</v>
      </c>
      <c r="AN619" t="str">
        <f t="shared" si="9"/>
        <v>Near</v>
      </c>
    </row>
    <row r="620" spans="1:40" x14ac:dyDescent="0.45">
      <c r="A620">
        <v>25</v>
      </c>
      <c r="B620" t="s">
        <v>37</v>
      </c>
      <c r="C620" t="s">
        <v>31</v>
      </c>
      <c r="D620">
        <v>180</v>
      </c>
      <c r="E620" t="s">
        <v>39</v>
      </c>
      <c r="F620">
        <v>2</v>
      </c>
      <c r="G620">
        <v>1</v>
      </c>
      <c r="H620" t="s">
        <v>45</v>
      </c>
      <c r="I620">
        <v>854</v>
      </c>
      <c r="J620">
        <v>1</v>
      </c>
      <c r="K620" t="s">
        <v>40</v>
      </c>
      <c r="L620">
        <v>4</v>
      </c>
      <c r="M620">
        <v>1</v>
      </c>
      <c r="N620" t="s">
        <v>41</v>
      </c>
      <c r="O620">
        <v>1</v>
      </c>
      <c r="P620" t="s">
        <v>36</v>
      </c>
      <c r="Q620">
        <v>3424</v>
      </c>
      <c r="R620">
        <v>7</v>
      </c>
      <c r="S620" t="s">
        <v>37</v>
      </c>
      <c r="T620">
        <v>13</v>
      </c>
      <c r="U620">
        <v>3</v>
      </c>
      <c r="V620">
        <v>3</v>
      </c>
      <c r="W620">
        <v>0</v>
      </c>
      <c r="X620">
        <v>6</v>
      </c>
      <c r="Y620">
        <v>3</v>
      </c>
      <c r="Z620">
        <v>2</v>
      </c>
      <c r="AA620">
        <v>4</v>
      </c>
      <c r="AB620">
        <v>3</v>
      </c>
      <c r="AC620">
        <v>0</v>
      </c>
      <c r="AD620">
        <v>1</v>
      </c>
      <c r="AE620" t="str" cm="1">
        <f t="array" ref="AE620">_xlfn.IFS(G620=1,"Before College",G620=2,"College",G620=3,"Bachelor",G620=4,"Master",G620=5,"Doctor")</f>
        <v>Before College</v>
      </c>
      <c r="AF620" t="str" cm="1">
        <f t="array" ref="AF620">_xlfn.IFS(J620=1,"Low",J620=2,"Medium",J620=3,"High",J620=4,"Very High")</f>
        <v>Low</v>
      </c>
      <c r="AG620" t="str" cm="1">
        <f t="array" ref="AG620">_xlfn.IFS(L620=1,"Low",L620=2,"Medium",L620=3,"High",L620=4,"Very High")</f>
        <v>Very High</v>
      </c>
      <c r="AH620" t="str" cm="1">
        <f t="array" ref="AH620">_xlfn.IFS(M620=1,"Junior employee",M620=2,"Mid-level",M620=3,"Senior",M620=4,"Manager",M620=5,"Executive")</f>
        <v>Junior employee</v>
      </c>
      <c r="AI620" t="str" cm="1">
        <f t="array" ref="AI620">_xlfn.IFS(O620=1,"Low",O620=2,"Medium",O620=3,"High",O620=4,"Very High")</f>
        <v>Low</v>
      </c>
      <c r="AJ620" t="str" cm="1">
        <f t="array" ref="AJ620">_xlfn.IFS(U620=1,"Low",U620=2,"Good",U620=3,"Excellent",U620=4,"Outstanding")</f>
        <v>Excellent</v>
      </c>
      <c r="AK620" t="str" cm="1">
        <f t="array" ref="AK620">_xlfn.IFS(V620=1,"Low",V620=2,"Medium",V620=3,"High",V620=4,"Very High")</f>
        <v>High</v>
      </c>
      <c r="AL620" t="str" cm="1">
        <f t="array" ref="AL620">_xlfn.IFS(Z620=1,"Bad",Z620=2,"Good",Z620=3,"Better",Z620=4,"Best")</f>
        <v>Good</v>
      </c>
      <c r="AM620" t="str" cm="1">
        <f t="array" ref="AM620">_xlfn.IFS(W620=0,"No_stock",W620=1,"Low",W620=2,"Medium",W620=3,"High")</f>
        <v>No_stock</v>
      </c>
      <c r="AN620" t="str">
        <f t="shared" si="9"/>
        <v>Near</v>
      </c>
    </row>
    <row r="621" spans="1:40" x14ac:dyDescent="0.45">
      <c r="A621">
        <v>33</v>
      </c>
      <c r="B621" t="s">
        <v>37</v>
      </c>
      <c r="C621" t="s">
        <v>31</v>
      </c>
      <c r="D621">
        <v>586</v>
      </c>
      <c r="E621" t="s">
        <v>32</v>
      </c>
      <c r="F621">
        <v>1</v>
      </c>
      <c r="G621">
        <v>3</v>
      </c>
      <c r="H621" t="s">
        <v>45</v>
      </c>
      <c r="I621">
        <v>855</v>
      </c>
      <c r="J621">
        <v>1</v>
      </c>
      <c r="K621" t="s">
        <v>40</v>
      </c>
      <c r="L621">
        <v>4</v>
      </c>
      <c r="M621">
        <v>2</v>
      </c>
      <c r="N621" t="s">
        <v>35</v>
      </c>
      <c r="O621">
        <v>1</v>
      </c>
      <c r="P621" t="s">
        <v>46</v>
      </c>
      <c r="Q621">
        <v>4037</v>
      </c>
      <c r="R621">
        <v>1</v>
      </c>
      <c r="S621" t="s">
        <v>37</v>
      </c>
      <c r="T621">
        <v>22</v>
      </c>
      <c r="U621">
        <v>4</v>
      </c>
      <c r="V621">
        <v>1</v>
      </c>
      <c r="W621">
        <v>1</v>
      </c>
      <c r="X621">
        <v>9</v>
      </c>
      <c r="Y621">
        <v>5</v>
      </c>
      <c r="Z621">
        <v>3</v>
      </c>
      <c r="AA621">
        <v>9</v>
      </c>
      <c r="AB621">
        <v>8</v>
      </c>
      <c r="AC621">
        <v>0</v>
      </c>
      <c r="AD621">
        <v>8</v>
      </c>
      <c r="AE621" t="str" cm="1">
        <f t="array" ref="AE621">_xlfn.IFS(G621=1,"Before College",G621=2,"College",G621=3,"Bachelor",G621=4,"Master",G621=5,"Doctor")</f>
        <v>Bachelor</v>
      </c>
      <c r="AF621" t="str" cm="1">
        <f t="array" ref="AF621">_xlfn.IFS(J621=1,"Low",J621=2,"Medium",J621=3,"High",J621=4,"Very High")</f>
        <v>Low</v>
      </c>
      <c r="AG621" t="str" cm="1">
        <f t="array" ref="AG621">_xlfn.IFS(L621=1,"Low",L621=2,"Medium",L621=3,"High",L621=4,"Very High")</f>
        <v>Very High</v>
      </c>
      <c r="AH621" t="str" cm="1">
        <f t="array" ref="AH621">_xlfn.IFS(M621=1,"Junior employee",M621=2,"Mid-level",M621=3,"Senior",M621=4,"Manager",M621=5,"Executive")</f>
        <v>Mid-level</v>
      </c>
      <c r="AI621" t="str" cm="1">
        <f t="array" ref="AI621">_xlfn.IFS(O621=1,"Low",O621=2,"Medium",O621=3,"High",O621=4,"Very High")</f>
        <v>Low</v>
      </c>
      <c r="AJ621" t="str" cm="1">
        <f t="array" ref="AJ621">_xlfn.IFS(U621=1,"Low",U621=2,"Good",U621=3,"Excellent",U621=4,"Outstanding")</f>
        <v>Outstanding</v>
      </c>
      <c r="AK621" t="str" cm="1">
        <f t="array" ref="AK621">_xlfn.IFS(V621=1,"Low",V621=2,"Medium",V621=3,"High",V621=4,"Very High")</f>
        <v>Low</v>
      </c>
      <c r="AL621" t="str" cm="1">
        <f t="array" ref="AL621">_xlfn.IFS(Z621=1,"Bad",Z621=2,"Good",Z621=3,"Better",Z621=4,"Best")</f>
        <v>Better</v>
      </c>
      <c r="AM621" t="str" cm="1">
        <f t="array" ref="AM621">_xlfn.IFS(W621=0,"No_stock",W621=1,"Low",W621=2,"Medium",W621=3,"High")</f>
        <v>Low</v>
      </c>
      <c r="AN621" t="str">
        <f t="shared" si="9"/>
        <v>Near</v>
      </c>
    </row>
    <row r="622" spans="1:40" x14ac:dyDescent="0.45">
      <c r="A622">
        <v>35</v>
      </c>
      <c r="B622" t="s">
        <v>37</v>
      </c>
      <c r="C622" t="s">
        <v>31</v>
      </c>
      <c r="D622">
        <v>1343</v>
      </c>
      <c r="E622" t="s">
        <v>39</v>
      </c>
      <c r="F622">
        <v>27</v>
      </c>
      <c r="G622">
        <v>1</v>
      </c>
      <c r="H622" t="s">
        <v>45</v>
      </c>
      <c r="I622">
        <v>856</v>
      </c>
      <c r="J622">
        <v>3</v>
      </c>
      <c r="K622" t="s">
        <v>34</v>
      </c>
      <c r="L622">
        <v>2</v>
      </c>
      <c r="M622">
        <v>1</v>
      </c>
      <c r="N622" t="s">
        <v>41</v>
      </c>
      <c r="O622">
        <v>1</v>
      </c>
      <c r="P622" t="s">
        <v>36</v>
      </c>
      <c r="Q622">
        <v>2559</v>
      </c>
      <c r="R622">
        <v>1</v>
      </c>
      <c r="S622" t="s">
        <v>37</v>
      </c>
      <c r="T622">
        <v>11</v>
      </c>
      <c r="U622">
        <v>3</v>
      </c>
      <c r="V622">
        <v>4</v>
      </c>
      <c r="W622">
        <v>0</v>
      </c>
      <c r="X622">
        <v>6</v>
      </c>
      <c r="Y622">
        <v>3</v>
      </c>
      <c r="Z622">
        <v>2</v>
      </c>
      <c r="AA622">
        <v>6</v>
      </c>
      <c r="AB622">
        <v>5</v>
      </c>
      <c r="AC622">
        <v>1</v>
      </c>
      <c r="AD622">
        <v>1</v>
      </c>
      <c r="AE622" t="str" cm="1">
        <f t="array" ref="AE622">_xlfn.IFS(G622=1,"Before College",G622=2,"College",G622=3,"Bachelor",G622=4,"Master",G622=5,"Doctor")</f>
        <v>Before College</v>
      </c>
      <c r="AF622" t="str" cm="1">
        <f t="array" ref="AF622">_xlfn.IFS(J622=1,"Low",J622=2,"Medium",J622=3,"High",J622=4,"Very High")</f>
        <v>High</v>
      </c>
      <c r="AG622" t="str" cm="1">
        <f t="array" ref="AG622">_xlfn.IFS(L622=1,"Low",L622=2,"Medium",L622=3,"High",L622=4,"Very High")</f>
        <v>Medium</v>
      </c>
      <c r="AH622" t="str" cm="1">
        <f t="array" ref="AH622">_xlfn.IFS(M622=1,"Junior employee",M622=2,"Mid-level",M622=3,"Senior",M622=4,"Manager",M622=5,"Executive")</f>
        <v>Junior employee</v>
      </c>
      <c r="AI622" t="str" cm="1">
        <f t="array" ref="AI622">_xlfn.IFS(O622=1,"Low",O622=2,"Medium",O622=3,"High",O622=4,"Very High")</f>
        <v>Low</v>
      </c>
      <c r="AJ622" t="str" cm="1">
        <f t="array" ref="AJ622">_xlfn.IFS(U622=1,"Low",U622=2,"Good",U622=3,"Excellent",U622=4,"Outstanding")</f>
        <v>Excellent</v>
      </c>
      <c r="AK622" t="str" cm="1">
        <f t="array" ref="AK622">_xlfn.IFS(V622=1,"Low",V622=2,"Medium",V622=3,"High",V622=4,"Very High")</f>
        <v>Very High</v>
      </c>
      <c r="AL622" t="str" cm="1">
        <f t="array" ref="AL622">_xlfn.IFS(Z622=1,"Bad",Z622=2,"Good",Z622=3,"Better",Z622=4,"Best")</f>
        <v>Good</v>
      </c>
      <c r="AM622" t="str" cm="1">
        <f t="array" ref="AM622">_xlfn.IFS(W622=0,"No_stock",W622=1,"Low",W622=2,"Medium",W622=3,"High")</f>
        <v>No_stock</v>
      </c>
      <c r="AN622" t="str">
        <f t="shared" si="9"/>
        <v>Far</v>
      </c>
    </row>
    <row r="623" spans="1:40" x14ac:dyDescent="0.45">
      <c r="A623">
        <v>36</v>
      </c>
      <c r="B623" t="s">
        <v>37</v>
      </c>
      <c r="C623" t="s">
        <v>31</v>
      </c>
      <c r="D623">
        <v>928</v>
      </c>
      <c r="E623" t="s">
        <v>32</v>
      </c>
      <c r="F623">
        <v>1</v>
      </c>
      <c r="G623">
        <v>2</v>
      </c>
      <c r="H623" t="s">
        <v>33</v>
      </c>
      <c r="I623">
        <v>857</v>
      </c>
      <c r="J623">
        <v>2</v>
      </c>
      <c r="K623" t="s">
        <v>40</v>
      </c>
      <c r="L623">
        <v>3</v>
      </c>
      <c r="M623">
        <v>2</v>
      </c>
      <c r="N623" t="s">
        <v>35</v>
      </c>
      <c r="O623">
        <v>4</v>
      </c>
      <c r="P623" t="s">
        <v>42</v>
      </c>
      <c r="Q623">
        <v>6201</v>
      </c>
      <c r="R623">
        <v>1</v>
      </c>
      <c r="S623" t="s">
        <v>30</v>
      </c>
      <c r="T623">
        <v>14</v>
      </c>
      <c r="U623">
        <v>3</v>
      </c>
      <c r="V623">
        <v>4</v>
      </c>
      <c r="W623">
        <v>1</v>
      </c>
      <c r="X623">
        <v>18</v>
      </c>
      <c r="Y623">
        <v>1</v>
      </c>
      <c r="Z623">
        <v>2</v>
      </c>
      <c r="AA623">
        <v>18</v>
      </c>
      <c r="AB623">
        <v>14</v>
      </c>
      <c r="AC623">
        <v>4</v>
      </c>
      <c r="AD623">
        <v>11</v>
      </c>
      <c r="AE623" t="str" cm="1">
        <f t="array" ref="AE623">_xlfn.IFS(G623=1,"Before College",G623=2,"College",G623=3,"Bachelor",G623=4,"Master",G623=5,"Doctor")</f>
        <v>College</v>
      </c>
      <c r="AF623" t="str" cm="1">
        <f t="array" ref="AF623">_xlfn.IFS(J623=1,"Low",J623=2,"Medium",J623=3,"High",J623=4,"Very High")</f>
        <v>Medium</v>
      </c>
      <c r="AG623" t="str" cm="1">
        <f t="array" ref="AG623">_xlfn.IFS(L623=1,"Low",L623=2,"Medium",L623=3,"High",L623=4,"Very High")</f>
        <v>High</v>
      </c>
      <c r="AH623" t="str" cm="1">
        <f t="array" ref="AH623">_xlfn.IFS(M623=1,"Junior employee",M623=2,"Mid-level",M623=3,"Senior",M623=4,"Manager",M623=5,"Executive")</f>
        <v>Mid-level</v>
      </c>
      <c r="AI623" t="str" cm="1">
        <f t="array" ref="AI623">_xlfn.IFS(O623=1,"Low",O623=2,"Medium",O623=3,"High",O623=4,"Very High")</f>
        <v>Very High</v>
      </c>
      <c r="AJ623" t="str" cm="1">
        <f t="array" ref="AJ623">_xlfn.IFS(U623=1,"Low",U623=2,"Good",U623=3,"Excellent",U623=4,"Outstanding")</f>
        <v>Excellent</v>
      </c>
      <c r="AK623" t="str" cm="1">
        <f t="array" ref="AK623">_xlfn.IFS(V623=1,"Low",V623=2,"Medium",V623=3,"High",V623=4,"Very High")</f>
        <v>Very High</v>
      </c>
      <c r="AL623" t="str" cm="1">
        <f t="array" ref="AL623">_xlfn.IFS(Z623=1,"Bad",Z623=2,"Good",Z623=3,"Better",Z623=4,"Best")</f>
        <v>Good</v>
      </c>
      <c r="AM623" t="str" cm="1">
        <f t="array" ref="AM623">_xlfn.IFS(W623=0,"No_stock",W623=1,"Low",W623=2,"Medium",W623=3,"High")</f>
        <v>Low</v>
      </c>
      <c r="AN623" t="str">
        <f t="shared" si="9"/>
        <v>Near</v>
      </c>
    </row>
    <row r="624" spans="1:40" x14ac:dyDescent="0.45">
      <c r="A624">
        <v>32</v>
      </c>
      <c r="B624" t="s">
        <v>37</v>
      </c>
      <c r="C624" t="s">
        <v>31</v>
      </c>
      <c r="D624">
        <v>117</v>
      </c>
      <c r="E624" t="s">
        <v>32</v>
      </c>
      <c r="F624">
        <v>13</v>
      </c>
      <c r="G624">
        <v>4</v>
      </c>
      <c r="H624" t="s">
        <v>33</v>
      </c>
      <c r="I624">
        <v>859</v>
      </c>
      <c r="J624">
        <v>2</v>
      </c>
      <c r="K624" t="s">
        <v>40</v>
      </c>
      <c r="L624">
        <v>3</v>
      </c>
      <c r="M624">
        <v>2</v>
      </c>
      <c r="N624" t="s">
        <v>35</v>
      </c>
      <c r="O624">
        <v>4</v>
      </c>
      <c r="P624" t="s">
        <v>46</v>
      </c>
      <c r="Q624">
        <v>4403</v>
      </c>
      <c r="R624">
        <v>2</v>
      </c>
      <c r="S624" t="s">
        <v>37</v>
      </c>
      <c r="T624">
        <v>11</v>
      </c>
      <c r="U624">
        <v>3</v>
      </c>
      <c r="V624">
        <v>3</v>
      </c>
      <c r="W624">
        <v>1</v>
      </c>
      <c r="X624">
        <v>8</v>
      </c>
      <c r="Y624">
        <v>3</v>
      </c>
      <c r="Z624">
        <v>2</v>
      </c>
      <c r="AA624">
        <v>5</v>
      </c>
      <c r="AB624">
        <v>2</v>
      </c>
      <c r="AC624">
        <v>0</v>
      </c>
      <c r="AD624">
        <v>3</v>
      </c>
      <c r="AE624" t="str" cm="1">
        <f t="array" ref="AE624">_xlfn.IFS(G624=1,"Before College",G624=2,"College",G624=3,"Bachelor",G624=4,"Master",G624=5,"Doctor")</f>
        <v>Master</v>
      </c>
      <c r="AF624" t="str" cm="1">
        <f t="array" ref="AF624">_xlfn.IFS(J624=1,"Low",J624=2,"Medium",J624=3,"High",J624=4,"Very High")</f>
        <v>Medium</v>
      </c>
      <c r="AG624" t="str" cm="1">
        <f t="array" ref="AG624">_xlfn.IFS(L624=1,"Low",L624=2,"Medium",L624=3,"High",L624=4,"Very High")</f>
        <v>High</v>
      </c>
      <c r="AH624" t="str" cm="1">
        <f t="array" ref="AH624">_xlfn.IFS(M624=1,"Junior employee",M624=2,"Mid-level",M624=3,"Senior",M624=4,"Manager",M624=5,"Executive")</f>
        <v>Mid-level</v>
      </c>
      <c r="AI624" t="str" cm="1">
        <f t="array" ref="AI624">_xlfn.IFS(O624=1,"Low",O624=2,"Medium",O624=3,"High",O624=4,"Very High")</f>
        <v>Very High</v>
      </c>
      <c r="AJ624" t="str" cm="1">
        <f t="array" ref="AJ624">_xlfn.IFS(U624=1,"Low",U624=2,"Good",U624=3,"Excellent",U624=4,"Outstanding")</f>
        <v>Excellent</v>
      </c>
      <c r="AK624" t="str" cm="1">
        <f t="array" ref="AK624">_xlfn.IFS(V624=1,"Low",V624=2,"Medium",V624=3,"High",V624=4,"Very High")</f>
        <v>High</v>
      </c>
      <c r="AL624" t="str" cm="1">
        <f t="array" ref="AL624">_xlfn.IFS(Z624=1,"Bad",Z624=2,"Good",Z624=3,"Better",Z624=4,"Best")</f>
        <v>Good</v>
      </c>
      <c r="AM624" t="str" cm="1">
        <f t="array" ref="AM624">_xlfn.IFS(W624=0,"No_stock",W624=1,"Low",W624=2,"Medium",W624=3,"High")</f>
        <v>Low</v>
      </c>
      <c r="AN624" t="str">
        <f t="shared" si="9"/>
        <v>Medium</v>
      </c>
    </row>
    <row r="625" spans="1:40" x14ac:dyDescent="0.45">
      <c r="A625">
        <v>30</v>
      </c>
      <c r="B625" t="s">
        <v>37</v>
      </c>
      <c r="C625" t="s">
        <v>38</v>
      </c>
      <c r="D625">
        <v>1012</v>
      </c>
      <c r="E625" t="s">
        <v>39</v>
      </c>
      <c r="F625">
        <v>5</v>
      </c>
      <c r="G625">
        <v>4</v>
      </c>
      <c r="H625" t="s">
        <v>33</v>
      </c>
      <c r="I625">
        <v>861</v>
      </c>
      <c r="J625">
        <v>2</v>
      </c>
      <c r="K625" t="s">
        <v>40</v>
      </c>
      <c r="L625">
        <v>2</v>
      </c>
      <c r="M625">
        <v>1</v>
      </c>
      <c r="N625" t="s">
        <v>41</v>
      </c>
      <c r="O625">
        <v>4</v>
      </c>
      <c r="P625" t="s">
        <v>46</v>
      </c>
      <c r="Q625">
        <v>3761</v>
      </c>
      <c r="R625">
        <v>9</v>
      </c>
      <c r="S625" t="s">
        <v>37</v>
      </c>
      <c r="T625">
        <v>12</v>
      </c>
      <c r="U625">
        <v>3</v>
      </c>
      <c r="V625">
        <v>2</v>
      </c>
      <c r="W625">
        <v>1</v>
      </c>
      <c r="X625">
        <v>10</v>
      </c>
      <c r="Y625">
        <v>3</v>
      </c>
      <c r="Z625">
        <v>2</v>
      </c>
      <c r="AA625">
        <v>5</v>
      </c>
      <c r="AB625">
        <v>4</v>
      </c>
      <c r="AC625">
        <v>0</v>
      </c>
      <c r="AD625">
        <v>3</v>
      </c>
      <c r="AE625" t="str" cm="1">
        <f t="array" ref="AE625">_xlfn.IFS(G625=1,"Before College",G625=2,"College",G625=3,"Bachelor",G625=4,"Master",G625=5,"Doctor")</f>
        <v>Master</v>
      </c>
      <c r="AF625" t="str" cm="1">
        <f t="array" ref="AF625">_xlfn.IFS(J625=1,"Low",J625=2,"Medium",J625=3,"High",J625=4,"Very High")</f>
        <v>Medium</v>
      </c>
      <c r="AG625" t="str" cm="1">
        <f t="array" ref="AG625">_xlfn.IFS(L625=1,"Low",L625=2,"Medium",L625=3,"High",L625=4,"Very High")</f>
        <v>Medium</v>
      </c>
      <c r="AH625" t="str" cm="1">
        <f t="array" ref="AH625">_xlfn.IFS(M625=1,"Junior employee",M625=2,"Mid-level",M625=3,"Senior",M625=4,"Manager",M625=5,"Executive")</f>
        <v>Junior employee</v>
      </c>
      <c r="AI625" t="str" cm="1">
        <f t="array" ref="AI625">_xlfn.IFS(O625=1,"Low",O625=2,"Medium",O625=3,"High",O625=4,"Very High")</f>
        <v>Very High</v>
      </c>
      <c r="AJ625" t="str" cm="1">
        <f t="array" ref="AJ625">_xlfn.IFS(U625=1,"Low",U625=2,"Good",U625=3,"Excellent",U625=4,"Outstanding")</f>
        <v>Excellent</v>
      </c>
      <c r="AK625" t="str" cm="1">
        <f t="array" ref="AK625">_xlfn.IFS(V625=1,"Low",V625=2,"Medium",V625=3,"High",V625=4,"Very High")</f>
        <v>Medium</v>
      </c>
      <c r="AL625" t="str" cm="1">
        <f t="array" ref="AL625">_xlfn.IFS(Z625=1,"Bad",Z625=2,"Good",Z625=3,"Better",Z625=4,"Best")</f>
        <v>Good</v>
      </c>
      <c r="AM625" t="str" cm="1">
        <f t="array" ref="AM625">_xlfn.IFS(W625=0,"No_stock",W625=1,"Low",W625=2,"Medium",W625=3,"High")</f>
        <v>Low</v>
      </c>
      <c r="AN625" t="str">
        <f t="shared" si="9"/>
        <v>Near</v>
      </c>
    </row>
    <row r="626" spans="1:40" x14ac:dyDescent="0.45">
      <c r="A626">
        <v>53</v>
      </c>
      <c r="B626" t="s">
        <v>37</v>
      </c>
      <c r="C626" t="s">
        <v>31</v>
      </c>
      <c r="D626">
        <v>661</v>
      </c>
      <c r="E626" t="s">
        <v>32</v>
      </c>
      <c r="F626">
        <v>7</v>
      </c>
      <c r="G626">
        <v>2</v>
      </c>
      <c r="H626" t="s">
        <v>53</v>
      </c>
      <c r="I626">
        <v>862</v>
      </c>
      <c r="J626">
        <v>1</v>
      </c>
      <c r="K626" t="s">
        <v>34</v>
      </c>
      <c r="L626">
        <v>2</v>
      </c>
      <c r="M626">
        <v>3</v>
      </c>
      <c r="N626" t="s">
        <v>35</v>
      </c>
      <c r="O626">
        <v>4</v>
      </c>
      <c r="P626" t="s">
        <v>42</v>
      </c>
      <c r="Q626">
        <v>10934</v>
      </c>
      <c r="R626">
        <v>7</v>
      </c>
      <c r="S626" t="s">
        <v>30</v>
      </c>
      <c r="T626">
        <v>18</v>
      </c>
      <c r="U626">
        <v>3</v>
      </c>
      <c r="V626">
        <v>4</v>
      </c>
      <c r="W626">
        <v>1</v>
      </c>
      <c r="X626">
        <v>35</v>
      </c>
      <c r="Y626">
        <v>3</v>
      </c>
      <c r="Z626">
        <v>3</v>
      </c>
      <c r="AA626">
        <v>5</v>
      </c>
      <c r="AB626">
        <v>2</v>
      </c>
      <c r="AC626">
        <v>0</v>
      </c>
      <c r="AD626">
        <v>4</v>
      </c>
      <c r="AE626" t="str" cm="1">
        <f t="array" ref="AE626">_xlfn.IFS(G626=1,"Before College",G626=2,"College",G626=3,"Bachelor",G626=4,"Master",G626=5,"Doctor")</f>
        <v>College</v>
      </c>
      <c r="AF626" t="str" cm="1">
        <f t="array" ref="AF626">_xlfn.IFS(J626=1,"Low",J626=2,"Medium",J626=3,"High",J626=4,"Very High")</f>
        <v>Low</v>
      </c>
      <c r="AG626" t="str" cm="1">
        <f t="array" ref="AG626">_xlfn.IFS(L626=1,"Low",L626=2,"Medium",L626=3,"High",L626=4,"Very High")</f>
        <v>Medium</v>
      </c>
      <c r="AH626" t="str" cm="1">
        <f t="array" ref="AH626">_xlfn.IFS(M626=1,"Junior employee",M626=2,"Mid-level",M626=3,"Senior",M626=4,"Manager",M626=5,"Executive")</f>
        <v>Senior</v>
      </c>
      <c r="AI626" t="str" cm="1">
        <f t="array" ref="AI626">_xlfn.IFS(O626=1,"Low",O626=2,"Medium",O626=3,"High",O626=4,"Very High")</f>
        <v>Very High</v>
      </c>
      <c r="AJ626" t="str" cm="1">
        <f t="array" ref="AJ626">_xlfn.IFS(U626=1,"Low",U626=2,"Good",U626=3,"Excellent",U626=4,"Outstanding")</f>
        <v>Excellent</v>
      </c>
      <c r="AK626" t="str" cm="1">
        <f t="array" ref="AK626">_xlfn.IFS(V626=1,"Low",V626=2,"Medium",V626=3,"High",V626=4,"Very High")</f>
        <v>Very High</v>
      </c>
      <c r="AL626" t="str" cm="1">
        <f t="array" ref="AL626">_xlfn.IFS(Z626=1,"Bad",Z626=2,"Good",Z626=3,"Better",Z626=4,"Best")</f>
        <v>Better</v>
      </c>
      <c r="AM626" t="str" cm="1">
        <f t="array" ref="AM626">_xlfn.IFS(W626=0,"No_stock",W626=1,"Low",W626=2,"Medium",W626=3,"High")</f>
        <v>Low</v>
      </c>
      <c r="AN626" t="str">
        <f t="shared" si="9"/>
        <v>Medium</v>
      </c>
    </row>
    <row r="627" spans="1:40" x14ac:dyDescent="0.45">
      <c r="A627">
        <v>45</v>
      </c>
      <c r="B627" t="s">
        <v>37</v>
      </c>
      <c r="C627" t="s">
        <v>31</v>
      </c>
      <c r="D627">
        <v>930</v>
      </c>
      <c r="E627" t="s">
        <v>32</v>
      </c>
      <c r="F627">
        <v>9</v>
      </c>
      <c r="G627">
        <v>3</v>
      </c>
      <c r="H627" t="s">
        <v>53</v>
      </c>
      <c r="I627">
        <v>864</v>
      </c>
      <c r="J627">
        <v>4</v>
      </c>
      <c r="K627" t="s">
        <v>40</v>
      </c>
      <c r="L627">
        <v>3</v>
      </c>
      <c r="M627">
        <v>3</v>
      </c>
      <c r="N627" t="s">
        <v>35</v>
      </c>
      <c r="O627">
        <v>1</v>
      </c>
      <c r="P627" t="s">
        <v>46</v>
      </c>
      <c r="Q627">
        <v>10761</v>
      </c>
      <c r="R627">
        <v>4</v>
      </c>
      <c r="S627" t="s">
        <v>30</v>
      </c>
      <c r="T627">
        <v>12</v>
      </c>
      <c r="U627">
        <v>3</v>
      </c>
      <c r="V627">
        <v>3</v>
      </c>
      <c r="W627">
        <v>1</v>
      </c>
      <c r="X627">
        <v>18</v>
      </c>
      <c r="Y627">
        <v>2</v>
      </c>
      <c r="Z627">
        <v>3</v>
      </c>
      <c r="AA627">
        <v>5</v>
      </c>
      <c r="AB627">
        <v>4</v>
      </c>
      <c r="AC627">
        <v>0</v>
      </c>
      <c r="AD627">
        <v>2</v>
      </c>
      <c r="AE627" t="str" cm="1">
        <f t="array" ref="AE627">_xlfn.IFS(G627=1,"Before College",G627=2,"College",G627=3,"Bachelor",G627=4,"Master",G627=5,"Doctor")</f>
        <v>Bachelor</v>
      </c>
      <c r="AF627" t="str" cm="1">
        <f t="array" ref="AF627">_xlfn.IFS(J627=1,"Low",J627=2,"Medium",J627=3,"High",J627=4,"Very High")</f>
        <v>Very High</v>
      </c>
      <c r="AG627" t="str" cm="1">
        <f t="array" ref="AG627">_xlfn.IFS(L627=1,"Low",L627=2,"Medium",L627=3,"High",L627=4,"Very High")</f>
        <v>High</v>
      </c>
      <c r="AH627" t="str" cm="1">
        <f t="array" ref="AH627">_xlfn.IFS(M627=1,"Junior employee",M627=2,"Mid-level",M627=3,"Senior",M627=4,"Manager",M627=5,"Executive")</f>
        <v>Senior</v>
      </c>
      <c r="AI627" t="str" cm="1">
        <f t="array" ref="AI627">_xlfn.IFS(O627=1,"Low",O627=2,"Medium",O627=3,"High",O627=4,"Very High")</f>
        <v>Low</v>
      </c>
      <c r="AJ627" t="str" cm="1">
        <f t="array" ref="AJ627">_xlfn.IFS(U627=1,"Low",U627=2,"Good",U627=3,"Excellent",U627=4,"Outstanding")</f>
        <v>Excellent</v>
      </c>
      <c r="AK627" t="str" cm="1">
        <f t="array" ref="AK627">_xlfn.IFS(V627=1,"Low",V627=2,"Medium",V627=3,"High",V627=4,"Very High")</f>
        <v>High</v>
      </c>
      <c r="AL627" t="str" cm="1">
        <f t="array" ref="AL627">_xlfn.IFS(Z627=1,"Bad",Z627=2,"Good",Z627=3,"Better",Z627=4,"Best")</f>
        <v>Better</v>
      </c>
      <c r="AM627" t="str" cm="1">
        <f t="array" ref="AM627">_xlfn.IFS(W627=0,"No_stock",W627=1,"Low",W627=2,"Medium",W627=3,"High")</f>
        <v>Low</v>
      </c>
      <c r="AN627" t="str">
        <f t="shared" si="9"/>
        <v>Medium</v>
      </c>
    </row>
    <row r="628" spans="1:40" x14ac:dyDescent="0.45">
      <c r="A628">
        <v>32</v>
      </c>
      <c r="B628" t="s">
        <v>37</v>
      </c>
      <c r="C628" t="s">
        <v>31</v>
      </c>
      <c r="D628">
        <v>638</v>
      </c>
      <c r="E628" t="s">
        <v>39</v>
      </c>
      <c r="F628">
        <v>8</v>
      </c>
      <c r="G628">
        <v>2</v>
      </c>
      <c r="H628" t="s">
        <v>45</v>
      </c>
      <c r="I628">
        <v>865</v>
      </c>
      <c r="J628">
        <v>3</v>
      </c>
      <c r="K628" t="s">
        <v>34</v>
      </c>
      <c r="L628">
        <v>4</v>
      </c>
      <c r="M628">
        <v>2</v>
      </c>
      <c r="N628" t="s">
        <v>41</v>
      </c>
      <c r="O628">
        <v>3</v>
      </c>
      <c r="P628" t="s">
        <v>42</v>
      </c>
      <c r="Q628">
        <v>5175</v>
      </c>
      <c r="R628">
        <v>5</v>
      </c>
      <c r="S628" t="s">
        <v>37</v>
      </c>
      <c r="T628">
        <v>12</v>
      </c>
      <c r="U628">
        <v>3</v>
      </c>
      <c r="V628">
        <v>3</v>
      </c>
      <c r="W628">
        <v>1</v>
      </c>
      <c r="X628">
        <v>9</v>
      </c>
      <c r="Y628">
        <v>3</v>
      </c>
      <c r="Z628">
        <v>2</v>
      </c>
      <c r="AA628">
        <v>5</v>
      </c>
      <c r="AB628">
        <v>3</v>
      </c>
      <c r="AC628">
        <v>1</v>
      </c>
      <c r="AD628">
        <v>3</v>
      </c>
      <c r="AE628" t="str" cm="1">
        <f t="array" ref="AE628">_xlfn.IFS(G628=1,"Before College",G628=2,"College",G628=3,"Bachelor",G628=4,"Master",G628=5,"Doctor")</f>
        <v>College</v>
      </c>
      <c r="AF628" t="str" cm="1">
        <f t="array" ref="AF628">_xlfn.IFS(J628=1,"Low",J628=2,"Medium",J628=3,"High",J628=4,"Very High")</f>
        <v>High</v>
      </c>
      <c r="AG628" t="str" cm="1">
        <f t="array" ref="AG628">_xlfn.IFS(L628=1,"Low",L628=2,"Medium",L628=3,"High",L628=4,"Very High")</f>
        <v>Very High</v>
      </c>
      <c r="AH628" t="str" cm="1">
        <f t="array" ref="AH628">_xlfn.IFS(M628=1,"Junior employee",M628=2,"Mid-level",M628=3,"Senior",M628=4,"Manager",M628=5,"Executive")</f>
        <v>Mid-level</v>
      </c>
      <c r="AI628" t="str" cm="1">
        <f t="array" ref="AI628">_xlfn.IFS(O628=1,"Low",O628=2,"Medium",O628=3,"High",O628=4,"Very High")</f>
        <v>High</v>
      </c>
      <c r="AJ628" t="str" cm="1">
        <f t="array" ref="AJ628">_xlfn.IFS(U628=1,"Low",U628=2,"Good",U628=3,"Excellent",U628=4,"Outstanding")</f>
        <v>Excellent</v>
      </c>
      <c r="AK628" t="str" cm="1">
        <f t="array" ref="AK628">_xlfn.IFS(V628=1,"Low",V628=2,"Medium",V628=3,"High",V628=4,"Very High")</f>
        <v>High</v>
      </c>
      <c r="AL628" t="str" cm="1">
        <f t="array" ref="AL628">_xlfn.IFS(Z628=1,"Bad",Z628=2,"Good",Z628=3,"Better",Z628=4,"Best")</f>
        <v>Good</v>
      </c>
      <c r="AM628" t="str" cm="1">
        <f t="array" ref="AM628">_xlfn.IFS(W628=0,"No_stock",W628=1,"Low",W628=2,"Medium",W628=3,"High")</f>
        <v>Low</v>
      </c>
      <c r="AN628" t="str">
        <f t="shared" si="9"/>
        <v>Medium</v>
      </c>
    </row>
    <row r="629" spans="1:40" x14ac:dyDescent="0.45">
      <c r="A629">
        <v>52</v>
      </c>
      <c r="B629" t="s">
        <v>37</v>
      </c>
      <c r="C629" t="s">
        <v>38</v>
      </c>
      <c r="D629">
        <v>890</v>
      </c>
      <c r="E629" t="s">
        <v>39</v>
      </c>
      <c r="F629">
        <v>25</v>
      </c>
      <c r="G629">
        <v>4</v>
      </c>
      <c r="H629" t="s">
        <v>45</v>
      </c>
      <c r="I629">
        <v>867</v>
      </c>
      <c r="J629">
        <v>3</v>
      </c>
      <c r="K629" t="s">
        <v>34</v>
      </c>
      <c r="L629">
        <v>2</v>
      </c>
      <c r="M629">
        <v>4</v>
      </c>
      <c r="N629" t="s">
        <v>47</v>
      </c>
      <c r="O629">
        <v>4</v>
      </c>
      <c r="P629" t="s">
        <v>42</v>
      </c>
      <c r="Q629">
        <v>13826</v>
      </c>
      <c r="R629">
        <v>3</v>
      </c>
      <c r="S629" t="s">
        <v>37</v>
      </c>
      <c r="T629">
        <v>22</v>
      </c>
      <c r="U629">
        <v>4</v>
      </c>
      <c r="V629">
        <v>3</v>
      </c>
      <c r="W629">
        <v>0</v>
      </c>
      <c r="X629">
        <v>31</v>
      </c>
      <c r="Y629">
        <v>3</v>
      </c>
      <c r="Z629">
        <v>3</v>
      </c>
      <c r="AA629">
        <v>9</v>
      </c>
      <c r="AB629">
        <v>8</v>
      </c>
      <c r="AC629">
        <v>0</v>
      </c>
      <c r="AD629">
        <v>0</v>
      </c>
      <c r="AE629" t="str" cm="1">
        <f t="array" ref="AE629">_xlfn.IFS(G629=1,"Before College",G629=2,"College",G629=3,"Bachelor",G629=4,"Master",G629=5,"Doctor")</f>
        <v>Master</v>
      </c>
      <c r="AF629" t="str" cm="1">
        <f t="array" ref="AF629">_xlfn.IFS(J629=1,"Low",J629=2,"Medium",J629=3,"High",J629=4,"Very High")</f>
        <v>High</v>
      </c>
      <c r="AG629" t="str" cm="1">
        <f t="array" ref="AG629">_xlfn.IFS(L629=1,"Low",L629=2,"Medium",L629=3,"High",L629=4,"Very High")</f>
        <v>Medium</v>
      </c>
      <c r="AH629" t="str" cm="1">
        <f t="array" ref="AH629">_xlfn.IFS(M629=1,"Junior employee",M629=2,"Mid-level",M629=3,"Senior",M629=4,"Manager",M629=5,"Executive")</f>
        <v>Manager</v>
      </c>
      <c r="AI629" t="str" cm="1">
        <f t="array" ref="AI629">_xlfn.IFS(O629=1,"Low",O629=2,"Medium",O629=3,"High",O629=4,"Very High")</f>
        <v>Very High</v>
      </c>
      <c r="AJ629" t="str" cm="1">
        <f t="array" ref="AJ629">_xlfn.IFS(U629=1,"Low",U629=2,"Good",U629=3,"Excellent",U629=4,"Outstanding")</f>
        <v>Outstanding</v>
      </c>
      <c r="AK629" t="str" cm="1">
        <f t="array" ref="AK629">_xlfn.IFS(V629=1,"Low",V629=2,"Medium",V629=3,"High",V629=4,"Very High")</f>
        <v>High</v>
      </c>
      <c r="AL629" t="str" cm="1">
        <f t="array" ref="AL629">_xlfn.IFS(Z629=1,"Bad",Z629=2,"Good",Z629=3,"Better",Z629=4,"Best")</f>
        <v>Better</v>
      </c>
      <c r="AM629" t="str" cm="1">
        <f t="array" ref="AM629">_xlfn.IFS(W629=0,"No_stock",W629=1,"Low",W629=2,"Medium",W629=3,"High")</f>
        <v>No_stock</v>
      </c>
      <c r="AN629" t="str">
        <f t="shared" si="9"/>
        <v>Far</v>
      </c>
    </row>
    <row r="630" spans="1:40" x14ac:dyDescent="0.45">
      <c r="A630">
        <v>37</v>
      </c>
      <c r="B630" t="s">
        <v>37</v>
      </c>
      <c r="C630" t="s">
        <v>31</v>
      </c>
      <c r="D630">
        <v>342</v>
      </c>
      <c r="E630" t="s">
        <v>32</v>
      </c>
      <c r="F630">
        <v>16</v>
      </c>
      <c r="G630">
        <v>4</v>
      </c>
      <c r="H630" t="s">
        <v>53</v>
      </c>
      <c r="I630">
        <v>868</v>
      </c>
      <c r="J630">
        <v>4</v>
      </c>
      <c r="K630" t="s">
        <v>40</v>
      </c>
      <c r="L630">
        <v>2</v>
      </c>
      <c r="M630">
        <v>2</v>
      </c>
      <c r="N630" t="s">
        <v>35</v>
      </c>
      <c r="O630">
        <v>3</v>
      </c>
      <c r="P630" t="s">
        <v>46</v>
      </c>
      <c r="Q630">
        <v>6334</v>
      </c>
      <c r="R630">
        <v>4</v>
      </c>
      <c r="S630" t="s">
        <v>37</v>
      </c>
      <c r="T630">
        <v>19</v>
      </c>
      <c r="U630">
        <v>3</v>
      </c>
      <c r="V630">
        <v>4</v>
      </c>
      <c r="W630">
        <v>2</v>
      </c>
      <c r="X630">
        <v>9</v>
      </c>
      <c r="Y630">
        <v>2</v>
      </c>
      <c r="Z630">
        <v>3</v>
      </c>
      <c r="AA630">
        <v>1</v>
      </c>
      <c r="AB630">
        <v>0</v>
      </c>
      <c r="AC630">
        <v>0</v>
      </c>
      <c r="AD630">
        <v>0</v>
      </c>
      <c r="AE630" t="str" cm="1">
        <f t="array" ref="AE630">_xlfn.IFS(G630=1,"Before College",G630=2,"College",G630=3,"Bachelor",G630=4,"Master",G630=5,"Doctor")</f>
        <v>Master</v>
      </c>
      <c r="AF630" t="str" cm="1">
        <f t="array" ref="AF630">_xlfn.IFS(J630=1,"Low",J630=2,"Medium",J630=3,"High",J630=4,"Very High")</f>
        <v>Very High</v>
      </c>
      <c r="AG630" t="str" cm="1">
        <f t="array" ref="AG630">_xlfn.IFS(L630=1,"Low",L630=2,"Medium",L630=3,"High",L630=4,"Very High")</f>
        <v>Medium</v>
      </c>
      <c r="AH630" t="str" cm="1">
        <f t="array" ref="AH630">_xlfn.IFS(M630=1,"Junior employee",M630=2,"Mid-level",M630=3,"Senior",M630=4,"Manager",M630=5,"Executive")</f>
        <v>Mid-level</v>
      </c>
      <c r="AI630" t="str" cm="1">
        <f t="array" ref="AI630">_xlfn.IFS(O630=1,"Low",O630=2,"Medium",O630=3,"High",O630=4,"Very High")</f>
        <v>High</v>
      </c>
      <c r="AJ630" t="str" cm="1">
        <f t="array" ref="AJ630">_xlfn.IFS(U630=1,"Low",U630=2,"Good",U630=3,"Excellent",U630=4,"Outstanding")</f>
        <v>Excellent</v>
      </c>
      <c r="AK630" t="str" cm="1">
        <f t="array" ref="AK630">_xlfn.IFS(V630=1,"Low",V630=2,"Medium",V630=3,"High",V630=4,"Very High")</f>
        <v>Very High</v>
      </c>
      <c r="AL630" t="str" cm="1">
        <f t="array" ref="AL630">_xlfn.IFS(Z630=1,"Bad",Z630=2,"Good",Z630=3,"Better",Z630=4,"Best")</f>
        <v>Better</v>
      </c>
      <c r="AM630" t="str" cm="1">
        <f t="array" ref="AM630">_xlfn.IFS(W630=0,"No_stock",W630=1,"Low",W630=2,"Medium",W630=3,"High")</f>
        <v>Medium</v>
      </c>
      <c r="AN630" t="str">
        <f t="shared" si="9"/>
        <v>Far</v>
      </c>
    </row>
    <row r="631" spans="1:40" x14ac:dyDescent="0.45">
      <c r="A631">
        <v>28</v>
      </c>
      <c r="B631" t="s">
        <v>37</v>
      </c>
      <c r="C631" t="s">
        <v>31</v>
      </c>
      <c r="D631">
        <v>1169</v>
      </c>
      <c r="E631" t="s">
        <v>55</v>
      </c>
      <c r="F631">
        <v>8</v>
      </c>
      <c r="G631">
        <v>2</v>
      </c>
      <c r="H631" t="s">
        <v>45</v>
      </c>
      <c r="I631">
        <v>869</v>
      </c>
      <c r="J631">
        <v>2</v>
      </c>
      <c r="K631" t="s">
        <v>40</v>
      </c>
      <c r="L631">
        <v>2</v>
      </c>
      <c r="M631">
        <v>1</v>
      </c>
      <c r="N631" t="s">
        <v>55</v>
      </c>
      <c r="O631">
        <v>4</v>
      </c>
      <c r="P631" t="s">
        <v>46</v>
      </c>
      <c r="Q631">
        <v>4936</v>
      </c>
      <c r="R631">
        <v>1</v>
      </c>
      <c r="S631" t="s">
        <v>37</v>
      </c>
      <c r="T631">
        <v>13</v>
      </c>
      <c r="U631">
        <v>3</v>
      </c>
      <c r="V631">
        <v>4</v>
      </c>
      <c r="W631">
        <v>1</v>
      </c>
      <c r="X631">
        <v>6</v>
      </c>
      <c r="Y631">
        <v>6</v>
      </c>
      <c r="Z631">
        <v>3</v>
      </c>
      <c r="AA631">
        <v>5</v>
      </c>
      <c r="AB631">
        <v>1</v>
      </c>
      <c r="AC631">
        <v>0</v>
      </c>
      <c r="AD631">
        <v>4</v>
      </c>
      <c r="AE631" t="str" cm="1">
        <f t="array" ref="AE631">_xlfn.IFS(G631=1,"Before College",G631=2,"College",G631=3,"Bachelor",G631=4,"Master",G631=5,"Doctor")</f>
        <v>College</v>
      </c>
      <c r="AF631" t="str" cm="1">
        <f t="array" ref="AF631">_xlfn.IFS(J631=1,"Low",J631=2,"Medium",J631=3,"High",J631=4,"Very High")</f>
        <v>Medium</v>
      </c>
      <c r="AG631" t="str" cm="1">
        <f t="array" ref="AG631">_xlfn.IFS(L631=1,"Low",L631=2,"Medium",L631=3,"High",L631=4,"Very High")</f>
        <v>Medium</v>
      </c>
      <c r="AH631" t="str" cm="1">
        <f t="array" ref="AH631">_xlfn.IFS(M631=1,"Junior employee",M631=2,"Mid-level",M631=3,"Senior",M631=4,"Manager",M631=5,"Executive")</f>
        <v>Junior employee</v>
      </c>
      <c r="AI631" t="str" cm="1">
        <f t="array" ref="AI631">_xlfn.IFS(O631=1,"Low",O631=2,"Medium",O631=3,"High",O631=4,"Very High")</f>
        <v>Very High</v>
      </c>
      <c r="AJ631" t="str" cm="1">
        <f t="array" ref="AJ631">_xlfn.IFS(U631=1,"Low",U631=2,"Good",U631=3,"Excellent",U631=4,"Outstanding")</f>
        <v>Excellent</v>
      </c>
      <c r="AK631" t="str" cm="1">
        <f t="array" ref="AK631">_xlfn.IFS(V631=1,"Low",V631=2,"Medium",V631=3,"High",V631=4,"Very High")</f>
        <v>Very High</v>
      </c>
      <c r="AL631" t="str" cm="1">
        <f t="array" ref="AL631">_xlfn.IFS(Z631=1,"Bad",Z631=2,"Good",Z631=3,"Better",Z631=4,"Best")</f>
        <v>Better</v>
      </c>
      <c r="AM631" t="str" cm="1">
        <f t="array" ref="AM631">_xlfn.IFS(W631=0,"No_stock",W631=1,"Low",W631=2,"Medium",W631=3,"High")</f>
        <v>Low</v>
      </c>
      <c r="AN631" t="str">
        <f t="shared" si="9"/>
        <v>Medium</v>
      </c>
    </row>
    <row r="632" spans="1:40" x14ac:dyDescent="0.45">
      <c r="A632">
        <v>22</v>
      </c>
      <c r="B632" t="s">
        <v>37</v>
      </c>
      <c r="C632" t="s">
        <v>31</v>
      </c>
      <c r="D632">
        <v>1230</v>
      </c>
      <c r="E632" t="s">
        <v>39</v>
      </c>
      <c r="F632">
        <v>1</v>
      </c>
      <c r="G632">
        <v>2</v>
      </c>
      <c r="H632" t="s">
        <v>33</v>
      </c>
      <c r="I632">
        <v>872</v>
      </c>
      <c r="J632">
        <v>4</v>
      </c>
      <c r="K632" t="s">
        <v>40</v>
      </c>
      <c r="L632">
        <v>2</v>
      </c>
      <c r="M632">
        <v>2</v>
      </c>
      <c r="N632" t="s">
        <v>47</v>
      </c>
      <c r="O632">
        <v>4</v>
      </c>
      <c r="P632" t="s">
        <v>42</v>
      </c>
      <c r="Q632">
        <v>4775</v>
      </c>
      <c r="R632">
        <v>6</v>
      </c>
      <c r="S632" t="s">
        <v>37</v>
      </c>
      <c r="T632">
        <v>22</v>
      </c>
      <c r="U632">
        <v>4</v>
      </c>
      <c r="V632">
        <v>1</v>
      </c>
      <c r="W632">
        <v>2</v>
      </c>
      <c r="X632">
        <v>4</v>
      </c>
      <c r="Y632">
        <v>2</v>
      </c>
      <c r="Z632">
        <v>1</v>
      </c>
      <c r="AA632">
        <v>2</v>
      </c>
      <c r="AB632">
        <v>2</v>
      </c>
      <c r="AC632">
        <v>2</v>
      </c>
      <c r="AD632">
        <v>2</v>
      </c>
      <c r="AE632" t="str" cm="1">
        <f t="array" ref="AE632">_xlfn.IFS(G632=1,"Before College",G632=2,"College",G632=3,"Bachelor",G632=4,"Master",G632=5,"Doctor")</f>
        <v>College</v>
      </c>
      <c r="AF632" t="str" cm="1">
        <f t="array" ref="AF632">_xlfn.IFS(J632=1,"Low",J632=2,"Medium",J632=3,"High",J632=4,"Very High")</f>
        <v>Very High</v>
      </c>
      <c r="AG632" t="str" cm="1">
        <f t="array" ref="AG632">_xlfn.IFS(L632=1,"Low",L632=2,"Medium",L632=3,"High",L632=4,"Very High")</f>
        <v>Medium</v>
      </c>
      <c r="AH632" t="str" cm="1">
        <f t="array" ref="AH632">_xlfn.IFS(M632=1,"Junior employee",M632=2,"Mid-level",M632=3,"Senior",M632=4,"Manager",M632=5,"Executive")</f>
        <v>Mid-level</v>
      </c>
      <c r="AI632" t="str" cm="1">
        <f t="array" ref="AI632">_xlfn.IFS(O632=1,"Low",O632=2,"Medium",O632=3,"High",O632=4,"Very High")</f>
        <v>Very High</v>
      </c>
      <c r="AJ632" t="str" cm="1">
        <f t="array" ref="AJ632">_xlfn.IFS(U632=1,"Low",U632=2,"Good",U632=3,"Excellent",U632=4,"Outstanding")</f>
        <v>Outstanding</v>
      </c>
      <c r="AK632" t="str" cm="1">
        <f t="array" ref="AK632">_xlfn.IFS(V632=1,"Low",V632=2,"Medium",V632=3,"High",V632=4,"Very High")</f>
        <v>Low</v>
      </c>
      <c r="AL632" t="str" cm="1">
        <f t="array" ref="AL632">_xlfn.IFS(Z632=1,"Bad",Z632=2,"Good",Z632=3,"Better",Z632=4,"Best")</f>
        <v>Bad</v>
      </c>
      <c r="AM632" t="str" cm="1">
        <f t="array" ref="AM632">_xlfn.IFS(W632=0,"No_stock",W632=1,"Low",W632=2,"Medium",W632=3,"High")</f>
        <v>Medium</v>
      </c>
      <c r="AN632" t="str">
        <f t="shared" si="9"/>
        <v>Near</v>
      </c>
    </row>
    <row r="633" spans="1:40" x14ac:dyDescent="0.45">
      <c r="A633">
        <v>44</v>
      </c>
      <c r="B633" t="s">
        <v>37</v>
      </c>
      <c r="C633" t="s">
        <v>31</v>
      </c>
      <c r="D633">
        <v>986</v>
      </c>
      <c r="E633" t="s">
        <v>39</v>
      </c>
      <c r="F633">
        <v>8</v>
      </c>
      <c r="G633">
        <v>4</v>
      </c>
      <c r="H633" t="s">
        <v>33</v>
      </c>
      <c r="I633">
        <v>874</v>
      </c>
      <c r="J633">
        <v>1</v>
      </c>
      <c r="K633" t="s">
        <v>40</v>
      </c>
      <c r="L633">
        <v>4</v>
      </c>
      <c r="M633">
        <v>1</v>
      </c>
      <c r="N633" t="s">
        <v>44</v>
      </c>
      <c r="O633">
        <v>4</v>
      </c>
      <c r="P633" t="s">
        <v>42</v>
      </c>
      <c r="Q633">
        <v>2818</v>
      </c>
      <c r="R633">
        <v>2</v>
      </c>
      <c r="S633" t="s">
        <v>30</v>
      </c>
      <c r="T633">
        <v>24</v>
      </c>
      <c r="U633">
        <v>4</v>
      </c>
      <c r="V633">
        <v>3</v>
      </c>
      <c r="W633">
        <v>1</v>
      </c>
      <c r="X633">
        <v>10</v>
      </c>
      <c r="Y633">
        <v>2</v>
      </c>
      <c r="Z633">
        <v>2</v>
      </c>
      <c r="AA633">
        <v>3</v>
      </c>
      <c r="AB633">
        <v>2</v>
      </c>
      <c r="AC633">
        <v>0</v>
      </c>
      <c r="AD633">
        <v>2</v>
      </c>
      <c r="AE633" t="str" cm="1">
        <f t="array" ref="AE633">_xlfn.IFS(G633=1,"Before College",G633=2,"College",G633=3,"Bachelor",G633=4,"Master",G633=5,"Doctor")</f>
        <v>Master</v>
      </c>
      <c r="AF633" t="str" cm="1">
        <f t="array" ref="AF633">_xlfn.IFS(J633=1,"Low",J633=2,"Medium",J633=3,"High",J633=4,"Very High")</f>
        <v>Low</v>
      </c>
      <c r="AG633" t="str" cm="1">
        <f t="array" ref="AG633">_xlfn.IFS(L633=1,"Low",L633=2,"Medium",L633=3,"High",L633=4,"Very High")</f>
        <v>Very High</v>
      </c>
      <c r="AH633" t="str" cm="1">
        <f t="array" ref="AH633">_xlfn.IFS(M633=1,"Junior employee",M633=2,"Mid-level",M633=3,"Senior",M633=4,"Manager",M633=5,"Executive")</f>
        <v>Junior employee</v>
      </c>
      <c r="AI633" t="str" cm="1">
        <f t="array" ref="AI633">_xlfn.IFS(O633=1,"Low",O633=2,"Medium",O633=3,"High",O633=4,"Very High")</f>
        <v>Very High</v>
      </c>
      <c r="AJ633" t="str" cm="1">
        <f t="array" ref="AJ633">_xlfn.IFS(U633=1,"Low",U633=2,"Good",U633=3,"Excellent",U633=4,"Outstanding")</f>
        <v>Outstanding</v>
      </c>
      <c r="AK633" t="str" cm="1">
        <f t="array" ref="AK633">_xlfn.IFS(V633=1,"Low",V633=2,"Medium",V633=3,"High",V633=4,"Very High")</f>
        <v>High</v>
      </c>
      <c r="AL633" t="str" cm="1">
        <f t="array" ref="AL633">_xlfn.IFS(Z633=1,"Bad",Z633=2,"Good",Z633=3,"Better",Z633=4,"Best")</f>
        <v>Good</v>
      </c>
      <c r="AM633" t="str" cm="1">
        <f t="array" ref="AM633">_xlfn.IFS(W633=0,"No_stock",W633=1,"Low",W633=2,"Medium",W633=3,"High")</f>
        <v>Low</v>
      </c>
      <c r="AN633" t="str">
        <f t="shared" si="9"/>
        <v>Medium</v>
      </c>
    </row>
    <row r="634" spans="1:40" x14ac:dyDescent="0.45">
      <c r="A634">
        <v>42</v>
      </c>
      <c r="B634" t="s">
        <v>37</v>
      </c>
      <c r="C634" t="s">
        <v>38</v>
      </c>
      <c r="D634">
        <v>1271</v>
      </c>
      <c r="E634" t="s">
        <v>39</v>
      </c>
      <c r="F634">
        <v>2</v>
      </c>
      <c r="G634">
        <v>1</v>
      </c>
      <c r="H634" t="s">
        <v>45</v>
      </c>
      <c r="I634">
        <v>875</v>
      </c>
      <c r="J634">
        <v>2</v>
      </c>
      <c r="K634" t="s">
        <v>40</v>
      </c>
      <c r="L634">
        <v>3</v>
      </c>
      <c r="M634">
        <v>1</v>
      </c>
      <c r="N634" t="s">
        <v>41</v>
      </c>
      <c r="O634">
        <v>4</v>
      </c>
      <c r="P634" t="s">
        <v>36</v>
      </c>
      <c r="Q634">
        <v>2515</v>
      </c>
      <c r="R634">
        <v>5</v>
      </c>
      <c r="S634" t="s">
        <v>30</v>
      </c>
      <c r="T634">
        <v>14</v>
      </c>
      <c r="U634">
        <v>3</v>
      </c>
      <c r="V634">
        <v>4</v>
      </c>
      <c r="W634">
        <v>0</v>
      </c>
      <c r="X634">
        <v>8</v>
      </c>
      <c r="Y634">
        <v>2</v>
      </c>
      <c r="Z634">
        <v>3</v>
      </c>
      <c r="AA634">
        <v>2</v>
      </c>
      <c r="AB634">
        <v>1</v>
      </c>
      <c r="AC634">
        <v>2</v>
      </c>
      <c r="AD634">
        <v>2</v>
      </c>
      <c r="AE634" t="str" cm="1">
        <f t="array" ref="AE634">_xlfn.IFS(G634=1,"Before College",G634=2,"College",G634=3,"Bachelor",G634=4,"Master",G634=5,"Doctor")</f>
        <v>Before College</v>
      </c>
      <c r="AF634" t="str" cm="1">
        <f t="array" ref="AF634">_xlfn.IFS(J634=1,"Low",J634=2,"Medium",J634=3,"High",J634=4,"Very High")</f>
        <v>Medium</v>
      </c>
      <c r="AG634" t="str" cm="1">
        <f t="array" ref="AG634">_xlfn.IFS(L634=1,"Low",L634=2,"Medium",L634=3,"High",L634=4,"Very High")</f>
        <v>High</v>
      </c>
      <c r="AH634" t="str" cm="1">
        <f t="array" ref="AH634">_xlfn.IFS(M634=1,"Junior employee",M634=2,"Mid-level",M634=3,"Senior",M634=4,"Manager",M634=5,"Executive")</f>
        <v>Junior employee</v>
      </c>
      <c r="AI634" t="str" cm="1">
        <f t="array" ref="AI634">_xlfn.IFS(O634=1,"Low",O634=2,"Medium",O634=3,"High",O634=4,"Very High")</f>
        <v>Very High</v>
      </c>
      <c r="AJ634" t="str" cm="1">
        <f t="array" ref="AJ634">_xlfn.IFS(U634=1,"Low",U634=2,"Good",U634=3,"Excellent",U634=4,"Outstanding")</f>
        <v>Excellent</v>
      </c>
      <c r="AK634" t="str" cm="1">
        <f t="array" ref="AK634">_xlfn.IFS(V634=1,"Low",V634=2,"Medium",V634=3,"High",V634=4,"Very High")</f>
        <v>Very High</v>
      </c>
      <c r="AL634" t="str" cm="1">
        <f t="array" ref="AL634">_xlfn.IFS(Z634=1,"Bad",Z634=2,"Good",Z634=3,"Better",Z634=4,"Best")</f>
        <v>Better</v>
      </c>
      <c r="AM634" t="str" cm="1">
        <f t="array" ref="AM634">_xlfn.IFS(W634=0,"No_stock",W634=1,"Low",W634=2,"Medium",W634=3,"High")</f>
        <v>No_stock</v>
      </c>
      <c r="AN634" t="str">
        <f t="shared" si="9"/>
        <v>Near</v>
      </c>
    </row>
    <row r="635" spans="1:40" x14ac:dyDescent="0.45">
      <c r="A635">
        <v>36</v>
      </c>
      <c r="B635" t="s">
        <v>37</v>
      </c>
      <c r="C635" t="s">
        <v>31</v>
      </c>
      <c r="D635">
        <v>1278</v>
      </c>
      <c r="E635" t="s">
        <v>55</v>
      </c>
      <c r="F635">
        <v>8</v>
      </c>
      <c r="G635">
        <v>3</v>
      </c>
      <c r="H635" t="s">
        <v>33</v>
      </c>
      <c r="I635">
        <v>878</v>
      </c>
      <c r="J635">
        <v>1</v>
      </c>
      <c r="K635" t="s">
        <v>40</v>
      </c>
      <c r="L635">
        <v>2</v>
      </c>
      <c r="M635">
        <v>1</v>
      </c>
      <c r="N635" t="s">
        <v>55</v>
      </c>
      <c r="O635">
        <v>1</v>
      </c>
      <c r="P635" t="s">
        <v>42</v>
      </c>
      <c r="Q635">
        <v>2342</v>
      </c>
      <c r="R635">
        <v>0</v>
      </c>
      <c r="S635" t="s">
        <v>37</v>
      </c>
      <c r="T635">
        <v>21</v>
      </c>
      <c r="U635">
        <v>4</v>
      </c>
      <c r="V635">
        <v>3</v>
      </c>
      <c r="W635">
        <v>0</v>
      </c>
      <c r="X635">
        <v>6</v>
      </c>
      <c r="Y635">
        <v>3</v>
      </c>
      <c r="Z635">
        <v>3</v>
      </c>
      <c r="AA635">
        <v>5</v>
      </c>
      <c r="AB635">
        <v>4</v>
      </c>
      <c r="AC635">
        <v>0</v>
      </c>
      <c r="AD635">
        <v>3</v>
      </c>
      <c r="AE635" t="str" cm="1">
        <f t="array" ref="AE635">_xlfn.IFS(G635=1,"Before College",G635=2,"College",G635=3,"Bachelor",G635=4,"Master",G635=5,"Doctor")</f>
        <v>Bachelor</v>
      </c>
      <c r="AF635" t="str" cm="1">
        <f t="array" ref="AF635">_xlfn.IFS(J635=1,"Low",J635=2,"Medium",J635=3,"High",J635=4,"Very High")</f>
        <v>Low</v>
      </c>
      <c r="AG635" t="str" cm="1">
        <f t="array" ref="AG635">_xlfn.IFS(L635=1,"Low",L635=2,"Medium",L635=3,"High",L635=4,"Very High")</f>
        <v>Medium</v>
      </c>
      <c r="AH635" t="str" cm="1">
        <f t="array" ref="AH635">_xlfn.IFS(M635=1,"Junior employee",M635=2,"Mid-level",M635=3,"Senior",M635=4,"Manager",M635=5,"Executive")</f>
        <v>Junior employee</v>
      </c>
      <c r="AI635" t="str" cm="1">
        <f t="array" ref="AI635">_xlfn.IFS(O635=1,"Low",O635=2,"Medium",O635=3,"High",O635=4,"Very High")</f>
        <v>Low</v>
      </c>
      <c r="AJ635" t="str" cm="1">
        <f t="array" ref="AJ635">_xlfn.IFS(U635=1,"Low",U635=2,"Good",U635=3,"Excellent",U635=4,"Outstanding")</f>
        <v>Outstanding</v>
      </c>
      <c r="AK635" t="str" cm="1">
        <f t="array" ref="AK635">_xlfn.IFS(V635=1,"Low",V635=2,"Medium",V635=3,"High",V635=4,"Very High")</f>
        <v>High</v>
      </c>
      <c r="AL635" t="str" cm="1">
        <f t="array" ref="AL635">_xlfn.IFS(Z635=1,"Bad",Z635=2,"Good",Z635=3,"Better",Z635=4,"Best")</f>
        <v>Better</v>
      </c>
      <c r="AM635" t="str" cm="1">
        <f t="array" ref="AM635">_xlfn.IFS(W635=0,"No_stock",W635=1,"Low",W635=2,"Medium",W635=3,"High")</f>
        <v>No_stock</v>
      </c>
      <c r="AN635" t="str">
        <f t="shared" si="9"/>
        <v>Medium</v>
      </c>
    </row>
    <row r="636" spans="1:40" x14ac:dyDescent="0.45">
      <c r="A636">
        <v>25</v>
      </c>
      <c r="B636" t="s">
        <v>37</v>
      </c>
      <c r="C636" t="s">
        <v>31</v>
      </c>
      <c r="D636">
        <v>141</v>
      </c>
      <c r="E636" t="s">
        <v>32</v>
      </c>
      <c r="F636">
        <v>3</v>
      </c>
      <c r="G636">
        <v>1</v>
      </c>
      <c r="H636" t="s">
        <v>43</v>
      </c>
      <c r="I636">
        <v>879</v>
      </c>
      <c r="J636">
        <v>3</v>
      </c>
      <c r="K636" t="s">
        <v>40</v>
      </c>
      <c r="L636">
        <v>3</v>
      </c>
      <c r="M636">
        <v>2</v>
      </c>
      <c r="N636" t="s">
        <v>35</v>
      </c>
      <c r="O636">
        <v>1</v>
      </c>
      <c r="P636" t="s">
        <v>42</v>
      </c>
      <c r="Q636">
        <v>4194</v>
      </c>
      <c r="R636">
        <v>1</v>
      </c>
      <c r="S636" t="s">
        <v>30</v>
      </c>
      <c r="T636">
        <v>18</v>
      </c>
      <c r="U636">
        <v>3</v>
      </c>
      <c r="V636">
        <v>4</v>
      </c>
      <c r="W636">
        <v>0</v>
      </c>
      <c r="X636">
        <v>5</v>
      </c>
      <c r="Y636">
        <v>3</v>
      </c>
      <c r="Z636">
        <v>3</v>
      </c>
      <c r="AA636">
        <v>5</v>
      </c>
      <c r="AB636">
        <v>3</v>
      </c>
      <c r="AC636">
        <v>0</v>
      </c>
      <c r="AD636">
        <v>3</v>
      </c>
      <c r="AE636" t="str" cm="1">
        <f t="array" ref="AE636">_xlfn.IFS(G636=1,"Before College",G636=2,"College",G636=3,"Bachelor",G636=4,"Master",G636=5,"Doctor")</f>
        <v>Before College</v>
      </c>
      <c r="AF636" t="str" cm="1">
        <f t="array" ref="AF636">_xlfn.IFS(J636=1,"Low",J636=2,"Medium",J636=3,"High",J636=4,"Very High")</f>
        <v>High</v>
      </c>
      <c r="AG636" t="str" cm="1">
        <f t="array" ref="AG636">_xlfn.IFS(L636=1,"Low",L636=2,"Medium",L636=3,"High",L636=4,"Very High")</f>
        <v>High</v>
      </c>
      <c r="AH636" t="str" cm="1">
        <f t="array" ref="AH636">_xlfn.IFS(M636=1,"Junior employee",M636=2,"Mid-level",M636=3,"Senior",M636=4,"Manager",M636=5,"Executive")</f>
        <v>Mid-level</v>
      </c>
      <c r="AI636" t="str" cm="1">
        <f t="array" ref="AI636">_xlfn.IFS(O636=1,"Low",O636=2,"Medium",O636=3,"High",O636=4,"Very High")</f>
        <v>Low</v>
      </c>
      <c r="AJ636" t="str" cm="1">
        <f t="array" ref="AJ636">_xlfn.IFS(U636=1,"Low",U636=2,"Good",U636=3,"Excellent",U636=4,"Outstanding")</f>
        <v>Excellent</v>
      </c>
      <c r="AK636" t="str" cm="1">
        <f t="array" ref="AK636">_xlfn.IFS(V636=1,"Low",V636=2,"Medium",V636=3,"High",V636=4,"Very High")</f>
        <v>Very High</v>
      </c>
      <c r="AL636" t="str" cm="1">
        <f t="array" ref="AL636">_xlfn.IFS(Z636=1,"Bad",Z636=2,"Good",Z636=3,"Better",Z636=4,"Best")</f>
        <v>Better</v>
      </c>
      <c r="AM636" t="str" cm="1">
        <f t="array" ref="AM636">_xlfn.IFS(W636=0,"No_stock",W636=1,"Low",W636=2,"Medium",W636=3,"High")</f>
        <v>No_stock</v>
      </c>
      <c r="AN636" t="str">
        <f t="shared" si="9"/>
        <v>Near</v>
      </c>
    </row>
    <row r="637" spans="1:40" x14ac:dyDescent="0.45">
      <c r="A637">
        <v>35</v>
      </c>
      <c r="B637" t="s">
        <v>37</v>
      </c>
      <c r="C637" t="s">
        <v>31</v>
      </c>
      <c r="D637">
        <v>607</v>
      </c>
      <c r="E637" t="s">
        <v>39</v>
      </c>
      <c r="F637">
        <v>9</v>
      </c>
      <c r="G637">
        <v>3</v>
      </c>
      <c r="H637" t="s">
        <v>33</v>
      </c>
      <c r="I637">
        <v>880</v>
      </c>
      <c r="J637">
        <v>4</v>
      </c>
      <c r="K637" t="s">
        <v>34</v>
      </c>
      <c r="L637">
        <v>2</v>
      </c>
      <c r="M637">
        <v>3</v>
      </c>
      <c r="N637" t="s">
        <v>47</v>
      </c>
      <c r="O637">
        <v>3</v>
      </c>
      <c r="P637" t="s">
        <v>42</v>
      </c>
      <c r="Q637">
        <v>10685</v>
      </c>
      <c r="R637">
        <v>1</v>
      </c>
      <c r="S637" t="s">
        <v>30</v>
      </c>
      <c r="T637">
        <v>20</v>
      </c>
      <c r="U637">
        <v>4</v>
      </c>
      <c r="V637">
        <v>2</v>
      </c>
      <c r="W637">
        <v>1</v>
      </c>
      <c r="X637">
        <v>17</v>
      </c>
      <c r="Y637">
        <v>2</v>
      </c>
      <c r="Z637">
        <v>3</v>
      </c>
      <c r="AA637">
        <v>17</v>
      </c>
      <c r="AB637">
        <v>14</v>
      </c>
      <c r="AC637">
        <v>5</v>
      </c>
      <c r="AD637">
        <v>15</v>
      </c>
      <c r="AE637" t="str" cm="1">
        <f t="array" ref="AE637">_xlfn.IFS(G637=1,"Before College",G637=2,"College",G637=3,"Bachelor",G637=4,"Master",G637=5,"Doctor")</f>
        <v>Bachelor</v>
      </c>
      <c r="AF637" t="str" cm="1">
        <f t="array" ref="AF637">_xlfn.IFS(J637=1,"Low",J637=2,"Medium",J637=3,"High",J637=4,"Very High")</f>
        <v>Very High</v>
      </c>
      <c r="AG637" t="str" cm="1">
        <f t="array" ref="AG637">_xlfn.IFS(L637=1,"Low",L637=2,"Medium",L637=3,"High",L637=4,"Very High")</f>
        <v>Medium</v>
      </c>
      <c r="AH637" t="str" cm="1">
        <f t="array" ref="AH637">_xlfn.IFS(M637=1,"Junior employee",M637=2,"Mid-level",M637=3,"Senior",M637=4,"Manager",M637=5,"Executive")</f>
        <v>Senior</v>
      </c>
      <c r="AI637" t="str" cm="1">
        <f t="array" ref="AI637">_xlfn.IFS(O637=1,"Low",O637=2,"Medium",O637=3,"High",O637=4,"Very High")</f>
        <v>High</v>
      </c>
      <c r="AJ637" t="str" cm="1">
        <f t="array" ref="AJ637">_xlfn.IFS(U637=1,"Low",U637=2,"Good",U637=3,"Excellent",U637=4,"Outstanding")</f>
        <v>Outstanding</v>
      </c>
      <c r="AK637" t="str" cm="1">
        <f t="array" ref="AK637">_xlfn.IFS(V637=1,"Low",V637=2,"Medium",V637=3,"High",V637=4,"Very High")</f>
        <v>Medium</v>
      </c>
      <c r="AL637" t="str" cm="1">
        <f t="array" ref="AL637">_xlfn.IFS(Z637=1,"Bad",Z637=2,"Good",Z637=3,"Better",Z637=4,"Best")</f>
        <v>Better</v>
      </c>
      <c r="AM637" t="str" cm="1">
        <f t="array" ref="AM637">_xlfn.IFS(W637=0,"No_stock",W637=1,"Low",W637=2,"Medium",W637=3,"High")</f>
        <v>Low</v>
      </c>
      <c r="AN637" t="str">
        <f t="shared" si="9"/>
        <v>Medium</v>
      </c>
    </row>
    <row r="638" spans="1:40" x14ac:dyDescent="0.45">
      <c r="A638">
        <v>35</v>
      </c>
      <c r="B638" t="s">
        <v>30</v>
      </c>
      <c r="C638" t="s">
        <v>38</v>
      </c>
      <c r="D638">
        <v>130</v>
      </c>
      <c r="E638" t="s">
        <v>39</v>
      </c>
      <c r="F638">
        <v>25</v>
      </c>
      <c r="G638">
        <v>4</v>
      </c>
      <c r="H638" t="s">
        <v>33</v>
      </c>
      <c r="I638">
        <v>881</v>
      </c>
      <c r="J638">
        <v>4</v>
      </c>
      <c r="K638" t="s">
        <v>34</v>
      </c>
      <c r="L638">
        <v>3</v>
      </c>
      <c r="M638">
        <v>1</v>
      </c>
      <c r="N638" t="s">
        <v>41</v>
      </c>
      <c r="O638">
        <v>2</v>
      </c>
      <c r="P638" t="s">
        <v>46</v>
      </c>
      <c r="Q638">
        <v>2022</v>
      </c>
      <c r="R638">
        <v>1</v>
      </c>
      <c r="S638" t="s">
        <v>30</v>
      </c>
      <c r="T638">
        <v>19</v>
      </c>
      <c r="U638">
        <v>3</v>
      </c>
      <c r="V638">
        <v>1</v>
      </c>
      <c r="W638">
        <v>1</v>
      </c>
      <c r="X638">
        <v>10</v>
      </c>
      <c r="Y638">
        <v>3</v>
      </c>
      <c r="Z638">
        <v>2</v>
      </c>
      <c r="AA638">
        <v>10</v>
      </c>
      <c r="AB638">
        <v>2</v>
      </c>
      <c r="AC638">
        <v>7</v>
      </c>
      <c r="AD638">
        <v>8</v>
      </c>
      <c r="AE638" t="str" cm="1">
        <f t="array" ref="AE638">_xlfn.IFS(G638=1,"Before College",G638=2,"College",G638=3,"Bachelor",G638=4,"Master",G638=5,"Doctor")</f>
        <v>Master</v>
      </c>
      <c r="AF638" t="str" cm="1">
        <f t="array" ref="AF638">_xlfn.IFS(J638=1,"Low",J638=2,"Medium",J638=3,"High",J638=4,"Very High")</f>
        <v>Very High</v>
      </c>
      <c r="AG638" t="str" cm="1">
        <f t="array" ref="AG638">_xlfn.IFS(L638=1,"Low",L638=2,"Medium",L638=3,"High",L638=4,"Very High")</f>
        <v>High</v>
      </c>
      <c r="AH638" t="str" cm="1">
        <f t="array" ref="AH638">_xlfn.IFS(M638=1,"Junior employee",M638=2,"Mid-level",M638=3,"Senior",M638=4,"Manager",M638=5,"Executive")</f>
        <v>Junior employee</v>
      </c>
      <c r="AI638" t="str" cm="1">
        <f t="array" ref="AI638">_xlfn.IFS(O638=1,"Low",O638=2,"Medium",O638=3,"High",O638=4,"Very High")</f>
        <v>Medium</v>
      </c>
      <c r="AJ638" t="str" cm="1">
        <f t="array" ref="AJ638">_xlfn.IFS(U638=1,"Low",U638=2,"Good",U638=3,"Excellent",U638=4,"Outstanding")</f>
        <v>Excellent</v>
      </c>
      <c r="AK638" t="str" cm="1">
        <f t="array" ref="AK638">_xlfn.IFS(V638=1,"Low",V638=2,"Medium",V638=3,"High",V638=4,"Very High")</f>
        <v>Low</v>
      </c>
      <c r="AL638" t="str" cm="1">
        <f t="array" ref="AL638">_xlfn.IFS(Z638=1,"Bad",Z638=2,"Good",Z638=3,"Better",Z638=4,"Best")</f>
        <v>Good</v>
      </c>
      <c r="AM638" t="str" cm="1">
        <f t="array" ref="AM638">_xlfn.IFS(W638=0,"No_stock",W638=1,"Low",W638=2,"Medium",W638=3,"High")</f>
        <v>Low</v>
      </c>
      <c r="AN638" t="str">
        <f t="shared" si="9"/>
        <v>Far</v>
      </c>
    </row>
    <row r="639" spans="1:40" x14ac:dyDescent="0.45">
      <c r="A639">
        <v>32</v>
      </c>
      <c r="B639" t="s">
        <v>37</v>
      </c>
      <c r="C639" t="s">
        <v>49</v>
      </c>
      <c r="D639">
        <v>300</v>
      </c>
      <c r="E639" t="s">
        <v>39</v>
      </c>
      <c r="F639">
        <v>1</v>
      </c>
      <c r="G639">
        <v>3</v>
      </c>
      <c r="H639" t="s">
        <v>33</v>
      </c>
      <c r="I639">
        <v>882</v>
      </c>
      <c r="J639">
        <v>4</v>
      </c>
      <c r="K639" t="s">
        <v>40</v>
      </c>
      <c r="L639">
        <v>3</v>
      </c>
      <c r="M639">
        <v>1</v>
      </c>
      <c r="N639" t="s">
        <v>44</v>
      </c>
      <c r="O639">
        <v>4</v>
      </c>
      <c r="P639" t="s">
        <v>46</v>
      </c>
      <c r="Q639">
        <v>2314</v>
      </c>
      <c r="R639">
        <v>0</v>
      </c>
      <c r="S639" t="s">
        <v>37</v>
      </c>
      <c r="T639">
        <v>12</v>
      </c>
      <c r="U639">
        <v>3</v>
      </c>
      <c r="V639">
        <v>2</v>
      </c>
      <c r="W639">
        <v>1</v>
      </c>
      <c r="X639">
        <v>4</v>
      </c>
      <c r="Y639">
        <v>2</v>
      </c>
      <c r="Z639">
        <v>3</v>
      </c>
      <c r="AA639">
        <v>3</v>
      </c>
      <c r="AB639">
        <v>0</v>
      </c>
      <c r="AC639">
        <v>0</v>
      </c>
      <c r="AD639">
        <v>2</v>
      </c>
      <c r="AE639" t="str" cm="1">
        <f t="array" ref="AE639">_xlfn.IFS(G639=1,"Before College",G639=2,"College",G639=3,"Bachelor",G639=4,"Master",G639=5,"Doctor")</f>
        <v>Bachelor</v>
      </c>
      <c r="AF639" t="str" cm="1">
        <f t="array" ref="AF639">_xlfn.IFS(J639=1,"Low",J639=2,"Medium",J639=3,"High",J639=4,"Very High")</f>
        <v>Very High</v>
      </c>
      <c r="AG639" t="str" cm="1">
        <f t="array" ref="AG639">_xlfn.IFS(L639=1,"Low",L639=2,"Medium",L639=3,"High",L639=4,"Very High")</f>
        <v>High</v>
      </c>
      <c r="AH639" t="str" cm="1">
        <f t="array" ref="AH639">_xlfn.IFS(M639=1,"Junior employee",M639=2,"Mid-level",M639=3,"Senior",M639=4,"Manager",M639=5,"Executive")</f>
        <v>Junior employee</v>
      </c>
      <c r="AI639" t="str" cm="1">
        <f t="array" ref="AI639">_xlfn.IFS(O639=1,"Low",O639=2,"Medium",O639=3,"High",O639=4,"Very High")</f>
        <v>Very High</v>
      </c>
      <c r="AJ639" t="str" cm="1">
        <f t="array" ref="AJ639">_xlfn.IFS(U639=1,"Low",U639=2,"Good",U639=3,"Excellent",U639=4,"Outstanding")</f>
        <v>Excellent</v>
      </c>
      <c r="AK639" t="str" cm="1">
        <f t="array" ref="AK639">_xlfn.IFS(V639=1,"Low",V639=2,"Medium",V639=3,"High",V639=4,"Very High")</f>
        <v>Medium</v>
      </c>
      <c r="AL639" t="str" cm="1">
        <f t="array" ref="AL639">_xlfn.IFS(Z639=1,"Bad",Z639=2,"Good",Z639=3,"Better",Z639=4,"Best")</f>
        <v>Better</v>
      </c>
      <c r="AM639" t="str" cm="1">
        <f t="array" ref="AM639">_xlfn.IFS(W639=0,"No_stock",W639=1,"Low",W639=2,"Medium",W639=3,"High")</f>
        <v>Low</v>
      </c>
      <c r="AN639" t="str">
        <f t="shared" si="9"/>
        <v>Near</v>
      </c>
    </row>
    <row r="640" spans="1:40" x14ac:dyDescent="0.45">
      <c r="A640">
        <v>25</v>
      </c>
      <c r="B640" t="s">
        <v>37</v>
      </c>
      <c r="C640" t="s">
        <v>31</v>
      </c>
      <c r="D640">
        <v>583</v>
      </c>
      <c r="E640" t="s">
        <v>32</v>
      </c>
      <c r="F640">
        <v>4</v>
      </c>
      <c r="G640">
        <v>1</v>
      </c>
      <c r="H640" t="s">
        <v>53</v>
      </c>
      <c r="I640">
        <v>885</v>
      </c>
      <c r="J640">
        <v>3</v>
      </c>
      <c r="K640" t="s">
        <v>40</v>
      </c>
      <c r="L640">
        <v>2</v>
      </c>
      <c r="M640">
        <v>2</v>
      </c>
      <c r="N640" t="s">
        <v>35</v>
      </c>
      <c r="O640">
        <v>1</v>
      </c>
      <c r="P640" t="s">
        <v>42</v>
      </c>
      <c r="Q640">
        <v>4256</v>
      </c>
      <c r="R640">
        <v>1</v>
      </c>
      <c r="S640" t="s">
        <v>37</v>
      </c>
      <c r="T640">
        <v>12</v>
      </c>
      <c r="U640">
        <v>3</v>
      </c>
      <c r="V640">
        <v>1</v>
      </c>
      <c r="W640">
        <v>0</v>
      </c>
      <c r="X640">
        <v>5</v>
      </c>
      <c r="Y640">
        <v>1</v>
      </c>
      <c r="Z640">
        <v>4</v>
      </c>
      <c r="AA640">
        <v>5</v>
      </c>
      <c r="AB640">
        <v>2</v>
      </c>
      <c r="AC640">
        <v>0</v>
      </c>
      <c r="AD640">
        <v>3</v>
      </c>
      <c r="AE640" t="str" cm="1">
        <f t="array" ref="AE640">_xlfn.IFS(G640=1,"Before College",G640=2,"College",G640=3,"Bachelor",G640=4,"Master",G640=5,"Doctor")</f>
        <v>Before College</v>
      </c>
      <c r="AF640" t="str" cm="1">
        <f t="array" ref="AF640">_xlfn.IFS(J640=1,"Low",J640=2,"Medium",J640=3,"High",J640=4,"Very High")</f>
        <v>High</v>
      </c>
      <c r="AG640" t="str" cm="1">
        <f t="array" ref="AG640">_xlfn.IFS(L640=1,"Low",L640=2,"Medium",L640=3,"High",L640=4,"Very High")</f>
        <v>Medium</v>
      </c>
      <c r="AH640" t="str" cm="1">
        <f t="array" ref="AH640">_xlfn.IFS(M640=1,"Junior employee",M640=2,"Mid-level",M640=3,"Senior",M640=4,"Manager",M640=5,"Executive")</f>
        <v>Mid-level</v>
      </c>
      <c r="AI640" t="str" cm="1">
        <f t="array" ref="AI640">_xlfn.IFS(O640=1,"Low",O640=2,"Medium",O640=3,"High",O640=4,"Very High")</f>
        <v>Low</v>
      </c>
      <c r="AJ640" t="str" cm="1">
        <f t="array" ref="AJ640">_xlfn.IFS(U640=1,"Low",U640=2,"Good",U640=3,"Excellent",U640=4,"Outstanding")</f>
        <v>Excellent</v>
      </c>
      <c r="AK640" t="str" cm="1">
        <f t="array" ref="AK640">_xlfn.IFS(V640=1,"Low",V640=2,"Medium",V640=3,"High",V640=4,"Very High")</f>
        <v>Low</v>
      </c>
      <c r="AL640" t="str" cm="1">
        <f t="array" ref="AL640">_xlfn.IFS(Z640=1,"Bad",Z640=2,"Good",Z640=3,"Better",Z640=4,"Best")</f>
        <v>Best</v>
      </c>
      <c r="AM640" t="str" cm="1">
        <f t="array" ref="AM640">_xlfn.IFS(W640=0,"No_stock",W640=1,"Low",W640=2,"Medium",W640=3,"High")</f>
        <v>No_stock</v>
      </c>
      <c r="AN640" t="str">
        <f t="shared" si="9"/>
        <v>Near</v>
      </c>
    </row>
    <row r="641" spans="1:40" x14ac:dyDescent="0.45">
      <c r="A641">
        <v>49</v>
      </c>
      <c r="B641" t="s">
        <v>37</v>
      </c>
      <c r="C641" t="s">
        <v>31</v>
      </c>
      <c r="D641">
        <v>1418</v>
      </c>
      <c r="E641" t="s">
        <v>39</v>
      </c>
      <c r="F641">
        <v>1</v>
      </c>
      <c r="G641">
        <v>3</v>
      </c>
      <c r="H641" t="s">
        <v>54</v>
      </c>
      <c r="I641">
        <v>887</v>
      </c>
      <c r="J641">
        <v>3</v>
      </c>
      <c r="K641" t="s">
        <v>34</v>
      </c>
      <c r="L641">
        <v>3</v>
      </c>
      <c r="M641">
        <v>1</v>
      </c>
      <c r="N641" t="s">
        <v>41</v>
      </c>
      <c r="O641">
        <v>1</v>
      </c>
      <c r="P641" t="s">
        <v>42</v>
      </c>
      <c r="Q641">
        <v>3580</v>
      </c>
      <c r="R641">
        <v>2</v>
      </c>
      <c r="S641" t="s">
        <v>37</v>
      </c>
      <c r="T641">
        <v>16</v>
      </c>
      <c r="U641">
        <v>3</v>
      </c>
      <c r="V641">
        <v>2</v>
      </c>
      <c r="W641">
        <v>1</v>
      </c>
      <c r="X641">
        <v>7</v>
      </c>
      <c r="Y641">
        <v>2</v>
      </c>
      <c r="Z641">
        <v>3</v>
      </c>
      <c r="AA641">
        <v>4</v>
      </c>
      <c r="AB641">
        <v>2</v>
      </c>
      <c r="AC641">
        <v>0</v>
      </c>
      <c r="AD641">
        <v>2</v>
      </c>
      <c r="AE641" t="str" cm="1">
        <f t="array" ref="AE641">_xlfn.IFS(G641=1,"Before College",G641=2,"College",G641=3,"Bachelor",G641=4,"Master",G641=5,"Doctor")</f>
        <v>Bachelor</v>
      </c>
      <c r="AF641" t="str" cm="1">
        <f t="array" ref="AF641">_xlfn.IFS(J641=1,"Low",J641=2,"Medium",J641=3,"High",J641=4,"Very High")</f>
        <v>High</v>
      </c>
      <c r="AG641" t="str" cm="1">
        <f t="array" ref="AG641">_xlfn.IFS(L641=1,"Low",L641=2,"Medium",L641=3,"High",L641=4,"Very High")</f>
        <v>High</v>
      </c>
      <c r="AH641" t="str" cm="1">
        <f t="array" ref="AH641">_xlfn.IFS(M641=1,"Junior employee",M641=2,"Mid-level",M641=3,"Senior",M641=4,"Manager",M641=5,"Executive")</f>
        <v>Junior employee</v>
      </c>
      <c r="AI641" t="str" cm="1">
        <f t="array" ref="AI641">_xlfn.IFS(O641=1,"Low",O641=2,"Medium",O641=3,"High",O641=4,"Very High")</f>
        <v>Low</v>
      </c>
      <c r="AJ641" t="str" cm="1">
        <f t="array" ref="AJ641">_xlfn.IFS(U641=1,"Low",U641=2,"Good",U641=3,"Excellent",U641=4,"Outstanding")</f>
        <v>Excellent</v>
      </c>
      <c r="AK641" t="str" cm="1">
        <f t="array" ref="AK641">_xlfn.IFS(V641=1,"Low",V641=2,"Medium",V641=3,"High",V641=4,"Very High")</f>
        <v>Medium</v>
      </c>
      <c r="AL641" t="str" cm="1">
        <f t="array" ref="AL641">_xlfn.IFS(Z641=1,"Bad",Z641=2,"Good",Z641=3,"Better",Z641=4,"Best")</f>
        <v>Better</v>
      </c>
      <c r="AM641" t="str" cm="1">
        <f t="array" ref="AM641">_xlfn.IFS(W641=0,"No_stock",W641=1,"Low",W641=2,"Medium",W641=3,"High")</f>
        <v>Low</v>
      </c>
      <c r="AN641" t="str">
        <f t="shared" si="9"/>
        <v>Near</v>
      </c>
    </row>
    <row r="642" spans="1:40" x14ac:dyDescent="0.45">
      <c r="A642">
        <v>24</v>
      </c>
      <c r="B642" t="s">
        <v>37</v>
      </c>
      <c r="C642" t="s">
        <v>49</v>
      </c>
      <c r="D642">
        <v>1269</v>
      </c>
      <c r="E642" t="s">
        <v>39</v>
      </c>
      <c r="F642">
        <v>4</v>
      </c>
      <c r="G642">
        <v>1</v>
      </c>
      <c r="H642" t="s">
        <v>33</v>
      </c>
      <c r="I642">
        <v>888</v>
      </c>
      <c r="J642">
        <v>1</v>
      </c>
      <c r="K642" t="s">
        <v>40</v>
      </c>
      <c r="L642">
        <v>2</v>
      </c>
      <c r="M642">
        <v>1</v>
      </c>
      <c r="N642" t="s">
        <v>44</v>
      </c>
      <c r="O642">
        <v>4</v>
      </c>
      <c r="P642" t="s">
        <v>42</v>
      </c>
      <c r="Q642">
        <v>3162</v>
      </c>
      <c r="R642">
        <v>0</v>
      </c>
      <c r="S642" t="s">
        <v>37</v>
      </c>
      <c r="T642">
        <v>17</v>
      </c>
      <c r="U642">
        <v>3</v>
      </c>
      <c r="V642">
        <v>4</v>
      </c>
      <c r="W642">
        <v>0</v>
      </c>
      <c r="X642">
        <v>6</v>
      </c>
      <c r="Y642">
        <v>2</v>
      </c>
      <c r="Z642">
        <v>2</v>
      </c>
      <c r="AA642">
        <v>5</v>
      </c>
      <c r="AB642">
        <v>2</v>
      </c>
      <c r="AC642">
        <v>3</v>
      </c>
      <c r="AD642">
        <v>4</v>
      </c>
      <c r="AE642" t="str" cm="1">
        <f t="array" ref="AE642">_xlfn.IFS(G642=1,"Before College",G642=2,"College",G642=3,"Bachelor",G642=4,"Master",G642=5,"Doctor")</f>
        <v>Before College</v>
      </c>
      <c r="AF642" t="str" cm="1">
        <f t="array" ref="AF642">_xlfn.IFS(J642=1,"Low",J642=2,"Medium",J642=3,"High",J642=4,"Very High")</f>
        <v>Low</v>
      </c>
      <c r="AG642" t="str" cm="1">
        <f t="array" ref="AG642">_xlfn.IFS(L642=1,"Low",L642=2,"Medium",L642=3,"High",L642=4,"Very High")</f>
        <v>Medium</v>
      </c>
      <c r="AH642" t="str" cm="1">
        <f t="array" ref="AH642">_xlfn.IFS(M642=1,"Junior employee",M642=2,"Mid-level",M642=3,"Senior",M642=4,"Manager",M642=5,"Executive")</f>
        <v>Junior employee</v>
      </c>
      <c r="AI642" t="str" cm="1">
        <f t="array" ref="AI642">_xlfn.IFS(O642=1,"Low",O642=2,"Medium",O642=3,"High",O642=4,"Very High")</f>
        <v>Very High</v>
      </c>
      <c r="AJ642" t="str" cm="1">
        <f t="array" ref="AJ642">_xlfn.IFS(U642=1,"Low",U642=2,"Good",U642=3,"Excellent",U642=4,"Outstanding")</f>
        <v>Excellent</v>
      </c>
      <c r="AK642" t="str" cm="1">
        <f t="array" ref="AK642">_xlfn.IFS(V642=1,"Low",V642=2,"Medium",V642=3,"High",V642=4,"Very High")</f>
        <v>Very High</v>
      </c>
      <c r="AL642" t="str" cm="1">
        <f t="array" ref="AL642">_xlfn.IFS(Z642=1,"Bad",Z642=2,"Good",Z642=3,"Better",Z642=4,"Best")</f>
        <v>Good</v>
      </c>
      <c r="AM642" t="str" cm="1">
        <f t="array" ref="AM642">_xlfn.IFS(W642=0,"No_stock",W642=1,"Low",W642=2,"Medium",W642=3,"High")</f>
        <v>No_stock</v>
      </c>
      <c r="AN642" t="str">
        <f t="shared" ref="AN642:AN705" si="10">IF(F642&lt;=5,"Near",IF(F642&lt;=15,"Medium","Far"))</f>
        <v>Near</v>
      </c>
    </row>
    <row r="643" spans="1:40" x14ac:dyDescent="0.45">
      <c r="A643">
        <v>32</v>
      </c>
      <c r="B643" t="s">
        <v>37</v>
      </c>
      <c r="C643" t="s">
        <v>38</v>
      </c>
      <c r="D643">
        <v>379</v>
      </c>
      <c r="E643" t="s">
        <v>32</v>
      </c>
      <c r="F643">
        <v>5</v>
      </c>
      <c r="G643">
        <v>2</v>
      </c>
      <c r="H643" t="s">
        <v>33</v>
      </c>
      <c r="I643">
        <v>889</v>
      </c>
      <c r="J643">
        <v>2</v>
      </c>
      <c r="K643" t="s">
        <v>40</v>
      </c>
      <c r="L643">
        <v>3</v>
      </c>
      <c r="M643">
        <v>2</v>
      </c>
      <c r="N643" t="s">
        <v>35</v>
      </c>
      <c r="O643">
        <v>2</v>
      </c>
      <c r="P643" t="s">
        <v>42</v>
      </c>
      <c r="Q643">
        <v>6524</v>
      </c>
      <c r="R643">
        <v>1</v>
      </c>
      <c r="S643" t="s">
        <v>37</v>
      </c>
      <c r="T643">
        <v>14</v>
      </c>
      <c r="U643">
        <v>3</v>
      </c>
      <c r="V643">
        <v>4</v>
      </c>
      <c r="W643">
        <v>1</v>
      </c>
      <c r="X643">
        <v>10</v>
      </c>
      <c r="Y643">
        <v>3</v>
      </c>
      <c r="Z643">
        <v>3</v>
      </c>
      <c r="AA643">
        <v>10</v>
      </c>
      <c r="AB643">
        <v>8</v>
      </c>
      <c r="AC643">
        <v>5</v>
      </c>
      <c r="AD643">
        <v>3</v>
      </c>
      <c r="AE643" t="str" cm="1">
        <f t="array" ref="AE643">_xlfn.IFS(G643=1,"Before College",G643=2,"College",G643=3,"Bachelor",G643=4,"Master",G643=5,"Doctor")</f>
        <v>College</v>
      </c>
      <c r="AF643" t="str" cm="1">
        <f t="array" ref="AF643">_xlfn.IFS(J643=1,"Low",J643=2,"Medium",J643=3,"High",J643=4,"Very High")</f>
        <v>Medium</v>
      </c>
      <c r="AG643" t="str" cm="1">
        <f t="array" ref="AG643">_xlfn.IFS(L643=1,"Low",L643=2,"Medium",L643=3,"High",L643=4,"Very High")</f>
        <v>High</v>
      </c>
      <c r="AH643" t="str" cm="1">
        <f t="array" ref="AH643">_xlfn.IFS(M643=1,"Junior employee",M643=2,"Mid-level",M643=3,"Senior",M643=4,"Manager",M643=5,"Executive")</f>
        <v>Mid-level</v>
      </c>
      <c r="AI643" t="str" cm="1">
        <f t="array" ref="AI643">_xlfn.IFS(O643=1,"Low",O643=2,"Medium",O643=3,"High",O643=4,"Very High")</f>
        <v>Medium</v>
      </c>
      <c r="AJ643" t="str" cm="1">
        <f t="array" ref="AJ643">_xlfn.IFS(U643=1,"Low",U643=2,"Good",U643=3,"Excellent",U643=4,"Outstanding")</f>
        <v>Excellent</v>
      </c>
      <c r="AK643" t="str" cm="1">
        <f t="array" ref="AK643">_xlfn.IFS(V643=1,"Low",V643=2,"Medium",V643=3,"High",V643=4,"Very High")</f>
        <v>Very High</v>
      </c>
      <c r="AL643" t="str" cm="1">
        <f t="array" ref="AL643">_xlfn.IFS(Z643=1,"Bad",Z643=2,"Good",Z643=3,"Better",Z643=4,"Best")</f>
        <v>Better</v>
      </c>
      <c r="AM643" t="str" cm="1">
        <f t="array" ref="AM643">_xlfn.IFS(W643=0,"No_stock",W643=1,"Low",W643=2,"Medium",W643=3,"High")</f>
        <v>Low</v>
      </c>
      <c r="AN643" t="str">
        <f t="shared" si="10"/>
        <v>Near</v>
      </c>
    </row>
    <row r="644" spans="1:40" x14ac:dyDescent="0.45">
      <c r="A644">
        <v>38</v>
      </c>
      <c r="B644" t="s">
        <v>37</v>
      </c>
      <c r="C644" t="s">
        <v>31</v>
      </c>
      <c r="D644">
        <v>395</v>
      </c>
      <c r="E644" t="s">
        <v>32</v>
      </c>
      <c r="F644">
        <v>9</v>
      </c>
      <c r="G644">
        <v>3</v>
      </c>
      <c r="H644" t="s">
        <v>53</v>
      </c>
      <c r="I644">
        <v>893</v>
      </c>
      <c r="J644">
        <v>2</v>
      </c>
      <c r="K644" t="s">
        <v>40</v>
      </c>
      <c r="L644">
        <v>2</v>
      </c>
      <c r="M644">
        <v>1</v>
      </c>
      <c r="N644" t="s">
        <v>51</v>
      </c>
      <c r="O644">
        <v>2</v>
      </c>
      <c r="P644" t="s">
        <v>42</v>
      </c>
      <c r="Q644">
        <v>2899</v>
      </c>
      <c r="R644">
        <v>0</v>
      </c>
      <c r="S644" t="s">
        <v>37</v>
      </c>
      <c r="T644">
        <v>19</v>
      </c>
      <c r="U644">
        <v>3</v>
      </c>
      <c r="V644">
        <v>4</v>
      </c>
      <c r="W644">
        <v>1</v>
      </c>
      <c r="X644">
        <v>3</v>
      </c>
      <c r="Y644">
        <v>3</v>
      </c>
      <c r="Z644">
        <v>3</v>
      </c>
      <c r="AA644">
        <v>2</v>
      </c>
      <c r="AB644">
        <v>2</v>
      </c>
      <c r="AC644">
        <v>1</v>
      </c>
      <c r="AD644">
        <v>2</v>
      </c>
      <c r="AE644" t="str" cm="1">
        <f t="array" ref="AE644">_xlfn.IFS(G644=1,"Before College",G644=2,"College",G644=3,"Bachelor",G644=4,"Master",G644=5,"Doctor")</f>
        <v>Bachelor</v>
      </c>
      <c r="AF644" t="str" cm="1">
        <f t="array" ref="AF644">_xlfn.IFS(J644=1,"Low",J644=2,"Medium",J644=3,"High",J644=4,"Very High")</f>
        <v>Medium</v>
      </c>
      <c r="AG644" t="str" cm="1">
        <f t="array" ref="AG644">_xlfn.IFS(L644=1,"Low",L644=2,"Medium",L644=3,"High",L644=4,"Very High")</f>
        <v>Medium</v>
      </c>
      <c r="AH644" t="str" cm="1">
        <f t="array" ref="AH644">_xlfn.IFS(M644=1,"Junior employee",M644=2,"Mid-level",M644=3,"Senior",M644=4,"Manager",M644=5,"Executive")</f>
        <v>Junior employee</v>
      </c>
      <c r="AI644" t="str" cm="1">
        <f t="array" ref="AI644">_xlfn.IFS(O644=1,"Low",O644=2,"Medium",O644=3,"High",O644=4,"Very High")</f>
        <v>Medium</v>
      </c>
      <c r="AJ644" t="str" cm="1">
        <f t="array" ref="AJ644">_xlfn.IFS(U644=1,"Low",U644=2,"Good",U644=3,"Excellent",U644=4,"Outstanding")</f>
        <v>Excellent</v>
      </c>
      <c r="AK644" t="str" cm="1">
        <f t="array" ref="AK644">_xlfn.IFS(V644=1,"Low",V644=2,"Medium",V644=3,"High",V644=4,"Very High")</f>
        <v>Very High</v>
      </c>
      <c r="AL644" t="str" cm="1">
        <f t="array" ref="AL644">_xlfn.IFS(Z644=1,"Bad",Z644=2,"Good",Z644=3,"Better",Z644=4,"Best")</f>
        <v>Better</v>
      </c>
      <c r="AM644" t="str" cm="1">
        <f t="array" ref="AM644">_xlfn.IFS(W644=0,"No_stock",W644=1,"Low",W644=2,"Medium",W644=3,"High")</f>
        <v>Low</v>
      </c>
      <c r="AN644" t="str">
        <f t="shared" si="10"/>
        <v>Medium</v>
      </c>
    </row>
    <row r="645" spans="1:40" x14ac:dyDescent="0.45">
      <c r="A645">
        <v>42</v>
      </c>
      <c r="B645" t="s">
        <v>37</v>
      </c>
      <c r="C645" t="s">
        <v>31</v>
      </c>
      <c r="D645">
        <v>1265</v>
      </c>
      <c r="E645" t="s">
        <v>39</v>
      </c>
      <c r="F645">
        <v>3</v>
      </c>
      <c r="G645">
        <v>3</v>
      </c>
      <c r="H645" t="s">
        <v>33</v>
      </c>
      <c r="I645">
        <v>894</v>
      </c>
      <c r="J645">
        <v>3</v>
      </c>
      <c r="K645" t="s">
        <v>34</v>
      </c>
      <c r="L645">
        <v>4</v>
      </c>
      <c r="M645">
        <v>2</v>
      </c>
      <c r="N645" t="s">
        <v>44</v>
      </c>
      <c r="O645">
        <v>4</v>
      </c>
      <c r="P645" t="s">
        <v>42</v>
      </c>
      <c r="Q645">
        <v>5231</v>
      </c>
      <c r="R645">
        <v>2</v>
      </c>
      <c r="S645" t="s">
        <v>30</v>
      </c>
      <c r="T645">
        <v>13</v>
      </c>
      <c r="U645">
        <v>3</v>
      </c>
      <c r="V645">
        <v>2</v>
      </c>
      <c r="W645">
        <v>1</v>
      </c>
      <c r="X645">
        <v>17</v>
      </c>
      <c r="Y645">
        <v>1</v>
      </c>
      <c r="Z645">
        <v>2</v>
      </c>
      <c r="AA645">
        <v>5</v>
      </c>
      <c r="AB645">
        <v>3</v>
      </c>
      <c r="AC645">
        <v>1</v>
      </c>
      <c r="AD645">
        <v>3</v>
      </c>
      <c r="AE645" t="str" cm="1">
        <f t="array" ref="AE645">_xlfn.IFS(G645=1,"Before College",G645=2,"College",G645=3,"Bachelor",G645=4,"Master",G645=5,"Doctor")</f>
        <v>Bachelor</v>
      </c>
      <c r="AF645" t="str" cm="1">
        <f t="array" ref="AF645">_xlfn.IFS(J645=1,"Low",J645=2,"Medium",J645=3,"High",J645=4,"Very High")</f>
        <v>High</v>
      </c>
      <c r="AG645" t="str" cm="1">
        <f t="array" ref="AG645">_xlfn.IFS(L645=1,"Low",L645=2,"Medium",L645=3,"High",L645=4,"Very High")</f>
        <v>Very High</v>
      </c>
      <c r="AH645" t="str" cm="1">
        <f t="array" ref="AH645">_xlfn.IFS(M645=1,"Junior employee",M645=2,"Mid-level",M645=3,"Senior",M645=4,"Manager",M645=5,"Executive")</f>
        <v>Mid-level</v>
      </c>
      <c r="AI645" t="str" cm="1">
        <f t="array" ref="AI645">_xlfn.IFS(O645=1,"Low",O645=2,"Medium",O645=3,"High",O645=4,"Very High")</f>
        <v>Very High</v>
      </c>
      <c r="AJ645" t="str" cm="1">
        <f t="array" ref="AJ645">_xlfn.IFS(U645=1,"Low",U645=2,"Good",U645=3,"Excellent",U645=4,"Outstanding")</f>
        <v>Excellent</v>
      </c>
      <c r="AK645" t="str" cm="1">
        <f t="array" ref="AK645">_xlfn.IFS(V645=1,"Low",V645=2,"Medium",V645=3,"High",V645=4,"Very High")</f>
        <v>Medium</v>
      </c>
      <c r="AL645" t="str" cm="1">
        <f t="array" ref="AL645">_xlfn.IFS(Z645=1,"Bad",Z645=2,"Good",Z645=3,"Better",Z645=4,"Best")</f>
        <v>Good</v>
      </c>
      <c r="AM645" t="str" cm="1">
        <f t="array" ref="AM645">_xlfn.IFS(W645=0,"No_stock",W645=1,"Low",W645=2,"Medium",W645=3,"High")</f>
        <v>Low</v>
      </c>
      <c r="AN645" t="str">
        <f t="shared" si="10"/>
        <v>Near</v>
      </c>
    </row>
    <row r="646" spans="1:40" x14ac:dyDescent="0.45">
      <c r="A646">
        <v>31</v>
      </c>
      <c r="B646" t="s">
        <v>37</v>
      </c>
      <c r="C646" t="s">
        <v>31</v>
      </c>
      <c r="D646">
        <v>1222</v>
      </c>
      <c r="E646" t="s">
        <v>39</v>
      </c>
      <c r="F646">
        <v>11</v>
      </c>
      <c r="G646">
        <v>4</v>
      </c>
      <c r="H646" t="s">
        <v>33</v>
      </c>
      <c r="I646">
        <v>895</v>
      </c>
      <c r="J646">
        <v>4</v>
      </c>
      <c r="K646" t="s">
        <v>40</v>
      </c>
      <c r="L646">
        <v>3</v>
      </c>
      <c r="M646">
        <v>1</v>
      </c>
      <c r="N646" t="s">
        <v>41</v>
      </c>
      <c r="O646">
        <v>4</v>
      </c>
      <c r="P646" t="s">
        <v>42</v>
      </c>
      <c r="Q646">
        <v>2356</v>
      </c>
      <c r="R646">
        <v>3</v>
      </c>
      <c r="S646" t="s">
        <v>30</v>
      </c>
      <c r="T646">
        <v>19</v>
      </c>
      <c r="U646">
        <v>3</v>
      </c>
      <c r="V646">
        <v>2</v>
      </c>
      <c r="W646">
        <v>1</v>
      </c>
      <c r="X646">
        <v>8</v>
      </c>
      <c r="Y646">
        <v>2</v>
      </c>
      <c r="Z646">
        <v>3</v>
      </c>
      <c r="AA646">
        <v>6</v>
      </c>
      <c r="AB646">
        <v>4</v>
      </c>
      <c r="AC646">
        <v>0</v>
      </c>
      <c r="AD646">
        <v>2</v>
      </c>
      <c r="AE646" t="str" cm="1">
        <f t="array" ref="AE646">_xlfn.IFS(G646=1,"Before College",G646=2,"College",G646=3,"Bachelor",G646=4,"Master",G646=5,"Doctor")</f>
        <v>Master</v>
      </c>
      <c r="AF646" t="str" cm="1">
        <f t="array" ref="AF646">_xlfn.IFS(J646=1,"Low",J646=2,"Medium",J646=3,"High",J646=4,"Very High")</f>
        <v>Very High</v>
      </c>
      <c r="AG646" t="str" cm="1">
        <f t="array" ref="AG646">_xlfn.IFS(L646=1,"Low",L646=2,"Medium",L646=3,"High",L646=4,"Very High")</f>
        <v>High</v>
      </c>
      <c r="AH646" t="str" cm="1">
        <f t="array" ref="AH646">_xlfn.IFS(M646=1,"Junior employee",M646=2,"Mid-level",M646=3,"Senior",M646=4,"Manager",M646=5,"Executive")</f>
        <v>Junior employee</v>
      </c>
      <c r="AI646" t="str" cm="1">
        <f t="array" ref="AI646">_xlfn.IFS(O646=1,"Low",O646=2,"Medium",O646=3,"High",O646=4,"Very High")</f>
        <v>Very High</v>
      </c>
      <c r="AJ646" t="str" cm="1">
        <f t="array" ref="AJ646">_xlfn.IFS(U646=1,"Low",U646=2,"Good",U646=3,"Excellent",U646=4,"Outstanding")</f>
        <v>Excellent</v>
      </c>
      <c r="AK646" t="str" cm="1">
        <f t="array" ref="AK646">_xlfn.IFS(V646=1,"Low",V646=2,"Medium",V646=3,"High",V646=4,"Very High")</f>
        <v>Medium</v>
      </c>
      <c r="AL646" t="str" cm="1">
        <f t="array" ref="AL646">_xlfn.IFS(Z646=1,"Bad",Z646=2,"Good",Z646=3,"Better",Z646=4,"Best")</f>
        <v>Better</v>
      </c>
      <c r="AM646" t="str" cm="1">
        <f t="array" ref="AM646">_xlfn.IFS(W646=0,"No_stock",W646=1,"Low",W646=2,"Medium",W646=3,"High")</f>
        <v>Low</v>
      </c>
      <c r="AN646" t="str">
        <f t="shared" si="10"/>
        <v>Medium</v>
      </c>
    </row>
    <row r="647" spans="1:40" x14ac:dyDescent="0.45">
      <c r="A647">
        <v>29</v>
      </c>
      <c r="B647" t="s">
        <v>30</v>
      </c>
      <c r="C647" t="s">
        <v>31</v>
      </c>
      <c r="D647">
        <v>341</v>
      </c>
      <c r="E647" t="s">
        <v>32</v>
      </c>
      <c r="F647">
        <v>1</v>
      </c>
      <c r="G647">
        <v>3</v>
      </c>
      <c r="H647" t="s">
        <v>45</v>
      </c>
      <c r="I647">
        <v>896</v>
      </c>
      <c r="J647">
        <v>2</v>
      </c>
      <c r="K647" t="s">
        <v>34</v>
      </c>
      <c r="L647">
        <v>2</v>
      </c>
      <c r="M647">
        <v>1</v>
      </c>
      <c r="N647" t="s">
        <v>51</v>
      </c>
      <c r="O647">
        <v>3</v>
      </c>
      <c r="P647" t="s">
        <v>46</v>
      </c>
      <c r="Q647">
        <v>2800</v>
      </c>
      <c r="R647">
        <v>6</v>
      </c>
      <c r="S647" t="s">
        <v>30</v>
      </c>
      <c r="T647">
        <v>19</v>
      </c>
      <c r="U647">
        <v>3</v>
      </c>
      <c r="V647">
        <v>3</v>
      </c>
      <c r="W647">
        <v>3</v>
      </c>
      <c r="X647">
        <v>5</v>
      </c>
      <c r="Y647">
        <v>3</v>
      </c>
      <c r="Z647">
        <v>3</v>
      </c>
      <c r="AA647">
        <v>3</v>
      </c>
      <c r="AB647">
        <v>2</v>
      </c>
      <c r="AC647">
        <v>0</v>
      </c>
      <c r="AD647">
        <v>2</v>
      </c>
      <c r="AE647" t="str" cm="1">
        <f t="array" ref="AE647">_xlfn.IFS(G647=1,"Before College",G647=2,"College",G647=3,"Bachelor",G647=4,"Master",G647=5,"Doctor")</f>
        <v>Bachelor</v>
      </c>
      <c r="AF647" t="str" cm="1">
        <f t="array" ref="AF647">_xlfn.IFS(J647=1,"Low",J647=2,"Medium",J647=3,"High",J647=4,"Very High")</f>
        <v>Medium</v>
      </c>
      <c r="AG647" t="str" cm="1">
        <f t="array" ref="AG647">_xlfn.IFS(L647=1,"Low",L647=2,"Medium",L647=3,"High",L647=4,"Very High")</f>
        <v>Medium</v>
      </c>
      <c r="AH647" t="str" cm="1">
        <f t="array" ref="AH647">_xlfn.IFS(M647=1,"Junior employee",M647=2,"Mid-level",M647=3,"Senior",M647=4,"Manager",M647=5,"Executive")</f>
        <v>Junior employee</v>
      </c>
      <c r="AI647" t="str" cm="1">
        <f t="array" ref="AI647">_xlfn.IFS(O647=1,"Low",O647=2,"Medium",O647=3,"High",O647=4,"Very High")</f>
        <v>High</v>
      </c>
      <c r="AJ647" t="str" cm="1">
        <f t="array" ref="AJ647">_xlfn.IFS(U647=1,"Low",U647=2,"Good",U647=3,"Excellent",U647=4,"Outstanding")</f>
        <v>Excellent</v>
      </c>
      <c r="AK647" t="str" cm="1">
        <f t="array" ref="AK647">_xlfn.IFS(V647=1,"Low",V647=2,"Medium",V647=3,"High",V647=4,"Very High")</f>
        <v>High</v>
      </c>
      <c r="AL647" t="str" cm="1">
        <f t="array" ref="AL647">_xlfn.IFS(Z647=1,"Bad",Z647=2,"Good",Z647=3,"Better",Z647=4,"Best")</f>
        <v>Better</v>
      </c>
      <c r="AM647" t="str" cm="1">
        <f t="array" ref="AM647">_xlfn.IFS(W647=0,"No_stock",W647=1,"Low",W647=2,"Medium",W647=3,"High")</f>
        <v>High</v>
      </c>
      <c r="AN647" t="str">
        <f t="shared" si="10"/>
        <v>Near</v>
      </c>
    </row>
    <row r="648" spans="1:40" x14ac:dyDescent="0.45">
      <c r="A648">
        <v>53</v>
      </c>
      <c r="B648" t="s">
        <v>37</v>
      </c>
      <c r="C648" t="s">
        <v>31</v>
      </c>
      <c r="D648">
        <v>868</v>
      </c>
      <c r="E648" t="s">
        <v>32</v>
      </c>
      <c r="F648">
        <v>8</v>
      </c>
      <c r="G648">
        <v>3</v>
      </c>
      <c r="H648" t="s">
        <v>53</v>
      </c>
      <c r="I648">
        <v>897</v>
      </c>
      <c r="J648">
        <v>1</v>
      </c>
      <c r="K648" t="s">
        <v>40</v>
      </c>
      <c r="L648">
        <v>3</v>
      </c>
      <c r="M648">
        <v>4</v>
      </c>
      <c r="N648" t="s">
        <v>35</v>
      </c>
      <c r="O648">
        <v>4</v>
      </c>
      <c r="P648" t="s">
        <v>42</v>
      </c>
      <c r="Q648">
        <v>11836</v>
      </c>
      <c r="R648">
        <v>5</v>
      </c>
      <c r="S648" t="s">
        <v>37</v>
      </c>
      <c r="T648">
        <v>14</v>
      </c>
      <c r="U648">
        <v>3</v>
      </c>
      <c r="V648">
        <v>3</v>
      </c>
      <c r="W648">
        <v>1</v>
      </c>
      <c r="X648">
        <v>28</v>
      </c>
      <c r="Y648">
        <v>3</v>
      </c>
      <c r="Z648">
        <v>3</v>
      </c>
      <c r="AA648">
        <v>2</v>
      </c>
      <c r="AB648">
        <v>0</v>
      </c>
      <c r="AC648">
        <v>2</v>
      </c>
      <c r="AD648">
        <v>2</v>
      </c>
      <c r="AE648" t="str" cm="1">
        <f t="array" ref="AE648">_xlfn.IFS(G648=1,"Before College",G648=2,"College",G648=3,"Bachelor",G648=4,"Master",G648=5,"Doctor")</f>
        <v>Bachelor</v>
      </c>
      <c r="AF648" t="str" cm="1">
        <f t="array" ref="AF648">_xlfn.IFS(J648=1,"Low",J648=2,"Medium",J648=3,"High",J648=4,"Very High")</f>
        <v>Low</v>
      </c>
      <c r="AG648" t="str" cm="1">
        <f t="array" ref="AG648">_xlfn.IFS(L648=1,"Low",L648=2,"Medium",L648=3,"High",L648=4,"Very High")</f>
        <v>High</v>
      </c>
      <c r="AH648" t="str" cm="1">
        <f t="array" ref="AH648">_xlfn.IFS(M648=1,"Junior employee",M648=2,"Mid-level",M648=3,"Senior",M648=4,"Manager",M648=5,"Executive")</f>
        <v>Manager</v>
      </c>
      <c r="AI648" t="str" cm="1">
        <f t="array" ref="AI648">_xlfn.IFS(O648=1,"Low",O648=2,"Medium",O648=3,"High",O648=4,"Very High")</f>
        <v>Very High</v>
      </c>
      <c r="AJ648" t="str" cm="1">
        <f t="array" ref="AJ648">_xlfn.IFS(U648=1,"Low",U648=2,"Good",U648=3,"Excellent",U648=4,"Outstanding")</f>
        <v>Excellent</v>
      </c>
      <c r="AK648" t="str" cm="1">
        <f t="array" ref="AK648">_xlfn.IFS(V648=1,"Low",V648=2,"Medium",V648=3,"High",V648=4,"Very High")</f>
        <v>High</v>
      </c>
      <c r="AL648" t="str" cm="1">
        <f t="array" ref="AL648">_xlfn.IFS(Z648=1,"Bad",Z648=2,"Good",Z648=3,"Better",Z648=4,"Best")</f>
        <v>Better</v>
      </c>
      <c r="AM648" t="str" cm="1">
        <f t="array" ref="AM648">_xlfn.IFS(W648=0,"No_stock",W648=1,"Low",W648=2,"Medium",W648=3,"High")</f>
        <v>Low</v>
      </c>
      <c r="AN648" t="str">
        <f t="shared" si="10"/>
        <v>Medium</v>
      </c>
    </row>
    <row r="649" spans="1:40" x14ac:dyDescent="0.45">
      <c r="A649">
        <v>35</v>
      </c>
      <c r="B649" t="s">
        <v>37</v>
      </c>
      <c r="C649" t="s">
        <v>31</v>
      </c>
      <c r="D649">
        <v>672</v>
      </c>
      <c r="E649" t="s">
        <v>39</v>
      </c>
      <c r="F649">
        <v>25</v>
      </c>
      <c r="G649">
        <v>3</v>
      </c>
      <c r="H649" t="s">
        <v>54</v>
      </c>
      <c r="I649">
        <v>899</v>
      </c>
      <c r="J649">
        <v>4</v>
      </c>
      <c r="K649" t="s">
        <v>40</v>
      </c>
      <c r="L649">
        <v>2</v>
      </c>
      <c r="M649">
        <v>3</v>
      </c>
      <c r="N649" t="s">
        <v>47</v>
      </c>
      <c r="O649">
        <v>2</v>
      </c>
      <c r="P649" t="s">
        <v>42</v>
      </c>
      <c r="Q649">
        <v>10903</v>
      </c>
      <c r="R649">
        <v>3</v>
      </c>
      <c r="S649" t="s">
        <v>37</v>
      </c>
      <c r="T649">
        <v>16</v>
      </c>
      <c r="U649">
        <v>3</v>
      </c>
      <c r="V649">
        <v>1</v>
      </c>
      <c r="W649">
        <v>0</v>
      </c>
      <c r="X649">
        <v>16</v>
      </c>
      <c r="Y649">
        <v>2</v>
      </c>
      <c r="Z649">
        <v>3</v>
      </c>
      <c r="AA649">
        <v>13</v>
      </c>
      <c r="AB649">
        <v>10</v>
      </c>
      <c r="AC649">
        <v>4</v>
      </c>
      <c r="AD649">
        <v>8</v>
      </c>
      <c r="AE649" t="str" cm="1">
        <f t="array" ref="AE649">_xlfn.IFS(G649=1,"Before College",G649=2,"College",G649=3,"Bachelor",G649=4,"Master",G649=5,"Doctor")</f>
        <v>Bachelor</v>
      </c>
      <c r="AF649" t="str" cm="1">
        <f t="array" ref="AF649">_xlfn.IFS(J649=1,"Low",J649=2,"Medium",J649=3,"High",J649=4,"Very High")</f>
        <v>Very High</v>
      </c>
      <c r="AG649" t="str" cm="1">
        <f t="array" ref="AG649">_xlfn.IFS(L649=1,"Low",L649=2,"Medium",L649=3,"High",L649=4,"Very High")</f>
        <v>Medium</v>
      </c>
      <c r="AH649" t="str" cm="1">
        <f t="array" ref="AH649">_xlfn.IFS(M649=1,"Junior employee",M649=2,"Mid-level",M649=3,"Senior",M649=4,"Manager",M649=5,"Executive")</f>
        <v>Senior</v>
      </c>
      <c r="AI649" t="str" cm="1">
        <f t="array" ref="AI649">_xlfn.IFS(O649=1,"Low",O649=2,"Medium",O649=3,"High",O649=4,"Very High")</f>
        <v>Medium</v>
      </c>
      <c r="AJ649" t="str" cm="1">
        <f t="array" ref="AJ649">_xlfn.IFS(U649=1,"Low",U649=2,"Good",U649=3,"Excellent",U649=4,"Outstanding")</f>
        <v>Excellent</v>
      </c>
      <c r="AK649" t="str" cm="1">
        <f t="array" ref="AK649">_xlfn.IFS(V649=1,"Low",V649=2,"Medium",V649=3,"High",V649=4,"Very High")</f>
        <v>Low</v>
      </c>
      <c r="AL649" t="str" cm="1">
        <f t="array" ref="AL649">_xlfn.IFS(Z649=1,"Bad",Z649=2,"Good",Z649=3,"Better",Z649=4,"Best")</f>
        <v>Better</v>
      </c>
      <c r="AM649" t="str" cm="1">
        <f t="array" ref="AM649">_xlfn.IFS(W649=0,"No_stock",W649=1,"Low",W649=2,"Medium",W649=3,"High")</f>
        <v>No_stock</v>
      </c>
      <c r="AN649" t="str">
        <f t="shared" si="10"/>
        <v>Far</v>
      </c>
    </row>
    <row r="650" spans="1:40" x14ac:dyDescent="0.45">
      <c r="A650">
        <v>37</v>
      </c>
      <c r="B650" t="s">
        <v>37</v>
      </c>
      <c r="C650" t="s">
        <v>38</v>
      </c>
      <c r="D650">
        <v>1231</v>
      </c>
      <c r="E650" t="s">
        <v>32</v>
      </c>
      <c r="F650">
        <v>21</v>
      </c>
      <c r="G650">
        <v>2</v>
      </c>
      <c r="H650" t="s">
        <v>45</v>
      </c>
      <c r="I650">
        <v>900</v>
      </c>
      <c r="J650">
        <v>3</v>
      </c>
      <c r="K650" t="s">
        <v>34</v>
      </c>
      <c r="L650">
        <v>3</v>
      </c>
      <c r="M650">
        <v>1</v>
      </c>
      <c r="N650" t="s">
        <v>51</v>
      </c>
      <c r="O650">
        <v>4</v>
      </c>
      <c r="P650" t="s">
        <v>42</v>
      </c>
      <c r="Q650">
        <v>2973</v>
      </c>
      <c r="R650">
        <v>5</v>
      </c>
      <c r="S650" t="s">
        <v>37</v>
      </c>
      <c r="T650">
        <v>15</v>
      </c>
      <c r="U650">
        <v>3</v>
      </c>
      <c r="V650">
        <v>2</v>
      </c>
      <c r="W650">
        <v>1</v>
      </c>
      <c r="X650">
        <v>10</v>
      </c>
      <c r="Y650">
        <v>3</v>
      </c>
      <c r="Z650">
        <v>3</v>
      </c>
      <c r="AA650">
        <v>5</v>
      </c>
      <c r="AB650">
        <v>4</v>
      </c>
      <c r="AC650">
        <v>0</v>
      </c>
      <c r="AD650">
        <v>0</v>
      </c>
      <c r="AE650" t="str" cm="1">
        <f t="array" ref="AE650">_xlfn.IFS(G650=1,"Before College",G650=2,"College",G650=3,"Bachelor",G650=4,"Master",G650=5,"Doctor")</f>
        <v>College</v>
      </c>
      <c r="AF650" t="str" cm="1">
        <f t="array" ref="AF650">_xlfn.IFS(J650=1,"Low",J650=2,"Medium",J650=3,"High",J650=4,"Very High")</f>
        <v>High</v>
      </c>
      <c r="AG650" t="str" cm="1">
        <f t="array" ref="AG650">_xlfn.IFS(L650=1,"Low",L650=2,"Medium",L650=3,"High",L650=4,"Very High")</f>
        <v>High</v>
      </c>
      <c r="AH650" t="str" cm="1">
        <f t="array" ref="AH650">_xlfn.IFS(M650=1,"Junior employee",M650=2,"Mid-level",M650=3,"Senior",M650=4,"Manager",M650=5,"Executive")</f>
        <v>Junior employee</v>
      </c>
      <c r="AI650" t="str" cm="1">
        <f t="array" ref="AI650">_xlfn.IFS(O650=1,"Low",O650=2,"Medium",O650=3,"High",O650=4,"Very High")</f>
        <v>Very High</v>
      </c>
      <c r="AJ650" t="str" cm="1">
        <f t="array" ref="AJ650">_xlfn.IFS(U650=1,"Low",U650=2,"Good",U650=3,"Excellent",U650=4,"Outstanding")</f>
        <v>Excellent</v>
      </c>
      <c r="AK650" t="str" cm="1">
        <f t="array" ref="AK650">_xlfn.IFS(V650=1,"Low",V650=2,"Medium",V650=3,"High",V650=4,"Very High")</f>
        <v>Medium</v>
      </c>
      <c r="AL650" t="str" cm="1">
        <f t="array" ref="AL650">_xlfn.IFS(Z650=1,"Bad",Z650=2,"Good",Z650=3,"Better",Z650=4,"Best")</f>
        <v>Better</v>
      </c>
      <c r="AM650" t="str" cm="1">
        <f t="array" ref="AM650">_xlfn.IFS(W650=0,"No_stock",W650=1,"Low",W650=2,"Medium",W650=3,"High")</f>
        <v>Low</v>
      </c>
      <c r="AN650" t="str">
        <f t="shared" si="10"/>
        <v>Far</v>
      </c>
    </row>
    <row r="651" spans="1:40" x14ac:dyDescent="0.45">
      <c r="A651">
        <v>53</v>
      </c>
      <c r="B651" t="s">
        <v>37</v>
      </c>
      <c r="C651" t="s">
        <v>31</v>
      </c>
      <c r="D651">
        <v>102</v>
      </c>
      <c r="E651" t="s">
        <v>39</v>
      </c>
      <c r="F651">
        <v>23</v>
      </c>
      <c r="G651">
        <v>4</v>
      </c>
      <c r="H651" t="s">
        <v>33</v>
      </c>
      <c r="I651">
        <v>901</v>
      </c>
      <c r="J651">
        <v>4</v>
      </c>
      <c r="K651" t="s">
        <v>34</v>
      </c>
      <c r="L651">
        <v>3</v>
      </c>
      <c r="M651">
        <v>4</v>
      </c>
      <c r="N651" t="s">
        <v>52</v>
      </c>
      <c r="O651">
        <v>4</v>
      </c>
      <c r="P651" t="s">
        <v>36</v>
      </c>
      <c r="Q651">
        <v>14275</v>
      </c>
      <c r="R651">
        <v>6</v>
      </c>
      <c r="S651" t="s">
        <v>37</v>
      </c>
      <c r="T651">
        <v>18</v>
      </c>
      <c r="U651">
        <v>3</v>
      </c>
      <c r="V651">
        <v>3</v>
      </c>
      <c r="W651">
        <v>0</v>
      </c>
      <c r="X651">
        <v>33</v>
      </c>
      <c r="Y651">
        <v>0</v>
      </c>
      <c r="Z651">
        <v>3</v>
      </c>
      <c r="AA651">
        <v>12</v>
      </c>
      <c r="AB651">
        <v>9</v>
      </c>
      <c r="AC651">
        <v>3</v>
      </c>
      <c r="AD651">
        <v>8</v>
      </c>
      <c r="AE651" t="str" cm="1">
        <f t="array" ref="AE651">_xlfn.IFS(G651=1,"Before College",G651=2,"College",G651=3,"Bachelor",G651=4,"Master",G651=5,"Doctor")</f>
        <v>Master</v>
      </c>
      <c r="AF651" t="str" cm="1">
        <f t="array" ref="AF651">_xlfn.IFS(J651=1,"Low",J651=2,"Medium",J651=3,"High",J651=4,"Very High")</f>
        <v>Very High</v>
      </c>
      <c r="AG651" t="str" cm="1">
        <f t="array" ref="AG651">_xlfn.IFS(L651=1,"Low",L651=2,"Medium",L651=3,"High",L651=4,"Very High")</f>
        <v>High</v>
      </c>
      <c r="AH651" t="str" cm="1">
        <f t="array" ref="AH651">_xlfn.IFS(M651=1,"Junior employee",M651=2,"Mid-level",M651=3,"Senior",M651=4,"Manager",M651=5,"Executive")</f>
        <v>Manager</v>
      </c>
      <c r="AI651" t="str" cm="1">
        <f t="array" ref="AI651">_xlfn.IFS(O651=1,"Low",O651=2,"Medium",O651=3,"High",O651=4,"Very High")</f>
        <v>Very High</v>
      </c>
      <c r="AJ651" t="str" cm="1">
        <f t="array" ref="AJ651">_xlfn.IFS(U651=1,"Low",U651=2,"Good",U651=3,"Excellent",U651=4,"Outstanding")</f>
        <v>Excellent</v>
      </c>
      <c r="AK651" t="str" cm="1">
        <f t="array" ref="AK651">_xlfn.IFS(V651=1,"Low",V651=2,"Medium",V651=3,"High",V651=4,"Very High")</f>
        <v>High</v>
      </c>
      <c r="AL651" t="str" cm="1">
        <f t="array" ref="AL651">_xlfn.IFS(Z651=1,"Bad",Z651=2,"Good",Z651=3,"Better",Z651=4,"Best")</f>
        <v>Better</v>
      </c>
      <c r="AM651" t="str" cm="1">
        <f t="array" ref="AM651">_xlfn.IFS(W651=0,"No_stock",W651=1,"Low",W651=2,"Medium",W651=3,"High")</f>
        <v>No_stock</v>
      </c>
      <c r="AN651" t="str">
        <f t="shared" si="10"/>
        <v>Far</v>
      </c>
    </row>
    <row r="652" spans="1:40" x14ac:dyDescent="0.45">
      <c r="A652">
        <v>43</v>
      </c>
      <c r="B652" t="s">
        <v>37</v>
      </c>
      <c r="C652" t="s">
        <v>38</v>
      </c>
      <c r="D652">
        <v>422</v>
      </c>
      <c r="E652" t="s">
        <v>39</v>
      </c>
      <c r="F652">
        <v>1</v>
      </c>
      <c r="G652">
        <v>3</v>
      </c>
      <c r="H652" t="s">
        <v>33</v>
      </c>
      <c r="I652">
        <v>902</v>
      </c>
      <c r="J652">
        <v>4</v>
      </c>
      <c r="K652" t="s">
        <v>34</v>
      </c>
      <c r="L652">
        <v>3</v>
      </c>
      <c r="M652">
        <v>2</v>
      </c>
      <c r="N652" t="s">
        <v>48</v>
      </c>
      <c r="O652">
        <v>4</v>
      </c>
      <c r="P652" t="s">
        <v>42</v>
      </c>
      <c r="Q652">
        <v>5562</v>
      </c>
      <c r="R652">
        <v>4</v>
      </c>
      <c r="S652" t="s">
        <v>37</v>
      </c>
      <c r="T652">
        <v>13</v>
      </c>
      <c r="U652">
        <v>3</v>
      </c>
      <c r="V652">
        <v>2</v>
      </c>
      <c r="W652">
        <v>1</v>
      </c>
      <c r="X652">
        <v>12</v>
      </c>
      <c r="Y652">
        <v>2</v>
      </c>
      <c r="Z652">
        <v>2</v>
      </c>
      <c r="AA652">
        <v>5</v>
      </c>
      <c r="AB652">
        <v>2</v>
      </c>
      <c r="AC652">
        <v>2</v>
      </c>
      <c r="AD652">
        <v>2</v>
      </c>
      <c r="AE652" t="str" cm="1">
        <f t="array" ref="AE652">_xlfn.IFS(G652=1,"Before College",G652=2,"College",G652=3,"Bachelor",G652=4,"Master",G652=5,"Doctor")</f>
        <v>Bachelor</v>
      </c>
      <c r="AF652" t="str" cm="1">
        <f t="array" ref="AF652">_xlfn.IFS(J652=1,"Low",J652=2,"Medium",J652=3,"High",J652=4,"Very High")</f>
        <v>Very High</v>
      </c>
      <c r="AG652" t="str" cm="1">
        <f t="array" ref="AG652">_xlfn.IFS(L652=1,"Low",L652=2,"Medium",L652=3,"High",L652=4,"Very High")</f>
        <v>High</v>
      </c>
      <c r="AH652" t="str" cm="1">
        <f t="array" ref="AH652">_xlfn.IFS(M652=1,"Junior employee",M652=2,"Mid-level",M652=3,"Senior",M652=4,"Manager",M652=5,"Executive")</f>
        <v>Mid-level</v>
      </c>
      <c r="AI652" t="str" cm="1">
        <f t="array" ref="AI652">_xlfn.IFS(O652=1,"Low",O652=2,"Medium",O652=3,"High",O652=4,"Very High")</f>
        <v>Very High</v>
      </c>
      <c r="AJ652" t="str" cm="1">
        <f t="array" ref="AJ652">_xlfn.IFS(U652=1,"Low",U652=2,"Good",U652=3,"Excellent",U652=4,"Outstanding")</f>
        <v>Excellent</v>
      </c>
      <c r="AK652" t="str" cm="1">
        <f t="array" ref="AK652">_xlfn.IFS(V652=1,"Low",V652=2,"Medium",V652=3,"High",V652=4,"Very High")</f>
        <v>Medium</v>
      </c>
      <c r="AL652" t="str" cm="1">
        <f t="array" ref="AL652">_xlfn.IFS(Z652=1,"Bad",Z652=2,"Good",Z652=3,"Better",Z652=4,"Best")</f>
        <v>Good</v>
      </c>
      <c r="AM652" t="str" cm="1">
        <f t="array" ref="AM652">_xlfn.IFS(W652=0,"No_stock",W652=1,"Low",W652=2,"Medium",W652=3,"High")</f>
        <v>Low</v>
      </c>
      <c r="AN652" t="str">
        <f t="shared" si="10"/>
        <v>Near</v>
      </c>
    </row>
    <row r="653" spans="1:40" x14ac:dyDescent="0.45">
      <c r="A653">
        <v>47</v>
      </c>
      <c r="B653" t="s">
        <v>37</v>
      </c>
      <c r="C653" t="s">
        <v>31</v>
      </c>
      <c r="D653">
        <v>249</v>
      </c>
      <c r="E653" t="s">
        <v>32</v>
      </c>
      <c r="F653">
        <v>2</v>
      </c>
      <c r="G653">
        <v>2</v>
      </c>
      <c r="H653" t="s">
        <v>53</v>
      </c>
      <c r="I653">
        <v>903</v>
      </c>
      <c r="J653">
        <v>3</v>
      </c>
      <c r="K653" t="s">
        <v>34</v>
      </c>
      <c r="L653">
        <v>3</v>
      </c>
      <c r="M653">
        <v>2</v>
      </c>
      <c r="N653" t="s">
        <v>35</v>
      </c>
      <c r="O653">
        <v>4</v>
      </c>
      <c r="P653" t="s">
        <v>42</v>
      </c>
      <c r="Q653">
        <v>4537</v>
      </c>
      <c r="R653">
        <v>0</v>
      </c>
      <c r="S653" t="s">
        <v>30</v>
      </c>
      <c r="T653">
        <v>22</v>
      </c>
      <c r="U653">
        <v>4</v>
      </c>
      <c r="V653">
        <v>1</v>
      </c>
      <c r="W653">
        <v>1</v>
      </c>
      <c r="X653">
        <v>8</v>
      </c>
      <c r="Y653">
        <v>2</v>
      </c>
      <c r="Z653">
        <v>3</v>
      </c>
      <c r="AA653">
        <v>7</v>
      </c>
      <c r="AB653">
        <v>6</v>
      </c>
      <c r="AC653">
        <v>7</v>
      </c>
      <c r="AD653">
        <v>7</v>
      </c>
      <c r="AE653" t="str" cm="1">
        <f t="array" ref="AE653">_xlfn.IFS(G653=1,"Before College",G653=2,"College",G653=3,"Bachelor",G653=4,"Master",G653=5,"Doctor")</f>
        <v>College</v>
      </c>
      <c r="AF653" t="str" cm="1">
        <f t="array" ref="AF653">_xlfn.IFS(J653=1,"Low",J653=2,"Medium",J653=3,"High",J653=4,"Very High")</f>
        <v>High</v>
      </c>
      <c r="AG653" t="str" cm="1">
        <f t="array" ref="AG653">_xlfn.IFS(L653=1,"Low",L653=2,"Medium",L653=3,"High",L653=4,"Very High")</f>
        <v>High</v>
      </c>
      <c r="AH653" t="str" cm="1">
        <f t="array" ref="AH653">_xlfn.IFS(M653=1,"Junior employee",M653=2,"Mid-level",M653=3,"Senior",M653=4,"Manager",M653=5,"Executive")</f>
        <v>Mid-level</v>
      </c>
      <c r="AI653" t="str" cm="1">
        <f t="array" ref="AI653">_xlfn.IFS(O653=1,"Low",O653=2,"Medium",O653=3,"High",O653=4,"Very High")</f>
        <v>Very High</v>
      </c>
      <c r="AJ653" t="str" cm="1">
        <f t="array" ref="AJ653">_xlfn.IFS(U653=1,"Low",U653=2,"Good",U653=3,"Excellent",U653=4,"Outstanding")</f>
        <v>Outstanding</v>
      </c>
      <c r="AK653" t="str" cm="1">
        <f t="array" ref="AK653">_xlfn.IFS(V653=1,"Low",V653=2,"Medium",V653=3,"High",V653=4,"Very High")</f>
        <v>Low</v>
      </c>
      <c r="AL653" t="str" cm="1">
        <f t="array" ref="AL653">_xlfn.IFS(Z653=1,"Bad",Z653=2,"Good",Z653=3,"Better",Z653=4,"Best")</f>
        <v>Better</v>
      </c>
      <c r="AM653" t="str" cm="1">
        <f t="array" ref="AM653">_xlfn.IFS(W653=0,"No_stock",W653=1,"Low",W653=2,"Medium",W653=3,"High")</f>
        <v>Low</v>
      </c>
      <c r="AN653" t="str">
        <f t="shared" si="10"/>
        <v>Near</v>
      </c>
    </row>
    <row r="654" spans="1:40" x14ac:dyDescent="0.45">
      <c r="A654">
        <v>37</v>
      </c>
      <c r="B654" t="s">
        <v>37</v>
      </c>
      <c r="C654" t="s">
        <v>49</v>
      </c>
      <c r="D654">
        <v>1252</v>
      </c>
      <c r="E654" t="s">
        <v>32</v>
      </c>
      <c r="F654">
        <v>19</v>
      </c>
      <c r="G654">
        <v>2</v>
      </c>
      <c r="H654" t="s">
        <v>45</v>
      </c>
      <c r="I654">
        <v>904</v>
      </c>
      <c r="J654">
        <v>1</v>
      </c>
      <c r="K654" t="s">
        <v>40</v>
      </c>
      <c r="L654">
        <v>3</v>
      </c>
      <c r="M654">
        <v>3</v>
      </c>
      <c r="N654" t="s">
        <v>35</v>
      </c>
      <c r="O654">
        <v>2</v>
      </c>
      <c r="P654" t="s">
        <v>36</v>
      </c>
      <c r="Q654">
        <v>7642</v>
      </c>
      <c r="R654">
        <v>1</v>
      </c>
      <c r="S654" t="s">
        <v>30</v>
      </c>
      <c r="T654">
        <v>13</v>
      </c>
      <c r="U654">
        <v>3</v>
      </c>
      <c r="V654">
        <v>4</v>
      </c>
      <c r="W654">
        <v>0</v>
      </c>
      <c r="X654">
        <v>10</v>
      </c>
      <c r="Y654">
        <v>2</v>
      </c>
      <c r="Z654">
        <v>3</v>
      </c>
      <c r="AA654">
        <v>10</v>
      </c>
      <c r="AB654">
        <v>0</v>
      </c>
      <c r="AC654">
        <v>0</v>
      </c>
      <c r="AD654">
        <v>9</v>
      </c>
      <c r="AE654" t="str" cm="1">
        <f t="array" ref="AE654">_xlfn.IFS(G654=1,"Before College",G654=2,"College",G654=3,"Bachelor",G654=4,"Master",G654=5,"Doctor")</f>
        <v>College</v>
      </c>
      <c r="AF654" t="str" cm="1">
        <f t="array" ref="AF654">_xlfn.IFS(J654=1,"Low",J654=2,"Medium",J654=3,"High",J654=4,"Very High")</f>
        <v>Low</v>
      </c>
      <c r="AG654" t="str" cm="1">
        <f t="array" ref="AG654">_xlfn.IFS(L654=1,"Low",L654=2,"Medium",L654=3,"High",L654=4,"Very High")</f>
        <v>High</v>
      </c>
      <c r="AH654" t="str" cm="1">
        <f t="array" ref="AH654">_xlfn.IFS(M654=1,"Junior employee",M654=2,"Mid-level",M654=3,"Senior",M654=4,"Manager",M654=5,"Executive")</f>
        <v>Senior</v>
      </c>
      <c r="AI654" t="str" cm="1">
        <f t="array" ref="AI654">_xlfn.IFS(O654=1,"Low",O654=2,"Medium",O654=3,"High",O654=4,"Very High")</f>
        <v>Medium</v>
      </c>
      <c r="AJ654" t="str" cm="1">
        <f t="array" ref="AJ654">_xlfn.IFS(U654=1,"Low",U654=2,"Good",U654=3,"Excellent",U654=4,"Outstanding")</f>
        <v>Excellent</v>
      </c>
      <c r="AK654" t="str" cm="1">
        <f t="array" ref="AK654">_xlfn.IFS(V654=1,"Low",V654=2,"Medium",V654=3,"High",V654=4,"Very High")</f>
        <v>Very High</v>
      </c>
      <c r="AL654" t="str" cm="1">
        <f t="array" ref="AL654">_xlfn.IFS(Z654=1,"Bad",Z654=2,"Good",Z654=3,"Better",Z654=4,"Best")</f>
        <v>Better</v>
      </c>
      <c r="AM654" t="str" cm="1">
        <f t="array" ref="AM654">_xlfn.IFS(W654=0,"No_stock",W654=1,"Low",W654=2,"Medium",W654=3,"High")</f>
        <v>No_stock</v>
      </c>
      <c r="AN654" t="str">
        <f t="shared" si="10"/>
        <v>Far</v>
      </c>
    </row>
    <row r="655" spans="1:40" x14ac:dyDescent="0.45">
      <c r="A655">
        <v>50</v>
      </c>
      <c r="B655" t="s">
        <v>37</v>
      </c>
      <c r="C655" t="s">
        <v>49</v>
      </c>
      <c r="D655">
        <v>881</v>
      </c>
      <c r="E655" t="s">
        <v>39</v>
      </c>
      <c r="F655">
        <v>2</v>
      </c>
      <c r="G655">
        <v>4</v>
      </c>
      <c r="H655" t="s">
        <v>33</v>
      </c>
      <c r="I655">
        <v>905</v>
      </c>
      <c r="J655">
        <v>1</v>
      </c>
      <c r="K655" t="s">
        <v>40</v>
      </c>
      <c r="L655">
        <v>3</v>
      </c>
      <c r="M655">
        <v>4</v>
      </c>
      <c r="N655" t="s">
        <v>50</v>
      </c>
      <c r="O655">
        <v>1</v>
      </c>
      <c r="P655" t="s">
        <v>46</v>
      </c>
      <c r="Q655">
        <v>17924</v>
      </c>
      <c r="R655">
        <v>1</v>
      </c>
      <c r="S655" t="s">
        <v>37</v>
      </c>
      <c r="T655">
        <v>11</v>
      </c>
      <c r="U655">
        <v>3</v>
      </c>
      <c r="V655">
        <v>4</v>
      </c>
      <c r="W655">
        <v>1</v>
      </c>
      <c r="X655">
        <v>31</v>
      </c>
      <c r="Y655">
        <v>3</v>
      </c>
      <c r="Z655">
        <v>3</v>
      </c>
      <c r="AA655">
        <v>31</v>
      </c>
      <c r="AB655">
        <v>6</v>
      </c>
      <c r="AC655">
        <v>14</v>
      </c>
      <c r="AD655">
        <v>7</v>
      </c>
      <c r="AE655" t="str" cm="1">
        <f t="array" ref="AE655">_xlfn.IFS(G655=1,"Before College",G655=2,"College",G655=3,"Bachelor",G655=4,"Master",G655=5,"Doctor")</f>
        <v>Master</v>
      </c>
      <c r="AF655" t="str" cm="1">
        <f t="array" ref="AF655">_xlfn.IFS(J655=1,"Low",J655=2,"Medium",J655=3,"High",J655=4,"Very High")</f>
        <v>Low</v>
      </c>
      <c r="AG655" t="str" cm="1">
        <f t="array" ref="AG655">_xlfn.IFS(L655=1,"Low",L655=2,"Medium",L655=3,"High",L655=4,"Very High")</f>
        <v>High</v>
      </c>
      <c r="AH655" t="str" cm="1">
        <f t="array" ref="AH655">_xlfn.IFS(M655=1,"Junior employee",M655=2,"Mid-level",M655=3,"Senior",M655=4,"Manager",M655=5,"Executive")</f>
        <v>Manager</v>
      </c>
      <c r="AI655" t="str" cm="1">
        <f t="array" ref="AI655">_xlfn.IFS(O655=1,"Low",O655=2,"Medium",O655=3,"High",O655=4,"Very High")</f>
        <v>Low</v>
      </c>
      <c r="AJ655" t="str" cm="1">
        <f t="array" ref="AJ655">_xlfn.IFS(U655=1,"Low",U655=2,"Good",U655=3,"Excellent",U655=4,"Outstanding")</f>
        <v>Excellent</v>
      </c>
      <c r="AK655" t="str" cm="1">
        <f t="array" ref="AK655">_xlfn.IFS(V655=1,"Low",V655=2,"Medium",V655=3,"High",V655=4,"Very High")</f>
        <v>Very High</v>
      </c>
      <c r="AL655" t="str" cm="1">
        <f t="array" ref="AL655">_xlfn.IFS(Z655=1,"Bad",Z655=2,"Good",Z655=3,"Better",Z655=4,"Best")</f>
        <v>Better</v>
      </c>
      <c r="AM655" t="str" cm="1">
        <f t="array" ref="AM655">_xlfn.IFS(W655=0,"No_stock",W655=1,"Low",W655=2,"Medium",W655=3,"High")</f>
        <v>Low</v>
      </c>
      <c r="AN655" t="str">
        <f t="shared" si="10"/>
        <v>Near</v>
      </c>
    </row>
    <row r="656" spans="1:40" x14ac:dyDescent="0.45">
      <c r="A656">
        <v>39</v>
      </c>
      <c r="B656" t="s">
        <v>37</v>
      </c>
      <c r="C656" t="s">
        <v>31</v>
      </c>
      <c r="D656">
        <v>1383</v>
      </c>
      <c r="E656" t="s">
        <v>55</v>
      </c>
      <c r="F656">
        <v>2</v>
      </c>
      <c r="G656">
        <v>3</v>
      </c>
      <c r="H656" t="s">
        <v>33</v>
      </c>
      <c r="I656">
        <v>909</v>
      </c>
      <c r="J656">
        <v>4</v>
      </c>
      <c r="K656" t="s">
        <v>34</v>
      </c>
      <c r="L656">
        <v>2</v>
      </c>
      <c r="M656">
        <v>2</v>
      </c>
      <c r="N656" t="s">
        <v>55</v>
      </c>
      <c r="O656">
        <v>4</v>
      </c>
      <c r="P656" t="s">
        <v>42</v>
      </c>
      <c r="Q656">
        <v>5204</v>
      </c>
      <c r="R656">
        <v>8</v>
      </c>
      <c r="S656" t="s">
        <v>37</v>
      </c>
      <c r="T656">
        <v>11</v>
      </c>
      <c r="U656">
        <v>3</v>
      </c>
      <c r="V656">
        <v>3</v>
      </c>
      <c r="W656">
        <v>2</v>
      </c>
      <c r="X656">
        <v>13</v>
      </c>
      <c r="Y656">
        <v>2</v>
      </c>
      <c r="Z656">
        <v>3</v>
      </c>
      <c r="AA656">
        <v>5</v>
      </c>
      <c r="AB656">
        <v>4</v>
      </c>
      <c r="AC656">
        <v>0</v>
      </c>
      <c r="AD656">
        <v>4</v>
      </c>
      <c r="AE656" t="str" cm="1">
        <f t="array" ref="AE656">_xlfn.IFS(G656=1,"Before College",G656=2,"College",G656=3,"Bachelor",G656=4,"Master",G656=5,"Doctor")</f>
        <v>Bachelor</v>
      </c>
      <c r="AF656" t="str" cm="1">
        <f t="array" ref="AF656">_xlfn.IFS(J656=1,"Low",J656=2,"Medium",J656=3,"High",J656=4,"Very High")</f>
        <v>Very High</v>
      </c>
      <c r="AG656" t="str" cm="1">
        <f t="array" ref="AG656">_xlfn.IFS(L656=1,"Low",L656=2,"Medium",L656=3,"High",L656=4,"Very High")</f>
        <v>Medium</v>
      </c>
      <c r="AH656" t="str" cm="1">
        <f t="array" ref="AH656">_xlfn.IFS(M656=1,"Junior employee",M656=2,"Mid-level",M656=3,"Senior",M656=4,"Manager",M656=5,"Executive")</f>
        <v>Mid-level</v>
      </c>
      <c r="AI656" t="str" cm="1">
        <f t="array" ref="AI656">_xlfn.IFS(O656=1,"Low",O656=2,"Medium",O656=3,"High",O656=4,"Very High")</f>
        <v>Very High</v>
      </c>
      <c r="AJ656" t="str" cm="1">
        <f t="array" ref="AJ656">_xlfn.IFS(U656=1,"Low",U656=2,"Good",U656=3,"Excellent",U656=4,"Outstanding")</f>
        <v>Excellent</v>
      </c>
      <c r="AK656" t="str" cm="1">
        <f t="array" ref="AK656">_xlfn.IFS(V656=1,"Low",V656=2,"Medium",V656=3,"High",V656=4,"Very High")</f>
        <v>High</v>
      </c>
      <c r="AL656" t="str" cm="1">
        <f t="array" ref="AL656">_xlfn.IFS(Z656=1,"Bad",Z656=2,"Good",Z656=3,"Better",Z656=4,"Best")</f>
        <v>Better</v>
      </c>
      <c r="AM656" t="str" cm="1">
        <f t="array" ref="AM656">_xlfn.IFS(W656=0,"No_stock",W656=1,"Low",W656=2,"Medium",W656=3,"High")</f>
        <v>Medium</v>
      </c>
      <c r="AN656" t="str">
        <f t="shared" si="10"/>
        <v>Near</v>
      </c>
    </row>
    <row r="657" spans="1:40" x14ac:dyDescent="0.45">
      <c r="A657">
        <v>33</v>
      </c>
      <c r="B657" t="s">
        <v>37</v>
      </c>
      <c r="C657" t="s">
        <v>31</v>
      </c>
      <c r="D657">
        <v>1075</v>
      </c>
      <c r="E657" t="s">
        <v>55</v>
      </c>
      <c r="F657">
        <v>3</v>
      </c>
      <c r="G657">
        <v>2</v>
      </c>
      <c r="H657" t="s">
        <v>55</v>
      </c>
      <c r="I657">
        <v>910</v>
      </c>
      <c r="J657">
        <v>4</v>
      </c>
      <c r="K657" t="s">
        <v>40</v>
      </c>
      <c r="L657">
        <v>3</v>
      </c>
      <c r="M657">
        <v>1</v>
      </c>
      <c r="N657" t="s">
        <v>55</v>
      </c>
      <c r="O657">
        <v>2</v>
      </c>
      <c r="P657" t="s">
        <v>46</v>
      </c>
      <c r="Q657">
        <v>2277</v>
      </c>
      <c r="R657">
        <v>3</v>
      </c>
      <c r="S657" t="s">
        <v>30</v>
      </c>
      <c r="T657">
        <v>11</v>
      </c>
      <c r="U657">
        <v>3</v>
      </c>
      <c r="V657">
        <v>3</v>
      </c>
      <c r="W657">
        <v>1</v>
      </c>
      <c r="X657">
        <v>7</v>
      </c>
      <c r="Y657">
        <v>4</v>
      </c>
      <c r="Z657">
        <v>4</v>
      </c>
      <c r="AA657">
        <v>4</v>
      </c>
      <c r="AB657">
        <v>3</v>
      </c>
      <c r="AC657">
        <v>0</v>
      </c>
      <c r="AD657">
        <v>3</v>
      </c>
      <c r="AE657" t="str" cm="1">
        <f t="array" ref="AE657">_xlfn.IFS(G657=1,"Before College",G657=2,"College",G657=3,"Bachelor",G657=4,"Master",G657=5,"Doctor")</f>
        <v>College</v>
      </c>
      <c r="AF657" t="str" cm="1">
        <f t="array" ref="AF657">_xlfn.IFS(J657=1,"Low",J657=2,"Medium",J657=3,"High",J657=4,"Very High")</f>
        <v>Very High</v>
      </c>
      <c r="AG657" t="str" cm="1">
        <f t="array" ref="AG657">_xlfn.IFS(L657=1,"Low",L657=2,"Medium",L657=3,"High",L657=4,"Very High")</f>
        <v>High</v>
      </c>
      <c r="AH657" t="str" cm="1">
        <f t="array" ref="AH657">_xlfn.IFS(M657=1,"Junior employee",M657=2,"Mid-level",M657=3,"Senior",M657=4,"Manager",M657=5,"Executive")</f>
        <v>Junior employee</v>
      </c>
      <c r="AI657" t="str" cm="1">
        <f t="array" ref="AI657">_xlfn.IFS(O657=1,"Low",O657=2,"Medium",O657=3,"High",O657=4,"Very High")</f>
        <v>Medium</v>
      </c>
      <c r="AJ657" t="str" cm="1">
        <f t="array" ref="AJ657">_xlfn.IFS(U657=1,"Low",U657=2,"Good",U657=3,"Excellent",U657=4,"Outstanding")</f>
        <v>Excellent</v>
      </c>
      <c r="AK657" t="str" cm="1">
        <f t="array" ref="AK657">_xlfn.IFS(V657=1,"Low",V657=2,"Medium",V657=3,"High",V657=4,"Very High")</f>
        <v>High</v>
      </c>
      <c r="AL657" t="str" cm="1">
        <f t="array" ref="AL657">_xlfn.IFS(Z657=1,"Bad",Z657=2,"Good",Z657=3,"Better",Z657=4,"Best")</f>
        <v>Best</v>
      </c>
      <c r="AM657" t="str" cm="1">
        <f t="array" ref="AM657">_xlfn.IFS(W657=0,"No_stock",W657=1,"Low",W657=2,"Medium",W657=3,"High")</f>
        <v>Low</v>
      </c>
      <c r="AN657" t="str">
        <f t="shared" si="10"/>
        <v>Near</v>
      </c>
    </row>
    <row r="658" spans="1:40" x14ac:dyDescent="0.45">
      <c r="A658">
        <v>32</v>
      </c>
      <c r="B658" t="s">
        <v>30</v>
      </c>
      <c r="C658" t="s">
        <v>31</v>
      </c>
      <c r="D658">
        <v>374</v>
      </c>
      <c r="E658" t="s">
        <v>39</v>
      </c>
      <c r="F658">
        <v>25</v>
      </c>
      <c r="G658">
        <v>4</v>
      </c>
      <c r="H658" t="s">
        <v>33</v>
      </c>
      <c r="I658">
        <v>911</v>
      </c>
      <c r="J658">
        <v>1</v>
      </c>
      <c r="K658" t="s">
        <v>40</v>
      </c>
      <c r="L658">
        <v>3</v>
      </c>
      <c r="M658">
        <v>1</v>
      </c>
      <c r="N658" t="s">
        <v>44</v>
      </c>
      <c r="O658">
        <v>4</v>
      </c>
      <c r="P658" t="s">
        <v>36</v>
      </c>
      <c r="Q658">
        <v>2795</v>
      </c>
      <c r="R658">
        <v>1</v>
      </c>
      <c r="S658" t="s">
        <v>30</v>
      </c>
      <c r="T658">
        <v>24</v>
      </c>
      <c r="U658">
        <v>4</v>
      </c>
      <c r="V658">
        <v>3</v>
      </c>
      <c r="W658">
        <v>0</v>
      </c>
      <c r="X658">
        <v>1</v>
      </c>
      <c r="Y658">
        <v>2</v>
      </c>
      <c r="Z658">
        <v>1</v>
      </c>
      <c r="AA658">
        <v>1</v>
      </c>
      <c r="AB658">
        <v>0</v>
      </c>
      <c r="AC658">
        <v>0</v>
      </c>
      <c r="AD658">
        <v>1</v>
      </c>
      <c r="AE658" t="str" cm="1">
        <f t="array" ref="AE658">_xlfn.IFS(G658=1,"Before College",G658=2,"College",G658=3,"Bachelor",G658=4,"Master",G658=5,"Doctor")</f>
        <v>Master</v>
      </c>
      <c r="AF658" t="str" cm="1">
        <f t="array" ref="AF658">_xlfn.IFS(J658=1,"Low",J658=2,"Medium",J658=3,"High",J658=4,"Very High")</f>
        <v>Low</v>
      </c>
      <c r="AG658" t="str" cm="1">
        <f t="array" ref="AG658">_xlfn.IFS(L658=1,"Low",L658=2,"Medium",L658=3,"High",L658=4,"Very High")</f>
        <v>High</v>
      </c>
      <c r="AH658" t="str" cm="1">
        <f t="array" ref="AH658">_xlfn.IFS(M658=1,"Junior employee",M658=2,"Mid-level",M658=3,"Senior",M658=4,"Manager",M658=5,"Executive")</f>
        <v>Junior employee</v>
      </c>
      <c r="AI658" t="str" cm="1">
        <f t="array" ref="AI658">_xlfn.IFS(O658=1,"Low",O658=2,"Medium",O658=3,"High",O658=4,"Very High")</f>
        <v>Very High</v>
      </c>
      <c r="AJ658" t="str" cm="1">
        <f t="array" ref="AJ658">_xlfn.IFS(U658=1,"Low",U658=2,"Good",U658=3,"Excellent",U658=4,"Outstanding")</f>
        <v>Outstanding</v>
      </c>
      <c r="AK658" t="str" cm="1">
        <f t="array" ref="AK658">_xlfn.IFS(V658=1,"Low",V658=2,"Medium",V658=3,"High",V658=4,"Very High")</f>
        <v>High</v>
      </c>
      <c r="AL658" t="str" cm="1">
        <f t="array" ref="AL658">_xlfn.IFS(Z658=1,"Bad",Z658=2,"Good",Z658=3,"Better",Z658=4,"Best")</f>
        <v>Bad</v>
      </c>
      <c r="AM658" t="str" cm="1">
        <f t="array" ref="AM658">_xlfn.IFS(W658=0,"No_stock",W658=1,"Low",W658=2,"Medium",W658=3,"High")</f>
        <v>No_stock</v>
      </c>
      <c r="AN658" t="str">
        <f t="shared" si="10"/>
        <v>Far</v>
      </c>
    </row>
    <row r="659" spans="1:40" x14ac:dyDescent="0.45">
      <c r="A659">
        <v>29</v>
      </c>
      <c r="B659" t="s">
        <v>37</v>
      </c>
      <c r="C659" t="s">
        <v>31</v>
      </c>
      <c r="D659">
        <v>1086</v>
      </c>
      <c r="E659" t="s">
        <v>39</v>
      </c>
      <c r="F659">
        <v>7</v>
      </c>
      <c r="G659">
        <v>1</v>
      </c>
      <c r="H659" t="s">
        <v>45</v>
      </c>
      <c r="I659">
        <v>912</v>
      </c>
      <c r="J659">
        <v>1</v>
      </c>
      <c r="K659" t="s">
        <v>34</v>
      </c>
      <c r="L659">
        <v>2</v>
      </c>
      <c r="M659">
        <v>1</v>
      </c>
      <c r="N659" t="s">
        <v>44</v>
      </c>
      <c r="O659">
        <v>4</v>
      </c>
      <c r="P659" t="s">
        <v>46</v>
      </c>
      <c r="Q659">
        <v>2532</v>
      </c>
      <c r="R659">
        <v>6</v>
      </c>
      <c r="S659" t="s">
        <v>37</v>
      </c>
      <c r="T659">
        <v>14</v>
      </c>
      <c r="U659">
        <v>3</v>
      </c>
      <c r="V659">
        <v>3</v>
      </c>
      <c r="W659">
        <v>3</v>
      </c>
      <c r="X659">
        <v>8</v>
      </c>
      <c r="Y659">
        <v>5</v>
      </c>
      <c r="Z659">
        <v>3</v>
      </c>
      <c r="AA659">
        <v>4</v>
      </c>
      <c r="AB659">
        <v>3</v>
      </c>
      <c r="AC659">
        <v>0</v>
      </c>
      <c r="AD659">
        <v>3</v>
      </c>
      <c r="AE659" t="str" cm="1">
        <f t="array" ref="AE659">_xlfn.IFS(G659=1,"Before College",G659=2,"College",G659=3,"Bachelor",G659=4,"Master",G659=5,"Doctor")</f>
        <v>Before College</v>
      </c>
      <c r="AF659" t="str" cm="1">
        <f t="array" ref="AF659">_xlfn.IFS(J659=1,"Low",J659=2,"Medium",J659=3,"High",J659=4,"Very High")</f>
        <v>Low</v>
      </c>
      <c r="AG659" t="str" cm="1">
        <f t="array" ref="AG659">_xlfn.IFS(L659=1,"Low",L659=2,"Medium",L659=3,"High",L659=4,"Very High")</f>
        <v>Medium</v>
      </c>
      <c r="AH659" t="str" cm="1">
        <f t="array" ref="AH659">_xlfn.IFS(M659=1,"Junior employee",M659=2,"Mid-level",M659=3,"Senior",M659=4,"Manager",M659=5,"Executive")</f>
        <v>Junior employee</v>
      </c>
      <c r="AI659" t="str" cm="1">
        <f t="array" ref="AI659">_xlfn.IFS(O659=1,"Low",O659=2,"Medium",O659=3,"High",O659=4,"Very High")</f>
        <v>Very High</v>
      </c>
      <c r="AJ659" t="str" cm="1">
        <f t="array" ref="AJ659">_xlfn.IFS(U659=1,"Low",U659=2,"Good",U659=3,"Excellent",U659=4,"Outstanding")</f>
        <v>Excellent</v>
      </c>
      <c r="AK659" t="str" cm="1">
        <f t="array" ref="AK659">_xlfn.IFS(V659=1,"Low",V659=2,"Medium",V659=3,"High",V659=4,"Very High")</f>
        <v>High</v>
      </c>
      <c r="AL659" t="str" cm="1">
        <f t="array" ref="AL659">_xlfn.IFS(Z659=1,"Bad",Z659=2,"Good",Z659=3,"Better",Z659=4,"Best")</f>
        <v>Better</v>
      </c>
      <c r="AM659" t="str" cm="1">
        <f t="array" ref="AM659">_xlfn.IFS(W659=0,"No_stock",W659=1,"Low",W659=2,"Medium",W659=3,"High")</f>
        <v>High</v>
      </c>
      <c r="AN659" t="str">
        <f t="shared" si="10"/>
        <v>Medium</v>
      </c>
    </row>
    <row r="660" spans="1:40" x14ac:dyDescent="0.45">
      <c r="A660">
        <v>44</v>
      </c>
      <c r="B660" t="s">
        <v>37</v>
      </c>
      <c r="C660" t="s">
        <v>31</v>
      </c>
      <c r="D660">
        <v>661</v>
      </c>
      <c r="E660" t="s">
        <v>39</v>
      </c>
      <c r="F660">
        <v>9</v>
      </c>
      <c r="G660">
        <v>2</v>
      </c>
      <c r="H660" t="s">
        <v>33</v>
      </c>
      <c r="I660">
        <v>913</v>
      </c>
      <c r="J660">
        <v>2</v>
      </c>
      <c r="K660" t="s">
        <v>40</v>
      </c>
      <c r="L660">
        <v>3</v>
      </c>
      <c r="M660">
        <v>1</v>
      </c>
      <c r="N660" t="s">
        <v>41</v>
      </c>
      <c r="O660">
        <v>1</v>
      </c>
      <c r="P660" t="s">
        <v>42</v>
      </c>
      <c r="Q660">
        <v>2559</v>
      </c>
      <c r="R660">
        <v>1</v>
      </c>
      <c r="S660" t="s">
        <v>30</v>
      </c>
      <c r="T660">
        <v>13</v>
      </c>
      <c r="U660">
        <v>3</v>
      </c>
      <c r="V660">
        <v>4</v>
      </c>
      <c r="W660">
        <v>0</v>
      </c>
      <c r="X660">
        <v>8</v>
      </c>
      <c r="Y660">
        <v>0</v>
      </c>
      <c r="Z660">
        <v>3</v>
      </c>
      <c r="AA660">
        <v>8</v>
      </c>
      <c r="AB660">
        <v>7</v>
      </c>
      <c r="AC660">
        <v>7</v>
      </c>
      <c r="AD660">
        <v>1</v>
      </c>
      <c r="AE660" t="str" cm="1">
        <f t="array" ref="AE660">_xlfn.IFS(G660=1,"Before College",G660=2,"College",G660=3,"Bachelor",G660=4,"Master",G660=5,"Doctor")</f>
        <v>College</v>
      </c>
      <c r="AF660" t="str" cm="1">
        <f t="array" ref="AF660">_xlfn.IFS(J660=1,"Low",J660=2,"Medium",J660=3,"High",J660=4,"Very High")</f>
        <v>Medium</v>
      </c>
      <c r="AG660" t="str" cm="1">
        <f t="array" ref="AG660">_xlfn.IFS(L660=1,"Low",L660=2,"Medium",L660=3,"High",L660=4,"Very High")</f>
        <v>High</v>
      </c>
      <c r="AH660" t="str" cm="1">
        <f t="array" ref="AH660">_xlfn.IFS(M660=1,"Junior employee",M660=2,"Mid-level",M660=3,"Senior",M660=4,"Manager",M660=5,"Executive")</f>
        <v>Junior employee</v>
      </c>
      <c r="AI660" t="str" cm="1">
        <f t="array" ref="AI660">_xlfn.IFS(O660=1,"Low",O660=2,"Medium",O660=3,"High",O660=4,"Very High")</f>
        <v>Low</v>
      </c>
      <c r="AJ660" t="str" cm="1">
        <f t="array" ref="AJ660">_xlfn.IFS(U660=1,"Low",U660=2,"Good",U660=3,"Excellent",U660=4,"Outstanding")</f>
        <v>Excellent</v>
      </c>
      <c r="AK660" t="str" cm="1">
        <f t="array" ref="AK660">_xlfn.IFS(V660=1,"Low",V660=2,"Medium",V660=3,"High",V660=4,"Very High")</f>
        <v>Very High</v>
      </c>
      <c r="AL660" t="str" cm="1">
        <f t="array" ref="AL660">_xlfn.IFS(Z660=1,"Bad",Z660=2,"Good",Z660=3,"Better",Z660=4,"Best")</f>
        <v>Better</v>
      </c>
      <c r="AM660" t="str" cm="1">
        <f t="array" ref="AM660">_xlfn.IFS(W660=0,"No_stock",W660=1,"Low",W660=2,"Medium",W660=3,"High")</f>
        <v>No_stock</v>
      </c>
      <c r="AN660" t="str">
        <f t="shared" si="10"/>
        <v>Medium</v>
      </c>
    </row>
    <row r="661" spans="1:40" x14ac:dyDescent="0.45">
      <c r="A661">
        <v>28</v>
      </c>
      <c r="B661" t="s">
        <v>37</v>
      </c>
      <c r="C661" t="s">
        <v>31</v>
      </c>
      <c r="D661">
        <v>821</v>
      </c>
      <c r="E661" t="s">
        <v>32</v>
      </c>
      <c r="F661">
        <v>5</v>
      </c>
      <c r="G661">
        <v>4</v>
      </c>
      <c r="H661" t="s">
        <v>45</v>
      </c>
      <c r="I661">
        <v>916</v>
      </c>
      <c r="J661">
        <v>1</v>
      </c>
      <c r="K661" t="s">
        <v>40</v>
      </c>
      <c r="L661">
        <v>3</v>
      </c>
      <c r="M661">
        <v>2</v>
      </c>
      <c r="N661" t="s">
        <v>35</v>
      </c>
      <c r="O661">
        <v>4</v>
      </c>
      <c r="P661" t="s">
        <v>36</v>
      </c>
      <c r="Q661">
        <v>4908</v>
      </c>
      <c r="R661">
        <v>1</v>
      </c>
      <c r="S661" t="s">
        <v>37</v>
      </c>
      <c r="T661">
        <v>14</v>
      </c>
      <c r="U661">
        <v>3</v>
      </c>
      <c r="V661">
        <v>2</v>
      </c>
      <c r="W661">
        <v>0</v>
      </c>
      <c r="X661">
        <v>4</v>
      </c>
      <c r="Y661">
        <v>3</v>
      </c>
      <c r="Z661">
        <v>3</v>
      </c>
      <c r="AA661">
        <v>4</v>
      </c>
      <c r="AB661">
        <v>2</v>
      </c>
      <c r="AC661">
        <v>0</v>
      </c>
      <c r="AD661">
        <v>2</v>
      </c>
      <c r="AE661" t="str" cm="1">
        <f t="array" ref="AE661">_xlfn.IFS(G661=1,"Before College",G661=2,"College",G661=3,"Bachelor",G661=4,"Master",G661=5,"Doctor")</f>
        <v>Master</v>
      </c>
      <c r="AF661" t="str" cm="1">
        <f t="array" ref="AF661">_xlfn.IFS(J661=1,"Low",J661=2,"Medium",J661=3,"High",J661=4,"Very High")</f>
        <v>Low</v>
      </c>
      <c r="AG661" t="str" cm="1">
        <f t="array" ref="AG661">_xlfn.IFS(L661=1,"Low",L661=2,"Medium",L661=3,"High",L661=4,"Very High")</f>
        <v>High</v>
      </c>
      <c r="AH661" t="str" cm="1">
        <f t="array" ref="AH661">_xlfn.IFS(M661=1,"Junior employee",M661=2,"Mid-level",M661=3,"Senior",M661=4,"Manager",M661=5,"Executive")</f>
        <v>Mid-level</v>
      </c>
      <c r="AI661" t="str" cm="1">
        <f t="array" ref="AI661">_xlfn.IFS(O661=1,"Low",O661=2,"Medium",O661=3,"High",O661=4,"Very High")</f>
        <v>Very High</v>
      </c>
      <c r="AJ661" t="str" cm="1">
        <f t="array" ref="AJ661">_xlfn.IFS(U661=1,"Low",U661=2,"Good",U661=3,"Excellent",U661=4,"Outstanding")</f>
        <v>Excellent</v>
      </c>
      <c r="AK661" t="str" cm="1">
        <f t="array" ref="AK661">_xlfn.IFS(V661=1,"Low",V661=2,"Medium",V661=3,"High",V661=4,"Very High")</f>
        <v>Medium</v>
      </c>
      <c r="AL661" t="str" cm="1">
        <f t="array" ref="AL661">_xlfn.IFS(Z661=1,"Bad",Z661=2,"Good",Z661=3,"Better",Z661=4,"Best")</f>
        <v>Better</v>
      </c>
      <c r="AM661" t="str" cm="1">
        <f t="array" ref="AM661">_xlfn.IFS(W661=0,"No_stock",W661=1,"Low",W661=2,"Medium",W661=3,"High")</f>
        <v>No_stock</v>
      </c>
      <c r="AN661" t="str">
        <f t="shared" si="10"/>
        <v>Near</v>
      </c>
    </row>
    <row r="662" spans="1:40" x14ac:dyDescent="0.45">
      <c r="A662">
        <v>58</v>
      </c>
      <c r="B662" t="s">
        <v>30</v>
      </c>
      <c r="C662" t="s">
        <v>38</v>
      </c>
      <c r="D662">
        <v>781</v>
      </c>
      <c r="E662" t="s">
        <v>39</v>
      </c>
      <c r="F662">
        <v>2</v>
      </c>
      <c r="G662">
        <v>1</v>
      </c>
      <c r="H662" t="s">
        <v>33</v>
      </c>
      <c r="I662">
        <v>918</v>
      </c>
      <c r="J662">
        <v>4</v>
      </c>
      <c r="K662" t="s">
        <v>40</v>
      </c>
      <c r="L662">
        <v>2</v>
      </c>
      <c r="M662">
        <v>1</v>
      </c>
      <c r="N662" t="s">
        <v>44</v>
      </c>
      <c r="O662">
        <v>4</v>
      </c>
      <c r="P662" t="s">
        <v>46</v>
      </c>
      <c r="Q662">
        <v>2380</v>
      </c>
      <c r="R662">
        <v>9</v>
      </c>
      <c r="S662" t="s">
        <v>30</v>
      </c>
      <c r="T662">
        <v>14</v>
      </c>
      <c r="U662">
        <v>3</v>
      </c>
      <c r="V662">
        <v>4</v>
      </c>
      <c r="W662">
        <v>1</v>
      </c>
      <c r="X662">
        <v>3</v>
      </c>
      <c r="Y662">
        <v>3</v>
      </c>
      <c r="Z662">
        <v>2</v>
      </c>
      <c r="AA662">
        <v>1</v>
      </c>
      <c r="AB662">
        <v>0</v>
      </c>
      <c r="AC662">
        <v>0</v>
      </c>
      <c r="AD662">
        <v>0</v>
      </c>
      <c r="AE662" t="str" cm="1">
        <f t="array" ref="AE662">_xlfn.IFS(G662=1,"Before College",G662=2,"College",G662=3,"Bachelor",G662=4,"Master",G662=5,"Doctor")</f>
        <v>Before College</v>
      </c>
      <c r="AF662" t="str" cm="1">
        <f t="array" ref="AF662">_xlfn.IFS(J662=1,"Low",J662=2,"Medium",J662=3,"High",J662=4,"Very High")</f>
        <v>Very High</v>
      </c>
      <c r="AG662" t="str" cm="1">
        <f t="array" ref="AG662">_xlfn.IFS(L662=1,"Low",L662=2,"Medium",L662=3,"High",L662=4,"Very High")</f>
        <v>Medium</v>
      </c>
      <c r="AH662" t="str" cm="1">
        <f t="array" ref="AH662">_xlfn.IFS(M662=1,"Junior employee",M662=2,"Mid-level",M662=3,"Senior",M662=4,"Manager",M662=5,"Executive")</f>
        <v>Junior employee</v>
      </c>
      <c r="AI662" t="str" cm="1">
        <f t="array" ref="AI662">_xlfn.IFS(O662=1,"Low",O662=2,"Medium",O662=3,"High",O662=4,"Very High")</f>
        <v>Very High</v>
      </c>
      <c r="AJ662" t="str" cm="1">
        <f t="array" ref="AJ662">_xlfn.IFS(U662=1,"Low",U662=2,"Good",U662=3,"Excellent",U662=4,"Outstanding")</f>
        <v>Excellent</v>
      </c>
      <c r="AK662" t="str" cm="1">
        <f t="array" ref="AK662">_xlfn.IFS(V662=1,"Low",V662=2,"Medium",V662=3,"High",V662=4,"Very High")</f>
        <v>Very High</v>
      </c>
      <c r="AL662" t="str" cm="1">
        <f t="array" ref="AL662">_xlfn.IFS(Z662=1,"Bad",Z662=2,"Good",Z662=3,"Better",Z662=4,"Best")</f>
        <v>Good</v>
      </c>
      <c r="AM662" t="str" cm="1">
        <f t="array" ref="AM662">_xlfn.IFS(W662=0,"No_stock",W662=1,"Low",W662=2,"Medium",W662=3,"High")</f>
        <v>Low</v>
      </c>
      <c r="AN662" t="str">
        <f t="shared" si="10"/>
        <v>Near</v>
      </c>
    </row>
    <row r="663" spans="1:40" x14ac:dyDescent="0.45">
      <c r="A663">
        <v>43</v>
      </c>
      <c r="B663" t="s">
        <v>37</v>
      </c>
      <c r="C663" t="s">
        <v>31</v>
      </c>
      <c r="D663">
        <v>177</v>
      </c>
      <c r="E663" t="s">
        <v>39</v>
      </c>
      <c r="F663">
        <v>8</v>
      </c>
      <c r="G663">
        <v>3</v>
      </c>
      <c r="H663" t="s">
        <v>33</v>
      </c>
      <c r="I663">
        <v>920</v>
      </c>
      <c r="J663">
        <v>1</v>
      </c>
      <c r="K663" t="s">
        <v>34</v>
      </c>
      <c r="L663">
        <v>3</v>
      </c>
      <c r="M663">
        <v>2</v>
      </c>
      <c r="N663" t="s">
        <v>47</v>
      </c>
      <c r="O663">
        <v>2</v>
      </c>
      <c r="P663" t="s">
        <v>46</v>
      </c>
      <c r="Q663">
        <v>4765</v>
      </c>
      <c r="R663">
        <v>4</v>
      </c>
      <c r="S663" t="s">
        <v>37</v>
      </c>
      <c r="T663">
        <v>21</v>
      </c>
      <c r="U663">
        <v>4</v>
      </c>
      <c r="V663">
        <v>3</v>
      </c>
      <c r="W663">
        <v>1</v>
      </c>
      <c r="X663">
        <v>4</v>
      </c>
      <c r="Y663">
        <v>2</v>
      </c>
      <c r="Z663">
        <v>4</v>
      </c>
      <c r="AA663">
        <v>1</v>
      </c>
      <c r="AB663">
        <v>0</v>
      </c>
      <c r="AC663">
        <v>0</v>
      </c>
      <c r="AD663">
        <v>0</v>
      </c>
      <c r="AE663" t="str" cm="1">
        <f t="array" ref="AE663">_xlfn.IFS(G663=1,"Before College",G663=2,"College",G663=3,"Bachelor",G663=4,"Master",G663=5,"Doctor")</f>
        <v>Bachelor</v>
      </c>
      <c r="AF663" t="str" cm="1">
        <f t="array" ref="AF663">_xlfn.IFS(J663=1,"Low",J663=2,"Medium",J663=3,"High",J663=4,"Very High")</f>
        <v>Low</v>
      </c>
      <c r="AG663" t="str" cm="1">
        <f t="array" ref="AG663">_xlfn.IFS(L663=1,"Low",L663=2,"Medium",L663=3,"High",L663=4,"Very High")</f>
        <v>High</v>
      </c>
      <c r="AH663" t="str" cm="1">
        <f t="array" ref="AH663">_xlfn.IFS(M663=1,"Junior employee",M663=2,"Mid-level",M663=3,"Senior",M663=4,"Manager",M663=5,"Executive")</f>
        <v>Mid-level</v>
      </c>
      <c r="AI663" t="str" cm="1">
        <f t="array" ref="AI663">_xlfn.IFS(O663=1,"Low",O663=2,"Medium",O663=3,"High",O663=4,"Very High")</f>
        <v>Medium</v>
      </c>
      <c r="AJ663" t="str" cm="1">
        <f t="array" ref="AJ663">_xlfn.IFS(U663=1,"Low",U663=2,"Good",U663=3,"Excellent",U663=4,"Outstanding")</f>
        <v>Outstanding</v>
      </c>
      <c r="AK663" t="str" cm="1">
        <f t="array" ref="AK663">_xlfn.IFS(V663=1,"Low",V663=2,"Medium",V663=3,"High",V663=4,"Very High")</f>
        <v>High</v>
      </c>
      <c r="AL663" t="str" cm="1">
        <f t="array" ref="AL663">_xlfn.IFS(Z663=1,"Bad",Z663=2,"Good",Z663=3,"Better",Z663=4,"Best")</f>
        <v>Best</v>
      </c>
      <c r="AM663" t="str" cm="1">
        <f t="array" ref="AM663">_xlfn.IFS(W663=0,"No_stock",W663=1,"Low",W663=2,"Medium",W663=3,"High")</f>
        <v>Low</v>
      </c>
      <c r="AN663" t="str">
        <f t="shared" si="10"/>
        <v>Medium</v>
      </c>
    </row>
    <row r="664" spans="1:40" x14ac:dyDescent="0.45">
      <c r="A664">
        <v>20</v>
      </c>
      <c r="B664" t="s">
        <v>30</v>
      </c>
      <c r="C664" t="s">
        <v>31</v>
      </c>
      <c r="D664">
        <v>500</v>
      </c>
      <c r="E664" t="s">
        <v>32</v>
      </c>
      <c r="F664">
        <v>2</v>
      </c>
      <c r="G664">
        <v>3</v>
      </c>
      <c r="H664" t="s">
        <v>45</v>
      </c>
      <c r="I664">
        <v>922</v>
      </c>
      <c r="J664">
        <v>3</v>
      </c>
      <c r="K664" t="s">
        <v>34</v>
      </c>
      <c r="L664">
        <v>2</v>
      </c>
      <c r="M664">
        <v>1</v>
      </c>
      <c r="N664" t="s">
        <v>51</v>
      </c>
      <c r="O664">
        <v>3</v>
      </c>
      <c r="P664" t="s">
        <v>36</v>
      </c>
      <c r="Q664">
        <v>2044</v>
      </c>
      <c r="R664">
        <v>1</v>
      </c>
      <c r="S664" t="s">
        <v>37</v>
      </c>
      <c r="T664">
        <v>13</v>
      </c>
      <c r="U664">
        <v>3</v>
      </c>
      <c r="V664">
        <v>4</v>
      </c>
      <c r="W664">
        <v>0</v>
      </c>
      <c r="X664">
        <v>2</v>
      </c>
      <c r="Y664">
        <v>3</v>
      </c>
      <c r="Z664">
        <v>2</v>
      </c>
      <c r="AA664">
        <v>2</v>
      </c>
      <c r="AB664">
        <v>2</v>
      </c>
      <c r="AC664">
        <v>0</v>
      </c>
      <c r="AD664">
        <v>2</v>
      </c>
      <c r="AE664" t="str" cm="1">
        <f t="array" ref="AE664">_xlfn.IFS(G664=1,"Before College",G664=2,"College",G664=3,"Bachelor",G664=4,"Master",G664=5,"Doctor")</f>
        <v>Bachelor</v>
      </c>
      <c r="AF664" t="str" cm="1">
        <f t="array" ref="AF664">_xlfn.IFS(J664=1,"Low",J664=2,"Medium",J664=3,"High",J664=4,"Very High")</f>
        <v>High</v>
      </c>
      <c r="AG664" t="str" cm="1">
        <f t="array" ref="AG664">_xlfn.IFS(L664=1,"Low",L664=2,"Medium",L664=3,"High",L664=4,"Very High")</f>
        <v>Medium</v>
      </c>
      <c r="AH664" t="str" cm="1">
        <f t="array" ref="AH664">_xlfn.IFS(M664=1,"Junior employee",M664=2,"Mid-level",M664=3,"Senior",M664=4,"Manager",M664=5,"Executive")</f>
        <v>Junior employee</v>
      </c>
      <c r="AI664" t="str" cm="1">
        <f t="array" ref="AI664">_xlfn.IFS(O664=1,"Low",O664=2,"Medium",O664=3,"High",O664=4,"Very High")</f>
        <v>High</v>
      </c>
      <c r="AJ664" t="str" cm="1">
        <f t="array" ref="AJ664">_xlfn.IFS(U664=1,"Low",U664=2,"Good",U664=3,"Excellent",U664=4,"Outstanding")</f>
        <v>Excellent</v>
      </c>
      <c r="AK664" t="str" cm="1">
        <f t="array" ref="AK664">_xlfn.IFS(V664=1,"Low",V664=2,"Medium",V664=3,"High",V664=4,"Very High")</f>
        <v>Very High</v>
      </c>
      <c r="AL664" t="str" cm="1">
        <f t="array" ref="AL664">_xlfn.IFS(Z664=1,"Bad",Z664=2,"Good",Z664=3,"Better",Z664=4,"Best")</f>
        <v>Good</v>
      </c>
      <c r="AM664" t="str" cm="1">
        <f t="array" ref="AM664">_xlfn.IFS(W664=0,"No_stock",W664=1,"Low",W664=2,"Medium",W664=3,"High")</f>
        <v>No_stock</v>
      </c>
      <c r="AN664" t="str">
        <f t="shared" si="10"/>
        <v>Near</v>
      </c>
    </row>
    <row r="665" spans="1:40" x14ac:dyDescent="0.45">
      <c r="A665">
        <v>21</v>
      </c>
      <c r="B665" t="s">
        <v>30</v>
      </c>
      <c r="C665" t="s">
        <v>31</v>
      </c>
      <c r="D665">
        <v>1427</v>
      </c>
      <c r="E665" t="s">
        <v>39</v>
      </c>
      <c r="F665">
        <v>18</v>
      </c>
      <c r="G665">
        <v>1</v>
      </c>
      <c r="H665" t="s">
        <v>43</v>
      </c>
      <c r="I665">
        <v>923</v>
      </c>
      <c r="J665">
        <v>4</v>
      </c>
      <c r="K665" t="s">
        <v>34</v>
      </c>
      <c r="L665">
        <v>3</v>
      </c>
      <c r="M665">
        <v>1</v>
      </c>
      <c r="N665" t="s">
        <v>41</v>
      </c>
      <c r="O665">
        <v>4</v>
      </c>
      <c r="P665" t="s">
        <v>36</v>
      </c>
      <c r="Q665">
        <v>2693</v>
      </c>
      <c r="R665">
        <v>1</v>
      </c>
      <c r="S665" t="s">
        <v>37</v>
      </c>
      <c r="T665">
        <v>19</v>
      </c>
      <c r="U665">
        <v>3</v>
      </c>
      <c r="V665">
        <v>1</v>
      </c>
      <c r="W665">
        <v>0</v>
      </c>
      <c r="X665">
        <v>1</v>
      </c>
      <c r="Y665">
        <v>3</v>
      </c>
      <c r="Z665">
        <v>2</v>
      </c>
      <c r="AA665">
        <v>1</v>
      </c>
      <c r="AB665">
        <v>0</v>
      </c>
      <c r="AC665">
        <v>0</v>
      </c>
      <c r="AD665">
        <v>0</v>
      </c>
      <c r="AE665" t="str" cm="1">
        <f t="array" ref="AE665">_xlfn.IFS(G665=1,"Before College",G665=2,"College",G665=3,"Bachelor",G665=4,"Master",G665=5,"Doctor")</f>
        <v>Before College</v>
      </c>
      <c r="AF665" t="str" cm="1">
        <f t="array" ref="AF665">_xlfn.IFS(J665=1,"Low",J665=2,"Medium",J665=3,"High",J665=4,"Very High")</f>
        <v>Very High</v>
      </c>
      <c r="AG665" t="str" cm="1">
        <f t="array" ref="AG665">_xlfn.IFS(L665=1,"Low",L665=2,"Medium",L665=3,"High",L665=4,"Very High")</f>
        <v>High</v>
      </c>
      <c r="AH665" t="str" cm="1">
        <f t="array" ref="AH665">_xlfn.IFS(M665=1,"Junior employee",M665=2,"Mid-level",M665=3,"Senior",M665=4,"Manager",M665=5,"Executive")</f>
        <v>Junior employee</v>
      </c>
      <c r="AI665" t="str" cm="1">
        <f t="array" ref="AI665">_xlfn.IFS(O665=1,"Low",O665=2,"Medium",O665=3,"High",O665=4,"Very High")</f>
        <v>Very High</v>
      </c>
      <c r="AJ665" t="str" cm="1">
        <f t="array" ref="AJ665">_xlfn.IFS(U665=1,"Low",U665=2,"Good",U665=3,"Excellent",U665=4,"Outstanding")</f>
        <v>Excellent</v>
      </c>
      <c r="AK665" t="str" cm="1">
        <f t="array" ref="AK665">_xlfn.IFS(V665=1,"Low",V665=2,"Medium",V665=3,"High",V665=4,"Very High")</f>
        <v>Low</v>
      </c>
      <c r="AL665" t="str" cm="1">
        <f t="array" ref="AL665">_xlfn.IFS(Z665=1,"Bad",Z665=2,"Good",Z665=3,"Better",Z665=4,"Best")</f>
        <v>Good</v>
      </c>
      <c r="AM665" t="str" cm="1">
        <f t="array" ref="AM665">_xlfn.IFS(W665=0,"No_stock",W665=1,"Low",W665=2,"Medium",W665=3,"High")</f>
        <v>No_stock</v>
      </c>
      <c r="AN665" t="str">
        <f t="shared" si="10"/>
        <v>Far</v>
      </c>
    </row>
    <row r="666" spans="1:40" x14ac:dyDescent="0.45">
      <c r="A666">
        <v>36</v>
      </c>
      <c r="B666" t="s">
        <v>37</v>
      </c>
      <c r="C666" t="s">
        <v>31</v>
      </c>
      <c r="D666">
        <v>1425</v>
      </c>
      <c r="E666" t="s">
        <v>39</v>
      </c>
      <c r="F666">
        <v>14</v>
      </c>
      <c r="G666">
        <v>1</v>
      </c>
      <c r="H666" t="s">
        <v>33</v>
      </c>
      <c r="I666">
        <v>924</v>
      </c>
      <c r="J666">
        <v>3</v>
      </c>
      <c r="K666" t="s">
        <v>40</v>
      </c>
      <c r="L666">
        <v>3</v>
      </c>
      <c r="M666">
        <v>2</v>
      </c>
      <c r="N666" t="s">
        <v>48</v>
      </c>
      <c r="O666">
        <v>4</v>
      </c>
      <c r="P666" t="s">
        <v>42</v>
      </c>
      <c r="Q666">
        <v>6586</v>
      </c>
      <c r="R666">
        <v>0</v>
      </c>
      <c r="S666" t="s">
        <v>30</v>
      </c>
      <c r="T666">
        <v>17</v>
      </c>
      <c r="U666">
        <v>3</v>
      </c>
      <c r="V666">
        <v>1</v>
      </c>
      <c r="W666">
        <v>1</v>
      </c>
      <c r="X666">
        <v>17</v>
      </c>
      <c r="Y666">
        <v>2</v>
      </c>
      <c r="Z666">
        <v>2</v>
      </c>
      <c r="AA666">
        <v>16</v>
      </c>
      <c r="AB666">
        <v>8</v>
      </c>
      <c r="AC666">
        <v>4</v>
      </c>
      <c r="AD666">
        <v>11</v>
      </c>
      <c r="AE666" t="str" cm="1">
        <f t="array" ref="AE666">_xlfn.IFS(G666=1,"Before College",G666=2,"College",G666=3,"Bachelor",G666=4,"Master",G666=5,"Doctor")</f>
        <v>Before College</v>
      </c>
      <c r="AF666" t="str" cm="1">
        <f t="array" ref="AF666">_xlfn.IFS(J666=1,"Low",J666=2,"Medium",J666=3,"High",J666=4,"Very High")</f>
        <v>High</v>
      </c>
      <c r="AG666" t="str" cm="1">
        <f t="array" ref="AG666">_xlfn.IFS(L666=1,"Low",L666=2,"Medium",L666=3,"High",L666=4,"Very High")</f>
        <v>High</v>
      </c>
      <c r="AH666" t="str" cm="1">
        <f t="array" ref="AH666">_xlfn.IFS(M666=1,"Junior employee",M666=2,"Mid-level",M666=3,"Senior",M666=4,"Manager",M666=5,"Executive")</f>
        <v>Mid-level</v>
      </c>
      <c r="AI666" t="str" cm="1">
        <f t="array" ref="AI666">_xlfn.IFS(O666=1,"Low",O666=2,"Medium",O666=3,"High",O666=4,"Very High")</f>
        <v>Very High</v>
      </c>
      <c r="AJ666" t="str" cm="1">
        <f t="array" ref="AJ666">_xlfn.IFS(U666=1,"Low",U666=2,"Good",U666=3,"Excellent",U666=4,"Outstanding")</f>
        <v>Excellent</v>
      </c>
      <c r="AK666" t="str" cm="1">
        <f t="array" ref="AK666">_xlfn.IFS(V666=1,"Low",V666=2,"Medium",V666=3,"High",V666=4,"Very High")</f>
        <v>Low</v>
      </c>
      <c r="AL666" t="str" cm="1">
        <f t="array" ref="AL666">_xlfn.IFS(Z666=1,"Bad",Z666=2,"Good",Z666=3,"Better",Z666=4,"Best")</f>
        <v>Good</v>
      </c>
      <c r="AM666" t="str" cm="1">
        <f t="array" ref="AM666">_xlfn.IFS(W666=0,"No_stock",W666=1,"Low",W666=2,"Medium",W666=3,"High")</f>
        <v>Low</v>
      </c>
      <c r="AN666" t="str">
        <f t="shared" si="10"/>
        <v>Medium</v>
      </c>
    </row>
    <row r="667" spans="1:40" x14ac:dyDescent="0.45">
      <c r="A667">
        <v>47</v>
      </c>
      <c r="B667" t="s">
        <v>37</v>
      </c>
      <c r="C667" t="s">
        <v>31</v>
      </c>
      <c r="D667">
        <v>1454</v>
      </c>
      <c r="E667" t="s">
        <v>32</v>
      </c>
      <c r="F667">
        <v>2</v>
      </c>
      <c r="G667">
        <v>4</v>
      </c>
      <c r="H667" t="s">
        <v>33</v>
      </c>
      <c r="I667">
        <v>925</v>
      </c>
      <c r="J667">
        <v>4</v>
      </c>
      <c r="K667" t="s">
        <v>34</v>
      </c>
      <c r="L667">
        <v>2</v>
      </c>
      <c r="M667">
        <v>1</v>
      </c>
      <c r="N667" t="s">
        <v>51</v>
      </c>
      <c r="O667">
        <v>4</v>
      </c>
      <c r="P667" t="s">
        <v>36</v>
      </c>
      <c r="Q667">
        <v>3294</v>
      </c>
      <c r="R667">
        <v>1</v>
      </c>
      <c r="S667" t="s">
        <v>30</v>
      </c>
      <c r="T667">
        <v>18</v>
      </c>
      <c r="U667">
        <v>3</v>
      </c>
      <c r="V667">
        <v>1</v>
      </c>
      <c r="W667">
        <v>0</v>
      </c>
      <c r="X667">
        <v>3</v>
      </c>
      <c r="Y667">
        <v>3</v>
      </c>
      <c r="Z667">
        <v>2</v>
      </c>
      <c r="AA667">
        <v>3</v>
      </c>
      <c r="AB667">
        <v>2</v>
      </c>
      <c r="AC667">
        <v>1</v>
      </c>
      <c r="AD667">
        <v>2</v>
      </c>
      <c r="AE667" t="str" cm="1">
        <f t="array" ref="AE667">_xlfn.IFS(G667=1,"Before College",G667=2,"College",G667=3,"Bachelor",G667=4,"Master",G667=5,"Doctor")</f>
        <v>Master</v>
      </c>
      <c r="AF667" t="str" cm="1">
        <f t="array" ref="AF667">_xlfn.IFS(J667=1,"Low",J667=2,"Medium",J667=3,"High",J667=4,"Very High")</f>
        <v>Very High</v>
      </c>
      <c r="AG667" t="str" cm="1">
        <f t="array" ref="AG667">_xlfn.IFS(L667=1,"Low",L667=2,"Medium",L667=3,"High",L667=4,"Very High")</f>
        <v>Medium</v>
      </c>
      <c r="AH667" t="str" cm="1">
        <f t="array" ref="AH667">_xlfn.IFS(M667=1,"Junior employee",M667=2,"Mid-level",M667=3,"Senior",M667=4,"Manager",M667=5,"Executive")</f>
        <v>Junior employee</v>
      </c>
      <c r="AI667" t="str" cm="1">
        <f t="array" ref="AI667">_xlfn.IFS(O667=1,"Low",O667=2,"Medium",O667=3,"High",O667=4,"Very High")</f>
        <v>Very High</v>
      </c>
      <c r="AJ667" t="str" cm="1">
        <f t="array" ref="AJ667">_xlfn.IFS(U667=1,"Low",U667=2,"Good",U667=3,"Excellent",U667=4,"Outstanding")</f>
        <v>Excellent</v>
      </c>
      <c r="AK667" t="str" cm="1">
        <f t="array" ref="AK667">_xlfn.IFS(V667=1,"Low",V667=2,"Medium",V667=3,"High",V667=4,"Very High")</f>
        <v>Low</v>
      </c>
      <c r="AL667" t="str" cm="1">
        <f t="array" ref="AL667">_xlfn.IFS(Z667=1,"Bad",Z667=2,"Good",Z667=3,"Better",Z667=4,"Best")</f>
        <v>Good</v>
      </c>
      <c r="AM667" t="str" cm="1">
        <f t="array" ref="AM667">_xlfn.IFS(W667=0,"No_stock",W667=1,"Low",W667=2,"Medium",W667=3,"High")</f>
        <v>No_stock</v>
      </c>
      <c r="AN667" t="str">
        <f t="shared" si="10"/>
        <v>Near</v>
      </c>
    </row>
    <row r="668" spans="1:40" x14ac:dyDescent="0.45">
      <c r="A668">
        <v>22</v>
      </c>
      <c r="B668" t="s">
        <v>30</v>
      </c>
      <c r="C668" t="s">
        <v>31</v>
      </c>
      <c r="D668">
        <v>617</v>
      </c>
      <c r="E668" t="s">
        <v>39</v>
      </c>
      <c r="F668">
        <v>3</v>
      </c>
      <c r="G668">
        <v>1</v>
      </c>
      <c r="H668" t="s">
        <v>33</v>
      </c>
      <c r="I668">
        <v>926</v>
      </c>
      <c r="J668">
        <v>2</v>
      </c>
      <c r="K668" t="s">
        <v>34</v>
      </c>
      <c r="L668">
        <v>3</v>
      </c>
      <c r="M668">
        <v>2</v>
      </c>
      <c r="N668" t="s">
        <v>47</v>
      </c>
      <c r="O668">
        <v>3</v>
      </c>
      <c r="P668" t="s">
        <v>42</v>
      </c>
      <c r="Q668">
        <v>4171</v>
      </c>
      <c r="R668">
        <v>0</v>
      </c>
      <c r="S668" t="s">
        <v>30</v>
      </c>
      <c r="T668">
        <v>19</v>
      </c>
      <c r="U668">
        <v>3</v>
      </c>
      <c r="V668">
        <v>1</v>
      </c>
      <c r="W668">
        <v>1</v>
      </c>
      <c r="X668">
        <v>4</v>
      </c>
      <c r="Y668">
        <v>3</v>
      </c>
      <c r="Z668">
        <v>4</v>
      </c>
      <c r="AA668">
        <v>3</v>
      </c>
      <c r="AB668">
        <v>2</v>
      </c>
      <c r="AC668">
        <v>0</v>
      </c>
      <c r="AD668">
        <v>2</v>
      </c>
      <c r="AE668" t="str" cm="1">
        <f t="array" ref="AE668">_xlfn.IFS(G668=1,"Before College",G668=2,"College",G668=3,"Bachelor",G668=4,"Master",G668=5,"Doctor")</f>
        <v>Before College</v>
      </c>
      <c r="AF668" t="str" cm="1">
        <f t="array" ref="AF668">_xlfn.IFS(J668=1,"Low",J668=2,"Medium",J668=3,"High",J668=4,"Very High")</f>
        <v>Medium</v>
      </c>
      <c r="AG668" t="str" cm="1">
        <f t="array" ref="AG668">_xlfn.IFS(L668=1,"Low",L668=2,"Medium",L668=3,"High",L668=4,"Very High")</f>
        <v>High</v>
      </c>
      <c r="AH668" t="str" cm="1">
        <f t="array" ref="AH668">_xlfn.IFS(M668=1,"Junior employee",M668=2,"Mid-level",M668=3,"Senior",M668=4,"Manager",M668=5,"Executive")</f>
        <v>Mid-level</v>
      </c>
      <c r="AI668" t="str" cm="1">
        <f t="array" ref="AI668">_xlfn.IFS(O668=1,"Low",O668=2,"Medium",O668=3,"High",O668=4,"Very High")</f>
        <v>High</v>
      </c>
      <c r="AJ668" t="str" cm="1">
        <f t="array" ref="AJ668">_xlfn.IFS(U668=1,"Low",U668=2,"Good",U668=3,"Excellent",U668=4,"Outstanding")</f>
        <v>Excellent</v>
      </c>
      <c r="AK668" t="str" cm="1">
        <f t="array" ref="AK668">_xlfn.IFS(V668=1,"Low",V668=2,"Medium",V668=3,"High",V668=4,"Very High")</f>
        <v>Low</v>
      </c>
      <c r="AL668" t="str" cm="1">
        <f t="array" ref="AL668">_xlfn.IFS(Z668=1,"Bad",Z668=2,"Good",Z668=3,"Better",Z668=4,"Best")</f>
        <v>Best</v>
      </c>
      <c r="AM668" t="str" cm="1">
        <f t="array" ref="AM668">_xlfn.IFS(W668=0,"No_stock",W668=1,"Low",W668=2,"Medium",W668=3,"High")</f>
        <v>Low</v>
      </c>
      <c r="AN668" t="str">
        <f t="shared" si="10"/>
        <v>Near</v>
      </c>
    </row>
    <row r="669" spans="1:40" x14ac:dyDescent="0.45">
      <c r="A669">
        <v>41</v>
      </c>
      <c r="B669" t="s">
        <v>30</v>
      </c>
      <c r="C669" t="s">
        <v>31</v>
      </c>
      <c r="D669">
        <v>1085</v>
      </c>
      <c r="E669" t="s">
        <v>39</v>
      </c>
      <c r="F669">
        <v>2</v>
      </c>
      <c r="G669">
        <v>4</v>
      </c>
      <c r="H669" t="s">
        <v>33</v>
      </c>
      <c r="I669">
        <v>927</v>
      </c>
      <c r="J669">
        <v>2</v>
      </c>
      <c r="K669" t="s">
        <v>34</v>
      </c>
      <c r="L669">
        <v>1</v>
      </c>
      <c r="M669">
        <v>1</v>
      </c>
      <c r="N669" t="s">
        <v>44</v>
      </c>
      <c r="O669">
        <v>4</v>
      </c>
      <c r="P669" t="s">
        <v>46</v>
      </c>
      <c r="Q669">
        <v>2778</v>
      </c>
      <c r="R669">
        <v>4</v>
      </c>
      <c r="S669" t="s">
        <v>30</v>
      </c>
      <c r="T669">
        <v>13</v>
      </c>
      <c r="U669">
        <v>3</v>
      </c>
      <c r="V669">
        <v>3</v>
      </c>
      <c r="W669">
        <v>1</v>
      </c>
      <c r="X669">
        <v>10</v>
      </c>
      <c r="Y669">
        <v>1</v>
      </c>
      <c r="Z669">
        <v>2</v>
      </c>
      <c r="AA669">
        <v>7</v>
      </c>
      <c r="AB669">
        <v>7</v>
      </c>
      <c r="AC669">
        <v>1</v>
      </c>
      <c r="AD669">
        <v>0</v>
      </c>
      <c r="AE669" t="str" cm="1">
        <f t="array" ref="AE669">_xlfn.IFS(G669=1,"Before College",G669=2,"College",G669=3,"Bachelor",G669=4,"Master",G669=5,"Doctor")</f>
        <v>Master</v>
      </c>
      <c r="AF669" t="str" cm="1">
        <f t="array" ref="AF669">_xlfn.IFS(J669=1,"Low",J669=2,"Medium",J669=3,"High",J669=4,"Very High")</f>
        <v>Medium</v>
      </c>
      <c r="AG669" t="str" cm="1">
        <f t="array" ref="AG669">_xlfn.IFS(L669=1,"Low",L669=2,"Medium",L669=3,"High",L669=4,"Very High")</f>
        <v>Low</v>
      </c>
      <c r="AH669" t="str" cm="1">
        <f t="array" ref="AH669">_xlfn.IFS(M669=1,"Junior employee",M669=2,"Mid-level",M669=3,"Senior",M669=4,"Manager",M669=5,"Executive")</f>
        <v>Junior employee</v>
      </c>
      <c r="AI669" t="str" cm="1">
        <f t="array" ref="AI669">_xlfn.IFS(O669=1,"Low",O669=2,"Medium",O669=3,"High",O669=4,"Very High")</f>
        <v>Very High</v>
      </c>
      <c r="AJ669" t="str" cm="1">
        <f t="array" ref="AJ669">_xlfn.IFS(U669=1,"Low",U669=2,"Good",U669=3,"Excellent",U669=4,"Outstanding")</f>
        <v>Excellent</v>
      </c>
      <c r="AK669" t="str" cm="1">
        <f t="array" ref="AK669">_xlfn.IFS(V669=1,"Low",V669=2,"Medium",V669=3,"High",V669=4,"Very High")</f>
        <v>High</v>
      </c>
      <c r="AL669" t="str" cm="1">
        <f t="array" ref="AL669">_xlfn.IFS(Z669=1,"Bad",Z669=2,"Good",Z669=3,"Better",Z669=4,"Best")</f>
        <v>Good</v>
      </c>
      <c r="AM669" t="str" cm="1">
        <f t="array" ref="AM669">_xlfn.IFS(W669=0,"No_stock",W669=1,"Low",W669=2,"Medium",W669=3,"High")</f>
        <v>Low</v>
      </c>
      <c r="AN669" t="str">
        <f t="shared" si="10"/>
        <v>Near</v>
      </c>
    </row>
    <row r="670" spans="1:40" x14ac:dyDescent="0.45">
      <c r="A670">
        <v>28</v>
      </c>
      <c r="B670" t="s">
        <v>37</v>
      </c>
      <c r="C670" t="s">
        <v>31</v>
      </c>
      <c r="D670">
        <v>995</v>
      </c>
      <c r="E670" t="s">
        <v>39</v>
      </c>
      <c r="F670">
        <v>9</v>
      </c>
      <c r="G670">
        <v>3</v>
      </c>
      <c r="H670" t="s">
        <v>45</v>
      </c>
      <c r="I670">
        <v>930</v>
      </c>
      <c r="J670">
        <v>3</v>
      </c>
      <c r="K670" t="s">
        <v>34</v>
      </c>
      <c r="L670">
        <v>3</v>
      </c>
      <c r="M670">
        <v>1</v>
      </c>
      <c r="N670" t="s">
        <v>41</v>
      </c>
      <c r="O670">
        <v>3</v>
      </c>
      <c r="P670" t="s">
        <v>46</v>
      </c>
      <c r="Q670">
        <v>2377</v>
      </c>
      <c r="R670">
        <v>5</v>
      </c>
      <c r="S670" t="s">
        <v>37</v>
      </c>
      <c r="T670">
        <v>18</v>
      </c>
      <c r="U670">
        <v>3</v>
      </c>
      <c r="V670">
        <v>2</v>
      </c>
      <c r="W670">
        <v>1</v>
      </c>
      <c r="X670">
        <v>6</v>
      </c>
      <c r="Y670">
        <v>2</v>
      </c>
      <c r="Z670">
        <v>3</v>
      </c>
      <c r="AA670">
        <v>2</v>
      </c>
      <c r="AB670">
        <v>2</v>
      </c>
      <c r="AC670">
        <v>2</v>
      </c>
      <c r="AD670">
        <v>2</v>
      </c>
      <c r="AE670" t="str" cm="1">
        <f t="array" ref="AE670">_xlfn.IFS(G670=1,"Before College",G670=2,"College",G670=3,"Bachelor",G670=4,"Master",G670=5,"Doctor")</f>
        <v>Bachelor</v>
      </c>
      <c r="AF670" t="str" cm="1">
        <f t="array" ref="AF670">_xlfn.IFS(J670=1,"Low",J670=2,"Medium",J670=3,"High",J670=4,"Very High")</f>
        <v>High</v>
      </c>
      <c r="AG670" t="str" cm="1">
        <f t="array" ref="AG670">_xlfn.IFS(L670=1,"Low",L670=2,"Medium",L670=3,"High",L670=4,"Very High")</f>
        <v>High</v>
      </c>
      <c r="AH670" t="str" cm="1">
        <f t="array" ref="AH670">_xlfn.IFS(M670=1,"Junior employee",M670=2,"Mid-level",M670=3,"Senior",M670=4,"Manager",M670=5,"Executive")</f>
        <v>Junior employee</v>
      </c>
      <c r="AI670" t="str" cm="1">
        <f t="array" ref="AI670">_xlfn.IFS(O670=1,"Low",O670=2,"Medium",O670=3,"High",O670=4,"Very High")</f>
        <v>High</v>
      </c>
      <c r="AJ670" t="str" cm="1">
        <f t="array" ref="AJ670">_xlfn.IFS(U670=1,"Low",U670=2,"Good",U670=3,"Excellent",U670=4,"Outstanding")</f>
        <v>Excellent</v>
      </c>
      <c r="AK670" t="str" cm="1">
        <f t="array" ref="AK670">_xlfn.IFS(V670=1,"Low",V670=2,"Medium",V670=3,"High",V670=4,"Very High")</f>
        <v>Medium</v>
      </c>
      <c r="AL670" t="str" cm="1">
        <f t="array" ref="AL670">_xlfn.IFS(Z670=1,"Bad",Z670=2,"Good",Z670=3,"Better",Z670=4,"Best")</f>
        <v>Better</v>
      </c>
      <c r="AM670" t="str" cm="1">
        <f t="array" ref="AM670">_xlfn.IFS(W670=0,"No_stock",W670=1,"Low",W670=2,"Medium",W670=3,"High")</f>
        <v>Low</v>
      </c>
      <c r="AN670" t="str">
        <f t="shared" si="10"/>
        <v>Medium</v>
      </c>
    </row>
    <row r="671" spans="1:40" x14ac:dyDescent="0.45">
      <c r="A671">
        <v>39</v>
      </c>
      <c r="B671" t="s">
        <v>30</v>
      </c>
      <c r="C671" t="s">
        <v>31</v>
      </c>
      <c r="D671">
        <v>1122</v>
      </c>
      <c r="E671" t="s">
        <v>39</v>
      </c>
      <c r="F671">
        <v>6</v>
      </c>
      <c r="G671">
        <v>3</v>
      </c>
      <c r="H671" t="s">
        <v>45</v>
      </c>
      <c r="I671">
        <v>932</v>
      </c>
      <c r="J671">
        <v>4</v>
      </c>
      <c r="K671" t="s">
        <v>40</v>
      </c>
      <c r="L671">
        <v>3</v>
      </c>
      <c r="M671">
        <v>1</v>
      </c>
      <c r="N671" t="s">
        <v>44</v>
      </c>
      <c r="O671">
        <v>1</v>
      </c>
      <c r="P671" t="s">
        <v>42</v>
      </c>
      <c r="Q671">
        <v>2404</v>
      </c>
      <c r="R671">
        <v>7</v>
      </c>
      <c r="S671" t="s">
        <v>30</v>
      </c>
      <c r="T671">
        <v>21</v>
      </c>
      <c r="U671">
        <v>4</v>
      </c>
      <c r="V671">
        <v>4</v>
      </c>
      <c r="W671">
        <v>0</v>
      </c>
      <c r="X671">
        <v>8</v>
      </c>
      <c r="Y671">
        <v>2</v>
      </c>
      <c r="Z671">
        <v>1</v>
      </c>
      <c r="AA671">
        <v>2</v>
      </c>
      <c r="AB671">
        <v>2</v>
      </c>
      <c r="AC671">
        <v>2</v>
      </c>
      <c r="AD671">
        <v>2</v>
      </c>
      <c r="AE671" t="str" cm="1">
        <f t="array" ref="AE671">_xlfn.IFS(G671=1,"Before College",G671=2,"College",G671=3,"Bachelor",G671=4,"Master",G671=5,"Doctor")</f>
        <v>Bachelor</v>
      </c>
      <c r="AF671" t="str" cm="1">
        <f t="array" ref="AF671">_xlfn.IFS(J671=1,"Low",J671=2,"Medium",J671=3,"High",J671=4,"Very High")</f>
        <v>Very High</v>
      </c>
      <c r="AG671" t="str" cm="1">
        <f t="array" ref="AG671">_xlfn.IFS(L671=1,"Low",L671=2,"Medium",L671=3,"High",L671=4,"Very High")</f>
        <v>High</v>
      </c>
      <c r="AH671" t="str" cm="1">
        <f t="array" ref="AH671">_xlfn.IFS(M671=1,"Junior employee",M671=2,"Mid-level",M671=3,"Senior",M671=4,"Manager",M671=5,"Executive")</f>
        <v>Junior employee</v>
      </c>
      <c r="AI671" t="str" cm="1">
        <f t="array" ref="AI671">_xlfn.IFS(O671=1,"Low",O671=2,"Medium",O671=3,"High",O671=4,"Very High")</f>
        <v>Low</v>
      </c>
      <c r="AJ671" t="str" cm="1">
        <f t="array" ref="AJ671">_xlfn.IFS(U671=1,"Low",U671=2,"Good",U671=3,"Excellent",U671=4,"Outstanding")</f>
        <v>Outstanding</v>
      </c>
      <c r="AK671" t="str" cm="1">
        <f t="array" ref="AK671">_xlfn.IFS(V671=1,"Low",V671=2,"Medium",V671=3,"High",V671=4,"Very High")</f>
        <v>Very High</v>
      </c>
      <c r="AL671" t="str" cm="1">
        <f t="array" ref="AL671">_xlfn.IFS(Z671=1,"Bad",Z671=2,"Good",Z671=3,"Better",Z671=4,"Best")</f>
        <v>Bad</v>
      </c>
      <c r="AM671" t="str" cm="1">
        <f t="array" ref="AM671">_xlfn.IFS(W671=0,"No_stock",W671=1,"Low",W671=2,"Medium",W671=3,"High")</f>
        <v>No_stock</v>
      </c>
      <c r="AN671" t="str">
        <f t="shared" si="10"/>
        <v>Medium</v>
      </c>
    </row>
    <row r="672" spans="1:40" x14ac:dyDescent="0.45">
      <c r="A672">
        <v>27</v>
      </c>
      <c r="B672" t="s">
        <v>37</v>
      </c>
      <c r="C672" t="s">
        <v>31</v>
      </c>
      <c r="D672">
        <v>618</v>
      </c>
      <c r="E672" t="s">
        <v>39</v>
      </c>
      <c r="F672">
        <v>4</v>
      </c>
      <c r="G672">
        <v>3</v>
      </c>
      <c r="H672" t="s">
        <v>33</v>
      </c>
      <c r="I672">
        <v>933</v>
      </c>
      <c r="J672">
        <v>2</v>
      </c>
      <c r="K672" t="s">
        <v>34</v>
      </c>
      <c r="L672">
        <v>3</v>
      </c>
      <c r="M672">
        <v>1</v>
      </c>
      <c r="N672" t="s">
        <v>41</v>
      </c>
      <c r="O672">
        <v>3</v>
      </c>
      <c r="P672" t="s">
        <v>36</v>
      </c>
      <c r="Q672">
        <v>2318</v>
      </c>
      <c r="R672">
        <v>1</v>
      </c>
      <c r="S672" t="s">
        <v>37</v>
      </c>
      <c r="T672">
        <v>19</v>
      </c>
      <c r="U672">
        <v>3</v>
      </c>
      <c r="V672">
        <v>3</v>
      </c>
      <c r="W672">
        <v>0</v>
      </c>
      <c r="X672">
        <v>1</v>
      </c>
      <c r="Y672">
        <v>2</v>
      </c>
      <c r="Z672">
        <v>3</v>
      </c>
      <c r="AA672">
        <v>1</v>
      </c>
      <c r="AB672">
        <v>1</v>
      </c>
      <c r="AC672">
        <v>0</v>
      </c>
      <c r="AD672">
        <v>0</v>
      </c>
      <c r="AE672" t="str" cm="1">
        <f t="array" ref="AE672">_xlfn.IFS(G672=1,"Before College",G672=2,"College",G672=3,"Bachelor",G672=4,"Master",G672=5,"Doctor")</f>
        <v>Bachelor</v>
      </c>
      <c r="AF672" t="str" cm="1">
        <f t="array" ref="AF672">_xlfn.IFS(J672=1,"Low",J672=2,"Medium",J672=3,"High",J672=4,"Very High")</f>
        <v>Medium</v>
      </c>
      <c r="AG672" t="str" cm="1">
        <f t="array" ref="AG672">_xlfn.IFS(L672=1,"Low",L672=2,"Medium",L672=3,"High",L672=4,"Very High")</f>
        <v>High</v>
      </c>
      <c r="AH672" t="str" cm="1">
        <f t="array" ref="AH672">_xlfn.IFS(M672=1,"Junior employee",M672=2,"Mid-level",M672=3,"Senior",M672=4,"Manager",M672=5,"Executive")</f>
        <v>Junior employee</v>
      </c>
      <c r="AI672" t="str" cm="1">
        <f t="array" ref="AI672">_xlfn.IFS(O672=1,"Low",O672=2,"Medium",O672=3,"High",O672=4,"Very High")</f>
        <v>High</v>
      </c>
      <c r="AJ672" t="str" cm="1">
        <f t="array" ref="AJ672">_xlfn.IFS(U672=1,"Low",U672=2,"Good",U672=3,"Excellent",U672=4,"Outstanding")</f>
        <v>Excellent</v>
      </c>
      <c r="AK672" t="str" cm="1">
        <f t="array" ref="AK672">_xlfn.IFS(V672=1,"Low",V672=2,"Medium",V672=3,"High",V672=4,"Very High")</f>
        <v>High</v>
      </c>
      <c r="AL672" t="str" cm="1">
        <f t="array" ref="AL672">_xlfn.IFS(Z672=1,"Bad",Z672=2,"Good",Z672=3,"Better",Z672=4,"Best")</f>
        <v>Better</v>
      </c>
      <c r="AM672" t="str" cm="1">
        <f t="array" ref="AM672">_xlfn.IFS(W672=0,"No_stock",W672=1,"Low",W672=2,"Medium",W672=3,"High")</f>
        <v>No_stock</v>
      </c>
      <c r="AN672" t="str">
        <f t="shared" si="10"/>
        <v>Near</v>
      </c>
    </row>
    <row r="673" spans="1:40" x14ac:dyDescent="0.45">
      <c r="A673">
        <v>34</v>
      </c>
      <c r="B673" t="s">
        <v>37</v>
      </c>
      <c r="C673" t="s">
        <v>31</v>
      </c>
      <c r="D673">
        <v>546</v>
      </c>
      <c r="E673" t="s">
        <v>39</v>
      </c>
      <c r="F673">
        <v>10</v>
      </c>
      <c r="G673">
        <v>3</v>
      </c>
      <c r="H673" t="s">
        <v>33</v>
      </c>
      <c r="I673">
        <v>934</v>
      </c>
      <c r="J673">
        <v>2</v>
      </c>
      <c r="K673" t="s">
        <v>40</v>
      </c>
      <c r="L673">
        <v>3</v>
      </c>
      <c r="M673">
        <v>1</v>
      </c>
      <c r="N673" t="s">
        <v>44</v>
      </c>
      <c r="O673">
        <v>2</v>
      </c>
      <c r="P673" t="s">
        <v>46</v>
      </c>
      <c r="Q673">
        <v>2008</v>
      </c>
      <c r="R673">
        <v>1</v>
      </c>
      <c r="S673" t="s">
        <v>37</v>
      </c>
      <c r="T673">
        <v>14</v>
      </c>
      <c r="U673">
        <v>3</v>
      </c>
      <c r="V673">
        <v>2</v>
      </c>
      <c r="W673">
        <v>2</v>
      </c>
      <c r="X673">
        <v>1</v>
      </c>
      <c r="Y673">
        <v>3</v>
      </c>
      <c r="Z673">
        <v>3</v>
      </c>
      <c r="AA673">
        <v>1</v>
      </c>
      <c r="AB673">
        <v>0</v>
      </c>
      <c r="AC673">
        <v>1</v>
      </c>
      <c r="AD673">
        <v>0</v>
      </c>
      <c r="AE673" t="str" cm="1">
        <f t="array" ref="AE673">_xlfn.IFS(G673=1,"Before College",G673=2,"College",G673=3,"Bachelor",G673=4,"Master",G673=5,"Doctor")</f>
        <v>Bachelor</v>
      </c>
      <c r="AF673" t="str" cm="1">
        <f t="array" ref="AF673">_xlfn.IFS(J673=1,"Low",J673=2,"Medium",J673=3,"High",J673=4,"Very High")</f>
        <v>Medium</v>
      </c>
      <c r="AG673" t="str" cm="1">
        <f t="array" ref="AG673">_xlfn.IFS(L673=1,"Low",L673=2,"Medium",L673=3,"High",L673=4,"Very High")</f>
        <v>High</v>
      </c>
      <c r="AH673" t="str" cm="1">
        <f t="array" ref="AH673">_xlfn.IFS(M673=1,"Junior employee",M673=2,"Mid-level",M673=3,"Senior",M673=4,"Manager",M673=5,"Executive")</f>
        <v>Junior employee</v>
      </c>
      <c r="AI673" t="str" cm="1">
        <f t="array" ref="AI673">_xlfn.IFS(O673=1,"Low",O673=2,"Medium",O673=3,"High",O673=4,"Very High")</f>
        <v>Medium</v>
      </c>
      <c r="AJ673" t="str" cm="1">
        <f t="array" ref="AJ673">_xlfn.IFS(U673=1,"Low",U673=2,"Good",U673=3,"Excellent",U673=4,"Outstanding")</f>
        <v>Excellent</v>
      </c>
      <c r="AK673" t="str" cm="1">
        <f t="array" ref="AK673">_xlfn.IFS(V673=1,"Low",V673=2,"Medium",V673=3,"High",V673=4,"Very High")</f>
        <v>Medium</v>
      </c>
      <c r="AL673" t="str" cm="1">
        <f t="array" ref="AL673">_xlfn.IFS(Z673=1,"Bad",Z673=2,"Good",Z673=3,"Better",Z673=4,"Best")</f>
        <v>Better</v>
      </c>
      <c r="AM673" t="str" cm="1">
        <f t="array" ref="AM673">_xlfn.IFS(W673=0,"No_stock",W673=1,"Low",W673=2,"Medium",W673=3,"High")</f>
        <v>Medium</v>
      </c>
      <c r="AN673" t="str">
        <f t="shared" si="10"/>
        <v>Medium</v>
      </c>
    </row>
    <row r="674" spans="1:40" x14ac:dyDescent="0.45">
      <c r="A674">
        <v>42</v>
      </c>
      <c r="B674" t="s">
        <v>37</v>
      </c>
      <c r="C674" t="s">
        <v>31</v>
      </c>
      <c r="D674">
        <v>462</v>
      </c>
      <c r="E674" t="s">
        <v>32</v>
      </c>
      <c r="F674">
        <v>14</v>
      </c>
      <c r="G674">
        <v>2</v>
      </c>
      <c r="H674" t="s">
        <v>45</v>
      </c>
      <c r="I674">
        <v>936</v>
      </c>
      <c r="J674">
        <v>3</v>
      </c>
      <c r="K674" t="s">
        <v>34</v>
      </c>
      <c r="L674">
        <v>2</v>
      </c>
      <c r="M674">
        <v>2</v>
      </c>
      <c r="N674" t="s">
        <v>35</v>
      </c>
      <c r="O674">
        <v>3</v>
      </c>
      <c r="P674" t="s">
        <v>36</v>
      </c>
      <c r="Q674">
        <v>6244</v>
      </c>
      <c r="R674">
        <v>7</v>
      </c>
      <c r="S674" t="s">
        <v>37</v>
      </c>
      <c r="T674">
        <v>17</v>
      </c>
      <c r="U674">
        <v>3</v>
      </c>
      <c r="V674">
        <v>1</v>
      </c>
      <c r="W674">
        <v>0</v>
      </c>
      <c r="X674">
        <v>10</v>
      </c>
      <c r="Y674">
        <v>6</v>
      </c>
      <c r="Z674">
        <v>3</v>
      </c>
      <c r="AA674">
        <v>5</v>
      </c>
      <c r="AB674">
        <v>4</v>
      </c>
      <c r="AC674">
        <v>0</v>
      </c>
      <c r="AD674">
        <v>3</v>
      </c>
      <c r="AE674" t="str" cm="1">
        <f t="array" ref="AE674">_xlfn.IFS(G674=1,"Before College",G674=2,"College",G674=3,"Bachelor",G674=4,"Master",G674=5,"Doctor")</f>
        <v>College</v>
      </c>
      <c r="AF674" t="str" cm="1">
        <f t="array" ref="AF674">_xlfn.IFS(J674=1,"Low",J674=2,"Medium",J674=3,"High",J674=4,"Very High")</f>
        <v>High</v>
      </c>
      <c r="AG674" t="str" cm="1">
        <f t="array" ref="AG674">_xlfn.IFS(L674=1,"Low",L674=2,"Medium",L674=3,"High",L674=4,"Very High")</f>
        <v>Medium</v>
      </c>
      <c r="AH674" t="str" cm="1">
        <f t="array" ref="AH674">_xlfn.IFS(M674=1,"Junior employee",M674=2,"Mid-level",M674=3,"Senior",M674=4,"Manager",M674=5,"Executive")</f>
        <v>Mid-level</v>
      </c>
      <c r="AI674" t="str" cm="1">
        <f t="array" ref="AI674">_xlfn.IFS(O674=1,"Low",O674=2,"Medium",O674=3,"High",O674=4,"Very High")</f>
        <v>High</v>
      </c>
      <c r="AJ674" t="str" cm="1">
        <f t="array" ref="AJ674">_xlfn.IFS(U674=1,"Low",U674=2,"Good",U674=3,"Excellent",U674=4,"Outstanding")</f>
        <v>Excellent</v>
      </c>
      <c r="AK674" t="str" cm="1">
        <f t="array" ref="AK674">_xlfn.IFS(V674=1,"Low",V674=2,"Medium",V674=3,"High",V674=4,"Very High")</f>
        <v>Low</v>
      </c>
      <c r="AL674" t="str" cm="1">
        <f t="array" ref="AL674">_xlfn.IFS(Z674=1,"Bad",Z674=2,"Good",Z674=3,"Better",Z674=4,"Best")</f>
        <v>Better</v>
      </c>
      <c r="AM674" t="str" cm="1">
        <f t="array" ref="AM674">_xlfn.IFS(W674=0,"No_stock",W674=1,"Low",W674=2,"Medium",W674=3,"High")</f>
        <v>No_stock</v>
      </c>
      <c r="AN674" t="str">
        <f t="shared" si="10"/>
        <v>Medium</v>
      </c>
    </row>
    <row r="675" spans="1:40" x14ac:dyDescent="0.45">
      <c r="A675">
        <v>33</v>
      </c>
      <c r="B675" t="s">
        <v>37</v>
      </c>
      <c r="C675" t="s">
        <v>31</v>
      </c>
      <c r="D675">
        <v>1198</v>
      </c>
      <c r="E675" t="s">
        <v>39</v>
      </c>
      <c r="F675">
        <v>1</v>
      </c>
      <c r="G675">
        <v>4</v>
      </c>
      <c r="H675" t="s">
        <v>43</v>
      </c>
      <c r="I675">
        <v>939</v>
      </c>
      <c r="J675">
        <v>3</v>
      </c>
      <c r="K675" t="s">
        <v>40</v>
      </c>
      <c r="L675">
        <v>2</v>
      </c>
      <c r="M675">
        <v>1</v>
      </c>
      <c r="N675" t="s">
        <v>41</v>
      </c>
      <c r="O675">
        <v>1</v>
      </c>
      <c r="P675" t="s">
        <v>36</v>
      </c>
      <c r="Q675">
        <v>2799</v>
      </c>
      <c r="R675">
        <v>3</v>
      </c>
      <c r="S675" t="s">
        <v>30</v>
      </c>
      <c r="T675">
        <v>11</v>
      </c>
      <c r="U675">
        <v>3</v>
      </c>
      <c r="V675">
        <v>2</v>
      </c>
      <c r="W675">
        <v>0</v>
      </c>
      <c r="X675">
        <v>6</v>
      </c>
      <c r="Y675">
        <v>1</v>
      </c>
      <c r="Z675">
        <v>3</v>
      </c>
      <c r="AA675">
        <v>3</v>
      </c>
      <c r="AB675">
        <v>2</v>
      </c>
      <c r="AC675">
        <v>0</v>
      </c>
      <c r="AD675">
        <v>2</v>
      </c>
      <c r="AE675" t="str" cm="1">
        <f t="array" ref="AE675">_xlfn.IFS(G675=1,"Before College",G675=2,"College",G675=3,"Bachelor",G675=4,"Master",G675=5,"Doctor")</f>
        <v>Master</v>
      </c>
      <c r="AF675" t="str" cm="1">
        <f t="array" ref="AF675">_xlfn.IFS(J675=1,"Low",J675=2,"Medium",J675=3,"High",J675=4,"Very High")</f>
        <v>High</v>
      </c>
      <c r="AG675" t="str" cm="1">
        <f t="array" ref="AG675">_xlfn.IFS(L675=1,"Low",L675=2,"Medium",L675=3,"High",L675=4,"Very High")</f>
        <v>Medium</v>
      </c>
      <c r="AH675" t="str" cm="1">
        <f t="array" ref="AH675">_xlfn.IFS(M675=1,"Junior employee",M675=2,"Mid-level",M675=3,"Senior",M675=4,"Manager",M675=5,"Executive")</f>
        <v>Junior employee</v>
      </c>
      <c r="AI675" t="str" cm="1">
        <f t="array" ref="AI675">_xlfn.IFS(O675=1,"Low",O675=2,"Medium",O675=3,"High",O675=4,"Very High")</f>
        <v>Low</v>
      </c>
      <c r="AJ675" t="str" cm="1">
        <f t="array" ref="AJ675">_xlfn.IFS(U675=1,"Low",U675=2,"Good",U675=3,"Excellent",U675=4,"Outstanding")</f>
        <v>Excellent</v>
      </c>
      <c r="AK675" t="str" cm="1">
        <f t="array" ref="AK675">_xlfn.IFS(V675=1,"Low",V675=2,"Medium",V675=3,"High",V675=4,"Very High")</f>
        <v>Medium</v>
      </c>
      <c r="AL675" t="str" cm="1">
        <f t="array" ref="AL675">_xlfn.IFS(Z675=1,"Bad",Z675=2,"Good",Z675=3,"Better",Z675=4,"Best")</f>
        <v>Better</v>
      </c>
      <c r="AM675" t="str" cm="1">
        <f t="array" ref="AM675">_xlfn.IFS(W675=0,"No_stock",W675=1,"Low",W675=2,"Medium",W675=3,"High")</f>
        <v>No_stock</v>
      </c>
      <c r="AN675" t="str">
        <f t="shared" si="10"/>
        <v>Near</v>
      </c>
    </row>
    <row r="676" spans="1:40" x14ac:dyDescent="0.45">
      <c r="A676">
        <v>58</v>
      </c>
      <c r="B676" t="s">
        <v>37</v>
      </c>
      <c r="C676" t="s">
        <v>31</v>
      </c>
      <c r="D676">
        <v>1272</v>
      </c>
      <c r="E676" t="s">
        <v>39</v>
      </c>
      <c r="F676">
        <v>5</v>
      </c>
      <c r="G676">
        <v>3</v>
      </c>
      <c r="H676" t="s">
        <v>54</v>
      </c>
      <c r="I676">
        <v>940</v>
      </c>
      <c r="J676">
        <v>3</v>
      </c>
      <c r="K676" t="s">
        <v>34</v>
      </c>
      <c r="L676">
        <v>2</v>
      </c>
      <c r="M676">
        <v>3</v>
      </c>
      <c r="N676" t="s">
        <v>48</v>
      </c>
      <c r="O676">
        <v>2</v>
      </c>
      <c r="P676" t="s">
        <v>46</v>
      </c>
      <c r="Q676">
        <v>10552</v>
      </c>
      <c r="R676">
        <v>2</v>
      </c>
      <c r="S676" t="s">
        <v>30</v>
      </c>
      <c r="T676">
        <v>13</v>
      </c>
      <c r="U676">
        <v>3</v>
      </c>
      <c r="V676">
        <v>4</v>
      </c>
      <c r="W676">
        <v>1</v>
      </c>
      <c r="X676">
        <v>24</v>
      </c>
      <c r="Y676">
        <v>3</v>
      </c>
      <c r="Z676">
        <v>3</v>
      </c>
      <c r="AA676">
        <v>6</v>
      </c>
      <c r="AB676">
        <v>0</v>
      </c>
      <c r="AC676">
        <v>0</v>
      </c>
      <c r="AD676">
        <v>4</v>
      </c>
      <c r="AE676" t="str" cm="1">
        <f t="array" ref="AE676">_xlfn.IFS(G676=1,"Before College",G676=2,"College",G676=3,"Bachelor",G676=4,"Master",G676=5,"Doctor")</f>
        <v>Bachelor</v>
      </c>
      <c r="AF676" t="str" cm="1">
        <f t="array" ref="AF676">_xlfn.IFS(J676=1,"Low",J676=2,"Medium",J676=3,"High",J676=4,"Very High")</f>
        <v>High</v>
      </c>
      <c r="AG676" t="str" cm="1">
        <f t="array" ref="AG676">_xlfn.IFS(L676=1,"Low",L676=2,"Medium",L676=3,"High",L676=4,"Very High")</f>
        <v>Medium</v>
      </c>
      <c r="AH676" t="str" cm="1">
        <f t="array" ref="AH676">_xlfn.IFS(M676=1,"Junior employee",M676=2,"Mid-level",M676=3,"Senior",M676=4,"Manager",M676=5,"Executive")</f>
        <v>Senior</v>
      </c>
      <c r="AI676" t="str" cm="1">
        <f t="array" ref="AI676">_xlfn.IFS(O676=1,"Low",O676=2,"Medium",O676=3,"High",O676=4,"Very High")</f>
        <v>Medium</v>
      </c>
      <c r="AJ676" t="str" cm="1">
        <f t="array" ref="AJ676">_xlfn.IFS(U676=1,"Low",U676=2,"Good",U676=3,"Excellent",U676=4,"Outstanding")</f>
        <v>Excellent</v>
      </c>
      <c r="AK676" t="str" cm="1">
        <f t="array" ref="AK676">_xlfn.IFS(V676=1,"Low",V676=2,"Medium",V676=3,"High",V676=4,"Very High")</f>
        <v>Very High</v>
      </c>
      <c r="AL676" t="str" cm="1">
        <f t="array" ref="AL676">_xlfn.IFS(Z676=1,"Bad",Z676=2,"Good",Z676=3,"Better",Z676=4,"Best")</f>
        <v>Better</v>
      </c>
      <c r="AM676" t="str" cm="1">
        <f t="array" ref="AM676">_xlfn.IFS(W676=0,"No_stock",W676=1,"Low",W676=2,"Medium",W676=3,"High")</f>
        <v>Low</v>
      </c>
      <c r="AN676" t="str">
        <f t="shared" si="10"/>
        <v>Near</v>
      </c>
    </row>
    <row r="677" spans="1:40" x14ac:dyDescent="0.45">
      <c r="A677">
        <v>31</v>
      </c>
      <c r="B677" t="s">
        <v>37</v>
      </c>
      <c r="C677" t="s">
        <v>31</v>
      </c>
      <c r="D677">
        <v>154</v>
      </c>
      <c r="E677" t="s">
        <v>32</v>
      </c>
      <c r="F677">
        <v>7</v>
      </c>
      <c r="G677">
        <v>4</v>
      </c>
      <c r="H677" t="s">
        <v>33</v>
      </c>
      <c r="I677">
        <v>941</v>
      </c>
      <c r="J677">
        <v>2</v>
      </c>
      <c r="K677" t="s">
        <v>40</v>
      </c>
      <c r="L677">
        <v>2</v>
      </c>
      <c r="M677">
        <v>1</v>
      </c>
      <c r="N677" t="s">
        <v>51</v>
      </c>
      <c r="O677">
        <v>3</v>
      </c>
      <c r="P677" t="s">
        <v>42</v>
      </c>
      <c r="Q677">
        <v>2329</v>
      </c>
      <c r="R677">
        <v>3</v>
      </c>
      <c r="S677" t="s">
        <v>37</v>
      </c>
      <c r="T677">
        <v>15</v>
      </c>
      <c r="U677">
        <v>3</v>
      </c>
      <c r="V677">
        <v>2</v>
      </c>
      <c r="W677">
        <v>0</v>
      </c>
      <c r="X677">
        <v>13</v>
      </c>
      <c r="Y677">
        <v>2</v>
      </c>
      <c r="Z677">
        <v>4</v>
      </c>
      <c r="AA677">
        <v>7</v>
      </c>
      <c r="AB677">
        <v>7</v>
      </c>
      <c r="AC677">
        <v>5</v>
      </c>
      <c r="AD677">
        <v>2</v>
      </c>
      <c r="AE677" t="str" cm="1">
        <f t="array" ref="AE677">_xlfn.IFS(G677=1,"Before College",G677=2,"College",G677=3,"Bachelor",G677=4,"Master",G677=5,"Doctor")</f>
        <v>Master</v>
      </c>
      <c r="AF677" t="str" cm="1">
        <f t="array" ref="AF677">_xlfn.IFS(J677=1,"Low",J677=2,"Medium",J677=3,"High",J677=4,"Very High")</f>
        <v>Medium</v>
      </c>
      <c r="AG677" t="str" cm="1">
        <f t="array" ref="AG677">_xlfn.IFS(L677=1,"Low",L677=2,"Medium",L677=3,"High",L677=4,"Very High")</f>
        <v>Medium</v>
      </c>
      <c r="AH677" t="str" cm="1">
        <f t="array" ref="AH677">_xlfn.IFS(M677=1,"Junior employee",M677=2,"Mid-level",M677=3,"Senior",M677=4,"Manager",M677=5,"Executive")</f>
        <v>Junior employee</v>
      </c>
      <c r="AI677" t="str" cm="1">
        <f t="array" ref="AI677">_xlfn.IFS(O677=1,"Low",O677=2,"Medium",O677=3,"High",O677=4,"Very High")</f>
        <v>High</v>
      </c>
      <c r="AJ677" t="str" cm="1">
        <f t="array" ref="AJ677">_xlfn.IFS(U677=1,"Low",U677=2,"Good",U677=3,"Excellent",U677=4,"Outstanding")</f>
        <v>Excellent</v>
      </c>
      <c r="AK677" t="str" cm="1">
        <f t="array" ref="AK677">_xlfn.IFS(V677=1,"Low",V677=2,"Medium",V677=3,"High",V677=4,"Very High")</f>
        <v>Medium</v>
      </c>
      <c r="AL677" t="str" cm="1">
        <f t="array" ref="AL677">_xlfn.IFS(Z677=1,"Bad",Z677=2,"Good",Z677=3,"Better",Z677=4,"Best")</f>
        <v>Best</v>
      </c>
      <c r="AM677" t="str" cm="1">
        <f t="array" ref="AM677">_xlfn.IFS(W677=0,"No_stock",W677=1,"Low",W677=2,"Medium",W677=3,"High")</f>
        <v>No_stock</v>
      </c>
      <c r="AN677" t="str">
        <f t="shared" si="10"/>
        <v>Medium</v>
      </c>
    </row>
    <row r="678" spans="1:40" x14ac:dyDescent="0.45">
      <c r="A678">
        <v>35</v>
      </c>
      <c r="B678" t="s">
        <v>37</v>
      </c>
      <c r="C678" t="s">
        <v>31</v>
      </c>
      <c r="D678">
        <v>1137</v>
      </c>
      <c r="E678" t="s">
        <v>39</v>
      </c>
      <c r="F678">
        <v>21</v>
      </c>
      <c r="G678">
        <v>1</v>
      </c>
      <c r="H678" t="s">
        <v>33</v>
      </c>
      <c r="I678">
        <v>942</v>
      </c>
      <c r="J678">
        <v>4</v>
      </c>
      <c r="K678" t="s">
        <v>34</v>
      </c>
      <c r="L678">
        <v>3</v>
      </c>
      <c r="M678">
        <v>2</v>
      </c>
      <c r="N678" t="s">
        <v>48</v>
      </c>
      <c r="O678">
        <v>4</v>
      </c>
      <c r="P678" t="s">
        <v>42</v>
      </c>
      <c r="Q678">
        <v>4014</v>
      </c>
      <c r="R678">
        <v>1</v>
      </c>
      <c r="S678" t="s">
        <v>30</v>
      </c>
      <c r="T678">
        <v>25</v>
      </c>
      <c r="U678">
        <v>4</v>
      </c>
      <c r="V678">
        <v>4</v>
      </c>
      <c r="W678">
        <v>1</v>
      </c>
      <c r="X678">
        <v>10</v>
      </c>
      <c r="Y678">
        <v>2</v>
      </c>
      <c r="Z678">
        <v>1</v>
      </c>
      <c r="AA678">
        <v>10</v>
      </c>
      <c r="AB678">
        <v>6</v>
      </c>
      <c r="AC678">
        <v>0</v>
      </c>
      <c r="AD678">
        <v>7</v>
      </c>
      <c r="AE678" t="str" cm="1">
        <f t="array" ref="AE678">_xlfn.IFS(G678=1,"Before College",G678=2,"College",G678=3,"Bachelor",G678=4,"Master",G678=5,"Doctor")</f>
        <v>Before College</v>
      </c>
      <c r="AF678" t="str" cm="1">
        <f t="array" ref="AF678">_xlfn.IFS(J678=1,"Low",J678=2,"Medium",J678=3,"High",J678=4,"Very High")</f>
        <v>Very High</v>
      </c>
      <c r="AG678" t="str" cm="1">
        <f t="array" ref="AG678">_xlfn.IFS(L678=1,"Low",L678=2,"Medium",L678=3,"High",L678=4,"Very High")</f>
        <v>High</v>
      </c>
      <c r="AH678" t="str" cm="1">
        <f t="array" ref="AH678">_xlfn.IFS(M678=1,"Junior employee",M678=2,"Mid-level",M678=3,"Senior",M678=4,"Manager",M678=5,"Executive")</f>
        <v>Mid-level</v>
      </c>
      <c r="AI678" t="str" cm="1">
        <f t="array" ref="AI678">_xlfn.IFS(O678=1,"Low",O678=2,"Medium",O678=3,"High",O678=4,"Very High")</f>
        <v>Very High</v>
      </c>
      <c r="AJ678" t="str" cm="1">
        <f t="array" ref="AJ678">_xlfn.IFS(U678=1,"Low",U678=2,"Good",U678=3,"Excellent",U678=4,"Outstanding")</f>
        <v>Outstanding</v>
      </c>
      <c r="AK678" t="str" cm="1">
        <f t="array" ref="AK678">_xlfn.IFS(V678=1,"Low",V678=2,"Medium",V678=3,"High",V678=4,"Very High")</f>
        <v>Very High</v>
      </c>
      <c r="AL678" t="str" cm="1">
        <f t="array" ref="AL678">_xlfn.IFS(Z678=1,"Bad",Z678=2,"Good",Z678=3,"Better",Z678=4,"Best")</f>
        <v>Bad</v>
      </c>
      <c r="AM678" t="str" cm="1">
        <f t="array" ref="AM678">_xlfn.IFS(W678=0,"No_stock",W678=1,"Low",W678=2,"Medium",W678=3,"High")</f>
        <v>Low</v>
      </c>
      <c r="AN678" t="str">
        <f t="shared" si="10"/>
        <v>Far</v>
      </c>
    </row>
    <row r="679" spans="1:40" x14ac:dyDescent="0.45">
      <c r="A679">
        <v>49</v>
      </c>
      <c r="B679" t="s">
        <v>37</v>
      </c>
      <c r="C679" t="s">
        <v>31</v>
      </c>
      <c r="D679">
        <v>527</v>
      </c>
      <c r="E679" t="s">
        <v>39</v>
      </c>
      <c r="F679">
        <v>8</v>
      </c>
      <c r="G679">
        <v>2</v>
      </c>
      <c r="H679" t="s">
        <v>43</v>
      </c>
      <c r="I679">
        <v>944</v>
      </c>
      <c r="J679">
        <v>1</v>
      </c>
      <c r="K679" t="s">
        <v>34</v>
      </c>
      <c r="L679">
        <v>3</v>
      </c>
      <c r="M679">
        <v>3</v>
      </c>
      <c r="N679" t="s">
        <v>44</v>
      </c>
      <c r="O679">
        <v>2</v>
      </c>
      <c r="P679" t="s">
        <v>42</v>
      </c>
      <c r="Q679">
        <v>7403</v>
      </c>
      <c r="R679">
        <v>4</v>
      </c>
      <c r="S679" t="s">
        <v>37</v>
      </c>
      <c r="T679">
        <v>11</v>
      </c>
      <c r="U679">
        <v>3</v>
      </c>
      <c r="V679">
        <v>3</v>
      </c>
      <c r="W679">
        <v>1</v>
      </c>
      <c r="X679">
        <v>29</v>
      </c>
      <c r="Y679">
        <v>3</v>
      </c>
      <c r="Z679">
        <v>2</v>
      </c>
      <c r="AA679">
        <v>26</v>
      </c>
      <c r="AB679">
        <v>9</v>
      </c>
      <c r="AC679">
        <v>1</v>
      </c>
      <c r="AD679">
        <v>7</v>
      </c>
      <c r="AE679" t="str" cm="1">
        <f t="array" ref="AE679">_xlfn.IFS(G679=1,"Before College",G679=2,"College",G679=3,"Bachelor",G679=4,"Master",G679=5,"Doctor")</f>
        <v>College</v>
      </c>
      <c r="AF679" t="str" cm="1">
        <f t="array" ref="AF679">_xlfn.IFS(J679=1,"Low",J679=2,"Medium",J679=3,"High",J679=4,"Very High")</f>
        <v>Low</v>
      </c>
      <c r="AG679" t="str" cm="1">
        <f t="array" ref="AG679">_xlfn.IFS(L679=1,"Low",L679=2,"Medium",L679=3,"High",L679=4,"Very High")</f>
        <v>High</v>
      </c>
      <c r="AH679" t="str" cm="1">
        <f t="array" ref="AH679">_xlfn.IFS(M679=1,"Junior employee",M679=2,"Mid-level",M679=3,"Senior",M679=4,"Manager",M679=5,"Executive")</f>
        <v>Senior</v>
      </c>
      <c r="AI679" t="str" cm="1">
        <f t="array" ref="AI679">_xlfn.IFS(O679=1,"Low",O679=2,"Medium",O679=3,"High",O679=4,"Very High")</f>
        <v>Medium</v>
      </c>
      <c r="AJ679" t="str" cm="1">
        <f t="array" ref="AJ679">_xlfn.IFS(U679=1,"Low",U679=2,"Good",U679=3,"Excellent",U679=4,"Outstanding")</f>
        <v>Excellent</v>
      </c>
      <c r="AK679" t="str" cm="1">
        <f t="array" ref="AK679">_xlfn.IFS(V679=1,"Low",V679=2,"Medium",V679=3,"High",V679=4,"Very High")</f>
        <v>High</v>
      </c>
      <c r="AL679" t="str" cm="1">
        <f t="array" ref="AL679">_xlfn.IFS(Z679=1,"Bad",Z679=2,"Good",Z679=3,"Better",Z679=4,"Best")</f>
        <v>Good</v>
      </c>
      <c r="AM679" t="str" cm="1">
        <f t="array" ref="AM679">_xlfn.IFS(W679=0,"No_stock",W679=1,"Low",W679=2,"Medium",W679=3,"High")</f>
        <v>Low</v>
      </c>
      <c r="AN679" t="str">
        <f t="shared" si="10"/>
        <v>Medium</v>
      </c>
    </row>
    <row r="680" spans="1:40" x14ac:dyDescent="0.45">
      <c r="A680">
        <v>48</v>
      </c>
      <c r="B680" t="s">
        <v>37</v>
      </c>
      <c r="C680" t="s">
        <v>31</v>
      </c>
      <c r="D680">
        <v>1469</v>
      </c>
      <c r="E680" t="s">
        <v>39</v>
      </c>
      <c r="F680">
        <v>20</v>
      </c>
      <c r="G680">
        <v>4</v>
      </c>
      <c r="H680" t="s">
        <v>45</v>
      </c>
      <c r="I680">
        <v>945</v>
      </c>
      <c r="J680">
        <v>4</v>
      </c>
      <c r="K680" t="s">
        <v>40</v>
      </c>
      <c r="L680">
        <v>3</v>
      </c>
      <c r="M680">
        <v>1</v>
      </c>
      <c r="N680" t="s">
        <v>41</v>
      </c>
      <c r="O680">
        <v>3</v>
      </c>
      <c r="P680" t="s">
        <v>42</v>
      </c>
      <c r="Q680">
        <v>2259</v>
      </c>
      <c r="R680">
        <v>4</v>
      </c>
      <c r="S680" t="s">
        <v>37</v>
      </c>
      <c r="T680">
        <v>17</v>
      </c>
      <c r="U680">
        <v>3</v>
      </c>
      <c r="V680">
        <v>1</v>
      </c>
      <c r="W680">
        <v>2</v>
      </c>
      <c r="X680">
        <v>13</v>
      </c>
      <c r="Y680">
        <v>2</v>
      </c>
      <c r="Z680">
        <v>2</v>
      </c>
      <c r="AA680">
        <v>0</v>
      </c>
      <c r="AB680">
        <v>0</v>
      </c>
      <c r="AC680">
        <v>0</v>
      </c>
      <c r="AD680">
        <v>0</v>
      </c>
      <c r="AE680" t="str" cm="1">
        <f t="array" ref="AE680">_xlfn.IFS(G680=1,"Before College",G680=2,"College",G680=3,"Bachelor",G680=4,"Master",G680=5,"Doctor")</f>
        <v>Master</v>
      </c>
      <c r="AF680" t="str" cm="1">
        <f t="array" ref="AF680">_xlfn.IFS(J680=1,"Low",J680=2,"Medium",J680=3,"High",J680=4,"Very High")</f>
        <v>Very High</v>
      </c>
      <c r="AG680" t="str" cm="1">
        <f t="array" ref="AG680">_xlfn.IFS(L680=1,"Low",L680=2,"Medium",L680=3,"High",L680=4,"Very High")</f>
        <v>High</v>
      </c>
      <c r="AH680" t="str" cm="1">
        <f t="array" ref="AH680">_xlfn.IFS(M680=1,"Junior employee",M680=2,"Mid-level",M680=3,"Senior",M680=4,"Manager",M680=5,"Executive")</f>
        <v>Junior employee</v>
      </c>
      <c r="AI680" t="str" cm="1">
        <f t="array" ref="AI680">_xlfn.IFS(O680=1,"Low",O680=2,"Medium",O680=3,"High",O680=4,"Very High")</f>
        <v>High</v>
      </c>
      <c r="AJ680" t="str" cm="1">
        <f t="array" ref="AJ680">_xlfn.IFS(U680=1,"Low",U680=2,"Good",U680=3,"Excellent",U680=4,"Outstanding")</f>
        <v>Excellent</v>
      </c>
      <c r="AK680" t="str" cm="1">
        <f t="array" ref="AK680">_xlfn.IFS(V680=1,"Low",V680=2,"Medium",V680=3,"High",V680=4,"Very High")</f>
        <v>Low</v>
      </c>
      <c r="AL680" t="str" cm="1">
        <f t="array" ref="AL680">_xlfn.IFS(Z680=1,"Bad",Z680=2,"Good",Z680=3,"Better",Z680=4,"Best")</f>
        <v>Good</v>
      </c>
      <c r="AM680" t="str" cm="1">
        <f t="array" ref="AM680">_xlfn.IFS(W680=0,"No_stock",W680=1,"Low",W680=2,"Medium",W680=3,"High")</f>
        <v>Medium</v>
      </c>
      <c r="AN680" t="str">
        <f t="shared" si="10"/>
        <v>Far</v>
      </c>
    </row>
    <row r="681" spans="1:40" x14ac:dyDescent="0.45">
      <c r="A681">
        <v>31</v>
      </c>
      <c r="B681" t="s">
        <v>37</v>
      </c>
      <c r="C681" t="s">
        <v>49</v>
      </c>
      <c r="D681">
        <v>1188</v>
      </c>
      <c r="E681" t="s">
        <v>32</v>
      </c>
      <c r="F681">
        <v>20</v>
      </c>
      <c r="G681">
        <v>2</v>
      </c>
      <c r="H681" t="s">
        <v>53</v>
      </c>
      <c r="I681">
        <v>947</v>
      </c>
      <c r="J681">
        <v>4</v>
      </c>
      <c r="K681" t="s">
        <v>34</v>
      </c>
      <c r="L681">
        <v>3</v>
      </c>
      <c r="M681">
        <v>2</v>
      </c>
      <c r="N681" t="s">
        <v>35</v>
      </c>
      <c r="O681">
        <v>3</v>
      </c>
      <c r="P681" t="s">
        <v>42</v>
      </c>
      <c r="Q681">
        <v>6932</v>
      </c>
      <c r="R681">
        <v>1</v>
      </c>
      <c r="S681" t="s">
        <v>37</v>
      </c>
      <c r="T681">
        <v>13</v>
      </c>
      <c r="U681">
        <v>3</v>
      </c>
      <c r="V681">
        <v>4</v>
      </c>
      <c r="W681">
        <v>1</v>
      </c>
      <c r="X681">
        <v>9</v>
      </c>
      <c r="Y681">
        <v>2</v>
      </c>
      <c r="Z681">
        <v>2</v>
      </c>
      <c r="AA681">
        <v>9</v>
      </c>
      <c r="AB681">
        <v>8</v>
      </c>
      <c r="AC681">
        <v>0</v>
      </c>
      <c r="AD681">
        <v>0</v>
      </c>
      <c r="AE681" t="str" cm="1">
        <f t="array" ref="AE681">_xlfn.IFS(G681=1,"Before College",G681=2,"College",G681=3,"Bachelor",G681=4,"Master",G681=5,"Doctor")</f>
        <v>College</v>
      </c>
      <c r="AF681" t="str" cm="1">
        <f t="array" ref="AF681">_xlfn.IFS(J681=1,"Low",J681=2,"Medium",J681=3,"High",J681=4,"Very High")</f>
        <v>Very High</v>
      </c>
      <c r="AG681" t="str" cm="1">
        <f t="array" ref="AG681">_xlfn.IFS(L681=1,"Low",L681=2,"Medium",L681=3,"High",L681=4,"Very High")</f>
        <v>High</v>
      </c>
      <c r="AH681" t="str" cm="1">
        <f t="array" ref="AH681">_xlfn.IFS(M681=1,"Junior employee",M681=2,"Mid-level",M681=3,"Senior",M681=4,"Manager",M681=5,"Executive")</f>
        <v>Mid-level</v>
      </c>
      <c r="AI681" t="str" cm="1">
        <f t="array" ref="AI681">_xlfn.IFS(O681=1,"Low",O681=2,"Medium",O681=3,"High",O681=4,"Very High")</f>
        <v>High</v>
      </c>
      <c r="AJ681" t="str" cm="1">
        <f t="array" ref="AJ681">_xlfn.IFS(U681=1,"Low",U681=2,"Good",U681=3,"Excellent",U681=4,"Outstanding")</f>
        <v>Excellent</v>
      </c>
      <c r="AK681" t="str" cm="1">
        <f t="array" ref="AK681">_xlfn.IFS(V681=1,"Low",V681=2,"Medium",V681=3,"High",V681=4,"Very High")</f>
        <v>Very High</v>
      </c>
      <c r="AL681" t="str" cm="1">
        <f t="array" ref="AL681">_xlfn.IFS(Z681=1,"Bad",Z681=2,"Good",Z681=3,"Better",Z681=4,"Best")</f>
        <v>Good</v>
      </c>
      <c r="AM681" t="str" cm="1">
        <f t="array" ref="AM681">_xlfn.IFS(W681=0,"No_stock",W681=1,"Low",W681=2,"Medium",W681=3,"High")</f>
        <v>Low</v>
      </c>
      <c r="AN681" t="str">
        <f t="shared" si="10"/>
        <v>Far</v>
      </c>
    </row>
    <row r="682" spans="1:40" x14ac:dyDescent="0.45">
      <c r="A682">
        <v>36</v>
      </c>
      <c r="B682" t="s">
        <v>37</v>
      </c>
      <c r="C682" t="s">
        <v>31</v>
      </c>
      <c r="D682">
        <v>188</v>
      </c>
      <c r="E682" t="s">
        <v>39</v>
      </c>
      <c r="F682">
        <v>7</v>
      </c>
      <c r="G682">
        <v>4</v>
      </c>
      <c r="H682" t="s">
        <v>43</v>
      </c>
      <c r="I682">
        <v>949</v>
      </c>
      <c r="J682">
        <v>2</v>
      </c>
      <c r="K682" t="s">
        <v>40</v>
      </c>
      <c r="L682">
        <v>3</v>
      </c>
      <c r="M682">
        <v>1</v>
      </c>
      <c r="N682" t="s">
        <v>41</v>
      </c>
      <c r="O682">
        <v>4</v>
      </c>
      <c r="P682" t="s">
        <v>36</v>
      </c>
      <c r="Q682">
        <v>4678</v>
      </c>
      <c r="R682">
        <v>2</v>
      </c>
      <c r="S682" t="s">
        <v>37</v>
      </c>
      <c r="T682">
        <v>18</v>
      </c>
      <c r="U682">
        <v>3</v>
      </c>
      <c r="V682">
        <v>3</v>
      </c>
      <c r="W682">
        <v>0</v>
      </c>
      <c r="X682">
        <v>8</v>
      </c>
      <c r="Y682">
        <v>6</v>
      </c>
      <c r="Z682">
        <v>3</v>
      </c>
      <c r="AA682">
        <v>6</v>
      </c>
      <c r="AB682">
        <v>2</v>
      </c>
      <c r="AC682">
        <v>0</v>
      </c>
      <c r="AD682">
        <v>1</v>
      </c>
      <c r="AE682" t="str" cm="1">
        <f t="array" ref="AE682">_xlfn.IFS(G682=1,"Before College",G682=2,"College",G682=3,"Bachelor",G682=4,"Master",G682=5,"Doctor")</f>
        <v>Master</v>
      </c>
      <c r="AF682" t="str" cm="1">
        <f t="array" ref="AF682">_xlfn.IFS(J682=1,"Low",J682=2,"Medium",J682=3,"High",J682=4,"Very High")</f>
        <v>Medium</v>
      </c>
      <c r="AG682" t="str" cm="1">
        <f t="array" ref="AG682">_xlfn.IFS(L682=1,"Low",L682=2,"Medium",L682=3,"High",L682=4,"Very High")</f>
        <v>High</v>
      </c>
      <c r="AH682" t="str" cm="1">
        <f t="array" ref="AH682">_xlfn.IFS(M682=1,"Junior employee",M682=2,"Mid-level",M682=3,"Senior",M682=4,"Manager",M682=5,"Executive")</f>
        <v>Junior employee</v>
      </c>
      <c r="AI682" t="str" cm="1">
        <f t="array" ref="AI682">_xlfn.IFS(O682=1,"Low",O682=2,"Medium",O682=3,"High",O682=4,"Very High")</f>
        <v>Very High</v>
      </c>
      <c r="AJ682" t="str" cm="1">
        <f t="array" ref="AJ682">_xlfn.IFS(U682=1,"Low",U682=2,"Good",U682=3,"Excellent",U682=4,"Outstanding")</f>
        <v>Excellent</v>
      </c>
      <c r="AK682" t="str" cm="1">
        <f t="array" ref="AK682">_xlfn.IFS(V682=1,"Low",V682=2,"Medium",V682=3,"High",V682=4,"Very High")</f>
        <v>High</v>
      </c>
      <c r="AL682" t="str" cm="1">
        <f t="array" ref="AL682">_xlfn.IFS(Z682=1,"Bad",Z682=2,"Good",Z682=3,"Better",Z682=4,"Best")</f>
        <v>Better</v>
      </c>
      <c r="AM682" t="str" cm="1">
        <f t="array" ref="AM682">_xlfn.IFS(W682=0,"No_stock",W682=1,"Low",W682=2,"Medium",W682=3,"High")</f>
        <v>No_stock</v>
      </c>
      <c r="AN682" t="str">
        <f t="shared" si="10"/>
        <v>Medium</v>
      </c>
    </row>
    <row r="683" spans="1:40" x14ac:dyDescent="0.45">
      <c r="A683">
        <v>38</v>
      </c>
      <c r="B683" t="s">
        <v>37</v>
      </c>
      <c r="C683" t="s">
        <v>31</v>
      </c>
      <c r="D683">
        <v>1333</v>
      </c>
      <c r="E683" t="s">
        <v>39</v>
      </c>
      <c r="F683">
        <v>1</v>
      </c>
      <c r="G683">
        <v>3</v>
      </c>
      <c r="H683" t="s">
        <v>54</v>
      </c>
      <c r="I683">
        <v>950</v>
      </c>
      <c r="J683">
        <v>4</v>
      </c>
      <c r="K683" t="s">
        <v>34</v>
      </c>
      <c r="L683">
        <v>3</v>
      </c>
      <c r="M683">
        <v>3</v>
      </c>
      <c r="N683" t="s">
        <v>52</v>
      </c>
      <c r="O683">
        <v>1</v>
      </c>
      <c r="P683" t="s">
        <v>42</v>
      </c>
      <c r="Q683">
        <v>13582</v>
      </c>
      <c r="R683">
        <v>1</v>
      </c>
      <c r="S683" t="s">
        <v>37</v>
      </c>
      <c r="T683">
        <v>13</v>
      </c>
      <c r="U683">
        <v>3</v>
      </c>
      <c r="V683">
        <v>2</v>
      </c>
      <c r="W683">
        <v>1</v>
      </c>
      <c r="X683">
        <v>15</v>
      </c>
      <c r="Y683">
        <v>3</v>
      </c>
      <c r="Z683">
        <v>3</v>
      </c>
      <c r="AA683">
        <v>15</v>
      </c>
      <c r="AB683">
        <v>12</v>
      </c>
      <c r="AC683">
        <v>5</v>
      </c>
      <c r="AD683">
        <v>11</v>
      </c>
      <c r="AE683" t="str" cm="1">
        <f t="array" ref="AE683">_xlfn.IFS(G683=1,"Before College",G683=2,"College",G683=3,"Bachelor",G683=4,"Master",G683=5,"Doctor")</f>
        <v>Bachelor</v>
      </c>
      <c r="AF683" t="str" cm="1">
        <f t="array" ref="AF683">_xlfn.IFS(J683=1,"Low",J683=2,"Medium",J683=3,"High",J683=4,"Very High")</f>
        <v>Very High</v>
      </c>
      <c r="AG683" t="str" cm="1">
        <f t="array" ref="AG683">_xlfn.IFS(L683=1,"Low",L683=2,"Medium",L683=3,"High",L683=4,"Very High")</f>
        <v>High</v>
      </c>
      <c r="AH683" t="str" cm="1">
        <f t="array" ref="AH683">_xlfn.IFS(M683=1,"Junior employee",M683=2,"Mid-level",M683=3,"Senior",M683=4,"Manager",M683=5,"Executive")</f>
        <v>Senior</v>
      </c>
      <c r="AI683" t="str" cm="1">
        <f t="array" ref="AI683">_xlfn.IFS(O683=1,"Low",O683=2,"Medium",O683=3,"High",O683=4,"Very High")</f>
        <v>Low</v>
      </c>
      <c r="AJ683" t="str" cm="1">
        <f t="array" ref="AJ683">_xlfn.IFS(U683=1,"Low",U683=2,"Good",U683=3,"Excellent",U683=4,"Outstanding")</f>
        <v>Excellent</v>
      </c>
      <c r="AK683" t="str" cm="1">
        <f t="array" ref="AK683">_xlfn.IFS(V683=1,"Low",V683=2,"Medium",V683=3,"High",V683=4,"Very High")</f>
        <v>Medium</v>
      </c>
      <c r="AL683" t="str" cm="1">
        <f t="array" ref="AL683">_xlfn.IFS(Z683=1,"Bad",Z683=2,"Good",Z683=3,"Better",Z683=4,"Best")</f>
        <v>Better</v>
      </c>
      <c r="AM683" t="str" cm="1">
        <f t="array" ref="AM683">_xlfn.IFS(W683=0,"No_stock",W683=1,"Low",W683=2,"Medium",W683=3,"High")</f>
        <v>Low</v>
      </c>
      <c r="AN683" t="str">
        <f t="shared" si="10"/>
        <v>Near</v>
      </c>
    </row>
    <row r="684" spans="1:40" x14ac:dyDescent="0.45">
      <c r="A684">
        <v>32</v>
      </c>
      <c r="B684" t="s">
        <v>37</v>
      </c>
      <c r="C684" t="s">
        <v>49</v>
      </c>
      <c r="D684">
        <v>1184</v>
      </c>
      <c r="E684" t="s">
        <v>39</v>
      </c>
      <c r="F684">
        <v>1</v>
      </c>
      <c r="G684">
        <v>3</v>
      </c>
      <c r="H684" t="s">
        <v>33</v>
      </c>
      <c r="I684">
        <v>951</v>
      </c>
      <c r="J684">
        <v>3</v>
      </c>
      <c r="K684" t="s">
        <v>34</v>
      </c>
      <c r="L684">
        <v>2</v>
      </c>
      <c r="M684">
        <v>1</v>
      </c>
      <c r="N684" t="s">
        <v>44</v>
      </c>
      <c r="O684">
        <v>2</v>
      </c>
      <c r="P684" t="s">
        <v>42</v>
      </c>
      <c r="Q684">
        <v>2332</v>
      </c>
      <c r="R684">
        <v>6</v>
      </c>
      <c r="S684" t="s">
        <v>37</v>
      </c>
      <c r="T684">
        <v>20</v>
      </c>
      <c r="U684">
        <v>4</v>
      </c>
      <c r="V684">
        <v>3</v>
      </c>
      <c r="W684">
        <v>0</v>
      </c>
      <c r="X684">
        <v>5</v>
      </c>
      <c r="Y684">
        <v>3</v>
      </c>
      <c r="Z684">
        <v>3</v>
      </c>
      <c r="AA684">
        <v>3</v>
      </c>
      <c r="AB684">
        <v>0</v>
      </c>
      <c r="AC684">
        <v>0</v>
      </c>
      <c r="AD684">
        <v>2</v>
      </c>
      <c r="AE684" t="str" cm="1">
        <f t="array" ref="AE684">_xlfn.IFS(G684=1,"Before College",G684=2,"College",G684=3,"Bachelor",G684=4,"Master",G684=5,"Doctor")</f>
        <v>Bachelor</v>
      </c>
      <c r="AF684" t="str" cm="1">
        <f t="array" ref="AF684">_xlfn.IFS(J684=1,"Low",J684=2,"Medium",J684=3,"High",J684=4,"Very High")</f>
        <v>High</v>
      </c>
      <c r="AG684" t="str" cm="1">
        <f t="array" ref="AG684">_xlfn.IFS(L684=1,"Low",L684=2,"Medium",L684=3,"High",L684=4,"Very High")</f>
        <v>Medium</v>
      </c>
      <c r="AH684" t="str" cm="1">
        <f t="array" ref="AH684">_xlfn.IFS(M684=1,"Junior employee",M684=2,"Mid-level",M684=3,"Senior",M684=4,"Manager",M684=5,"Executive")</f>
        <v>Junior employee</v>
      </c>
      <c r="AI684" t="str" cm="1">
        <f t="array" ref="AI684">_xlfn.IFS(O684=1,"Low",O684=2,"Medium",O684=3,"High",O684=4,"Very High")</f>
        <v>Medium</v>
      </c>
      <c r="AJ684" t="str" cm="1">
        <f t="array" ref="AJ684">_xlfn.IFS(U684=1,"Low",U684=2,"Good",U684=3,"Excellent",U684=4,"Outstanding")</f>
        <v>Outstanding</v>
      </c>
      <c r="AK684" t="str" cm="1">
        <f t="array" ref="AK684">_xlfn.IFS(V684=1,"Low",V684=2,"Medium",V684=3,"High",V684=4,"Very High")</f>
        <v>High</v>
      </c>
      <c r="AL684" t="str" cm="1">
        <f t="array" ref="AL684">_xlfn.IFS(Z684=1,"Bad",Z684=2,"Good",Z684=3,"Better",Z684=4,"Best")</f>
        <v>Better</v>
      </c>
      <c r="AM684" t="str" cm="1">
        <f t="array" ref="AM684">_xlfn.IFS(W684=0,"No_stock",W684=1,"Low",W684=2,"Medium",W684=3,"High")</f>
        <v>No_stock</v>
      </c>
      <c r="AN684" t="str">
        <f t="shared" si="10"/>
        <v>Near</v>
      </c>
    </row>
    <row r="685" spans="1:40" x14ac:dyDescent="0.45">
      <c r="A685">
        <v>25</v>
      </c>
      <c r="B685" t="s">
        <v>30</v>
      </c>
      <c r="C685" t="s">
        <v>31</v>
      </c>
      <c r="D685">
        <v>867</v>
      </c>
      <c r="E685" t="s">
        <v>32</v>
      </c>
      <c r="F685">
        <v>19</v>
      </c>
      <c r="G685">
        <v>2</v>
      </c>
      <c r="H685" t="s">
        <v>53</v>
      </c>
      <c r="I685">
        <v>952</v>
      </c>
      <c r="J685">
        <v>3</v>
      </c>
      <c r="K685" t="s">
        <v>40</v>
      </c>
      <c r="L685">
        <v>2</v>
      </c>
      <c r="M685">
        <v>1</v>
      </c>
      <c r="N685" t="s">
        <v>51</v>
      </c>
      <c r="O685">
        <v>2</v>
      </c>
      <c r="P685" t="s">
        <v>42</v>
      </c>
      <c r="Q685">
        <v>2413</v>
      </c>
      <c r="R685">
        <v>1</v>
      </c>
      <c r="S685" t="s">
        <v>30</v>
      </c>
      <c r="T685">
        <v>18</v>
      </c>
      <c r="U685">
        <v>3</v>
      </c>
      <c r="V685">
        <v>3</v>
      </c>
      <c r="W685">
        <v>3</v>
      </c>
      <c r="X685">
        <v>1</v>
      </c>
      <c r="Y685">
        <v>2</v>
      </c>
      <c r="Z685">
        <v>3</v>
      </c>
      <c r="AA685">
        <v>1</v>
      </c>
      <c r="AB685">
        <v>0</v>
      </c>
      <c r="AC685">
        <v>0</v>
      </c>
      <c r="AD685">
        <v>0</v>
      </c>
      <c r="AE685" t="str" cm="1">
        <f t="array" ref="AE685">_xlfn.IFS(G685=1,"Before College",G685=2,"College",G685=3,"Bachelor",G685=4,"Master",G685=5,"Doctor")</f>
        <v>College</v>
      </c>
      <c r="AF685" t="str" cm="1">
        <f t="array" ref="AF685">_xlfn.IFS(J685=1,"Low",J685=2,"Medium",J685=3,"High",J685=4,"Very High")</f>
        <v>High</v>
      </c>
      <c r="AG685" t="str" cm="1">
        <f t="array" ref="AG685">_xlfn.IFS(L685=1,"Low",L685=2,"Medium",L685=3,"High",L685=4,"Very High")</f>
        <v>Medium</v>
      </c>
      <c r="AH685" t="str" cm="1">
        <f t="array" ref="AH685">_xlfn.IFS(M685=1,"Junior employee",M685=2,"Mid-level",M685=3,"Senior",M685=4,"Manager",M685=5,"Executive")</f>
        <v>Junior employee</v>
      </c>
      <c r="AI685" t="str" cm="1">
        <f t="array" ref="AI685">_xlfn.IFS(O685=1,"Low",O685=2,"Medium",O685=3,"High",O685=4,"Very High")</f>
        <v>Medium</v>
      </c>
      <c r="AJ685" t="str" cm="1">
        <f t="array" ref="AJ685">_xlfn.IFS(U685=1,"Low",U685=2,"Good",U685=3,"Excellent",U685=4,"Outstanding")</f>
        <v>Excellent</v>
      </c>
      <c r="AK685" t="str" cm="1">
        <f t="array" ref="AK685">_xlfn.IFS(V685=1,"Low",V685=2,"Medium",V685=3,"High",V685=4,"Very High")</f>
        <v>High</v>
      </c>
      <c r="AL685" t="str" cm="1">
        <f t="array" ref="AL685">_xlfn.IFS(Z685=1,"Bad",Z685=2,"Good",Z685=3,"Better",Z685=4,"Best")</f>
        <v>Better</v>
      </c>
      <c r="AM685" t="str" cm="1">
        <f t="array" ref="AM685">_xlfn.IFS(W685=0,"No_stock",W685=1,"Low",W685=2,"Medium",W685=3,"High")</f>
        <v>High</v>
      </c>
      <c r="AN685" t="str">
        <f t="shared" si="10"/>
        <v>Far</v>
      </c>
    </row>
    <row r="686" spans="1:40" x14ac:dyDescent="0.45">
      <c r="A686">
        <v>40</v>
      </c>
      <c r="B686" t="s">
        <v>37</v>
      </c>
      <c r="C686" t="s">
        <v>31</v>
      </c>
      <c r="D686">
        <v>658</v>
      </c>
      <c r="E686" t="s">
        <v>32</v>
      </c>
      <c r="F686">
        <v>10</v>
      </c>
      <c r="G686">
        <v>4</v>
      </c>
      <c r="H686" t="s">
        <v>53</v>
      </c>
      <c r="I686">
        <v>954</v>
      </c>
      <c r="J686">
        <v>1</v>
      </c>
      <c r="K686" t="s">
        <v>40</v>
      </c>
      <c r="L686">
        <v>2</v>
      </c>
      <c r="M686">
        <v>3</v>
      </c>
      <c r="N686" t="s">
        <v>35</v>
      </c>
      <c r="O686">
        <v>2</v>
      </c>
      <c r="P686" t="s">
        <v>46</v>
      </c>
      <c r="Q686">
        <v>9705</v>
      </c>
      <c r="R686">
        <v>2</v>
      </c>
      <c r="S686" t="s">
        <v>37</v>
      </c>
      <c r="T686">
        <v>12</v>
      </c>
      <c r="U686">
        <v>3</v>
      </c>
      <c r="V686">
        <v>2</v>
      </c>
      <c r="W686">
        <v>1</v>
      </c>
      <c r="X686">
        <v>11</v>
      </c>
      <c r="Y686">
        <v>2</v>
      </c>
      <c r="Z686">
        <v>2</v>
      </c>
      <c r="AA686">
        <v>1</v>
      </c>
      <c r="AB686">
        <v>0</v>
      </c>
      <c r="AC686">
        <v>0</v>
      </c>
      <c r="AD686">
        <v>0</v>
      </c>
      <c r="AE686" t="str" cm="1">
        <f t="array" ref="AE686">_xlfn.IFS(G686=1,"Before College",G686=2,"College",G686=3,"Bachelor",G686=4,"Master",G686=5,"Doctor")</f>
        <v>Master</v>
      </c>
      <c r="AF686" t="str" cm="1">
        <f t="array" ref="AF686">_xlfn.IFS(J686=1,"Low",J686=2,"Medium",J686=3,"High",J686=4,"Very High")</f>
        <v>Low</v>
      </c>
      <c r="AG686" t="str" cm="1">
        <f t="array" ref="AG686">_xlfn.IFS(L686=1,"Low",L686=2,"Medium",L686=3,"High",L686=4,"Very High")</f>
        <v>Medium</v>
      </c>
      <c r="AH686" t="str" cm="1">
        <f t="array" ref="AH686">_xlfn.IFS(M686=1,"Junior employee",M686=2,"Mid-level",M686=3,"Senior",M686=4,"Manager",M686=5,"Executive")</f>
        <v>Senior</v>
      </c>
      <c r="AI686" t="str" cm="1">
        <f t="array" ref="AI686">_xlfn.IFS(O686=1,"Low",O686=2,"Medium",O686=3,"High",O686=4,"Very High")</f>
        <v>Medium</v>
      </c>
      <c r="AJ686" t="str" cm="1">
        <f t="array" ref="AJ686">_xlfn.IFS(U686=1,"Low",U686=2,"Good",U686=3,"Excellent",U686=4,"Outstanding")</f>
        <v>Excellent</v>
      </c>
      <c r="AK686" t="str" cm="1">
        <f t="array" ref="AK686">_xlfn.IFS(V686=1,"Low",V686=2,"Medium",V686=3,"High",V686=4,"Very High")</f>
        <v>Medium</v>
      </c>
      <c r="AL686" t="str" cm="1">
        <f t="array" ref="AL686">_xlfn.IFS(Z686=1,"Bad",Z686=2,"Good",Z686=3,"Better",Z686=4,"Best")</f>
        <v>Good</v>
      </c>
      <c r="AM686" t="str" cm="1">
        <f t="array" ref="AM686">_xlfn.IFS(W686=0,"No_stock",W686=1,"Low",W686=2,"Medium",W686=3,"High")</f>
        <v>Low</v>
      </c>
      <c r="AN686" t="str">
        <f t="shared" si="10"/>
        <v>Medium</v>
      </c>
    </row>
    <row r="687" spans="1:40" x14ac:dyDescent="0.45">
      <c r="A687">
        <v>26</v>
      </c>
      <c r="B687" t="s">
        <v>37</v>
      </c>
      <c r="C687" t="s">
        <v>38</v>
      </c>
      <c r="D687">
        <v>1283</v>
      </c>
      <c r="E687" t="s">
        <v>32</v>
      </c>
      <c r="F687">
        <v>1</v>
      </c>
      <c r="G687">
        <v>3</v>
      </c>
      <c r="H687" t="s">
        <v>45</v>
      </c>
      <c r="I687">
        <v>956</v>
      </c>
      <c r="J687">
        <v>3</v>
      </c>
      <c r="K687" t="s">
        <v>40</v>
      </c>
      <c r="L687">
        <v>2</v>
      </c>
      <c r="M687">
        <v>2</v>
      </c>
      <c r="N687" t="s">
        <v>35</v>
      </c>
      <c r="O687">
        <v>1</v>
      </c>
      <c r="P687" t="s">
        <v>36</v>
      </c>
      <c r="Q687">
        <v>4294</v>
      </c>
      <c r="R687">
        <v>1</v>
      </c>
      <c r="S687" t="s">
        <v>37</v>
      </c>
      <c r="T687">
        <v>12</v>
      </c>
      <c r="U687">
        <v>3</v>
      </c>
      <c r="V687">
        <v>2</v>
      </c>
      <c r="W687">
        <v>0</v>
      </c>
      <c r="X687">
        <v>7</v>
      </c>
      <c r="Y687">
        <v>2</v>
      </c>
      <c r="Z687">
        <v>3</v>
      </c>
      <c r="AA687">
        <v>7</v>
      </c>
      <c r="AB687">
        <v>7</v>
      </c>
      <c r="AC687">
        <v>0</v>
      </c>
      <c r="AD687">
        <v>7</v>
      </c>
      <c r="AE687" t="str" cm="1">
        <f t="array" ref="AE687">_xlfn.IFS(G687=1,"Before College",G687=2,"College",G687=3,"Bachelor",G687=4,"Master",G687=5,"Doctor")</f>
        <v>Bachelor</v>
      </c>
      <c r="AF687" t="str" cm="1">
        <f t="array" ref="AF687">_xlfn.IFS(J687=1,"Low",J687=2,"Medium",J687=3,"High",J687=4,"Very High")</f>
        <v>High</v>
      </c>
      <c r="AG687" t="str" cm="1">
        <f t="array" ref="AG687">_xlfn.IFS(L687=1,"Low",L687=2,"Medium",L687=3,"High",L687=4,"Very High")</f>
        <v>Medium</v>
      </c>
      <c r="AH687" t="str" cm="1">
        <f t="array" ref="AH687">_xlfn.IFS(M687=1,"Junior employee",M687=2,"Mid-level",M687=3,"Senior",M687=4,"Manager",M687=5,"Executive")</f>
        <v>Mid-level</v>
      </c>
      <c r="AI687" t="str" cm="1">
        <f t="array" ref="AI687">_xlfn.IFS(O687=1,"Low",O687=2,"Medium",O687=3,"High",O687=4,"Very High")</f>
        <v>Low</v>
      </c>
      <c r="AJ687" t="str" cm="1">
        <f t="array" ref="AJ687">_xlfn.IFS(U687=1,"Low",U687=2,"Good",U687=3,"Excellent",U687=4,"Outstanding")</f>
        <v>Excellent</v>
      </c>
      <c r="AK687" t="str" cm="1">
        <f t="array" ref="AK687">_xlfn.IFS(V687=1,"Low",V687=2,"Medium",V687=3,"High",V687=4,"Very High")</f>
        <v>Medium</v>
      </c>
      <c r="AL687" t="str" cm="1">
        <f t="array" ref="AL687">_xlfn.IFS(Z687=1,"Bad",Z687=2,"Good",Z687=3,"Better",Z687=4,"Best")</f>
        <v>Better</v>
      </c>
      <c r="AM687" t="str" cm="1">
        <f t="array" ref="AM687">_xlfn.IFS(W687=0,"No_stock",W687=1,"Low",W687=2,"Medium",W687=3,"High")</f>
        <v>No_stock</v>
      </c>
      <c r="AN687" t="str">
        <f t="shared" si="10"/>
        <v>Near</v>
      </c>
    </row>
    <row r="688" spans="1:40" x14ac:dyDescent="0.45">
      <c r="A688">
        <v>41</v>
      </c>
      <c r="B688" t="s">
        <v>37</v>
      </c>
      <c r="C688" t="s">
        <v>31</v>
      </c>
      <c r="D688">
        <v>263</v>
      </c>
      <c r="E688" t="s">
        <v>39</v>
      </c>
      <c r="F688">
        <v>6</v>
      </c>
      <c r="G688">
        <v>3</v>
      </c>
      <c r="H688" t="s">
        <v>45</v>
      </c>
      <c r="I688">
        <v>957</v>
      </c>
      <c r="J688">
        <v>4</v>
      </c>
      <c r="K688" t="s">
        <v>40</v>
      </c>
      <c r="L688">
        <v>3</v>
      </c>
      <c r="M688">
        <v>1</v>
      </c>
      <c r="N688" t="s">
        <v>44</v>
      </c>
      <c r="O688">
        <v>1</v>
      </c>
      <c r="P688" t="s">
        <v>36</v>
      </c>
      <c r="Q688">
        <v>4721</v>
      </c>
      <c r="R688">
        <v>2</v>
      </c>
      <c r="S688" t="s">
        <v>30</v>
      </c>
      <c r="T688">
        <v>13</v>
      </c>
      <c r="U688">
        <v>3</v>
      </c>
      <c r="V688">
        <v>3</v>
      </c>
      <c r="W688">
        <v>0</v>
      </c>
      <c r="X688">
        <v>20</v>
      </c>
      <c r="Y688">
        <v>3</v>
      </c>
      <c r="Z688">
        <v>3</v>
      </c>
      <c r="AA688">
        <v>18</v>
      </c>
      <c r="AB688">
        <v>13</v>
      </c>
      <c r="AC688">
        <v>2</v>
      </c>
      <c r="AD688">
        <v>17</v>
      </c>
      <c r="AE688" t="str" cm="1">
        <f t="array" ref="AE688">_xlfn.IFS(G688=1,"Before College",G688=2,"College",G688=3,"Bachelor",G688=4,"Master",G688=5,"Doctor")</f>
        <v>Bachelor</v>
      </c>
      <c r="AF688" t="str" cm="1">
        <f t="array" ref="AF688">_xlfn.IFS(J688=1,"Low",J688=2,"Medium",J688=3,"High",J688=4,"Very High")</f>
        <v>Very High</v>
      </c>
      <c r="AG688" t="str" cm="1">
        <f t="array" ref="AG688">_xlfn.IFS(L688=1,"Low",L688=2,"Medium",L688=3,"High",L688=4,"Very High")</f>
        <v>High</v>
      </c>
      <c r="AH688" t="str" cm="1">
        <f t="array" ref="AH688">_xlfn.IFS(M688=1,"Junior employee",M688=2,"Mid-level",M688=3,"Senior",M688=4,"Manager",M688=5,"Executive")</f>
        <v>Junior employee</v>
      </c>
      <c r="AI688" t="str" cm="1">
        <f t="array" ref="AI688">_xlfn.IFS(O688=1,"Low",O688=2,"Medium",O688=3,"High",O688=4,"Very High")</f>
        <v>Low</v>
      </c>
      <c r="AJ688" t="str" cm="1">
        <f t="array" ref="AJ688">_xlfn.IFS(U688=1,"Low",U688=2,"Good",U688=3,"Excellent",U688=4,"Outstanding")</f>
        <v>Excellent</v>
      </c>
      <c r="AK688" t="str" cm="1">
        <f t="array" ref="AK688">_xlfn.IFS(V688=1,"Low",V688=2,"Medium",V688=3,"High",V688=4,"Very High")</f>
        <v>High</v>
      </c>
      <c r="AL688" t="str" cm="1">
        <f t="array" ref="AL688">_xlfn.IFS(Z688=1,"Bad",Z688=2,"Good",Z688=3,"Better",Z688=4,"Best")</f>
        <v>Better</v>
      </c>
      <c r="AM688" t="str" cm="1">
        <f t="array" ref="AM688">_xlfn.IFS(W688=0,"No_stock",W688=1,"Low",W688=2,"Medium",W688=3,"High")</f>
        <v>No_stock</v>
      </c>
      <c r="AN688" t="str">
        <f t="shared" si="10"/>
        <v>Medium</v>
      </c>
    </row>
    <row r="689" spans="1:40" x14ac:dyDescent="0.45">
      <c r="A689">
        <v>36</v>
      </c>
      <c r="B689" t="s">
        <v>37</v>
      </c>
      <c r="C689" t="s">
        <v>31</v>
      </c>
      <c r="D689">
        <v>938</v>
      </c>
      <c r="E689" t="s">
        <v>39</v>
      </c>
      <c r="F689">
        <v>2</v>
      </c>
      <c r="G689">
        <v>4</v>
      </c>
      <c r="H689" t="s">
        <v>45</v>
      </c>
      <c r="I689">
        <v>958</v>
      </c>
      <c r="J689">
        <v>3</v>
      </c>
      <c r="K689" t="s">
        <v>40</v>
      </c>
      <c r="L689">
        <v>3</v>
      </c>
      <c r="M689">
        <v>1</v>
      </c>
      <c r="N689" t="s">
        <v>44</v>
      </c>
      <c r="O689">
        <v>3</v>
      </c>
      <c r="P689" t="s">
        <v>36</v>
      </c>
      <c r="Q689">
        <v>2519</v>
      </c>
      <c r="R689">
        <v>4</v>
      </c>
      <c r="S689" t="s">
        <v>37</v>
      </c>
      <c r="T689">
        <v>21</v>
      </c>
      <c r="U689">
        <v>4</v>
      </c>
      <c r="V689">
        <v>3</v>
      </c>
      <c r="W689">
        <v>0</v>
      </c>
      <c r="X689">
        <v>16</v>
      </c>
      <c r="Y689">
        <v>6</v>
      </c>
      <c r="Z689">
        <v>3</v>
      </c>
      <c r="AA689">
        <v>11</v>
      </c>
      <c r="AB689">
        <v>8</v>
      </c>
      <c r="AC689">
        <v>3</v>
      </c>
      <c r="AD689">
        <v>9</v>
      </c>
      <c r="AE689" t="str" cm="1">
        <f t="array" ref="AE689">_xlfn.IFS(G689=1,"Before College",G689=2,"College",G689=3,"Bachelor",G689=4,"Master",G689=5,"Doctor")</f>
        <v>Master</v>
      </c>
      <c r="AF689" t="str" cm="1">
        <f t="array" ref="AF689">_xlfn.IFS(J689=1,"Low",J689=2,"Medium",J689=3,"High",J689=4,"Very High")</f>
        <v>High</v>
      </c>
      <c r="AG689" t="str" cm="1">
        <f t="array" ref="AG689">_xlfn.IFS(L689=1,"Low",L689=2,"Medium",L689=3,"High",L689=4,"Very High")</f>
        <v>High</v>
      </c>
      <c r="AH689" t="str" cm="1">
        <f t="array" ref="AH689">_xlfn.IFS(M689=1,"Junior employee",M689=2,"Mid-level",M689=3,"Senior",M689=4,"Manager",M689=5,"Executive")</f>
        <v>Junior employee</v>
      </c>
      <c r="AI689" t="str" cm="1">
        <f t="array" ref="AI689">_xlfn.IFS(O689=1,"Low",O689=2,"Medium",O689=3,"High",O689=4,"Very High")</f>
        <v>High</v>
      </c>
      <c r="AJ689" t="str" cm="1">
        <f t="array" ref="AJ689">_xlfn.IFS(U689=1,"Low",U689=2,"Good",U689=3,"Excellent",U689=4,"Outstanding")</f>
        <v>Outstanding</v>
      </c>
      <c r="AK689" t="str" cm="1">
        <f t="array" ref="AK689">_xlfn.IFS(V689=1,"Low",V689=2,"Medium",V689=3,"High",V689=4,"Very High")</f>
        <v>High</v>
      </c>
      <c r="AL689" t="str" cm="1">
        <f t="array" ref="AL689">_xlfn.IFS(Z689=1,"Bad",Z689=2,"Good",Z689=3,"Better",Z689=4,"Best")</f>
        <v>Better</v>
      </c>
      <c r="AM689" t="str" cm="1">
        <f t="array" ref="AM689">_xlfn.IFS(W689=0,"No_stock",W689=1,"Low",W689=2,"Medium",W689=3,"High")</f>
        <v>No_stock</v>
      </c>
      <c r="AN689" t="str">
        <f t="shared" si="10"/>
        <v>Near</v>
      </c>
    </row>
    <row r="690" spans="1:40" x14ac:dyDescent="0.45">
      <c r="A690">
        <v>19</v>
      </c>
      <c r="B690" t="s">
        <v>30</v>
      </c>
      <c r="C690" t="s">
        <v>31</v>
      </c>
      <c r="D690">
        <v>419</v>
      </c>
      <c r="E690" t="s">
        <v>32</v>
      </c>
      <c r="F690">
        <v>21</v>
      </c>
      <c r="G690">
        <v>3</v>
      </c>
      <c r="H690" t="s">
        <v>43</v>
      </c>
      <c r="I690">
        <v>959</v>
      </c>
      <c r="J690">
        <v>4</v>
      </c>
      <c r="K690" t="s">
        <v>40</v>
      </c>
      <c r="L690">
        <v>2</v>
      </c>
      <c r="M690">
        <v>1</v>
      </c>
      <c r="N690" t="s">
        <v>51</v>
      </c>
      <c r="O690">
        <v>2</v>
      </c>
      <c r="P690" t="s">
        <v>36</v>
      </c>
      <c r="Q690">
        <v>2121</v>
      </c>
      <c r="R690">
        <v>1</v>
      </c>
      <c r="S690" t="s">
        <v>30</v>
      </c>
      <c r="T690">
        <v>13</v>
      </c>
      <c r="U690">
        <v>3</v>
      </c>
      <c r="V690">
        <v>2</v>
      </c>
      <c r="W690">
        <v>0</v>
      </c>
      <c r="X690">
        <v>1</v>
      </c>
      <c r="Y690">
        <v>3</v>
      </c>
      <c r="Z690">
        <v>4</v>
      </c>
      <c r="AA690">
        <v>1</v>
      </c>
      <c r="AB690">
        <v>0</v>
      </c>
      <c r="AC690">
        <v>0</v>
      </c>
      <c r="AD690">
        <v>0</v>
      </c>
      <c r="AE690" t="str" cm="1">
        <f t="array" ref="AE690">_xlfn.IFS(G690=1,"Before College",G690=2,"College",G690=3,"Bachelor",G690=4,"Master",G690=5,"Doctor")</f>
        <v>Bachelor</v>
      </c>
      <c r="AF690" t="str" cm="1">
        <f t="array" ref="AF690">_xlfn.IFS(J690=1,"Low",J690=2,"Medium",J690=3,"High",J690=4,"Very High")</f>
        <v>Very High</v>
      </c>
      <c r="AG690" t="str" cm="1">
        <f t="array" ref="AG690">_xlfn.IFS(L690=1,"Low",L690=2,"Medium",L690=3,"High",L690=4,"Very High")</f>
        <v>Medium</v>
      </c>
      <c r="AH690" t="str" cm="1">
        <f t="array" ref="AH690">_xlfn.IFS(M690=1,"Junior employee",M690=2,"Mid-level",M690=3,"Senior",M690=4,"Manager",M690=5,"Executive")</f>
        <v>Junior employee</v>
      </c>
      <c r="AI690" t="str" cm="1">
        <f t="array" ref="AI690">_xlfn.IFS(O690=1,"Low",O690=2,"Medium",O690=3,"High",O690=4,"Very High")</f>
        <v>Medium</v>
      </c>
      <c r="AJ690" t="str" cm="1">
        <f t="array" ref="AJ690">_xlfn.IFS(U690=1,"Low",U690=2,"Good",U690=3,"Excellent",U690=4,"Outstanding")</f>
        <v>Excellent</v>
      </c>
      <c r="AK690" t="str" cm="1">
        <f t="array" ref="AK690">_xlfn.IFS(V690=1,"Low",V690=2,"Medium",V690=3,"High",V690=4,"Very High")</f>
        <v>Medium</v>
      </c>
      <c r="AL690" t="str" cm="1">
        <f t="array" ref="AL690">_xlfn.IFS(Z690=1,"Bad",Z690=2,"Good",Z690=3,"Better",Z690=4,"Best")</f>
        <v>Best</v>
      </c>
      <c r="AM690" t="str" cm="1">
        <f t="array" ref="AM690">_xlfn.IFS(W690=0,"No_stock",W690=1,"Low",W690=2,"Medium",W690=3,"High")</f>
        <v>No_stock</v>
      </c>
      <c r="AN690" t="str">
        <f t="shared" si="10"/>
        <v>Far</v>
      </c>
    </row>
    <row r="691" spans="1:40" x14ac:dyDescent="0.45">
      <c r="A691">
        <v>20</v>
      </c>
      <c r="B691" t="s">
        <v>30</v>
      </c>
      <c r="C691" t="s">
        <v>31</v>
      </c>
      <c r="D691">
        <v>129</v>
      </c>
      <c r="E691" t="s">
        <v>39</v>
      </c>
      <c r="F691">
        <v>4</v>
      </c>
      <c r="G691">
        <v>3</v>
      </c>
      <c r="H691" t="s">
        <v>54</v>
      </c>
      <c r="I691">
        <v>960</v>
      </c>
      <c r="J691">
        <v>1</v>
      </c>
      <c r="K691" t="s">
        <v>40</v>
      </c>
      <c r="L691">
        <v>3</v>
      </c>
      <c r="M691">
        <v>1</v>
      </c>
      <c r="N691" t="s">
        <v>44</v>
      </c>
      <c r="O691">
        <v>1</v>
      </c>
      <c r="P691" t="s">
        <v>36</v>
      </c>
      <c r="Q691">
        <v>2973</v>
      </c>
      <c r="R691">
        <v>1</v>
      </c>
      <c r="S691" t="s">
        <v>37</v>
      </c>
      <c r="T691">
        <v>19</v>
      </c>
      <c r="U691">
        <v>3</v>
      </c>
      <c r="V691">
        <v>2</v>
      </c>
      <c r="W691">
        <v>0</v>
      </c>
      <c r="X691">
        <v>1</v>
      </c>
      <c r="Y691">
        <v>2</v>
      </c>
      <c r="Z691">
        <v>3</v>
      </c>
      <c r="AA691">
        <v>1</v>
      </c>
      <c r="AB691">
        <v>0</v>
      </c>
      <c r="AC691">
        <v>0</v>
      </c>
      <c r="AD691">
        <v>0</v>
      </c>
      <c r="AE691" t="str" cm="1">
        <f t="array" ref="AE691">_xlfn.IFS(G691=1,"Before College",G691=2,"College",G691=3,"Bachelor",G691=4,"Master",G691=5,"Doctor")</f>
        <v>Bachelor</v>
      </c>
      <c r="AF691" t="str" cm="1">
        <f t="array" ref="AF691">_xlfn.IFS(J691=1,"Low",J691=2,"Medium",J691=3,"High",J691=4,"Very High")</f>
        <v>Low</v>
      </c>
      <c r="AG691" t="str" cm="1">
        <f t="array" ref="AG691">_xlfn.IFS(L691=1,"Low",L691=2,"Medium",L691=3,"High",L691=4,"Very High")</f>
        <v>High</v>
      </c>
      <c r="AH691" t="str" cm="1">
        <f t="array" ref="AH691">_xlfn.IFS(M691=1,"Junior employee",M691=2,"Mid-level",M691=3,"Senior",M691=4,"Manager",M691=5,"Executive")</f>
        <v>Junior employee</v>
      </c>
      <c r="AI691" t="str" cm="1">
        <f t="array" ref="AI691">_xlfn.IFS(O691=1,"Low",O691=2,"Medium",O691=3,"High",O691=4,"Very High")</f>
        <v>Low</v>
      </c>
      <c r="AJ691" t="str" cm="1">
        <f t="array" ref="AJ691">_xlfn.IFS(U691=1,"Low",U691=2,"Good",U691=3,"Excellent",U691=4,"Outstanding")</f>
        <v>Excellent</v>
      </c>
      <c r="AK691" t="str" cm="1">
        <f t="array" ref="AK691">_xlfn.IFS(V691=1,"Low",V691=2,"Medium",V691=3,"High",V691=4,"Very High")</f>
        <v>Medium</v>
      </c>
      <c r="AL691" t="str" cm="1">
        <f t="array" ref="AL691">_xlfn.IFS(Z691=1,"Bad",Z691=2,"Good",Z691=3,"Better",Z691=4,"Best")</f>
        <v>Better</v>
      </c>
      <c r="AM691" t="str" cm="1">
        <f t="array" ref="AM691">_xlfn.IFS(W691=0,"No_stock",W691=1,"Low",W691=2,"Medium",W691=3,"High")</f>
        <v>No_stock</v>
      </c>
      <c r="AN691" t="str">
        <f t="shared" si="10"/>
        <v>Near</v>
      </c>
    </row>
    <row r="692" spans="1:40" x14ac:dyDescent="0.45">
      <c r="A692">
        <v>31</v>
      </c>
      <c r="B692" t="s">
        <v>37</v>
      </c>
      <c r="C692" t="s">
        <v>31</v>
      </c>
      <c r="D692">
        <v>616</v>
      </c>
      <c r="E692" t="s">
        <v>39</v>
      </c>
      <c r="F692">
        <v>12</v>
      </c>
      <c r="G692">
        <v>3</v>
      </c>
      <c r="H692" t="s">
        <v>45</v>
      </c>
      <c r="I692">
        <v>961</v>
      </c>
      <c r="J692">
        <v>4</v>
      </c>
      <c r="K692" t="s">
        <v>34</v>
      </c>
      <c r="L692">
        <v>3</v>
      </c>
      <c r="M692">
        <v>2</v>
      </c>
      <c r="N692" t="s">
        <v>48</v>
      </c>
      <c r="O692">
        <v>4</v>
      </c>
      <c r="P692" t="s">
        <v>42</v>
      </c>
      <c r="Q692">
        <v>5855</v>
      </c>
      <c r="R692">
        <v>0</v>
      </c>
      <c r="S692" t="s">
        <v>30</v>
      </c>
      <c r="T692">
        <v>11</v>
      </c>
      <c r="U692">
        <v>3</v>
      </c>
      <c r="V692">
        <v>3</v>
      </c>
      <c r="W692">
        <v>2</v>
      </c>
      <c r="X692">
        <v>10</v>
      </c>
      <c r="Y692">
        <v>2</v>
      </c>
      <c r="Z692">
        <v>1</v>
      </c>
      <c r="AA692">
        <v>9</v>
      </c>
      <c r="AB692">
        <v>7</v>
      </c>
      <c r="AC692">
        <v>8</v>
      </c>
      <c r="AD692">
        <v>5</v>
      </c>
      <c r="AE692" t="str" cm="1">
        <f t="array" ref="AE692">_xlfn.IFS(G692=1,"Before College",G692=2,"College",G692=3,"Bachelor",G692=4,"Master",G692=5,"Doctor")</f>
        <v>Bachelor</v>
      </c>
      <c r="AF692" t="str" cm="1">
        <f t="array" ref="AF692">_xlfn.IFS(J692=1,"Low",J692=2,"Medium",J692=3,"High",J692=4,"Very High")</f>
        <v>Very High</v>
      </c>
      <c r="AG692" t="str" cm="1">
        <f t="array" ref="AG692">_xlfn.IFS(L692=1,"Low",L692=2,"Medium",L692=3,"High",L692=4,"Very High")</f>
        <v>High</v>
      </c>
      <c r="AH692" t="str" cm="1">
        <f t="array" ref="AH692">_xlfn.IFS(M692=1,"Junior employee",M692=2,"Mid-level",M692=3,"Senior",M692=4,"Manager",M692=5,"Executive")</f>
        <v>Mid-level</v>
      </c>
      <c r="AI692" t="str" cm="1">
        <f t="array" ref="AI692">_xlfn.IFS(O692=1,"Low",O692=2,"Medium",O692=3,"High",O692=4,"Very High")</f>
        <v>Very High</v>
      </c>
      <c r="AJ692" t="str" cm="1">
        <f t="array" ref="AJ692">_xlfn.IFS(U692=1,"Low",U692=2,"Good",U692=3,"Excellent",U692=4,"Outstanding")</f>
        <v>Excellent</v>
      </c>
      <c r="AK692" t="str" cm="1">
        <f t="array" ref="AK692">_xlfn.IFS(V692=1,"Low",V692=2,"Medium",V692=3,"High",V692=4,"Very High")</f>
        <v>High</v>
      </c>
      <c r="AL692" t="str" cm="1">
        <f t="array" ref="AL692">_xlfn.IFS(Z692=1,"Bad",Z692=2,"Good",Z692=3,"Better",Z692=4,"Best")</f>
        <v>Bad</v>
      </c>
      <c r="AM692" t="str" cm="1">
        <f t="array" ref="AM692">_xlfn.IFS(W692=0,"No_stock",W692=1,"Low",W692=2,"Medium",W692=3,"High")</f>
        <v>Medium</v>
      </c>
      <c r="AN692" t="str">
        <f t="shared" si="10"/>
        <v>Medium</v>
      </c>
    </row>
    <row r="693" spans="1:40" x14ac:dyDescent="0.45">
      <c r="A693">
        <v>40</v>
      </c>
      <c r="B693" t="s">
        <v>37</v>
      </c>
      <c r="C693" t="s">
        <v>38</v>
      </c>
      <c r="D693">
        <v>1469</v>
      </c>
      <c r="E693" t="s">
        <v>39</v>
      </c>
      <c r="F693">
        <v>9</v>
      </c>
      <c r="G693">
        <v>4</v>
      </c>
      <c r="H693" t="s">
        <v>45</v>
      </c>
      <c r="I693">
        <v>964</v>
      </c>
      <c r="J693">
        <v>4</v>
      </c>
      <c r="K693" t="s">
        <v>40</v>
      </c>
      <c r="L693">
        <v>3</v>
      </c>
      <c r="M693">
        <v>1</v>
      </c>
      <c r="N693" t="s">
        <v>41</v>
      </c>
      <c r="O693">
        <v>2</v>
      </c>
      <c r="P693" t="s">
        <v>46</v>
      </c>
      <c r="Q693">
        <v>3617</v>
      </c>
      <c r="R693">
        <v>8</v>
      </c>
      <c r="S693" t="s">
        <v>30</v>
      </c>
      <c r="T693">
        <v>14</v>
      </c>
      <c r="U693">
        <v>3</v>
      </c>
      <c r="V693">
        <v>4</v>
      </c>
      <c r="W693">
        <v>1</v>
      </c>
      <c r="X693">
        <v>3</v>
      </c>
      <c r="Y693">
        <v>2</v>
      </c>
      <c r="Z693">
        <v>3</v>
      </c>
      <c r="AA693">
        <v>1</v>
      </c>
      <c r="AB693">
        <v>1</v>
      </c>
      <c r="AC693">
        <v>0</v>
      </c>
      <c r="AD693">
        <v>0</v>
      </c>
      <c r="AE693" t="str" cm="1">
        <f t="array" ref="AE693">_xlfn.IFS(G693=1,"Before College",G693=2,"College",G693=3,"Bachelor",G693=4,"Master",G693=5,"Doctor")</f>
        <v>Master</v>
      </c>
      <c r="AF693" t="str" cm="1">
        <f t="array" ref="AF693">_xlfn.IFS(J693=1,"Low",J693=2,"Medium",J693=3,"High",J693=4,"Very High")</f>
        <v>Very High</v>
      </c>
      <c r="AG693" t="str" cm="1">
        <f t="array" ref="AG693">_xlfn.IFS(L693=1,"Low",L693=2,"Medium",L693=3,"High",L693=4,"Very High")</f>
        <v>High</v>
      </c>
      <c r="AH693" t="str" cm="1">
        <f t="array" ref="AH693">_xlfn.IFS(M693=1,"Junior employee",M693=2,"Mid-level",M693=3,"Senior",M693=4,"Manager",M693=5,"Executive")</f>
        <v>Junior employee</v>
      </c>
      <c r="AI693" t="str" cm="1">
        <f t="array" ref="AI693">_xlfn.IFS(O693=1,"Low",O693=2,"Medium",O693=3,"High",O693=4,"Very High")</f>
        <v>Medium</v>
      </c>
      <c r="AJ693" t="str" cm="1">
        <f t="array" ref="AJ693">_xlfn.IFS(U693=1,"Low",U693=2,"Good",U693=3,"Excellent",U693=4,"Outstanding")</f>
        <v>Excellent</v>
      </c>
      <c r="AK693" t="str" cm="1">
        <f t="array" ref="AK693">_xlfn.IFS(V693=1,"Low",V693=2,"Medium",V693=3,"High",V693=4,"Very High")</f>
        <v>Very High</v>
      </c>
      <c r="AL693" t="str" cm="1">
        <f t="array" ref="AL693">_xlfn.IFS(Z693=1,"Bad",Z693=2,"Good",Z693=3,"Better",Z693=4,"Best")</f>
        <v>Better</v>
      </c>
      <c r="AM693" t="str" cm="1">
        <f t="array" ref="AM693">_xlfn.IFS(W693=0,"No_stock",W693=1,"Low",W693=2,"Medium",W693=3,"High")</f>
        <v>Low</v>
      </c>
      <c r="AN693" t="str">
        <f t="shared" si="10"/>
        <v>Medium</v>
      </c>
    </row>
    <row r="694" spans="1:40" x14ac:dyDescent="0.45">
      <c r="A694">
        <v>32</v>
      </c>
      <c r="B694" t="s">
        <v>37</v>
      </c>
      <c r="C694" t="s">
        <v>31</v>
      </c>
      <c r="D694">
        <v>498</v>
      </c>
      <c r="E694" t="s">
        <v>39</v>
      </c>
      <c r="F694">
        <v>3</v>
      </c>
      <c r="G694">
        <v>4</v>
      </c>
      <c r="H694" t="s">
        <v>45</v>
      </c>
      <c r="I694">
        <v>966</v>
      </c>
      <c r="J694">
        <v>3</v>
      </c>
      <c r="K694" t="s">
        <v>34</v>
      </c>
      <c r="L694">
        <v>3</v>
      </c>
      <c r="M694">
        <v>2</v>
      </c>
      <c r="N694" t="s">
        <v>47</v>
      </c>
      <c r="O694">
        <v>1</v>
      </c>
      <c r="P694" t="s">
        <v>42</v>
      </c>
      <c r="Q694">
        <v>6725</v>
      </c>
      <c r="R694">
        <v>1</v>
      </c>
      <c r="S694" t="s">
        <v>37</v>
      </c>
      <c r="T694">
        <v>12</v>
      </c>
      <c r="U694">
        <v>3</v>
      </c>
      <c r="V694">
        <v>3</v>
      </c>
      <c r="W694">
        <v>1</v>
      </c>
      <c r="X694">
        <v>8</v>
      </c>
      <c r="Y694">
        <v>2</v>
      </c>
      <c r="Z694">
        <v>4</v>
      </c>
      <c r="AA694">
        <v>8</v>
      </c>
      <c r="AB694">
        <v>7</v>
      </c>
      <c r="AC694">
        <v>6</v>
      </c>
      <c r="AD694">
        <v>3</v>
      </c>
      <c r="AE694" t="str" cm="1">
        <f t="array" ref="AE694">_xlfn.IFS(G694=1,"Before College",G694=2,"College",G694=3,"Bachelor",G694=4,"Master",G694=5,"Doctor")</f>
        <v>Master</v>
      </c>
      <c r="AF694" t="str" cm="1">
        <f t="array" ref="AF694">_xlfn.IFS(J694=1,"Low",J694=2,"Medium",J694=3,"High",J694=4,"Very High")</f>
        <v>High</v>
      </c>
      <c r="AG694" t="str" cm="1">
        <f t="array" ref="AG694">_xlfn.IFS(L694=1,"Low",L694=2,"Medium",L694=3,"High",L694=4,"Very High")</f>
        <v>High</v>
      </c>
      <c r="AH694" t="str" cm="1">
        <f t="array" ref="AH694">_xlfn.IFS(M694=1,"Junior employee",M694=2,"Mid-level",M694=3,"Senior",M694=4,"Manager",M694=5,"Executive")</f>
        <v>Mid-level</v>
      </c>
      <c r="AI694" t="str" cm="1">
        <f t="array" ref="AI694">_xlfn.IFS(O694=1,"Low",O694=2,"Medium",O694=3,"High",O694=4,"Very High")</f>
        <v>Low</v>
      </c>
      <c r="AJ694" t="str" cm="1">
        <f t="array" ref="AJ694">_xlfn.IFS(U694=1,"Low",U694=2,"Good",U694=3,"Excellent",U694=4,"Outstanding")</f>
        <v>Excellent</v>
      </c>
      <c r="AK694" t="str" cm="1">
        <f t="array" ref="AK694">_xlfn.IFS(V694=1,"Low",V694=2,"Medium",V694=3,"High",V694=4,"Very High")</f>
        <v>High</v>
      </c>
      <c r="AL694" t="str" cm="1">
        <f t="array" ref="AL694">_xlfn.IFS(Z694=1,"Bad",Z694=2,"Good",Z694=3,"Better",Z694=4,"Best")</f>
        <v>Best</v>
      </c>
      <c r="AM694" t="str" cm="1">
        <f t="array" ref="AM694">_xlfn.IFS(W694=0,"No_stock",W694=1,"Low",W694=2,"Medium",W694=3,"High")</f>
        <v>Low</v>
      </c>
      <c r="AN694" t="str">
        <f t="shared" si="10"/>
        <v>Near</v>
      </c>
    </row>
    <row r="695" spans="1:40" x14ac:dyDescent="0.45">
      <c r="A695">
        <v>36</v>
      </c>
      <c r="B695" t="s">
        <v>30</v>
      </c>
      <c r="C695" t="s">
        <v>31</v>
      </c>
      <c r="D695">
        <v>530</v>
      </c>
      <c r="E695" t="s">
        <v>32</v>
      </c>
      <c r="F695">
        <v>3</v>
      </c>
      <c r="G695">
        <v>1</v>
      </c>
      <c r="H695" t="s">
        <v>33</v>
      </c>
      <c r="I695">
        <v>967</v>
      </c>
      <c r="J695">
        <v>3</v>
      </c>
      <c r="K695" t="s">
        <v>40</v>
      </c>
      <c r="L695">
        <v>2</v>
      </c>
      <c r="M695">
        <v>3</v>
      </c>
      <c r="N695" t="s">
        <v>35</v>
      </c>
      <c r="O695">
        <v>4</v>
      </c>
      <c r="P695" t="s">
        <v>42</v>
      </c>
      <c r="Q695">
        <v>10325</v>
      </c>
      <c r="R695">
        <v>1</v>
      </c>
      <c r="S695" t="s">
        <v>30</v>
      </c>
      <c r="T695">
        <v>11</v>
      </c>
      <c r="U695">
        <v>3</v>
      </c>
      <c r="V695">
        <v>1</v>
      </c>
      <c r="W695">
        <v>1</v>
      </c>
      <c r="X695">
        <v>16</v>
      </c>
      <c r="Y695">
        <v>6</v>
      </c>
      <c r="Z695">
        <v>3</v>
      </c>
      <c r="AA695">
        <v>16</v>
      </c>
      <c r="AB695">
        <v>7</v>
      </c>
      <c r="AC695">
        <v>3</v>
      </c>
      <c r="AD695">
        <v>7</v>
      </c>
      <c r="AE695" t="str" cm="1">
        <f t="array" ref="AE695">_xlfn.IFS(G695=1,"Before College",G695=2,"College",G695=3,"Bachelor",G695=4,"Master",G695=5,"Doctor")</f>
        <v>Before College</v>
      </c>
      <c r="AF695" t="str" cm="1">
        <f t="array" ref="AF695">_xlfn.IFS(J695=1,"Low",J695=2,"Medium",J695=3,"High",J695=4,"Very High")</f>
        <v>High</v>
      </c>
      <c r="AG695" t="str" cm="1">
        <f t="array" ref="AG695">_xlfn.IFS(L695=1,"Low",L695=2,"Medium",L695=3,"High",L695=4,"Very High")</f>
        <v>Medium</v>
      </c>
      <c r="AH695" t="str" cm="1">
        <f t="array" ref="AH695">_xlfn.IFS(M695=1,"Junior employee",M695=2,"Mid-level",M695=3,"Senior",M695=4,"Manager",M695=5,"Executive")</f>
        <v>Senior</v>
      </c>
      <c r="AI695" t="str" cm="1">
        <f t="array" ref="AI695">_xlfn.IFS(O695=1,"Low",O695=2,"Medium",O695=3,"High",O695=4,"Very High")</f>
        <v>Very High</v>
      </c>
      <c r="AJ695" t="str" cm="1">
        <f t="array" ref="AJ695">_xlfn.IFS(U695=1,"Low",U695=2,"Good",U695=3,"Excellent",U695=4,"Outstanding")</f>
        <v>Excellent</v>
      </c>
      <c r="AK695" t="str" cm="1">
        <f t="array" ref="AK695">_xlfn.IFS(V695=1,"Low",V695=2,"Medium",V695=3,"High",V695=4,"Very High")</f>
        <v>Low</v>
      </c>
      <c r="AL695" t="str" cm="1">
        <f t="array" ref="AL695">_xlfn.IFS(Z695=1,"Bad",Z695=2,"Good",Z695=3,"Better",Z695=4,"Best")</f>
        <v>Better</v>
      </c>
      <c r="AM695" t="str" cm="1">
        <f t="array" ref="AM695">_xlfn.IFS(W695=0,"No_stock",W695=1,"Low",W695=2,"Medium",W695=3,"High")</f>
        <v>Low</v>
      </c>
      <c r="AN695" t="str">
        <f t="shared" si="10"/>
        <v>Near</v>
      </c>
    </row>
    <row r="696" spans="1:40" x14ac:dyDescent="0.45">
      <c r="A696">
        <v>33</v>
      </c>
      <c r="B696" t="s">
        <v>37</v>
      </c>
      <c r="C696" t="s">
        <v>31</v>
      </c>
      <c r="D696">
        <v>1069</v>
      </c>
      <c r="E696" t="s">
        <v>39</v>
      </c>
      <c r="F696">
        <v>1</v>
      </c>
      <c r="G696">
        <v>3</v>
      </c>
      <c r="H696" t="s">
        <v>33</v>
      </c>
      <c r="I696">
        <v>969</v>
      </c>
      <c r="J696">
        <v>2</v>
      </c>
      <c r="K696" t="s">
        <v>34</v>
      </c>
      <c r="L696">
        <v>2</v>
      </c>
      <c r="M696">
        <v>2</v>
      </c>
      <c r="N696" t="s">
        <v>48</v>
      </c>
      <c r="O696">
        <v>4</v>
      </c>
      <c r="P696" t="s">
        <v>36</v>
      </c>
      <c r="Q696">
        <v>6949</v>
      </c>
      <c r="R696">
        <v>0</v>
      </c>
      <c r="S696" t="s">
        <v>37</v>
      </c>
      <c r="T696">
        <v>14</v>
      </c>
      <c r="U696">
        <v>3</v>
      </c>
      <c r="V696">
        <v>1</v>
      </c>
      <c r="W696">
        <v>0</v>
      </c>
      <c r="X696">
        <v>6</v>
      </c>
      <c r="Y696">
        <v>3</v>
      </c>
      <c r="Z696">
        <v>3</v>
      </c>
      <c r="AA696">
        <v>5</v>
      </c>
      <c r="AB696">
        <v>0</v>
      </c>
      <c r="AC696">
        <v>1</v>
      </c>
      <c r="AD696">
        <v>4</v>
      </c>
      <c r="AE696" t="str" cm="1">
        <f t="array" ref="AE696">_xlfn.IFS(G696=1,"Before College",G696=2,"College",G696=3,"Bachelor",G696=4,"Master",G696=5,"Doctor")</f>
        <v>Bachelor</v>
      </c>
      <c r="AF696" t="str" cm="1">
        <f t="array" ref="AF696">_xlfn.IFS(J696=1,"Low",J696=2,"Medium",J696=3,"High",J696=4,"Very High")</f>
        <v>Medium</v>
      </c>
      <c r="AG696" t="str" cm="1">
        <f t="array" ref="AG696">_xlfn.IFS(L696=1,"Low",L696=2,"Medium",L696=3,"High",L696=4,"Very High")</f>
        <v>Medium</v>
      </c>
      <c r="AH696" t="str" cm="1">
        <f t="array" ref="AH696">_xlfn.IFS(M696=1,"Junior employee",M696=2,"Mid-level",M696=3,"Senior",M696=4,"Manager",M696=5,"Executive")</f>
        <v>Mid-level</v>
      </c>
      <c r="AI696" t="str" cm="1">
        <f t="array" ref="AI696">_xlfn.IFS(O696=1,"Low",O696=2,"Medium",O696=3,"High",O696=4,"Very High")</f>
        <v>Very High</v>
      </c>
      <c r="AJ696" t="str" cm="1">
        <f t="array" ref="AJ696">_xlfn.IFS(U696=1,"Low",U696=2,"Good",U696=3,"Excellent",U696=4,"Outstanding")</f>
        <v>Excellent</v>
      </c>
      <c r="AK696" t="str" cm="1">
        <f t="array" ref="AK696">_xlfn.IFS(V696=1,"Low",V696=2,"Medium",V696=3,"High",V696=4,"Very High")</f>
        <v>Low</v>
      </c>
      <c r="AL696" t="str" cm="1">
        <f t="array" ref="AL696">_xlfn.IFS(Z696=1,"Bad",Z696=2,"Good",Z696=3,"Better",Z696=4,"Best")</f>
        <v>Better</v>
      </c>
      <c r="AM696" t="str" cm="1">
        <f t="array" ref="AM696">_xlfn.IFS(W696=0,"No_stock",W696=1,"Low",W696=2,"Medium",W696=3,"High")</f>
        <v>No_stock</v>
      </c>
      <c r="AN696" t="str">
        <f t="shared" si="10"/>
        <v>Near</v>
      </c>
    </row>
    <row r="697" spans="1:40" x14ac:dyDescent="0.45">
      <c r="A697">
        <v>37</v>
      </c>
      <c r="B697" t="s">
        <v>30</v>
      </c>
      <c r="C697" t="s">
        <v>31</v>
      </c>
      <c r="D697">
        <v>625</v>
      </c>
      <c r="E697" t="s">
        <v>32</v>
      </c>
      <c r="F697">
        <v>1</v>
      </c>
      <c r="G697">
        <v>4</v>
      </c>
      <c r="H697" t="s">
        <v>33</v>
      </c>
      <c r="I697">
        <v>970</v>
      </c>
      <c r="J697">
        <v>1</v>
      </c>
      <c r="K697" t="s">
        <v>40</v>
      </c>
      <c r="L697">
        <v>2</v>
      </c>
      <c r="M697">
        <v>3</v>
      </c>
      <c r="N697" t="s">
        <v>35</v>
      </c>
      <c r="O697">
        <v>3</v>
      </c>
      <c r="P697" t="s">
        <v>42</v>
      </c>
      <c r="Q697">
        <v>10609</v>
      </c>
      <c r="R697">
        <v>5</v>
      </c>
      <c r="S697" t="s">
        <v>37</v>
      </c>
      <c r="T697">
        <v>11</v>
      </c>
      <c r="U697">
        <v>3</v>
      </c>
      <c r="V697">
        <v>3</v>
      </c>
      <c r="W697">
        <v>0</v>
      </c>
      <c r="X697">
        <v>17</v>
      </c>
      <c r="Y697">
        <v>2</v>
      </c>
      <c r="Z697">
        <v>1</v>
      </c>
      <c r="AA697">
        <v>14</v>
      </c>
      <c r="AB697">
        <v>1</v>
      </c>
      <c r="AC697">
        <v>11</v>
      </c>
      <c r="AD697">
        <v>7</v>
      </c>
      <c r="AE697" t="str" cm="1">
        <f t="array" ref="AE697">_xlfn.IFS(G697=1,"Before College",G697=2,"College",G697=3,"Bachelor",G697=4,"Master",G697=5,"Doctor")</f>
        <v>Master</v>
      </c>
      <c r="AF697" t="str" cm="1">
        <f t="array" ref="AF697">_xlfn.IFS(J697=1,"Low",J697=2,"Medium",J697=3,"High",J697=4,"Very High")</f>
        <v>Low</v>
      </c>
      <c r="AG697" t="str" cm="1">
        <f t="array" ref="AG697">_xlfn.IFS(L697=1,"Low",L697=2,"Medium",L697=3,"High",L697=4,"Very High")</f>
        <v>Medium</v>
      </c>
      <c r="AH697" t="str" cm="1">
        <f t="array" ref="AH697">_xlfn.IFS(M697=1,"Junior employee",M697=2,"Mid-level",M697=3,"Senior",M697=4,"Manager",M697=5,"Executive")</f>
        <v>Senior</v>
      </c>
      <c r="AI697" t="str" cm="1">
        <f t="array" ref="AI697">_xlfn.IFS(O697=1,"Low",O697=2,"Medium",O697=3,"High",O697=4,"Very High")</f>
        <v>High</v>
      </c>
      <c r="AJ697" t="str" cm="1">
        <f t="array" ref="AJ697">_xlfn.IFS(U697=1,"Low",U697=2,"Good",U697=3,"Excellent",U697=4,"Outstanding")</f>
        <v>Excellent</v>
      </c>
      <c r="AK697" t="str" cm="1">
        <f t="array" ref="AK697">_xlfn.IFS(V697=1,"Low",V697=2,"Medium",V697=3,"High",V697=4,"Very High")</f>
        <v>High</v>
      </c>
      <c r="AL697" t="str" cm="1">
        <f t="array" ref="AL697">_xlfn.IFS(Z697=1,"Bad",Z697=2,"Good",Z697=3,"Better",Z697=4,"Best")</f>
        <v>Bad</v>
      </c>
      <c r="AM697" t="str" cm="1">
        <f t="array" ref="AM697">_xlfn.IFS(W697=0,"No_stock",W697=1,"Low",W697=2,"Medium",W697=3,"High")</f>
        <v>No_stock</v>
      </c>
      <c r="AN697" t="str">
        <f t="shared" si="10"/>
        <v>Near</v>
      </c>
    </row>
    <row r="698" spans="1:40" x14ac:dyDescent="0.45">
      <c r="A698">
        <v>45</v>
      </c>
      <c r="B698" t="s">
        <v>37</v>
      </c>
      <c r="C698" t="s">
        <v>49</v>
      </c>
      <c r="D698">
        <v>805</v>
      </c>
      <c r="E698" t="s">
        <v>39</v>
      </c>
      <c r="F698">
        <v>4</v>
      </c>
      <c r="G698">
        <v>2</v>
      </c>
      <c r="H698" t="s">
        <v>33</v>
      </c>
      <c r="I698">
        <v>972</v>
      </c>
      <c r="J698">
        <v>3</v>
      </c>
      <c r="K698" t="s">
        <v>40</v>
      </c>
      <c r="L698">
        <v>3</v>
      </c>
      <c r="M698">
        <v>2</v>
      </c>
      <c r="N698" t="s">
        <v>44</v>
      </c>
      <c r="O698">
        <v>2</v>
      </c>
      <c r="P698" t="s">
        <v>42</v>
      </c>
      <c r="Q698">
        <v>4447</v>
      </c>
      <c r="R698">
        <v>1</v>
      </c>
      <c r="S698" t="s">
        <v>37</v>
      </c>
      <c r="T698">
        <v>12</v>
      </c>
      <c r="U698">
        <v>3</v>
      </c>
      <c r="V698">
        <v>2</v>
      </c>
      <c r="W698">
        <v>0</v>
      </c>
      <c r="X698">
        <v>9</v>
      </c>
      <c r="Y698">
        <v>5</v>
      </c>
      <c r="Z698">
        <v>2</v>
      </c>
      <c r="AA698">
        <v>9</v>
      </c>
      <c r="AB698">
        <v>7</v>
      </c>
      <c r="AC698">
        <v>0</v>
      </c>
      <c r="AD698">
        <v>8</v>
      </c>
      <c r="AE698" t="str" cm="1">
        <f t="array" ref="AE698">_xlfn.IFS(G698=1,"Before College",G698=2,"College",G698=3,"Bachelor",G698=4,"Master",G698=5,"Doctor")</f>
        <v>College</v>
      </c>
      <c r="AF698" t="str" cm="1">
        <f t="array" ref="AF698">_xlfn.IFS(J698=1,"Low",J698=2,"Medium",J698=3,"High",J698=4,"Very High")</f>
        <v>High</v>
      </c>
      <c r="AG698" t="str" cm="1">
        <f t="array" ref="AG698">_xlfn.IFS(L698=1,"Low",L698=2,"Medium",L698=3,"High",L698=4,"Very High")</f>
        <v>High</v>
      </c>
      <c r="AH698" t="str" cm="1">
        <f t="array" ref="AH698">_xlfn.IFS(M698=1,"Junior employee",M698=2,"Mid-level",M698=3,"Senior",M698=4,"Manager",M698=5,"Executive")</f>
        <v>Mid-level</v>
      </c>
      <c r="AI698" t="str" cm="1">
        <f t="array" ref="AI698">_xlfn.IFS(O698=1,"Low",O698=2,"Medium",O698=3,"High",O698=4,"Very High")</f>
        <v>Medium</v>
      </c>
      <c r="AJ698" t="str" cm="1">
        <f t="array" ref="AJ698">_xlfn.IFS(U698=1,"Low",U698=2,"Good",U698=3,"Excellent",U698=4,"Outstanding")</f>
        <v>Excellent</v>
      </c>
      <c r="AK698" t="str" cm="1">
        <f t="array" ref="AK698">_xlfn.IFS(V698=1,"Low",V698=2,"Medium",V698=3,"High",V698=4,"Very High")</f>
        <v>Medium</v>
      </c>
      <c r="AL698" t="str" cm="1">
        <f t="array" ref="AL698">_xlfn.IFS(Z698=1,"Bad",Z698=2,"Good",Z698=3,"Better",Z698=4,"Best")</f>
        <v>Good</v>
      </c>
      <c r="AM698" t="str" cm="1">
        <f t="array" ref="AM698">_xlfn.IFS(W698=0,"No_stock",W698=1,"Low",W698=2,"Medium",W698=3,"High")</f>
        <v>No_stock</v>
      </c>
      <c r="AN698" t="str">
        <f t="shared" si="10"/>
        <v>Near</v>
      </c>
    </row>
    <row r="699" spans="1:40" x14ac:dyDescent="0.45">
      <c r="A699">
        <v>29</v>
      </c>
      <c r="B699" t="s">
        <v>37</v>
      </c>
      <c r="C699" t="s">
        <v>38</v>
      </c>
      <c r="D699">
        <v>1404</v>
      </c>
      <c r="E699" t="s">
        <v>32</v>
      </c>
      <c r="F699">
        <v>20</v>
      </c>
      <c r="G699">
        <v>3</v>
      </c>
      <c r="H699" t="s">
        <v>54</v>
      </c>
      <c r="I699">
        <v>974</v>
      </c>
      <c r="J699">
        <v>3</v>
      </c>
      <c r="K699" t="s">
        <v>34</v>
      </c>
      <c r="L699">
        <v>3</v>
      </c>
      <c r="M699">
        <v>1</v>
      </c>
      <c r="N699" t="s">
        <v>51</v>
      </c>
      <c r="O699">
        <v>4</v>
      </c>
      <c r="P699" t="s">
        <v>42</v>
      </c>
      <c r="Q699">
        <v>2157</v>
      </c>
      <c r="R699">
        <v>1</v>
      </c>
      <c r="S699" t="s">
        <v>37</v>
      </c>
      <c r="T699">
        <v>15</v>
      </c>
      <c r="U699">
        <v>3</v>
      </c>
      <c r="V699">
        <v>2</v>
      </c>
      <c r="W699">
        <v>1</v>
      </c>
      <c r="X699">
        <v>3</v>
      </c>
      <c r="Y699">
        <v>5</v>
      </c>
      <c r="Z699">
        <v>3</v>
      </c>
      <c r="AA699">
        <v>3</v>
      </c>
      <c r="AB699">
        <v>1</v>
      </c>
      <c r="AC699">
        <v>0</v>
      </c>
      <c r="AD699">
        <v>2</v>
      </c>
      <c r="AE699" t="str" cm="1">
        <f t="array" ref="AE699">_xlfn.IFS(G699=1,"Before College",G699=2,"College",G699=3,"Bachelor",G699=4,"Master",G699=5,"Doctor")</f>
        <v>Bachelor</v>
      </c>
      <c r="AF699" t="str" cm="1">
        <f t="array" ref="AF699">_xlfn.IFS(J699=1,"Low",J699=2,"Medium",J699=3,"High",J699=4,"Very High")</f>
        <v>High</v>
      </c>
      <c r="AG699" t="str" cm="1">
        <f t="array" ref="AG699">_xlfn.IFS(L699=1,"Low",L699=2,"Medium",L699=3,"High",L699=4,"Very High")</f>
        <v>High</v>
      </c>
      <c r="AH699" t="str" cm="1">
        <f t="array" ref="AH699">_xlfn.IFS(M699=1,"Junior employee",M699=2,"Mid-level",M699=3,"Senior",M699=4,"Manager",M699=5,"Executive")</f>
        <v>Junior employee</v>
      </c>
      <c r="AI699" t="str" cm="1">
        <f t="array" ref="AI699">_xlfn.IFS(O699=1,"Low",O699=2,"Medium",O699=3,"High",O699=4,"Very High")</f>
        <v>Very High</v>
      </c>
      <c r="AJ699" t="str" cm="1">
        <f t="array" ref="AJ699">_xlfn.IFS(U699=1,"Low",U699=2,"Good",U699=3,"Excellent",U699=4,"Outstanding")</f>
        <v>Excellent</v>
      </c>
      <c r="AK699" t="str" cm="1">
        <f t="array" ref="AK699">_xlfn.IFS(V699=1,"Low",V699=2,"Medium",V699=3,"High",V699=4,"Very High")</f>
        <v>Medium</v>
      </c>
      <c r="AL699" t="str" cm="1">
        <f t="array" ref="AL699">_xlfn.IFS(Z699=1,"Bad",Z699=2,"Good",Z699=3,"Better",Z699=4,"Best")</f>
        <v>Better</v>
      </c>
      <c r="AM699" t="str" cm="1">
        <f t="array" ref="AM699">_xlfn.IFS(W699=0,"No_stock",W699=1,"Low",W699=2,"Medium",W699=3,"High")</f>
        <v>Low</v>
      </c>
      <c r="AN699" t="str">
        <f t="shared" si="10"/>
        <v>Far</v>
      </c>
    </row>
    <row r="700" spans="1:40" x14ac:dyDescent="0.45">
      <c r="A700">
        <v>35</v>
      </c>
      <c r="B700" t="s">
        <v>37</v>
      </c>
      <c r="C700" t="s">
        <v>31</v>
      </c>
      <c r="D700">
        <v>1219</v>
      </c>
      <c r="E700" t="s">
        <v>32</v>
      </c>
      <c r="F700">
        <v>18</v>
      </c>
      <c r="G700">
        <v>3</v>
      </c>
      <c r="H700" t="s">
        <v>45</v>
      </c>
      <c r="I700">
        <v>975</v>
      </c>
      <c r="J700">
        <v>3</v>
      </c>
      <c r="K700" t="s">
        <v>34</v>
      </c>
      <c r="L700">
        <v>3</v>
      </c>
      <c r="M700">
        <v>2</v>
      </c>
      <c r="N700" t="s">
        <v>35</v>
      </c>
      <c r="O700">
        <v>3</v>
      </c>
      <c r="P700" t="s">
        <v>42</v>
      </c>
      <c r="Q700">
        <v>4601</v>
      </c>
      <c r="R700">
        <v>1</v>
      </c>
      <c r="S700" t="s">
        <v>37</v>
      </c>
      <c r="T700">
        <v>16</v>
      </c>
      <c r="U700">
        <v>3</v>
      </c>
      <c r="V700">
        <v>2</v>
      </c>
      <c r="W700">
        <v>0</v>
      </c>
      <c r="X700">
        <v>5</v>
      </c>
      <c r="Y700">
        <v>3</v>
      </c>
      <c r="Z700">
        <v>3</v>
      </c>
      <c r="AA700">
        <v>5</v>
      </c>
      <c r="AB700">
        <v>2</v>
      </c>
      <c r="AC700">
        <v>1</v>
      </c>
      <c r="AD700">
        <v>0</v>
      </c>
      <c r="AE700" t="str" cm="1">
        <f t="array" ref="AE700">_xlfn.IFS(G700=1,"Before College",G700=2,"College",G700=3,"Bachelor",G700=4,"Master",G700=5,"Doctor")</f>
        <v>Bachelor</v>
      </c>
      <c r="AF700" t="str" cm="1">
        <f t="array" ref="AF700">_xlfn.IFS(J700=1,"Low",J700=2,"Medium",J700=3,"High",J700=4,"Very High")</f>
        <v>High</v>
      </c>
      <c r="AG700" t="str" cm="1">
        <f t="array" ref="AG700">_xlfn.IFS(L700=1,"Low",L700=2,"Medium",L700=3,"High",L700=4,"Very High")</f>
        <v>High</v>
      </c>
      <c r="AH700" t="str" cm="1">
        <f t="array" ref="AH700">_xlfn.IFS(M700=1,"Junior employee",M700=2,"Mid-level",M700=3,"Senior",M700=4,"Manager",M700=5,"Executive")</f>
        <v>Mid-level</v>
      </c>
      <c r="AI700" t="str" cm="1">
        <f t="array" ref="AI700">_xlfn.IFS(O700=1,"Low",O700=2,"Medium",O700=3,"High",O700=4,"Very High")</f>
        <v>High</v>
      </c>
      <c r="AJ700" t="str" cm="1">
        <f t="array" ref="AJ700">_xlfn.IFS(U700=1,"Low",U700=2,"Good",U700=3,"Excellent",U700=4,"Outstanding")</f>
        <v>Excellent</v>
      </c>
      <c r="AK700" t="str" cm="1">
        <f t="array" ref="AK700">_xlfn.IFS(V700=1,"Low",V700=2,"Medium",V700=3,"High",V700=4,"Very High")</f>
        <v>Medium</v>
      </c>
      <c r="AL700" t="str" cm="1">
        <f t="array" ref="AL700">_xlfn.IFS(Z700=1,"Bad",Z700=2,"Good",Z700=3,"Better",Z700=4,"Best")</f>
        <v>Better</v>
      </c>
      <c r="AM700" t="str" cm="1">
        <f t="array" ref="AM700">_xlfn.IFS(W700=0,"No_stock",W700=1,"Low",W700=2,"Medium",W700=3,"High")</f>
        <v>No_stock</v>
      </c>
      <c r="AN700" t="str">
        <f t="shared" si="10"/>
        <v>Far</v>
      </c>
    </row>
    <row r="701" spans="1:40" x14ac:dyDescent="0.45">
      <c r="A701">
        <v>52</v>
      </c>
      <c r="B701" t="s">
        <v>37</v>
      </c>
      <c r="C701" t="s">
        <v>31</v>
      </c>
      <c r="D701">
        <v>1053</v>
      </c>
      <c r="E701" t="s">
        <v>39</v>
      </c>
      <c r="F701">
        <v>1</v>
      </c>
      <c r="G701">
        <v>2</v>
      </c>
      <c r="H701" t="s">
        <v>33</v>
      </c>
      <c r="I701">
        <v>976</v>
      </c>
      <c r="J701">
        <v>4</v>
      </c>
      <c r="K701" t="s">
        <v>40</v>
      </c>
      <c r="L701">
        <v>3</v>
      </c>
      <c r="M701">
        <v>4</v>
      </c>
      <c r="N701" t="s">
        <v>50</v>
      </c>
      <c r="O701">
        <v>4</v>
      </c>
      <c r="P701" t="s">
        <v>42</v>
      </c>
      <c r="Q701">
        <v>17099</v>
      </c>
      <c r="R701">
        <v>2</v>
      </c>
      <c r="S701" t="s">
        <v>37</v>
      </c>
      <c r="T701">
        <v>15</v>
      </c>
      <c r="U701">
        <v>3</v>
      </c>
      <c r="V701">
        <v>2</v>
      </c>
      <c r="W701">
        <v>1</v>
      </c>
      <c r="X701">
        <v>26</v>
      </c>
      <c r="Y701">
        <v>2</v>
      </c>
      <c r="Z701">
        <v>2</v>
      </c>
      <c r="AA701">
        <v>9</v>
      </c>
      <c r="AB701">
        <v>8</v>
      </c>
      <c r="AC701">
        <v>7</v>
      </c>
      <c r="AD701">
        <v>8</v>
      </c>
      <c r="AE701" t="str" cm="1">
        <f t="array" ref="AE701">_xlfn.IFS(G701=1,"Before College",G701=2,"College",G701=3,"Bachelor",G701=4,"Master",G701=5,"Doctor")</f>
        <v>College</v>
      </c>
      <c r="AF701" t="str" cm="1">
        <f t="array" ref="AF701">_xlfn.IFS(J701=1,"Low",J701=2,"Medium",J701=3,"High",J701=4,"Very High")</f>
        <v>Very High</v>
      </c>
      <c r="AG701" t="str" cm="1">
        <f t="array" ref="AG701">_xlfn.IFS(L701=1,"Low",L701=2,"Medium",L701=3,"High",L701=4,"Very High")</f>
        <v>High</v>
      </c>
      <c r="AH701" t="str" cm="1">
        <f t="array" ref="AH701">_xlfn.IFS(M701=1,"Junior employee",M701=2,"Mid-level",M701=3,"Senior",M701=4,"Manager",M701=5,"Executive")</f>
        <v>Manager</v>
      </c>
      <c r="AI701" t="str" cm="1">
        <f t="array" ref="AI701">_xlfn.IFS(O701=1,"Low",O701=2,"Medium",O701=3,"High",O701=4,"Very High")</f>
        <v>Very High</v>
      </c>
      <c r="AJ701" t="str" cm="1">
        <f t="array" ref="AJ701">_xlfn.IFS(U701=1,"Low",U701=2,"Good",U701=3,"Excellent",U701=4,"Outstanding")</f>
        <v>Excellent</v>
      </c>
      <c r="AK701" t="str" cm="1">
        <f t="array" ref="AK701">_xlfn.IFS(V701=1,"Low",V701=2,"Medium",V701=3,"High",V701=4,"Very High")</f>
        <v>Medium</v>
      </c>
      <c r="AL701" t="str" cm="1">
        <f t="array" ref="AL701">_xlfn.IFS(Z701=1,"Bad",Z701=2,"Good",Z701=3,"Better",Z701=4,"Best")</f>
        <v>Good</v>
      </c>
      <c r="AM701" t="str" cm="1">
        <f t="array" ref="AM701">_xlfn.IFS(W701=0,"No_stock",W701=1,"Low",W701=2,"Medium",W701=3,"High")</f>
        <v>Low</v>
      </c>
      <c r="AN701" t="str">
        <f t="shared" si="10"/>
        <v>Near</v>
      </c>
    </row>
    <row r="702" spans="1:40" x14ac:dyDescent="0.45">
      <c r="A702">
        <v>58</v>
      </c>
      <c r="B702" t="s">
        <v>30</v>
      </c>
      <c r="C702" t="s">
        <v>31</v>
      </c>
      <c r="D702">
        <v>289</v>
      </c>
      <c r="E702" t="s">
        <v>39</v>
      </c>
      <c r="F702">
        <v>2</v>
      </c>
      <c r="G702">
        <v>3</v>
      </c>
      <c r="H702" t="s">
        <v>54</v>
      </c>
      <c r="I702">
        <v>977</v>
      </c>
      <c r="J702">
        <v>4</v>
      </c>
      <c r="K702" t="s">
        <v>40</v>
      </c>
      <c r="L702">
        <v>3</v>
      </c>
      <c r="M702">
        <v>1</v>
      </c>
      <c r="N702" t="s">
        <v>41</v>
      </c>
      <c r="O702">
        <v>3</v>
      </c>
      <c r="P702" t="s">
        <v>36</v>
      </c>
      <c r="Q702">
        <v>2479</v>
      </c>
      <c r="R702">
        <v>4</v>
      </c>
      <c r="S702" t="s">
        <v>37</v>
      </c>
      <c r="T702">
        <v>24</v>
      </c>
      <c r="U702">
        <v>4</v>
      </c>
      <c r="V702">
        <v>1</v>
      </c>
      <c r="W702">
        <v>0</v>
      </c>
      <c r="X702">
        <v>7</v>
      </c>
      <c r="Y702">
        <v>4</v>
      </c>
      <c r="Z702">
        <v>3</v>
      </c>
      <c r="AA702">
        <v>1</v>
      </c>
      <c r="AB702">
        <v>0</v>
      </c>
      <c r="AC702">
        <v>0</v>
      </c>
      <c r="AD702">
        <v>0</v>
      </c>
      <c r="AE702" t="str" cm="1">
        <f t="array" ref="AE702">_xlfn.IFS(G702=1,"Before College",G702=2,"College",G702=3,"Bachelor",G702=4,"Master",G702=5,"Doctor")</f>
        <v>Bachelor</v>
      </c>
      <c r="AF702" t="str" cm="1">
        <f t="array" ref="AF702">_xlfn.IFS(J702=1,"Low",J702=2,"Medium",J702=3,"High",J702=4,"Very High")</f>
        <v>Very High</v>
      </c>
      <c r="AG702" t="str" cm="1">
        <f t="array" ref="AG702">_xlfn.IFS(L702=1,"Low",L702=2,"Medium",L702=3,"High",L702=4,"Very High")</f>
        <v>High</v>
      </c>
      <c r="AH702" t="str" cm="1">
        <f t="array" ref="AH702">_xlfn.IFS(M702=1,"Junior employee",M702=2,"Mid-level",M702=3,"Senior",M702=4,"Manager",M702=5,"Executive")</f>
        <v>Junior employee</v>
      </c>
      <c r="AI702" t="str" cm="1">
        <f t="array" ref="AI702">_xlfn.IFS(O702=1,"Low",O702=2,"Medium",O702=3,"High",O702=4,"Very High")</f>
        <v>High</v>
      </c>
      <c r="AJ702" t="str" cm="1">
        <f t="array" ref="AJ702">_xlfn.IFS(U702=1,"Low",U702=2,"Good",U702=3,"Excellent",U702=4,"Outstanding")</f>
        <v>Outstanding</v>
      </c>
      <c r="AK702" t="str" cm="1">
        <f t="array" ref="AK702">_xlfn.IFS(V702=1,"Low",V702=2,"Medium",V702=3,"High",V702=4,"Very High")</f>
        <v>Low</v>
      </c>
      <c r="AL702" t="str" cm="1">
        <f t="array" ref="AL702">_xlfn.IFS(Z702=1,"Bad",Z702=2,"Good",Z702=3,"Better",Z702=4,"Best")</f>
        <v>Better</v>
      </c>
      <c r="AM702" t="str" cm="1">
        <f t="array" ref="AM702">_xlfn.IFS(W702=0,"No_stock",W702=1,"Low",W702=2,"Medium",W702=3,"High")</f>
        <v>No_stock</v>
      </c>
      <c r="AN702" t="str">
        <f t="shared" si="10"/>
        <v>Near</v>
      </c>
    </row>
    <row r="703" spans="1:40" x14ac:dyDescent="0.45">
      <c r="A703">
        <v>53</v>
      </c>
      <c r="B703" t="s">
        <v>37</v>
      </c>
      <c r="C703" t="s">
        <v>31</v>
      </c>
      <c r="D703">
        <v>1376</v>
      </c>
      <c r="E703" t="s">
        <v>32</v>
      </c>
      <c r="F703">
        <v>2</v>
      </c>
      <c r="G703">
        <v>2</v>
      </c>
      <c r="H703" t="s">
        <v>45</v>
      </c>
      <c r="I703">
        <v>981</v>
      </c>
      <c r="J703">
        <v>3</v>
      </c>
      <c r="K703" t="s">
        <v>40</v>
      </c>
      <c r="L703">
        <v>3</v>
      </c>
      <c r="M703">
        <v>4</v>
      </c>
      <c r="N703" t="s">
        <v>50</v>
      </c>
      <c r="O703">
        <v>3</v>
      </c>
      <c r="P703" t="s">
        <v>46</v>
      </c>
      <c r="Q703">
        <v>14852</v>
      </c>
      <c r="R703">
        <v>6</v>
      </c>
      <c r="S703" t="s">
        <v>37</v>
      </c>
      <c r="T703">
        <v>13</v>
      </c>
      <c r="U703">
        <v>3</v>
      </c>
      <c r="V703">
        <v>3</v>
      </c>
      <c r="W703">
        <v>1</v>
      </c>
      <c r="X703">
        <v>22</v>
      </c>
      <c r="Y703">
        <v>3</v>
      </c>
      <c r="Z703">
        <v>4</v>
      </c>
      <c r="AA703">
        <v>17</v>
      </c>
      <c r="AB703">
        <v>13</v>
      </c>
      <c r="AC703">
        <v>15</v>
      </c>
      <c r="AD703">
        <v>2</v>
      </c>
      <c r="AE703" t="str" cm="1">
        <f t="array" ref="AE703">_xlfn.IFS(G703=1,"Before College",G703=2,"College",G703=3,"Bachelor",G703=4,"Master",G703=5,"Doctor")</f>
        <v>College</v>
      </c>
      <c r="AF703" t="str" cm="1">
        <f t="array" ref="AF703">_xlfn.IFS(J703=1,"Low",J703=2,"Medium",J703=3,"High",J703=4,"Very High")</f>
        <v>High</v>
      </c>
      <c r="AG703" t="str" cm="1">
        <f t="array" ref="AG703">_xlfn.IFS(L703=1,"Low",L703=2,"Medium",L703=3,"High",L703=4,"Very High")</f>
        <v>High</v>
      </c>
      <c r="AH703" t="str" cm="1">
        <f t="array" ref="AH703">_xlfn.IFS(M703=1,"Junior employee",M703=2,"Mid-level",M703=3,"Senior",M703=4,"Manager",M703=5,"Executive")</f>
        <v>Manager</v>
      </c>
      <c r="AI703" t="str" cm="1">
        <f t="array" ref="AI703">_xlfn.IFS(O703=1,"Low",O703=2,"Medium",O703=3,"High",O703=4,"Very High")</f>
        <v>High</v>
      </c>
      <c r="AJ703" t="str" cm="1">
        <f t="array" ref="AJ703">_xlfn.IFS(U703=1,"Low",U703=2,"Good",U703=3,"Excellent",U703=4,"Outstanding")</f>
        <v>Excellent</v>
      </c>
      <c r="AK703" t="str" cm="1">
        <f t="array" ref="AK703">_xlfn.IFS(V703=1,"Low",V703=2,"Medium",V703=3,"High",V703=4,"Very High")</f>
        <v>High</v>
      </c>
      <c r="AL703" t="str" cm="1">
        <f t="array" ref="AL703">_xlfn.IFS(Z703=1,"Bad",Z703=2,"Good",Z703=3,"Better",Z703=4,"Best")</f>
        <v>Best</v>
      </c>
      <c r="AM703" t="str" cm="1">
        <f t="array" ref="AM703">_xlfn.IFS(W703=0,"No_stock",W703=1,"Low",W703=2,"Medium",W703=3,"High")</f>
        <v>Low</v>
      </c>
      <c r="AN703" t="str">
        <f t="shared" si="10"/>
        <v>Near</v>
      </c>
    </row>
    <row r="704" spans="1:40" x14ac:dyDescent="0.45">
      <c r="A704">
        <v>30</v>
      </c>
      <c r="B704" t="s">
        <v>37</v>
      </c>
      <c r="C704" t="s">
        <v>31</v>
      </c>
      <c r="D704">
        <v>231</v>
      </c>
      <c r="E704" t="s">
        <v>32</v>
      </c>
      <c r="F704">
        <v>8</v>
      </c>
      <c r="G704">
        <v>2</v>
      </c>
      <c r="H704" t="s">
        <v>43</v>
      </c>
      <c r="I704">
        <v>982</v>
      </c>
      <c r="J704">
        <v>3</v>
      </c>
      <c r="K704" t="s">
        <v>40</v>
      </c>
      <c r="L704">
        <v>3</v>
      </c>
      <c r="M704">
        <v>3</v>
      </c>
      <c r="N704" t="s">
        <v>35</v>
      </c>
      <c r="O704">
        <v>3</v>
      </c>
      <c r="P704" t="s">
        <v>46</v>
      </c>
      <c r="Q704">
        <v>7264</v>
      </c>
      <c r="R704">
        <v>5</v>
      </c>
      <c r="S704" t="s">
        <v>37</v>
      </c>
      <c r="T704">
        <v>11</v>
      </c>
      <c r="U704">
        <v>3</v>
      </c>
      <c r="V704">
        <v>1</v>
      </c>
      <c r="W704">
        <v>1</v>
      </c>
      <c r="X704">
        <v>10</v>
      </c>
      <c r="Y704">
        <v>2</v>
      </c>
      <c r="Z704">
        <v>4</v>
      </c>
      <c r="AA704">
        <v>8</v>
      </c>
      <c r="AB704">
        <v>4</v>
      </c>
      <c r="AC704">
        <v>7</v>
      </c>
      <c r="AD704">
        <v>7</v>
      </c>
      <c r="AE704" t="str" cm="1">
        <f t="array" ref="AE704">_xlfn.IFS(G704=1,"Before College",G704=2,"College",G704=3,"Bachelor",G704=4,"Master",G704=5,"Doctor")</f>
        <v>College</v>
      </c>
      <c r="AF704" t="str" cm="1">
        <f t="array" ref="AF704">_xlfn.IFS(J704=1,"Low",J704=2,"Medium",J704=3,"High",J704=4,"Very High")</f>
        <v>High</v>
      </c>
      <c r="AG704" t="str" cm="1">
        <f t="array" ref="AG704">_xlfn.IFS(L704=1,"Low",L704=2,"Medium",L704=3,"High",L704=4,"Very High")</f>
        <v>High</v>
      </c>
      <c r="AH704" t="str" cm="1">
        <f t="array" ref="AH704">_xlfn.IFS(M704=1,"Junior employee",M704=2,"Mid-level",M704=3,"Senior",M704=4,"Manager",M704=5,"Executive")</f>
        <v>Senior</v>
      </c>
      <c r="AI704" t="str" cm="1">
        <f t="array" ref="AI704">_xlfn.IFS(O704=1,"Low",O704=2,"Medium",O704=3,"High",O704=4,"Very High")</f>
        <v>High</v>
      </c>
      <c r="AJ704" t="str" cm="1">
        <f t="array" ref="AJ704">_xlfn.IFS(U704=1,"Low",U704=2,"Good",U704=3,"Excellent",U704=4,"Outstanding")</f>
        <v>Excellent</v>
      </c>
      <c r="AK704" t="str" cm="1">
        <f t="array" ref="AK704">_xlfn.IFS(V704=1,"Low",V704=2,"Medium",V704=3,"High",V704=4,"Very High")</f>
        <v>Low</v>
      </c>
      <c r="AL704" t="str" cm="1">
        <f t="array" ref="AL704">_xlfn.IFS(Z704=1,"Bad",Z704=2,"Good",Z704=3,"Better",Z704=4,"Best")</f>
        <v>Best</v>
      </c>
      <c r="AM704" t="str" cm="1">
        <f t="array" ref="AM704">_xlfn.IFS(W704=0,"No_stock",W704=1,"Low",W704=2,"Medium",W704=3,"High")</f>
        <v>Low</v>
      </c>
      <c r="AN704" t="str">
        <f t="shared" si="10"/>
        <v>Medium</v>
      </c>
    </row>
    <row r="705" spans="1:40" x14ac:dyDescent="0.45">
      <c r="A705">
        <v>38</v>
      </c>
      <c r="B705" t="s">
        <v>37</v>
      </c>
      <c r="C705" t="s">
        <v>49</v>
      </c>
      <c r="D705">
        <v>152</v>
      </c>
      <c r="E705" t="s">
        <v>32</v>
      </c>
      <c r="F705">
        <v>10</v>
      </c>
      <c r="G705">
        <v>3</v>
      </c>
      <c r="H705" t="s">
        <v>54</v>
      </c>
      <c r="I705">
        <v>983</v>
      </c>
      <c r="J705">
        <v>3</v>
      </c>
      <c r="K705" t="s">
        <v>34</v>
      </c>
      <c r="L705">
        <v>3</v>
      </c>
      <c r="M705">
        <v>2</v>
      </c>
      <c r="N705" t="s">
        <v>35</v>
      </c>
      <c r="O705">
        <v>4</v>
      </c>
      <c r="P705" t="s">
        <v>36</v>
      </c>
      <c r="Q705">
        <v>5666</v>
      </c>
      <c r="R705">
        <v>1</v>
      </c>
      <c r="S705" t="s">
        <v>30</v>
      </c>
      <c r="T705">
        <v>13</v>
      </c>
      <c r="U705">
        <v>3</v>
      </c>
      <c r="V705">
        <v>2</v>
      </c>
      <c r="W705">
        <v>0</v>
      </c>
      <c r="X705">
        <v>6</v>
      </c>
      <c r="Y705">
        <v>1</v>
      </c>
      <c r="Z705">
        <v>3</v>
      </c>
      <c r="AA705">
        <v>5</v>
      </c>
      <c r="AB705">
        <v>3</v>
      </c>
      <c r="AC705">
        <v>1</v>
      </c>
      <c r="AD705">
        <v>3</v>
      </c>
      <c r="AE705" t="str" cm="1">
        <f t="array" ref="AE705">_xlfn.IFS(G705=1,"Before College",G705=2,"College",G705=3,"Bachelor",G705=4,"Master",G705=5,"Doctor")</f>
        <v>Bachelor</v>
      </c>
      <c r="AF705" t="str" cm="1">
        <f t="array" ref="AF705">_xlfn.IFS(J705=1,"Low",J705=2,"Medium",J705=3,"High",J705=4,"Very High")</f>
        <v>High</v>
      </c>
      <c r="AG705" t="str" cm="1">
        <f t="array" ref="AG705">_xlfn.IFS(L705=1,"Low",L705=2,"Medium",L705=3,"High",L705=4,"Very High")</f>
        <v>High</v>
      </c>
      <c r="AH705" t="str" cm="1">
        <f t="array" ref="AH705">_xlfn.IFS(M705=1,"Junior employee",M705=2,"Mid-level",M705=3,"Senior",M705=4,"Manager",M705=5,"Executive")</f>
        <v>Mid-level</v>
      </c>
      <c r="AI705" t="str" cm="1">
        <f t="array" ref="AI705">_xlfn.IFS(O705=1,"Low",O705=2,"Medium",O705=3,"High",O705=4,"Very High")</f>
        <v>Very High</v>
      </c>
      <c r="AJ705" t="str" cm="1">
        <f t="array" ref="AJ705">_xlfn.IFS(U705=1,"Low",U705=2,"Good",U705=3,"Excellent",U705=4,"Outstanding")</f>
        <v>Excellent</v>
      </c>
      <c r="AK705" t="str" cm="1">
        <f t="array" ref="AK705">_xlfn.IFS(V705=1,"Low",V705=2,"Medium",V705=3,"High",V705=4,"Very High")</f>
        <v>Medium</v>
      </c>
      <c r="AL705" t="str" cm="1">
        <f t="array" ref="AL705">_xlfn.IFS(Z705=1,"Bad",Z705=2,"Good",Z705=3,"Better",Z705=4,"Best")</f>
        <v>Better</v>
      </c>
      <c r="AM705" t="str" cm="1">
        <f t="array" ref="AM705">_xlfn.IFS(W705=0,"No_stock",W705=1,"Low",W705=2,"Medium",W705=3,"High")</f>
        <v>No_stock</v>
      </c>
      <c r="AN705" t="str">
        <f t="shared" si="10"/>
        <v>Medium</v>
      </c>
    </row>
    <row r="706" spans="1:40" x14ac:dyDescent="0.45">
      <c r="A706">
        <v>35</v>
      </c>
      <c r="B706" t="s">
        <v>37</v>
      </c>
      <c r="C706" t="s">
        <v>31</v>
      </c>
      <c r="D706">
        <v>882</v>
      </c>
      <c r="E706" t="s">
        <v>32</v>
      </c>
      <c r="F706">
        <v>3</v>
      </c>
      <c r="G706">
        <v>4</v>
      </c>
      <c r="H706" t="s">
        <v>33</v>
      </c>
      <c r="I706">
        <v>984</v>
      </c>
      <c r="J706">
        <v>4</v>
      </c>
      <c r="K706" t="s">
        <v>40</v>
      </c>
      <c r="L706">
        <v>3</v>
      </c>
      <c r="M706">
        <v>3</v>
      </c>
      <c r="N706" t="s">
        <v>35</v>
      </c>
      <c r="O706">
        <v>4</v>
      </c>
      <c r="P706" t="s">
        <v>46</v>
      </c>
      <c r="Q706">
        <v>7823</v>
      </c>
      <c r="R706">
        <v>6</v>
      </c>
      <c r="S706" t="s">
        <v>37</v>
      </c>
      <c r="T706">
        <v>13</v>
      </c>
      <c r="U706">
        <v>3</v>
      </c>
      <c r="V706">
        <v>2</v>
      </c>
      <c r="W706">
        <v>1</v>
      </c>
      <c r="X706">
        <v>12</v>
      </c>
      <c r="Y706">
        <v>2</v>
      </c>
      <c r="Z706">
        <v>3</v>
      </c>
      <c r="AA706">
        <v>10</v>
      </c>
      <c r="AB706">
        <v>9</v>
      </c>
      <c r="AC706">
        <v>0</v>
      </c>
      <c r="AD706">
        <v>8</v>
      </c>
      <c r="AE706" t="str" cm="1">
        <f t="array" ref="AE706">_xlfn.IFS(G706=1,"Before College",G706=2,"College",G706=3,"Bachelor",G706=4,"Master",G706=5,"Doctor")</f>
        <v>Master</v>
      </c>
      <c r="AF706" t="str" cm="1">
        <f t="array" ref="AF706">_xlfn.IFS(J706=1,"Low",J706=2,"Medium",J706=3,"High",J706=4,"Very High")</f>
        <v>Very High</v>
      </c>
      <c r="AG706" t="str" cm="1">
        <f t="array" ref="AG706">_xlfn.IFS(L706=1,"Low",L706=2,"Medium",L706=3,"High",L706=4,"Very High")</f>
        <v>High</v>
      </c>
      <c r="AH706" t="str" cm="1">
        <f t="array" ref="AH706">_xlfn.IFS(M706=1,"Junior employee",M706=2,"Mid-level",M706=3,"Senior",M706=4,"Manager",M706=5,"Executive")</f>
        <v>Senior</v>
      </c>
      <c r="AI706" t="str" cm="1">
        <f t="array" ref="AI706">_xlfn.IFS(O706=1,"Low",O706=2,"Medium",O706=3,"High",O706=4,"Very High")</f>
        <v>Very High</v>
      </c>
      <c r="AJ706" t="str" cm="1">
        <f t="array" ref="AJ706">_xlfn.IFS(U706=1,"Low",U706=2,"Good",U706=3,"Excellent",U706=4,"Outstanding")</f>
        <v>Excellent</v>
      </c>
      <c r="AK706" t="str" cm="1">
        <f t="array" ref="AK706">_xlfn.IFS(V706=1,"Low",V706=2,"Medium",V706=3,"High",V706=4,"Very High")</f>
        <v>Medium</v>
      </c>
      <c r="AL706" t="str" cm="1">
        <f t="array" ref="AL706">_xlfn.IFS(Z706=1,"Bad",Z706=2,"Good",Z706=3,"Better",Z706=4,"Best")</f>
        <v>Better</v>
      </c>
      <c r="AM706" t="str" cm="1">
        <f t="array" ref="AM706">_xlfn.IFS(W706=0,"No_stock",W706=1,"Low",W706=2,"Medium",W706=3,"High")</f>
        <v>Low</v>
      </c>
      <c r="AN706" t="str">
        <f t="shared" ref="AN706:AN769" si="11">IF(F706&lt;=5,"Near",IF(F706&lt;=15,"Medium","Far"))</f>
        <v>Near</v>
      </c>
    </row>
    <row r="707" spans="1:40" x14ac:dyDescent="0.45">
      <c r="A707">
        <v>39</v>
      </c>
      <c r="B707" t="s">
        <v>37</v>
      </c>
      <c r="C707" t="s">
        <v>31</v>
      </c>
      <c r="D707">
        <v>903</v>
      </c>
      <c r="E707" t="s">
        <v>32</v>
      </c>
      <c r="F707">
        <v>2</v>
      </c>
      <c r="G707">
        <v>5</v>
      </c>
      <c r="H707" t="s">
        <v>33</v>
      </c>
      <c r="I707">
        <v>985</v>
      </c>
      <c r="J707">
        <v>1</v>
      </c>
      <c r="K707" t="s">
        <v>40</v>
      </c>
      <c r="L707">
        <v>4</v>
      </c>
      <c r="M707">
        <v>3</v>
      </c>
      <c r="N707" t="s">
        <v>35</v>
      </c>
      <c r="O707">
        <v>3</v>
      </c>
      <c r="P707" t="s">
        <v>36</v>
      </c>
      <c r="Q707">
        <v>7880</v>
      </c>
      <c r="R707">
        <v>0</v>
      </c>
      <c r="S707" t="s">
        <v>37</v>
      </c>
      <c r="T707">
        <v>18</v>
      </c>
      <c r="U707">
        <v>3</v>
      </c>
      <c r="V707">
        <v>4</v>
      </c>
      <c r="W707">
        <v>0</v>
      </c>
      <c r="X707">
        <v>9</v>
      </c>
      <c r="Y707">
        <v>3</v>
      </c>
      <c r="Z707">
        <v>3</v>
      </c>
      <c r="AA707">
        <v>8</v>
      </c>
      <c r="AB707">
        <v>7</v>
      </c>
      <c r="AC707">
        <v>0</v>
      </c>
      <c r="AD707">
        <v>7</v>
      </c>
      <c r="AE707" t="str" cm="1">
        <f t="array" ref="AE707">_xlfn.IFS(G707=1,"Before College",G707=2,"College",G707=3,"Bachelor",G707=4,"Master",G707=5,"Doctor")</f>
        <v>Doctor</v>
      </c>
      <c r="AF707" t="str" cm="1">
        <f t="array" ref="AF707">_xlfn.IFS(J707=1,"Low",J707=2,"Medium",J707=3,"High",J707=4,"Very High")</f>
        <v>Low</v>
      </c>
      <c r="AG707" t="str" cm="1">
        <f t="array" ref="AG707">_xlfn.IFS(L707=1,"Low",L707=2,"Medium",L707=3,"High",L707=4,"Very High")</f>
        <v>Very High</v>
      </c>
      <c r="AH707" t="str" cm="1">
        <f t="array" ref="AH707">_xlfn.IFS(M707=1,"Junior employee",M707=2,"Mid-level",M707=3,"Senior",M707=4,"Manager",M707=5,"Executive")</f>
        <v>Senior</v>
      </c>
      <c r="AI707" t="str" cm="1">
        <f t="array" ref="AI707">_xlfn.IFS(O707=1,"Low",O707=2,"Medium",O707=3,"High",O707=4,"Very High")</f>
        <v>High</v>
      </c>
      <c r="AJ707" t="str" cm="1">
        <f t="array" ref="AJ707">_xlfn.IFS(U707=1,"Low",U707=2,"Good",U707=3,"Excellent",U707=4,"Outstanding")</f>
        <v>Excellent</v>
      </c>
      <c r="AK707" t="str" cm="1">
        <f t="array" ref="AK707">_xlfn.IFS(V707=1,"Low",V707=2,"Medium",V707=3,"High",V707=4,"Very High")</f>
        <v>Very High</v>
      </c>
      <c r="AL707" t="str" cm="1">
        <f t="array" ref="AL707">_xlfn.IFS(Z707=1,"Bad",Z707=2,"Good",Z707=3,"Better",Z707=4,"Best")</f>
        <v>Better</v>
      </c>
      <c r="AM707" t="str" cm="1">
        <f t="array" ref="AM707">_xlfn.IFS(W707=0,"No_stock",W707=1,"Low",W707=2,"Medium",W707=3,"High")</f>
        <v>No_stock</v>
      </c>
      <c r="AN707" t="str">
        <f t="shared" si="11"/>
        <v>Near</v>
      </c>
    </row>
    <row r="708" spans="1:40" x14ac:dyDescent="0.45">
      <c r="A708">
        <v>40</v>
      </c>
      <c r="B708" t="s">
        <v>30</v>
      </c>
      <c r="C708" t="s">
        <v>49</v>
      </c>
      <c r="D708">
        <v>1479</v>
      </c>
      <c r="E708" t="s">
        <v>32</v>
      </c>
      <c r="F708">
        <v>24</v>
      </c>
      <c r="G708">
        <v>3</v>
      </c>
      <c r="H708" t="s">
        <v>33</v>
      </c>
      <c r="I708">
        <v>986</v>
      </c>
      <c r="J708">
        <v>2</v>
      </c>
      <c r="K708" t="s">
        <v>34</v>
      </c>
      <c r="L708">
        <v>4</v>
      </c>
      <c r="M708">
        <v>4</v>
      </c>
      <c r="N708" t="s">
        <v>35</v>
      </c>
      <c r="O708">
        <v>2</v>
      </c>
      <c r="P708" t="s">
        <v>36</v>
      </c>
      <c r="Q708">
        <v>13194</v>
      </c>
      <c r="R708">
        <v>4</v>
      </c>
      <c r="S708" t="s">
        <v>30</v>
      </c>
      <c r="T708">
        <v>16</v>
      </c>
      <c r="U708">
        <v>3</v>
      </c>
      <c r="V708">
        <v>4</v>
      </c>
      <c r="W708">
        <v>0</v>
      </c>
      <c r="X708">
        <v>22</v>
      </c>
      <c r="Y708">
        <v>2</v>
      </c>
      <c r="Z708">
        <v>2</v>
      </c>
      <c r="AA708">
        <v>1</v>
      </c>
      <c r="AB708">
        <v>0</v>
      </c>
      <c r="AC708">
        <v>0</v>
      </c>
      <c r="AD708">
        <v>0</v>
      </c>
      <c r="AE708" t="str" cm="1">
        <f t="array" ref="AE708">_xlfn.IFS(G708=1,"Before College",G708=2,"College",G708=3,"Bachelor",G708=4,"Master",G708=5,"Doctor")</f>
        <v>Bachelor</v>
      </c>
      <c r="AF708" t="str" cm="1">
        <f t="array" ref="AF708">_xlfn.IFS(J708=1,"Low",J708=2,"Medium",J708=3,"High",J708=4,"Very High")</f>
        <v>Medium</v>
      </c>
      <c r="AG708" t="str" cm="1">
        <f t="array" ref="AG708">_xlfn.IFS(L708=1,"Low",L708=2,"Medium",L708=3,"High",L708=4,"Very High")</f>
        <v>Very High</v>
      </c>
      <c r="AH708" t="str" cm="1">
        <f t="array" ref="AH708">_xlfn.IFS(M708=1,"Junior employee",M708=2,"Mid-level",M708=3,"Senior",M708=4,"Manager",M708=5,"Executive")</f>
        <v>Manager</v>
      </c>
      <c r="AI708" t="str" cm="1">
        <f t="array" ref="AI708">_xlfn.IFS(O708=1,"Low",O708=2,"Medium",O708=3,"High",O708=4,"Very High")</f>
        <v>Medium</v>
      </c>
      <c r="AJ708" t="str" cm="1">
        <f t="array" ref="AJ708">_xlfn.IFS(U708=1,"Low",U708=2,"Good",U708=3,"Excellent",U708=4,"Outstanding")</f>
        <v>Excellent</v>
      </c>
      <c r="AK708" t="str" cm="1">
        <f t="array" ref="AK708">_xlfn.IFS(V708=1,"Low",V708=2,"Medium",V708=3,"High",V708=4,"Very High")</f>
        <v>Very High</v>
      </c>
      <c r="AL708" t="str" cm="1">
        <f t="array" ref="AL708">_xlfn.IFS(Z708=1,"Bad",Z708=2,"Good",Z708=3,"Better",Z708=4,"Best")</f>
        <v>Good</v>
      </c>
      <c r="AM708" t="str" cm="1">
        <f t="array" ref="AM708">_xlfn.IFS(W708=0,"No_stock",W708=1,"Low",W708=2,"Medium",W708=3,"High")</f>
        <v>No_stock</v>
      </c>
      <c r="AN708" t="str">
        <f t="shared" si="11"/>
        <v>Far</v>
      </c>
    </row>
    <row r="709" spans="1:40" x14ac:dyDescent="0.45">
      <c r="A709">
        <v>47</v>
      </c>
      <c r="B709" t="s">
        <v>37</v>
      </c>
      <c r="C709" t="s">
        <v>38</v>
      </c>
      <c r="D709">
        <v>1379</v>
      </c>
      <c r="E709" t="s">
        <v>39</v>
      </c>
      <c r="F709">
        <v>16</v>
      </c>
      <c r="G709">
        <v>4</v>
      </c>
      <c r="H709" t="s">
        <v>45</v>
      </c>
      <c r="I709">
        <v>987</v>
      </c>
      <c r="J709">
        <v>3</v>
      </c>
      <c r="K709" t="s">
        <v>40</v>
      </c>
      <c r="L709">
        <v>4</v>
      </c>
      <c r="M709">
        <v>2</v>
      </c>
      <c r="N709" t="s">
        <v>47</v>
      </c>
      <c r="O709">
        <v>3</v>
      </c>
      <c r="P709" t="s">
        <v>46</v>
      </c>
      <c r="Q709">
        <v>5067</v>
      </c>
      <c r="R709">
        <v>1</v>
      </c>
      <c r="S709" t="s">
        <v>30</v>
      </c>
      <c r="T709">
        <v>19</v>
      </c>
      <c r="U709">
        <v>3</v>
      </c>
      <c r="V709">
        <v>3</v>
      </c>
      <c r="W709">
        <v>0</v>
      </c>
      <c r="X709">
        <v>20</v>
      </c>
      <c r="Y709">
        <v>3</v>
      </c>
      <c r="Z709">
        <v>4</v>
      </c>
      <c r="AA709">
        <v>19</v>
      </c>
      <c r="AB709">
        <v>10</v>
      </c>
      <c r="AC709">
        <v>2</v>
      </c>
      <c r="AD709">
        <v>7</v>
      </c>
      <c r="AE709" t="str" cm="1">
        <f t="array" ref="AE709">_xlfn.IFS(G709=1,"Before College",G709=2,"College",G709=3,"Bachelor",G709=4,"Master",G709=5,"Doctor")</f>
        <v>Master</v>
      </c>
      <c r="AF709" t="str" cm="1">
        <f t="array" ref="AF709">_xlfn.IFS(J709=1,"Low",J709=2,"Medium",J709=3,"High",J709=4,"Very High")</f>
        <v>High</v>
      </c>
      <c r="AG709" t="str" cm="1">
        <f t="array" ref="AG709">_xlfn.IFS(L709=1,"Low",L709=2,"Medium",L709=3,"High",L709=4,"Very High")</f>
        <v>Very High</v>
      </c>
      <c r="AH709" t="str" cm="1">
        <f t="array" ref="AH709">_xlfn.IFS(M709=1,"Junior employee",M709=2,"Mid-level",M709=3,"Senior",M709=4,"Manager",M709=5,"Executive")</f>
        <v>Mid-level</v>
      </c>
      <c r="AI709" t="str" cm="1">
        <f t="array" ref="AI709">_xlfn.IFS(O709=1,"Low",O709=2,"Medium",O709=3,"High",O709=4,"Very High")</f>
        <v>High</v>
      </c>
      <c r="AJ709" t="str" cm="1">
        <f t="array" ref="AJ709">_xlfn.IFS(U709=1,"Low",U709=2,"Good",U709=3,"Excellent",U709=4,"Outstanding")</f>
        <v>Excellent</v>
      </c>
      <c r="AK709" t="str" cm="1">
        <f t="array" ref="AK709">_xlfn.IFS(V709=1,"Low",V709=2,"Medium",V709=3,"High",V709=4,"Very High")</f>
        <v>High</v>
      </c>
      <c r="AL709" t="str" cm="1">
        <f t="array" ref="AL709">_xlfn.IFS(Z709=1,"Bad",Z709=2,"Good",Z709=3,"Better",Z709=4,"Best")</f>
        <v>Best</v>
      </c>
      <c r="AM709" t="str" cm="1">
        <f t="array" ref="AM709">_xlfn.IFS(W709=0,"No_stock",W709=1,"Low",W709=2,"Medium",W709=3,"High")</f>
        <v>No_stock</v>
      </c>
      <c r="AN709" t="str">
        <f t="shared" si="11"/>
        <v>Far</v>
      </c>
    </row>
    <row r="710" spans="1:40" x14ac:dyDescent="0.45">
      <c r="A710">
        <v>36</v>
      </c>
      <c r="B710" t="s">
        <v>37</v>
      </c>
      <c r="C710" t="s">
        <v>49</v>
      </c>
      <c r="D710">
        <v>1229</v>
      </c>
      <c r="E710" t="s">
        <v>32</v>
      </c>
      <c r="F710">
        <v>8</v>
      </c>
      <c r="G710">
        <v>4</v>
      </c>
      <c r="H710" t="s">
        <v>54</v>
      </c>
      <c r="I710">
        <v>990</v>
      </c>
      <c r="J710">
        <v>1</v>
      </c>
      <c r="K710" t="s">
        <v>40</v>
      </c>
      <c r="L710">
        <v>3</v>
      </c>
      <c r="M710">
        <v>2</v>
      </c>
      <c r="N710" t="s">
        <v>35</v>
      </c>
      <c r="O710">
        <v>4</v>
      </c>
      <c r="P710" t="s">
        <v>46</v>
      </c>
      <c r="Q710">
        <v>5079</v>
      </c>
      <c r="R710">
        <v>4</v>
      </c>
      <c r="S710" t="s">
        <v>37</v>
      </c>
      <c r="T710">
        <v>13</v>
      </c>
      <c r="U710">
        <v>3</v>
      </c>
      <c r="V710">
        <v>4</v>
      </c>
      <c r="W710">
        <v>2</v>
      </c>
      <c r="X710">
        <v>12</v>
      </c>
      <c r="Y710">
        <v>3</v>
      </c>
      <c r="Z710">
        <v>3</v>
      </c>
      <c r="AA710">
        <v>7</v>
      </c>
      <c r="AB710">
        <v>7</v>
      </c>
      <c r="AC710">
        <v>0</v>
      </c>
      <c r="AD710">
        <v>7</v>
      </c>
      <c r="AE710" t="str" cm="1">
        <f t="array" ref="AE710">_xlfn.IFS(G710=1,"Before College",G710=2,"College",G710=3,"Bachelor",G710=4,"Master",G710=5,"Doctor")</f>
        <v>Master</v>
      </c>
      <c r="AF710" t="str" cm="1">
        <f t="array" ref="AF710">_xlfn.IFS(J710=1,"Low",J710=2,"Medium",J710=3,"High",J710=4,"Very High")</f>
        <v>Low</v>
      </c>
      <c r="AG710" t="str" cm="1">
        <f t="array" ref="AG710">_xlfn.IFS(L710=1,"Low",L710=2,"Medium",L710=3,"High",L710=4,"Very High")</f>
        <v>High</v>
      </c>
      <c r="AH710" t="str" cm="1">
        <f t="array" ref="AH710">_xlfn.IFS(M710=1,"Junior employee",M710=2,"Mid-level",M710=3,"Senior",M710=4,"Manager",M710=5,"Executive")</f>
        <v>Mid-level</v>
      </c>
      <c r="AI710" t="str" cm="1">
        <f t="array" ref="AI710">_xlfn.IFS(O710=1,"Low",O710=2,"Medium",O710=3,"High",O710=4,"Very High")</f>
        <v>Very High</v>
      </c>
      <c r="AJ710" t="str" cm="1">
        <f t="array" ref="AJ710">_xlfn.IFS(U710=1,"Low",U710=2,"Good",U710=3,"Excellent",U710=4,"Outstanding")</f>
        <v>Excellent</v>
      </c>
      <c r="AK710" t="str" cm="1">
        <f t="array" ref="AK710">_xlfn.IFS(V710=1,"Low",V710=2,"Medium",V710=3,"High",V710=4,"Very High")</f>
        <v>Very High</v>
      </c>
      <c r="AL710" t="str" cm="1">
        <f t="array" ref="AL710">_xlfn.IFS(Z710=1,"Bad",Z710=2,"Good",Z710=3,"Better",Z710=4,"Best")</f>
        <v>Better</v>
      </c>
      <c r="AM710" t="str" cm="1">
        <f t="array" ref="AM710">_xlfn.IFS(W710=0,"No_stock",W710=1,"Low",W710=2,"Medium",W710=3,"High")</f>
        <v>Medium</v>
      </c>
      <c r="AN710" t="str">
        <f t="shared" si="11"/>
        <v>Medium</v>
      </c>
    </row>
    <row r="711" spans="1:40" x14ac:dyDescent="0.45">
      <c r="A711">
        <v>31</v>
      </c>
      <c r="B711" t="s">
        <v>30</v>
      </c>
      <c r="C711" t="s">
        <v>49</v>
      </c>
      <c r="D711">
        <v>335</v>
      </c>
      <c r="E711" t="s">
        <v>39</v>
      </c>
      <c r="F711">
        <v>9</v>
      </c>
      <c r="G711">
        <v>2</v>
      </c>
      <c r="H711" t="s">
        <v>45</v>
      </c>
      <c r="I711">
        <v>991</v>
      </c>
      <c r="J711">
        <v>3</v>
      </c>
      <c r="K711" t="s">
        <v>40</v>
      </c>
      <c r="L711">
        <v>2</v>
      </c>
      <c r="M711">
        <v>1</v>
      </c>
      <c r="N711" t="s">
        <v>41</v>
      </c>
      <c r="O711">
        <v>1</v>
      </c>
      <c r="P711" t="s">
        <v>36</v>
      </c>
      <c r="Q711">
        <v>2321</v>
      </c>
      <c r="R711">
        <v>0</v>
      </c>
      <c r="S711" t="s">
        <v>30</v>
      </c>
      <c r="T711">
        <v>22</v>
      </c>
      <c r="U711">
        <v>4</v>
      </c>
      <c r="V711">
        <v>1</v>
      </c>
      <c r="W711">
        <v>0</v>
      </c>
      <c r="X711">
        <v>4</v>
      </c>
      <c r="Y711">
        <v>0</v>
      </c>
      <c r="Z711">
        <v>3</v>
      </c>
      <c r="AA711">
        <v>3</v>
      </c>
      <c r="AB711">
        <v>2</v>
      </c>
      <c r="AC711">
        <v>1</v>
      </c>
      <c r="AD711">
        <v>2</v>
      </c>
      <c r="AE711" t="str" cm="1">
        <f t="array" ref="AE711">_xlfn.IFS(G711=1,"Before College",G711=2,"College",G711=3,"Bachelor",G711=4,"Master",G711=5,"Doctor")</f>
        <v>College</v>
      </c>
      <c r="AF711" t="str" cm="1">
        <f t="array" ref="AF711">_xlfn.IFS(J711=1,"Low",J711=2,"Medium",J711=3,"High",J711=4,"Very High")</f>
        <v>High</v>
      </c>
      <c r="AG711" t="str" cm="1">
        <f t="array" ref="AG711">_xlfn.IFS(L711=1,"Low",L711=2,"Medium",L711=3,"High",L711=4,"Very High")</f>
        <v>Medium</v>
      </c>
      <c r="AH711" t="str" cm="1">
        <f t="array" ref="AH711">_xlfn.IFS(M711=1,"Junior employee",M711=2,"Mid-level",M711=3,"Senior",M711=4,"Manager",M711=5,"Executive")</f>
        <v>Junior employee</v>
      </c>
      <c r="AI711" t="str" cm="1">
        <f t="array" ref="AI711">_xlfn.IFS(O711=1,"Low",O711=2,"Medium",O711=3,"High",O711=4,"Very High")</f>
        <v>Low</v>
      </c>
      <c r="AJ711" t="str" cm="1">
        <f t="array" ref="AJ711">_xlfn.IFS(U711=1,"Low",U711=2,"Good",U711=3,"Excellent",U711=4,"Outstanding")</f>
        <v>Outstanding</v>
      </c>
      <c r="AK711" t="str" cm="1">
        <f t="array" ref="AK711">_xlfn.IFS(V711=1,"Low",V711=2,"Medium",V711=3,"High",V711=4,"Very High")</f>
        <v>Low</v>
      </c>
      <c r="AL711" t="str" cm="1">
        <f t="array" ref="AL711">_xlfn.IFS(Z711=1,"Bad",Z711=2,"Good",Z711=3,"Better",Z711=4,"Best")</f>
        <v>Better</v>
      </c>
      <c r="AM711" t="str" cm="1">
        <f t="array" ref="AM711">_xlfn.IFS(W711=0,"No_stock",W711=1,"Low",W711=2,"Medium",W711=3,"High")</f>
        <v>No_stock</v>
      </c>
      <c r="AN711" t="str">
        <f t="shared" si="11"/>
        <v>Medium</v>
      </c>
    </row>
    <row r="712" spans="1:40" x14ac:dyDescent="0.45">
      <c r="A712">
        <v>33</v>
      </c>
      <c r="B712" t="s">
        <v>37</v>
      </c>
      <c r="C712" t="s">
        <v>49</v>
      </c>
      <c r="D712">
        <v>722</v>
      </c>
      <c r="E712" t="s">
        <v>32</v>
      </c>
      <c r="F712">
        <v>17</v>
      </c>
      <c r="G712">
        <v>3</v>
      </c>
      <c r="H712" t="s">
        <v>33</v>
      </c>
      <c r="I712">
        <v>992</v>
      </c>
      <c r="J712">
        <v>4</v>
      </c>
      <c r="K712" t="s">
        <v>40</v>
      </c>
      <c r="L712">
        <v>3</v>
      </c>
      <c r="M712">
        <v>4</v>
      </c>
      <c r="N712" t="s">
        <v>50</v>
      </c>
      <c r="O712">
        <v>3</v>
      </c>
      <c r="P712" t="s">
        <v>36</v>
      </c>
      <c r="Q712">
        <v>17444</v>
      </c>
      <c r="R712">
        <v>1</v>
      </c>
      <c r="S712" t="s">
        <v>37</v>
      </c>
      <c r="T712">
        <v>11</v>
      </c>
      <c r="U712">
        <v>3</v>
      </c>
      <c r="V712">
        <v>4</v>
      </c>
      <c r="W712">
        <v>0</v>
      </c>
      <c r="X712">
        <v>10</v>
      </c>
      <c r="Y712">
        <v>2</v>
      </c>
      <c r="Z712">
        <v>3</v>
      </c>
      <c r="AA712">
        <v>10</v>
      </c>
      <c r="AB712">
        <v>8</v>
      </c>
      <c r="AC712">
        <v>6</v>
      </c>
      <c r="AD712">
        <v>0</v>
      </c>
      <c r="AE712" t="str" cm="1">
        <f t="array" ref="AE712">_xlfn.IFS(G712=1,"Before College",G712=2,"College",G712=3,"Bachelor",G712=4,"Master",G712=5,"Doctor")</f>
        <v>Bachelor</v>
      </c>
      <c r="AF712" t="str" cm="1">
        <f t="array" ref="AF712">_xlfn.IFS(J712=1,"Low",J712=2,"Medium",J712=3,"High",J712=4,"Very High")</f>
        <v>Very High</v>
      </c>
      <c r="AG712" t="str" cm="1">
        <f t="array" ref="AG712">_xlfn.IFS(L712=1,"Low",L712=2,"Medium",L712=3,"High",L712=4,"Very High")</f>
        <v>High</v>
      </c>
      <c r="AH712" t="str" cm="1">
        <f t="array" ref="AH712">_xlfn.IFS(M712=1,"Junior employee",M712=2,"Mid-level",M712=3,"Senior",M712=4,"Manager",M712=5,"Executive")</f>
        <v>Manager</v>
      </c>
      <c r="AI712" t="str" cm="1">
        <f t="array" ref="AI712">_xlfn.IFS(O712=1,"Low",O712=2,"Medium",O712=3,"High",O712=4,"Very High")</f>
        <v>High</v>
      </c>
      <c r="AJ712" t="str" cm="1">
        <f t="array" ref="AJ712">_xlfn.IFS(U712=1,"Low",U712=2,"Good",U712=3,"Excellent",U712=4,"Outstanding")</f>
        <v>Excellent</v>
      </c>
      <c r="AK712" t="str" cm="1">
        <f t="array" ref="AK712">_xlfn.IFS(V712=1,"Low",V712=2,"Medium",V712=3,"High",V712=4,"Very High")</f>
        <v>Very High</v>
      </c>
      <c r="AL712" t="str" cm="1">
        <f t="array" ref="AL712">_xlfn.IFS(Z712=1,"Bad",Z712=2,"Good",Z712=3,"Better",Z712=4,"Best")</f>
        <v>Better</v>
      </c>
      <c r="AM712" t="str" cm="1">
        <f t="array" ref="AM712">_xlfn.IFS(W712=0,"No_stock",W712=1,"Low",W712=2,"Medium",W712=3,"High")</f>
        <v>No_stock</v>
      </c>
      <c r="AN712" t="str">
        <f t="shared" si="11"/>
        <v>Far</v>
      </c>
    </row>
    <row r="713" spans="1:40" x14ac:dyDescent="0.45">
      <c r="A713">
        <v>29</v>
      </c>
      <c r="B713" t="s">
        <v>30</v>
      </c>
      <c r="C713" t="s">
        <v>31</v>
      </c>
      <c r="D713">
        <v>906</v>
      </c>
      <c r="E713" t="s">
        <v>39</v>
      </c>
      <c r="F713">
        <v>10</v>
      </c>
      <c r="G713">
        <v>3</v>
      </c>
      <c r="H713" t="s">
        <v>33</v>
      </c>
      <c r="I713">
        <v>994</v>
      </c>
      <c r="J713">
        <v>4</v>
      </c>
      <c r="K713" t="s">
        <v>34</v>
      </c>
      <c r="L713">
        <v>2</v>
      </c>
      <c r="M713">
        <v>1</v>
      </c>
      <c r="N713" t="s">
        <v>41</v>
      </c>
      <c r="O713">
        <v>1</v>
      </c>
      <c r="P713" t="s">
        <v>36</v>
      </c>
      <c r="Q713">
        <v>2404</v>
      </c>
      <c r="R713">
        <v>6</v>
      </c>
      <c r="S713" t="s">
        <v>30</v>
      </c>
      <c r="T713">
        <v>20</v>
      </c>
      <c r="U713">
        <v>4</v>
      </c>
      <c r="V713">
        <v>3</v>
      </c>
      <c r="W713">
        <v>0</v>
      </c>
      <c r="X713">
        <v>3</v>
      </c>
      <c r="Y713">
        <v>5</v>
      </c>
      <c r="Z713">
        <v>3</v>
      </c>
      <c r="AA713">
        <v>0</v>
      </c>
      <c r="AB713">
        <v>0</v>
      </c>
      <c r="AC713">
        <v>0</v>
      </c>
      <c r="AD713">
        <v>0</v>
      </c>
      <c r="AE713" t="str" cm="1">
        <f t="array" ref="AE713">_xlfn.IFS(G713=1,"Before College",G713=2,"College",G713=3,"Bachelor",G713=4,"Master",G713=5,"Doctor")</f>
        <v>Bachelor</v>
      </c>
      <c r="AF713" t="str" cm="1">
        <f t="array" ref="AF713">_xlfn.IFS(J713=1,"Low",J713=2,"Medium",J713=3,"High",J713=4,"Very High")</f>
        <v>Very High</v>
      </c>
      <c r="AG713" t="str" cm="1">
        <f t="array" ref="AG713">_xlfn.IFS(L713=1,"Low",L713=2,"Medium",L713=3,"High",L713=4,"Very High")</f>
        <v>Medium</v>
      </c>
      <c r="AH713" t="str" cm="1">
        <f t="array" ref="AH713">_xlfn.IFS(M713=1,"Junior employee",M713=2,"Mid-level",M713=3,"Senior",M713=4,"Manager",M713=5,"Executive")</f>
        <v>Junior employee</v>
      </c>
      <c r="AI713" t="str" cm="1">
        <f t="array" ref="AI713">_xlfn.IFS(O713=1,"Low",O713=2,"Medium",O713=3,"High",O713=4,"Very High")</f>
        <v>Low</v>
      </c>
      <c r="AJ713" t="str" cm="1">
        <f t="array" ref="AJ713">_xlfn.IFS(U713=1,"Low",U713=2,"Good",U713=3,"Excellent",U713=4,"Outstanding")</f>
        <v>Outstanding</v>
      </c>
      <c r="AK713" t="str" cm="1">
        <f t="array" ref="AK713">_xlfn.IFS(V713=1,"Low",V713=2,"Medium",V713=3,"High",V713=4,"Very High")</f>
        <v>High</v>
      </c>
      <c r="AL713" t="str" cm="1">
        <f t="array" ref="AL713">_xlfn.IFS(Z713=1,"Bad",Z713=2,"Good",Z713=3,"Better",Z713=4,"Best")</f>
        <v>Better</v>
      </c>
      <c r="AM713" t="str" cm="1">
        <f t="array" ref="AM713">_xlfn.IFS(W713=0,"No_stock",W713=1,"Low",W713=2,"Medium",W713=3,"High")</f>
        <v>No_stock</v>
      </c>
      <c r="AN713" t="str">
        <f t="shared" si="11"/>
        <v>Medium</v>
      </c>
    </row>
    <row r="714" spans="1:40" x14ac:dyDescent="0.45">
      <c r="A714">
        <v>33</v>
      </c>
      <c r="B714" t="s">
        <v>37</v>
      </c>
      <c r="C714" t="s">
        <v>31</v>
      </c>
      <c r="D714">
        <v>461</v>
      </c>
      <c r="E714" t="s">
        <v>39</v>
      </c>
      <c r="F714">
        <v>13</v>
      </c>
      <c r="G714">
        <v>1</v>
      </c>
      <c r="H714" t="s">
        <v>33</v>
      </c>
      <c r="I714">
        <v>995</v>
      </c>
      <c r="J714">
        <v>2</v>
      </c>
      <c r="K714" t="s">
        <v>34</v>
      </c>
      <c r="L714">
        <v>3</v>
      </c>
      <c r="M714">
        <v>1</v>
      </c>
      <c r="N714" t="s">
        <v>41</v>
      </c>
      <c r="O714">
        <v>4</v>
      </c>
      <c r="P714" t="s">
        <v>36</v>
      </c>
      <c r="Q714">
        <v>3452</v>
      </c>
      <c r="R714">
        <v>3</v>
      </c>
      <c r="S714" t="s">
        <v>37</v>
      </c>
      <c r="T714">
        <v>18</v>
      </c>
      <c r="U714">
        <v>3</v>
      </c>
      <c r="V714">
        <v>1</v>
      </c>
      <c r="W714">
        <v>0</v>
      </c>
      <c r="X714">
        <v>5</v>
      </c>
      <c r="Y714">
        <v>4</v>
      </c>
      <c r="Z714">
        <v>3</v>
      </c>
      <c r="AA714">
        <v>3</v>
      </c>
      <c r="AB714">
        <v>2</v>
      </c>
      <c r="AC714">
        <v>0</v>
      </c>
      <c r="AD714">
        <v>2</v>
      </c>
      <c r="AE714" t="str" cm="1">
        <f t="array" ref="AE714">_xlfn.IFS(G714=1,"Before College",G714=2,"College",G714=3,"Bachelor",G714=4,"Master",G714=5,"Doctor")</f>
        <v>Before College</v>
      </c>
      <c r="AF714" t="str" cm="1">
        <f t="array" ref="AF714">_xlfn.IFS(J714=1,"Low",J714=2,"Medium",J714=3,"High",J714=4,"Very High")</f>
        <v>Medium</v>
      </c>
      <c r="AG714" t="str" cm="1">
        <f t="array" ref="AG714">_xlfn.IFS(L714=1,"Low",L714=2,"Medium",L714=3,"High",L714=4,"Very High")</f>
        <v>High</v>
      </c>
      <c r="AH714" t="str" cm="1">
        <f t="array" ref="AH714">_xlfn.IFS(M714=1,"Junior employee",M714=2,"Mid-level",M714=3,"Senior",M714=4,"Manager",M714=5,"Executive")</f>
        <v>Junior employee</v>
      </c>
      <c r="AI714" t="str" cm="1">
        <f t="array" ref="AI714">_xlfn.IFS(O714=1,"Low",O714=2,"Medium",O714=3,"High",O714=4,"Very High")</f>
        <v>Very High</v>
      </c>
      <c r="AJ714" t="str" cm="1">
        <f t="array" ref="AJ714">_xlfn.IFS(U714=1,"Low",U714=2,"Good",U714=3,"Excellent",U714=4,"Outstanding")</f>
        <v>Excellent</v>
      </c>
      <c r="AK714" t="str" cm="1">
        <f t="array" ref="AK714">_xlfn.IFS(V714=1,"Low",V714=2,"Medium",V714=3,"High",V714=4,"Very High")</f>
        <v>Low</v>
      </c>
      <c r="AL714" t="str" cm="1">
        <f t="array" ref="AL714">_xlfn.IFS(Z714=1,"Bad",Z714=2,"Good",Z714=3,"Better",Z714=4,"Best")</f>
        <v>Better</v>
      </c>
      <c r="AM714" t="str" cm="1">
        <f t="array" ref="AM714">_xlfn.IFS(W714=0,"No_stock",W714=1,"Low",W714=2,"Medium",W714=3,"High")</f>
        <v>No_stock</v>
      </c>
      <c r="AN714" t="str">
        <f t="shared" si="11"/>
        <v>Medium</v>
      </c>
    </row>
    <row r="715" spans="1:40" x14ac:dyDescent="0.45">
      <c r="A715">
        <v>45</v>
      </c>
      <c r="B715" t="s">
        <v>37</v>
      </c>
      <c r="C715" t="s">
        <v>31</v>
      </c>
      <c r="D715">
        <v>974</v>
      </c>
      <c r="E715" t="s">
        <v>39</v>
      </c>
      <c r="F715">
        <v>1</v>
      </c>
      <c r="G715">
        <v>4</v>
      </c>
      <c r="H715" t="s">
        <v>45</v>
      </c>
      <c r="I715">
        <v>996</v>
      </c>
      <c r="J715">
        <v>4</v>
      </c>
      <c r="K715" t="s">
        <v>34</v>
      </c>
      <c r="L715">
        <v>3</v>
      </c>
      <c r="M715">
        <v>1</v>
      </c>
      <c r="N715" t="s">
        <v>44</v>
      </c>
      <c r="O715">
        <v>4</v>
      </c>
      <c r="P715" t="s">
        <v>46</v>
      </c>
      <c r="Q715">
        <v>2270</v>
      </c>
      <c r="R715">
        <v>3</v>
      </c>
      <c r="S715" t="s">
        <v>37</v>
      </c>
      <c r="T715">
        <v>14</v>
      </c>
      <c r="U715">
        <v>3</v>
      </c>
      <c r="V715">
        <v>4</v>
      </c>
      <c r="W715">
        <v>2</v>
      </c>
      <c r="X715">
        <v>8</v>
      </c>
      <c r="Y715">
        <v>2</v>
      </c>
      <c r="Z715">
        <v>3</v>
      </c>
      <c r="AA715">
        <v>5</v>
      </c>
      <c r="AB715">
        <v>3</v>
      </c>
      <c r="AC715">
        <v>0</v>
      </c>
      <c r="AD715">
        <v>2</v>
      </c>
      <c r="AE715" t="str" cm="1">
        <f t="array" ref="AE715">_xlfn.IFS(G715=1,"Before College",G715=2,"College",G715=3,"Bachelor",G715=4,"Master",G715=5,"Doctor")</f>
        <v>Master</v>
      </c>
      <c r="AF715" t="str" cm="1">
        <f t="array" ref="AF715">_xlfn.IFS(J715=1,"Low",J715=2,"Medium",J715=3,"High",J715=4,"Very High")</f>
        <v>Very High</v>
      </c>
      <c r="AG715" t="str" cm="1">
        <f t="array" ref="AG715">_xlfn.IFS(L715=1,"Low",L715=2,"Medium",L715=3,"High",L715=4,"Very High")</f>
        <v>High</v>
      </c>
      <c r="AH715" t="str" cm="1">
        <f t="array" ref="AH715">_xlfn.IFS(M715=1,"Junior employee",M715=2,"Mid-level",M715=3,"Senior",M715=4,"Manager",M715=5,"Executive")</f>
        <v>Junior employee</v>
      </c>
      <c r="AI715" t="str" cm="1">
        <f t="array" ref="AI715">_xlfn.IFS(O715=1,"Low",O715=2,"Medium",O715=3,"High",O715=4,"Very High")</f>
        <v>Very High</v>
      </c>
      <c r="AJ715" t="str" cm="1">
        <f t="array" ref="AJ715">_xlfn.IFS(U715=1,"Low",U715=2,"Good",U715=3,"Excellent",U715=4,"Outstanding")</f>
        <v>Excellent</v>
      </c>
      <c r="AK715" t="str" cm="1">
        <f t="array" ref="AK715">_xlfn.IFS(V715=1,"Low",V715=2,"Medium",V715=3,"High",V715=4,"Very High")</f>
        <v>Very High</v>
      </c>
      <c r="AL715" t="str" cm="1">
        <f t="array" ref="AL715">_xlfn.IFS(Z715=1,"Bad",Z715=2,"Good",Z715=3,"Better",Z715=4,"Best")</f>
        <v>Better</v>
      </c>
      <c r="AM715" t="str" cm="1">
        <f t="array" ref="AM715">_xlfn.IFS(W715=0,"No_stock",W715=1,"Low",W715=2,"Medium",W715=3,"High")</f>
        <v>Medium</v>
      </c>
      <c r="AN715" t="str">
        <f t="shared" si="11"/>
        <v>Near</v>
      </c>
    </row>
    <row r="716" spans="1:40" x14ac:dyDescent="0.45">
      <c r="A716">
        <v>50</v>
      </c>
      <c r="B716" t="s">
        <v>37</v>
      </c>
      <c r="C716" t="s">
        <v>31</v>
      </c>
      <c r="D716">
        <v>1126</v>
      </c>
      <c r="E716" t="s">
        <v>39</v>
      </c>
      <c r="F716">
        <v>1</v>
      </c>
      <c r="G716">
        <v>2</v>
      </c>
      <c r="H716" t="s">
        <v>45</v>
      </c>
      <c r="I716">
        <v>997</v>
      </c>
      <c r="J716">
        <v>4</v>
      </c>
      <c r="K716" t="s">
        <v>40</v>
      </c>
      <c r="L716">
        <v>3</v>
      </c>
      <c r="M716">
        <v>4</v>
      </c>
      <c r="N716" t="s">
        <v>52</v>
      </c>
      <c r="O716">
        <v>4</v>
      </c>
      <c r="P716" t="s">
        <v>46</v>
      </c>
      <c r="Q716">
        <v>17399</v>
      </c>
      <c r="R716">
        <v>9</v>
      </c>
      <c r="S716" t="s">
        <v>37</v>
      </c>
      <c r="T716">
        <v>22</v>
      </c>
      <c r="U716">
        <v>4</v>
      </c>
      <c r="V716">
        <v>3</v>
      </c>
      <c r="W716">
        <v>1</v>
      </c>
      <c r="X716">
        <v>32</v>
      </c>
      <c r="Y716">
        <v>1</v>
      </c>
      <c r="Z716">
        <v>2</v>
      </c>
      <c r="AA716">
        <v>5</v>
      </c>
      <c r="AB716">
        <v>4</v>
      </c>
      <c r="AC716">
        <v>1</v>
      </c>
      <c r="AD716">
        <v>3</v>
      </c>
      <c r="AE716" t="str" cm="1">
        <f t="array" ref="AE716">_xlfn.IFS(G716=1,"Before College",G716=2,"College",G716=3,"Bachelor",G716=4,"Master",G716=5,"Doctor")</f>
        <v>College</v>
      </c>
      <c r="AF716" t="str" cm="1">
        <f t="array" ref="AF716">_xlfn.IFS(J716=1,"Low",J716=2,"Medium",J716=3,"High",J716=4,"Very High")</f>
        <v>Very High</v>
      </c>
      <c r="AG716" t="str" cm="1">
        <f t="array" ref="AG716">_xlfn.IFS(L716=1,"Low",L716=2,"Medium",L716=3,"High",L716=4,"Very High")</f>
        <v>High</v>
      </c>
      <c r="AH716" t="str" cm="1">
        <f t="array" ref="AH716">_xlfn.IFS(M716=1,"Junior employee",M716=2,"Mid-level",M716=3,"Senior",M716=4,"Manager",M716=5,"Executive")</f>
        <v>Manager</v>
      </c>
      <c r="AI716" t="str" cm="1">
        <f t="array" ref="AI716">_xlfn.IFS(O716=1,"Low",O716=2,"Medium",O716=3,"High",O716=4,"Very High")</f>
        <v>Very High</v>
      </c>
      <c r="AJ716" t="str" cm="1">
        <f t="array" ref="AJ716">_xlfn.IFS(U716=1,"Low",U716=2,"Good",U716=3,"Excellent",U716=4,"Outstanding")</f>
        <v>Outstanding</v>
      </c>
      <c r="AK716" t="str" cm="1">
        <f t="array" ref="AK716">_xlfn.IFS(V716=1,"Low",V716=2,"Medium",V716=3,"High",V716=4,"Very High")</f>
        <v>High</v>
      </c>
      <c r="AL716" t="str" cm="1">
        <f t="array" ref="AL716">_xlfn.IFS(Z716=1,"Bad",Z716=2,"Good",Z716=3,"Better",Z716=4,"Best")</f>
        <v>Good</v>
      </c>
      <c r="AM716" t="str" cm="1">
        <f t="array" ref="AM716">_xlfn.IFS(W716=0,"No_stock",W716=1,"Low",W716=2,"Medium",W716=3,"High")</f>
        <v>Low</v>
      </c>
      <c r="AN716" t="str">
        <f t="shared" si="11"/>
        <v>Near</v>
      </c>
    </row>
    <row r="717" spans="1:40" x14ac:dyDescent="0.45">
      <c r="A717">
        <v>33</v>
      </c>
      <c r="B717" t="s">
        <v>37</v>
      </c>
      <c r="C717" t="s">
        <v>38</v>
      </c>
      <c r="D717">
        <v>827</v>
      </c>
      <c r="E717" t="s">
        <v>39</v>
      </c>
      <c r="F717">
        <v>1</v>
      </c>
      <c r="G717">
        <v>4</v>
      </c>
      <c r="H717" t="s">
        <v>43</v>
      </c>
      <c r="I717">
        <v>998</v>
      </c>
      <c r="J717">
        <v>3</v>
      </c>
      <c r="K717" t="s">
        <v>34</v>
      </c>
      <c r="L717">
        <v>4</v>
      </c>
      <c r="M717">
        <v>2</v>
      </c>
      <c r="N717" t="s">
        <v>48</v>
      </c>
      <c r="O717">
        <v>2</v>
      </c>
      <c r="P717" t="s">
        <v>42</v>
      </c>
      <c r="Q717">
        <v>5488</v>
      </c>
      <c r="R717">
        <v>1</v>
      </c>
      <c r="S717" t="s">
        <v>30</v>
      </c>
      <c r="T717">
        <v>13</v>
      </c>
      <c r="U717">
        <v>3</v>
      </c>
      <c r="V717">
        <v>1</v>
      </c>
      <c r="W717">
        <v>1</v>
      </c>
      <c r="X717">
        <v>6</v>
      </c>
      <c r="Y717">
        <v>2</v>
      </c>
      <c r="Z717">
        <v>3</v>
      </c>
      <c r="AA717">
        <v>6</v>
      </c>
      <c r="AB717">
        <v>5</v>
      </c>
      <c r="AC717">
        <v>1</v>
      </c>
      <c r="AD717">
        <v>2</v>
      </c>
      <c r="AE717" t="str" cm="1">
        <f t="array" ref="AE717">_xlfn.IFS(G717=1,"Before College",G717=2,"College",G717=3,"Bachelor",G717=4,"Master",G717=5,"Doctor")</f>
        <v>Master</v>
      </c>
      <c r="AF717" t="str" cm="1">
        <f t="array" ref="AF717">_xlfn.IFS(J717=1,"Low",J717=2,"Medium",J717=3,"High",J717=4,"Very High")</f>
        <v>High</v>
      </c>
      <c r="AG717" t="str" cm="1">
        <f t="array" ref="AG717">_xlfn.IFS(L717=1,"Low",L717=2,"Medium",L717=3,"High",L717=4,"Very High")</f>
        <v>Very High</v>
      </c>
      <c r="AH717" t="str" cm="1">
        <f t="array" ref="AH717">_xlfn.IFS(M717=1,"Junior employee",M717=2,"Mid-level",M717=3,"Senior",M717=4,"Manager",M717=5,"Executive")</f>
        <v>Mid-level</v>
      </c>
      <c r="AI717" t="str" cm="1">
        <f t="array" ref="AI717">_xlfn.IFS(O717=1,"Low",O717=2,"Medium",O717=3,"High",O717=4,"Very High")</f>
        <v>Medium</v>
      </c>
      <c r="AJ717" t="str" cm="1">
        <f t="array" ref="AJ717">_xlfn.IFS(U717=1,"Low",U717=2,"Good",U717=3,"Excellent",U717=4,"Outstanding")</f>
        <v>Excellent</v>
      </c>
      <c r="AK717" t="str" cm="1">
        <f t="array" ref="AK717">_xlfn.IFS(V717=1,"Low",V717=2,"Medium",V717=3,"High",V717=4,"Very High")</f>
        <v>Low</v>
      </c>
      <c r="AL717" t="str" cm="1">
        <f t="array" ref="AL717">_xlfn.IFS(Z717=1,"Bad",Z717=2,"Good",Z717=3,"Better",Z717=4,"Best")</f>
        <v>Better</v>
      </c>
      <c r="AM717" t="str" cm="1">
        <f t="array" ref="AM717">_xlfn.IFS(W717=0,"No_stock",W717=1,"Low",W717=2,"Medium",W717=3,"High")</f>
        <v>Low</v>
      </c>
      <c r="AN717" t="str">
        <f t="shared" si="11"/>
        <v>Near</v>
      </c>
    </row>
    <row r="718" spans="1:40" x14ac:dyDescent="0.45">
      <c r="A718">
        <v>41</v>
      </c>
      <c r="B718" t="s">
        <v>37</v>
      </c>
      <c r="C718" t="s">
        <v>38</v>
      </c>
      <c r="D718">
        <v>840</v>
      </c>
      <c r="E718" t="s">
        <v>39</v>
      </c>
      <c r="F718">
        <v>9</v>
      </c>
      <c r="G718">
        <v>3</v>
      </c>
      <c r="H718" t="s">
        <v>45</v>
      </c>
      <c r="I718">
        <v>999</v>
      </c>
      <c r="J718">
        <v>1</v>
      </c>
      <c r="K718" t="s">
        <v>40</v>
      </c>
      <c r="L718">
        <v>3</v>
      </c>
      <c r="M718">
        <v>5</v>
      </c>
      <c r="N718" t="s">
        <v>52</v>
      </c>
      <c r="O718">
        <v>3</v>
      </c>
      <c r="P718" t="s">
        <v>46</v>
      </c>
      <c r="Q718">
        <v>19419</v>
      </c>
      <c r="R718">
        <v>2</v>
      </c>
      <c r="S718" t="s">
        <v>37</v>
      </c>
      <c r="T718">
        <v>17</v>
      </c>
      <c r="U718">
        <v>3</v>
      </c>
      <c r="V718">
        <v>2</v>
      </c>
      <c r="W718">
        <v>1</v>
      </c>
      <c r="X718">
        <v>21</v>
      </c>
      <c r="Y718">
        <v>2</v>
      </c>
      <c r="Z718">
        <v>4</v>
      </c>
      <c r="AA718">
        <v>18</v>
      </c>
      <c r="AB718">
        <v>16</v>
      </c>
      <c r="AC718">
        <v>0</v>
      </c>
      <c r="AD718">
        <v>11</v>
      </c>
      <c r="AE718" t="str" cm="1">
        <f t="array" ref="AE718">_xlfn.IFS(G718=1,"Before College",G718=2,"College",G718=3,"Bachelor",G718=4,"Master",G718=5,"Doctor")</f>
        <v>Bachelor</v>
      </c>
      <c r="AF718" t="str" cm="1">
        <f t="array" ref="AF718">_xlfn.IFS(J718=1,"Low",J718=2,"Medium",J718=3,"High",J718=4,"Very High")</f>
        <v>Low</v>
      </c>
      <c r="AG718" t="str" cm="1">
        <f t="array" ref="AG718">_xlfn.IFS(L718=1,"Low",L718=2,"Medium",L718=3,"High",L718=4,"Very High")</f>
        <v>High</v>
      </c>
      <c r="AH718" t="str" cm="1">
        <f t="array" ref="AH718">_xlfn.IFS(M718=1,"Junior employee",M718=2,"Mid-level",M718=3,"Senior",M718=4,"Manager",M718=5,"Executive")</f>
        <v>Executive</v>
      </c>
      <c r="AI718" t="str" cm="1">
        <f t="array" ref="AI718">_xlfn.IFS(O718=1,"Low",O718=2,"Medium",O718=3,"High",O718=4,"Very High")</f>
        <v>High</v>
      </c>
      <c r="AJ718" t="str" cm="1">
        <f t="array" ref="AJ718">_xlfn.IFS(U718=1,"Low",U718=2,"Good",U718=3,"Excellent",U718=4,"Outstanding")</f>
        <v>Excellent</v>
      </c>
      <c r="AK718" t="str" cm="1">
        <f t="array" ref="AK718">_xlfn.IFS(V718=1,"Low",V718=2,"Medium",V718=3,"High",V718=4,"Very High")</f>
        <v>Medium</v>
      </c>
      <c r="AL718" t="str" cm="1">
        <f t="array" ref="AL718">_xlfn.IFS(Z718=1,"Bad",Z718=2,"Good",Z718=3,"Better",Z718=4,"Best")</f>
        <v>Best</v>
      </c>
      <c r="AM718" t="str" cm="1">
        <f t="array" ref="AM718">_xlfn.IFS(W718=0,"No_stock",W718=1,"Low",W718=2,"Medium",W718=3,"High")</f>
        <v>Low</v>
      </c>
      <c r="AN718" t="str">
        <f t="shared" si="11"/>
        <v>Medium</v>
      </c>
    </row>
    <row r="719" spans="1:40" x14ac:dyDescent="0.45">
      <c r="A719">
        <v>27</v>
      </c>
      <c r="B719" t="s">
        <v>37</v>
      </c>
      <c r="C719" t="s">
        <v>31</v>
      </c>
      <c r="D719">
        <v>1134</v>
      </c>
      <c r="E719" t="s">
        <v>39</v>
      </c>
      <c r="F719">
        <v>16</v>
      </c>
      <c r="G719">
        <v>4</v>
      </c>
      <c r="H719" t="s">
        <v>54</v>
      </c>
      <c r="I719">
        <v>1001</v>
      </c>
      <c r="J719">
        <v>3</v>
      </c>
      <c r="K719" t="s">
        <v>34</v>
      </c>
      <c r="L719">
        <v>3</v>
      </c>
      <c r="M719">
        <v>1</v>
      </c>
      <c r="N719" t="s">
        <v>44</v>
      </c>
      <c r="O719">
        <v>2</v>
      </c>
      <c r="P719" t="s">
        <v>42</v>
      </c>
      <c r="Q719">
        <v>2811</v>
      </c>
      <c r="R719">
        <v>9</v>
      </c>
      <c r="S719" t="s">
        <v>37</v>
      </c>
      <c r="T719">
        <v>14</v>
      </c>
      <c r="U719">
        <v>3</v>
      </c>
      <c r="V719">
        <v>2</v>
      </c>
      <c r="W719">
        <v>1</v>
      </c>
      <c r="X719">
        <v>4</v>
      </c>
      <c r="Y719">
        <v>2</v>
      </c>
      <c r="Z719">
        <v>3</v>
      </c>
      <c r="AA719">
        <v>2</v>
      </c>
      <c r="AB719">
        <v>2</v>
      </c>
      <c r="AC719">
        <v>2</v>
      </c>
      <c r="AD719">
        <v>2</v>
      </c>
      <c r="AE719" t="str" cm="1">
        <f t="array" ref="AE719">_xlfn.IFS(G719=1,"Before College",G719=2,"College",G719=3,"Bachelor",G719=4,"Master",G719=5,"Doctor")</f>
        <v>Master</v>
      </c>
      <c r="AF719" t="str" cm="1">
        <f t="array" ref="AF719">_xlfn.IFS(J719=1,"Low",J719=2,"Medium",J719=3,"High",J719=4,"Very High")</f>
        <v>High</v>
      </c>
      <c r="AG719" t="str" cm="1">
        <f t="array" ref="AG719">_xlfn.IFS(L719=1,"Low",L719=2,"Medium",L719=3,"High",L719=4,"Very High")</f>
        <v>High</v>
      </c>
      <c r="AH719" t="str" cm="1">
        <f t="array" ref="AH719">_xlfn.IFS(M719=1,"Junior employee",M719=2,"Mid-level",M719=3,"Senior",M719=4,"Manager",M719=5,"Executive")</f>
        <v>Junior employee</v>
      </c>
      <c r="AI719" t="str" cm="1">
        <f t="array" ref="AI719">_xlfn.IFS(O719=1,"Low",O719=2,"Medium",O719=3,"High",O719=4,"Very High")</f>
        <v>Medium</v>
      </c>
      <c r="AJ719" t="str" cm="1">
        <f t="array" ref="AJ719">_xlfn.IFS(U719=1,"Low",U719=2,"Good",U719=3,"Excellent",U719=4,"Outstanding")</f>
        <v>Excellent</v>
      </c>
      <c r="AK719" t="str" cm="1">
        <f t="array" ref="AK719">_xlfn.IFS(V719=1,"Low",V719=2,"Medium",V719=3,"High",V719=4,"Very High")</f>
        <v>Medium</v>
      </c>
      <c r="AL719" t="str" cm="1">
        <f t="array" ref="AL719">_xlfn.IFS(Z719=1,"Bad",Z719=2,"Good",Z719=3,"Better",Z719=4,"Best")</f>
        <v>Better</v>
      </c>
      <c r="AM719" t="str" cm="1">
        <f t="array" ref="AM719">_xlfn.IFS(W719=0,"No_stock",W719=1,"Low",W719=2,"Medium",W719=3,"High")</f>
        <v>Low</v>
      </c>
      <c r="AN719" t="str">
        <f t="shared" si="11"/>
        <v>Far</v>
      </c>
    </row>
    <row r="720" spans="1:40" x14ac:dyDescent="0.45">
      <c r="A720">
        <v>45</v>
      </c>
      <c r="B720" t="s">
        <v>37</v>
      </c>
      <c r="C720" t="s">
        <v>49</v>
      </c>
      <c r="D720">
        <v>248</v>
      </c>
      <c r="E720" t="s">
        <v>39</v>
      </c>
      <c r="F720">
        <v>23</v>
      </c>
      <c r="G720">
        <v>2</v>
      </c>
      <c r="H720" t="s">
        <v>33</v>
      </c>
      <c r="I720">
        <v>1002</v>
      </c>
      <c r="J720">
        <v>4</v>
      </c>
      <c r="K720" t="s">
        <v>40</v>
      </c>
      <c r="L720">
        <v>3</v>
      </c>
      <c r="M720">
        <v>2</v>
      </c>
      <c r="N720" t="s">
        <v>44</v>
      </c>
      <c r="O720">
        <v>1</v>
      </c>
      <c r="P720" t="s">
        <v>42</v>
      </c>
      <c r="Q720">
        <v>3633</v>
      </c>
      <c r="R720">
        <v>1</v>
      </c>
      <c r="S720" t="s">
        <v>30</v>
      </c>
      <c r="T720">
        <v>15</v>
      </c>
      <c r="U720">
        <v>3</v>
      </c>
      <c r="V720">
        <v>3</v>
      </c>
      <c r="W720">
        <v>1</v>
      </c>
      <c r="X720">
        <v>9</v>
      </c>
      <c r="Y720">
        <v>2</v>
      </c>
      <c r="Z720">
        <v>3</v>
      </c>
      <c r="AA720">
        <v>9</v>
      </c>
      <c r="AB720">
        <v>8</v>
      </c>
      <c r="AC720">
        <v>0</v>
      </c>
      <c r="AD720">
        <v>8</v>
      </c>
      <c r="AE720" t="str" cm="1">
        <f t="array" ref="AE720">_xlfn.IFS(G720=1,"Before College",G720=2,"College",G720=3,"Bachelor",G720=4,"Master",G720=5,"Doctor")</f>
        <v>College</v>
      </c>
      <c r="AF720" t="str" cm="1">
        <f t="array" ref="AF720">_xlfn.IFS(J720=1,"Low",J720=2,"Medium",J720=3,"High",J720=4,"Very High")</f>
        <v>Very High</v>
      </c>
      <c r="AG720" t="str" cm="1">
        <f t="array" ref="AG720">_xlfn.IFS(L720=1,"Low",L720=2,"Medium",L720=3,"High",L720=4,"Very High")</f>
        <v>High</v>
      </c>
      <c r="AH720" t="str" cm="1">
        <f t="array" ref="AH720">_xlfn.IFS(M720=1,"Junior employee",M720=2,"Mid-level",M720=3,"Senior",M720=4,"Manager",M720=5,"Executive")</f>
        <v>Mid-level</v>
      </c>
      <c r="AI720" t="str" cm="1">
        <f t="array" ref="AI720">_xlfn.IFS(O720=1,"Low",O720=2,"Medium",O720=3,"High",O720=4,"Very High")</f>
        <v>Low</v>
      </c>
      <c r="AJ720" t="str" cm="1">
        <f t="array" ref="AJ720">_xlfn.IFS(U720=1,"Low",U720=2,"Good",U720=3,"Excellent",U720=4,"Outstanding")</f>
        <v>Excellent</v>
      </c>
      <c r="AK720" t="str" cm="1">
        <f t="array" ref="AK720">_xlfn.IFS(V720=1,"Low",V720=2,"Medium",V720=3,"High",V720=4,"Very High")</f>
        <v>High</v>
      </c>
      <c r="AL720" t="str" cm="1">
        <f t="array" ref="AL720">_xlfn.IFS(Z720=1,"Bad",Z720=2,"Good",Z720=3,"Better",Z720=4,"Best")</f>
        <v>Better</v>
      </c>
      <c r="AM720" t="str" cm="1">
        <f t="array" ref="AM720">_xlfn.IFS(W720=0,"No_stock",W720=1,"Low",W720=2,"Medium",W720=3,"High")</f>
        <v>Low</v>
      </c>
      <c r="AN720" t="str">
        <f t="shared" si="11"/>
        <v>Far</v>
      </c>
    </row>
    <row r="721" spans="1:40" x14ac:dyDescent="0.45">
      <c r="A721">
        <v>47</v>
      </c>
      <c r="B721" t="s">
        <v>37</v>
      </c>
      <c r="C721" t="s">
        <v>31</v>
      </c>
      <c r="D721">
        <v>955</v>
      </c>
      <c r="E721" t="s">
        <v>32</v>
      </c>
      <c r="F721">
        <v>4</v>
      </c>
      <c r="G721">
        <v>2</v>
      </c>
      <c r="H721" t="s">
        <v>33</v>
      </c>
      <c r="I721">
        <v>1003</v>
      </c>
      <c r="J721">
        <v>4</v>
      </c>
      <c r="K721" t="s">
        <v>34</v>
      </c>
      <c r="L721">
        <v>3</v>
      </c>
      <c r="M721">
        <v>2</v>
      </c>
      <c r="N721" t="s">
        <v>35</v>
      </c>
      <c r="O721">
        <v>4</v>
      </c>
      <c r="P721" t="s">
        <v>36</v>
      </c>
      <c r="Q721">
        <v>4163</v>
      </c>
      <c r="R721">
        <v>1</v>
      </c>
      <c r="S721" t="s">
        <v>30</v>
      </c>
      <c r="T721">
        <v>17</v>
      </c>
      <c r="U721">
        <v>3</v>
      </c>
      <c r="V721">
        <v>3</v>
      </c>
      <c r="W721">
        <v>0</v>
      </c>
      <c r="X721">
        <v>9</v>
      </c>
      <c r="Y721">
        <v>0</v>
      </c>
      <c r="Z721">
        <v>3</v>
      </c>
      <c r="AA721">
        <v>9</v>
      </c>
      <c r="AB721">
        <v>0</v>
      </c>
      <c r="AC721">
        <v>0</v>
      </c>
      <c r="AD721">
        <v>7</v>
      </c>
      <c r="AE721" t="str" cm="1">
        <f t="array" ref="AE721">_xlfn.IFS(G721=1,"Before College",G721=2,"College",G721=3,"Bachelor",G721=4,"Master",G721=5,"Doctor")</f>
        <v>College</v>
      </c>
      <c r="AF721" t="str" cm="1">
        <f t="array" ref="AF721">_xlfn.IFS(J721=1,"Low",J721=2,"Medium",J721=3,"High",J721=4,"Very High")</f>
        <v>Very High</v>
      </c>
      <c r="AG721" t="str" cm="1">
        <f t="array" ref="AG721">_xlfn.IFS(L721=1,"Low",L721=2,"Medium",L721=3,"High",L721=4,"Very High")</f>
        <v>High</v>
      </c>
      <c r="AH721" t="str" cm="1">
        <f t="array" ref="AH721">_xlfn.IFS(M721=1,"Junior employee",M721=2,"Mid-level",M721=3,"Senior",M721=4,"Manager",M721=5,"Executive")</f>
        <v>Mid-level</v>
      </c>
      <c r="AI721" t="str" cm="1">
        <f t="array" ref="AI721">_xlfn.IFS(O721=1,"Low",O721=2,"Medium",O721=3,"High",O721=4,"Very High")</f>
        <v>Very High</v>
      </c>
      <c r="AJ721" t="str" cm="1">
        <f t="array" ref="AJ721">_xlfn.IFS(U721=1,"Low",U721=2,"Good",U721=3,"Excellent",U721=4,"Outstanding")</f>
        <v>Excellent</v>
      </c>
      <c r="AK721" t="str" cm="1">
        <f t="array" ref="AK721">_xlfn.IFS(V721=1,"Low",V721=2,"Medium",V721=3,"High",V721=4,"Very High")</f>
        <v>High</v>
      </c>
      <c r="AL721" t="str" cm="1">
        <f t="array" ref="AL721">_xlfn.IFS(Z721=1,"Bad",Z721=2,"Good",Z721=3,"Better",Z721=4,"Best")</f>
        <v>Better</v>
      </c>
      <c r="AM721" t="str" cm="1">
        <f t="array" ref="AM721">_xlfn.IFS(W721=0,"No_stock",W721=1,"Low",W721=2,"Medium",W721=3,"High")</f>
        <v>No_stock</v>
      </c>
      <c r="AN721" t="str">
        <f t="shared" si="11"/>
        <v>Near</v>
      </c>
    </row>
    <row r="722" spans="1:40" x14ac:dyDescent="0.45">
      <c r="A722">
        <v>30</v>
      </c>
      <c r="B722" t="s">
        <v>30</v>
      </c>
      <c r="C722" t="s">
        <v>31</v>
      </c>
      <c r="D722">
        <v>138</v>
      </c>
      <c r="E722" t="s">
        <v>39</v>
      </c>
      <c r="F722">
        <v>22</v>
      </c>
      <c r="G722">
        <v>3</v>
      </c>
      <c r="H722" t="s">
        <v>33</v>
      </c>
      <c r="I722">
        <v>1004</v>
      </c>
      <c r="J722">
        <v>1</v>
      </c>
      <c r="K722" t="s">
        <v>34</v>
      </c>
      <c r="L722">
        <v>3</v>
      </c>
      <c r="M722">
        <v>1</v>
      </c>
      <c r="N722" t="s">
        <v>41</v>
      </c>
      <c r="O722">
        <v>3</v>
      </c>
      <c r="P722" t="s">
        <v>42</v>
      </c>
      <c r="Q722">
        <v>2132</v>
      </c>
      <c r="R722">
        <v>4</v>
      </c>
      <c r="S722" t="s">
        <v>30</v>
      </c>
      <c r="T722">
        <v>11</v>
      </c>
      <c r="U722">
        <v>3</v>
      </c>
      <c r="V722">
        <v>2</v>
      </c>
      <c r="W722">
        <v>0</v>
      </c>
      <c r="X722">
        <v>7</v>
      </c>
      <c r="Y722">
        <v>2</v>
      </c>
      <c r="Z722">
        <v>3</v>
      </c>
      <c r="AA722">
        <v>5</v>
      </c>
      <c r="AB722">
        <v>2</v>
      </c>
      <c r="AC722">
        <v>0</v>
      </c>
      <c r="AD722">
        <v>1</v>
      </c>
      <c r="AE722" t="str" cm="1">
        <f t="array" ref="AE722">_xlfn.IFS(G722=1,"Before College",G722=2,"College",G722=3,"Bachelor",G722=4,"Master",G722=5,"Doctor")</f>
        <v>Bachelor</v>
      </c>
      <c r="AF722" t="str" cm="1">
        <f t="array" ref="AF722">_xlfn.IFS(J722=1,"Low",J722=2,"Medium",J722=3,"High",J722=4,"Very High")</f>
        <v>Low</v>
      </c>
      <c r="AG722" t="str" cm="1">
        <f t="array" ref="AG722">_xlfn.IFS(L722=1,"Low",L722=2,"Medium",L722=3,"High",L722=4,"Very High")</f>
        <v>High</v>
      </c>
      <c r="AH722" t="str" cm="1">
        <f t="array" ref="AH722">_xlfn.IFS(M722=1,"Junior employee",M722=2,"Mid-level",M722=3,"Senior",M722=4,"Manager",M722=5,"Executive")</f>
        <v>Junior employee</v>
      </c>
      <c r="AI722" t="str" cm="1">
        <f t="array" ref="AI722">_xlfn.IFS(O722=1,"Low",O722=2,"Medium",O722=3,"High",O722=4,"Very High")</f>
        <v>High</v>
      </c>
      <c r="AJ722" t="str" cm="1">
        <f t="array" ref="AJ722">_xlfn.IFS(U722=1,"Low",U722=2,"Good",U722=3,"Excellent",U722=4,"Outstanding")</f>
        <v>Excellent</v>
      </c>
      <c r="AK722" t="str" cm="1">
        <f t="array" ref="AK722">_xlfn.IFS(V722=1,"Low",V722=2,"Medium",V722=3,"High",V722=4,"Very High")</f>
        <v>Medium</v>
      </c>
      <c r="AL722" t="str" cm="1">
        <f t="array" ref="AL722">_xlfn.IFS(Z722=1,"Bad",Z722=2,"Good",Z722=3,"Better",Z722=4,"Best")</f>
        <v>Better</v>
      </c>
      <c r="AM722" t="str" cm="1">
        <f t="array" ref="AM722">_xlfn.IFS(W722=0,"No_stock",W722=1,"Low",W722=2,"Medium",W722=3,"High")</f>
        <v>No_stock</v>
      </c>
      <c r="AN722" t="str">
        <f t="shared" si="11"/>
        <v>Far</v>
      </c>
    </row>
    <row r="723" spans="1:40" x14ac:dyDescent="0.45">
      <c r="A723">
        <v>50</v>
      </c>
      <c r="B723" t="s">
        <v>37</v>
      </c>
      <c r="C723" t="s">
        <v>31</v>
      </c>
      <c r="D723">
        <v>939</v>
      </c>
      <c r="E723" t="s">
        <v>39</v>
      </c>
      <c r="F723">
        <v>24</v>
      </c>
      <c r="G723">
        <v>3</v>
      </c>
      <c r="H723" t="s">
        <v>33</v>
      </c>
      <c r="I723">
        <v>1005</v>
      </c>
      <c r="J723">
        <v>4</v>
      </c>
      <c r="K723" t="s">
        <v>40</v>
      </c>
      <c r="L723">
        <v>3</v>
      </c>
      <c r="M723">
        <v>4</v>
      </c>
      <c r="N723" t="s">
        <v>47</v>
      </c>
      <c r="O723">
        <v>3</v>
      </c>
      <c r="P723" t="s">
        <v>42</v>
      </c>
      <c r="Q723">
        <v>13973</v>
      </c>
      <c r="R723">
        <v>3</v>
      </c>
      <c r="S723" t="s">
        <v>30</v>
      </c>
      <c r="T723">
        <v>18</v>
      </c>
      <c r="U723">
        <v>3</v>
      </c>
      <c r="V723">
        <v>4</v>
      </c>
      <c r="W723">
        <v>1</v>
      </c>
      <c r="X723">
        <v>22</v>
      </c>
      <c r="Y723">
        <v>2</v>
      </c>
      <c r="Z723">
        <v>3</v>
      </c>
      <c r="AA723">
        <v>12</v>
      </c>
      <c r="AB723">
        <v>11</v>
      </c>
      <c r="AC723">
        <v>1</v>
      </c>
      <c r="AD723">
        <v>5</v>
      </c>
      <c r="AE723" t="str" cm="1">
        <f t="array" ref="AE723">_xlfn.IFS(G723=1,"Before College",G723=2,"College",G723=3,"Bachelor",G723=4,"Master",G723=5,"Doctor")</f>
        <v>Bachelor</v>
      </c>
      <c r="AF723" t="str" cm="1">
        <f t="array" ref="AF723">_xlfn.IFS(J723=1,"Low",J723=2,"Medium",J723=3,"High",J723=4,"Very High")</f>
        <v>Very High</v>
      </c>
      <c r="AG723" t="str" cm="1">
        <f t="array" ref="AG723">_xlfn.IFS(L723=1,"Low",L723=2,"Medium",L723=3,"High",L723=4,"Very High")</f>
        <v>High</v>
      </c>
      <c r="AH723" t="str" cm="1">
        <f t="array" ref="AH723">_xlfn.IFS(M723=1,"Junior employee",M723=2,"Mid-level",M723=3,"Senior",M723=4,"Manager",M723=5,"Executive")</f>
        <v>Manager</v>
      </c>
      <c r="AI723" t="str" cm="1">
        <f t="array" ref="AI723">_xlfn.IFS(O723=1,"Low",O723=2,"Medium",O723=3,"High",O723=4,"Very High")</f>
        <v>High</v>
      </c>
      <c r="AJ723" t="str" cm="1">
        <f t="array" ref="AJ723">_xlfn.IFS(U723=1,"Low",U723=2,"Good",U723=3,"Excellent",U723=4,"Outstanding")</f>
        <v>Excellent</v>
      </c>
      <c r="AK723" t="str" cm="1">
        <f t="array" ref="AK723">_xlfn.IFS(V723=1,"Low",V723=2,"Medium",V723=3,"High",V723=4,"Very High")</f>
        <v>Very High</v>
      </c>
      <c r="AL723" t="str" cm="1">
        <f t="array" ref="AL723">_xlfn.IFS(Z723=1,"Bad",Z723=2,"Good",Z723=3,"Better",Z723=4,"Best")</f>
        <v>Better</v>
      </c>
      <c r="AM723" t="str" cm="1">
        <f t="array" ref="AM723">_xlfn.IFS(W723=0,"No_stock",W723=1,"Low",W723=2,"Medium",W723=3,"High")</f>
        <v>Low</v>
      </c>
      <c r="AN723" t="str">
        <f t="shared" si="11"/>
        <v>Far</v>
      </c>
    </row>
    <row r="724" spans="1:40" x14ac:dyDescent="0.45">
      <c r="A724">
        <v>38</v>
      </c>
      <c r="B724" t="s">
        <v>37</v>
      </c>
      <c r="C724" t="s">
        <v>38</v>
      </c>
      <c r="D724">
        <v>1391</v>
      </c>
      <c r="E724" t="s">
        <v>39</v>
      </c>
      <c r="F724">
        <v>10</v>
      </c>
      <c r="G724">
        <v>1</v>
      </c>
      <c r="H724" t="s">
        <v>45</v>
      </c>
      <c r="I724">
        <v>1006</v>
      </c>
      <c r="J724">
        <v>3</v>
      </c>
      <c r="K724" t="s">
        <v>40</v>
      </c>
      <c r="L724">
        <v>3</v>
      </c>
      <c r="M724">
        <v>1</v>
      </c>
      <c r="N724" t="s">
        <v>41</v>
      </c>
      <c r="O724">
        <v>3</v>
      </c>
      <c r="P724" t="s">
        <v>42</v>
      </c>
      <c r="Q724">
        <v>2684</v>
      </c>
      <c r="R724">
        <v>0</v>
      </c>
      <c r="S724" t="s">
        <v>37</v>
      </c>
      <c r="T724">
        <v>17</v>
      </c>
      <c r="U724">
        <v>3</v>
      </c>
      <c r="V724">
        <v>2</v>
      </c>
      <c r="W724">
        <v>1</v>
      </c>
      <c r="X724">
        <v>3</v>
      </c>
      <c r="Y724">
        <v>0</v>
      </c>
      <c r="Z724">
        <v>2</v>
      </c>
      <c r="AA724">
        <v>2</v>
      </c>
      <c r="AB724">
        <v>1</v>
      </c>
      <c r="AC724">
        <v>0</v>
      </c>
      <c r="AD724">
        <v>2</v>
      </c>
      <c r="AE724" t="str" cm="1">
        <f t="array" ref="AE724">_xlfn.IFS(G724=1,"Before College",G724=2,"College",G724=3,"Bachelor",G724=4,"Master",G724=5,"Doctor")</f>
        <v>Before College</v>
      </c>
      <c r="AF724" t="str" cm="1">
        <f t="array" ref="AF724">_xlfn.IFS(J724=1,"Low",J724=2,"Medium",J724=3,"High",J724=4,"Very High")</f>
        <v>High</v>
      </c>
      <c r="AG724" t="str" cm="1">
        <f t="array" ref="AG724">_xlfn.IFS(L724=1,"Low",L724=2,"Medium",L724=3,"High",L724=4,"Very High")</f>
        <v>High</v>
      </c>
      <c r="AH724" t="str" cm="1">
        <f t="array" ref="AH724">_xlfn.IFS(M724=1,"Junior employee",M724=2,"Mid-level",M724=3,"Senior",M724=4,"Manager",M724=5,"Executive")</f>
        <v>Junior employee</v>
      </c>
      <c r="AI724" t="str" cm="1">
        <f t="array" ref="AI724">_xlfn.IFS(O724=1,"Low",O724=2,"Medium",O724=3,"High",O724=4,"Very High")</f>
        <v>High</v>
      </c>
      <c r="AJ724" t="str" cm="1">
        <f t="array" ref="AJ724">_xlfn.IFS(U724=1,"Low",U724=2,"Good",U724=3,"Excellent",U724=4,"Outstanding")</f>
        <v>Excellent</v>
      </c>
      <c r="AK724" t="str" cm="1">
        <f t="array" ref="AK724">_xlfn.IFS(V724=1,"Low",V724=2,"Medium",V724=3,"High",V724=4,"Very High")</f>
        <v>Medium</v>
      </c>
      <c r="AL724" t="str" cm="1">
        <f t="array" ref="AL724">_xlfn.IFS(Z724=1,"Bad",Z724=2,"Good",Z724=3,"Better",Z724=4,"Best")</f>
        <v>Good</v>
      </c>
      <c r="AM724" t="str" cm="1">
        <f t="array" ref="AM724">_xlfn.IFS(W724=0,"No_stock",W724=1,"Low",W724=2,"Medium",W724=3,"High")</f>
        <v>Low</v>
      </c>
      <c r="AN724" t="str">
        <f t="shared" si="11"/>
        <v>Medium</v>
      </c>
    </row>
    <row r="725" spans="1:40" x14ac:dyDescent="0.45">
      <c r="A725">
        <v>46</v>
      </c>
      <c r="B725" t="s">
        <v>37</v>
      </c>
      <c r="C725" t="s">
        <v>31</v>
      </c>
      <c r="D725">
        <v>566</v>
      </c>
      <c r="E725" t="s">
        <v>39</v>
      </c>
      <c r="F725">
        <v>7</v>
      </c>
      <c r="G725">
        <v>2</v>
      </c>
      <c r="H725" t="s">
        <v>45</v>
      </c>
      <c r="I725">
        <v>1007</v>
      </c>
      <c r="J725">
        <v>4</v>
      </c>
      <c r="K725" t="s">
        <v>40</v>
      </c>
      <c r="L725">
        <v>3</v>
      </c>
      <c r="M725">
        <v>3</v>
      </c>
      <c r="N725" t="s">
        <v>47</v>
      </c>
      <c r="O725">
        <v>3</v>
      </c>
      <c r="P725" t="s">
        <v>46</v>
      </c>
      <c r="Q725">
        <v>10845</v>
      </c>
      <c r="R725">
        <v>6</v>
      </c>
      <c r="S725" t="s">
        <v>37</v>
      </c>
      <c r="T725">
        <v>13</v>
      </c>
      <c r="U725">
        <v>3</v>
      </c>
      <c r="V725">
        <v>2</v>
      </c>
      <c r="W725">
        <v>1</v>
      </c>
      <c r="X725">
        <v>13</v>
      </c>
      <c r="Y725">
        <v>3</v>
      </c>
      <c r="Z725">
        <v>3</v>
      </c>
      <c r="AA725">
        <v>8</v>
      </c>
      <c r="AB725">
        <v>7</v>
      </c>
      <c r="AC725">
        <v>0</v>
      </c>
      <c r="AD725">
        <v>7</v>
      </c>
      <c r="AE725" t="str" cm="1">
        <f t="array" ref="AE725">_xlfn.IFS(G725=1,"Before College",G725=2,"College",G725=3,"Bachelor",G725=4,"Master",G725=5,"Doctor")</f>
        <v>College</v>
      </c>
      <c r="AF725" t="str" cm="1">
        <f t="array" ref="AF725">_xlfn.IFS(J725=1,"Low",J725=2,"Medium",J725=3,"High",J725=4,"Very High")</f>
        <v>Very High</v>
      </c>
      <c r="AG725" t="str" cm="1">
        <f t="array" ref="AG725">_xlfn.IFS(L725=1,"Low",L725=2,"Medium",L725=3,"High",L725=4,"Very High")</f>
        <v>High</v>
      </c>
      <c r="AH725" t="str" cm="1">
        <f t="array" ref="AH725">_xlfn.IFS(M725=1,"Junior employee",M725=2,"Mid-level",M725=3,"Senior",M725=4,"Manager",M725=5,"Executive")</f>
        <v>Senior</v>
      </c>
      <c r="AI725" t="str" cm="1">
        <f t="array" ref="AI725">_xlfn.IFS(O725=1,"Low",O725=2,"Medium",O725=3,"High",O725=4,"Very High")</f>
        <v>High</v>
      </c>
      <c r="AJ725" t="str" cm="1">
        <f t="array" ref="AJ725">_xlfn.IFS(U725=1,"Low",U725=2,"Good",U725=3,"Excellent",U725=4,"Outstanding")</f>
        <v>Excellent</v>
      </c>
      <c r="AK725" t="str" cm="1">
        <f t="array" ref="AK725">_xlfn.IFS(V725=1,"Low",V725=2,"Medium",V725=3,"High",V725=4,"Very High")</f>
        <v>Medium</v>
      </c>
      <c r="AL725" t="str" cm="1">
        <f t="array" ref="AL725">_xlfn.IFS(Z725=1,"Bad",Z725=2,"Good",Z725=3,"Better",Z725=4,"Best")</f>
        <v>Better</v>
      </c>
      <c r="AM725" t="str" cm="1">
        <f t="array" ref="AM725">_xlfn.IFS(W725=0,"No_stock",W725=1,"Low",W725=2,"Medium",W725=3,"High")</f>
        <v>Low</v>
      </c>
      <c r="AN725" t="str">
        <f t="shared" si="11"/>
        <v>Medium</v>
      </c>
    </row>
    <row r="726" spans="1:40" x14ac:dyDescent="0.45">
      <c r="A726">
        <v>24</v>
      </c>
      <c r="B726" t="s">
        <v>37</v>
      </c>
      <c r="C726" t="s">
        <v>31</v>
      </c>
      <c r="D726">
        <v>1206</v>
      </c>
      <c r="E726" t="s">
        <v>39</v>
      </c>
      <c r="F726">
        <v>17</v>
      </c>
      <c r="G726">
        <v>1</v>
      </c>
      <c r="H726" t="s">
        <v>45</v>
      </c>
      <c r="I726">
        <v>1009</v>
      </c>
      <c r="J726">
        <v>4</v>
      </c>
      <c r="K726" t="s">
        <v>34</v>
      </c>
      <c r="L726">
        <v>2</v>
      </c>
      <c r="M726">
        <v>2</v>
      </c>
      <c r="N726" t="s">
        <v>47</v>
      </c>
      <c r="O726">
        <v>3</v>
      </c>
      <c r="P726" t="s">
        <v>46</v>
      </c>
      <c r="Q726">
        <v>4377</v>
      </c>
      <c r="R726">
        <v>1</v>
      </c>
      <c r="S726" t="s">
        <v>37</v>
      </c>
      <c r="T726">
        <v>15</v>
      </c>
      <c r="U726">
        <v>3</v>
      </c>
      <c r="V726">
        <v>2</v>
      </c>
      <c r="W726">
        <v>2</v>
      </c>
      <c r="X726">
        <v>5</v>
      </c>
      <c r="Y726">
        <v>6</v>
      </c>
      <c r="Z726">
        <v>3</v>
      </c>
      <c r="AA726">
        <v>4</v>
      </c>
      <c r="AB726">
        <v>2</v>
      </c>
      <c r="AC726">
        <v>3</v>
      </c>
      <c r="AD726">
        <v>2</v>
      </c>
      <c r="AE726" t="str" cm="1">
        <f t="array" ref="AE726">_xlfn.IFS(G726=1,"Before College",G726=2,"College",G726=3,"Bachelor",G726=4,"Master",G726=5,"Doctor")</f>
        <v>Before College</v>
      </c>
      <c r="AF726" t="str" cm="1">
        <f t="array" ref="AF726">_xlfn.IFS(J726=1,"Low",J726=2,"Medium",J726=3,"High",J726=4,"Very High")</f>
        <v>Very High</v>
      </c>
      <c r="AG726" t="str" cm="1">
        <f t="array" ref="AG726">_xlfn.IFS(L726=1,"Low",L726=2,"Medium",L726=3,"High",L726=4,"Very High")</f>
        <v>Medium</v>
      </c>
      <c r="AH726" t="str" cm="1">
        <f t="array" ref="AH726">_xlfn.IFS(M726=1,"Junior employee",M726=2,"Mid-level",M726=3,"Senior",M726=4,"Manager",M726=5,"Executive")</f>
        <v>Mid-level</v>
      </c>
      <c r="AI726" t="str" cm="1">
        <f t="array" ref="AI726">_xlfn.IFS(O726=1,"Low",O726=2,"Medium",O726=3,"High",O726=4,"Very High")</f>
        <v>High</v>
      </c>
      <c r="AJ726" t="str" cm="1">
        <f t="array" ref="AJ726">_xlfn.IFS(U726=1,"Low",U726=2,"Good",U726=3,"Excellent",U726=4,"Outstanding")</f>
        <v>Excellent</v>
      </c>
      <c r="AK726" t="str" cm="1">
        <f t="array" ref="AK726">_xlfn.IFS(V726=1,"Low",V726=2,"Medium",V726=3,"High",V726=4,"Very High")</f>
        <v>Medium</v>
      </c>
      <c r="AL726" t="str" cm="1">
        <f t="array" ref="AL726">_xlfn.IFS(Z726=1,"Bad",Z726=2,"Good",Z726=3,"Better",Z726=4,"Best")</f>
        <v>Better</v>
      </c>
      <c r="AM726" t="str" cm="1">
        <f t="array" ref="AM726">_xlfn.IFS(W726=0,"No_stock",W726=1,"Low",W726=2,"Medium",W726=3,"High")</f>
        <v>Medium</v>
      </c>
      <c r="AN726" t="str">
        <f t="shared" si="11"/>
        <v>Far</v>
      </c>
    </row>
    <row r="727" spans="1:40" x14ac:dyDescent="0.45">
      <c r="A727">
        <v>35</v>
      </c>
      <c r="B727" t="s">
        <v>30</v>
      </c>
      <c r="C727" t="s">
        <v>31</v>
      </c>
      <c r="D727">
        <v>622</v>
      </c>
      <c r="E727" t="s">
        <v>39</v>
      </c>
      <c r="F727">
        <v>14</v>
      </c>
      <c r="G727">
        <v>4</v>
      </c>
      <c r="H727" t="s">
        <v>43</v>
      </c>
      <c r="I727">
        <v>1010</v>
      </c>
      <c r="J727">
        <v>3</v>
      </c>
      <c r="K727" t="s">
        <v>40</v>
      </c>
      <c r="L727">
        <v>2</v>
      </c>
      <c r="M727">
        <v>1</v>
      </c>
      <c r="N727" t="s">
        <v>44</v>
      </c>
      <c r="O727">
        <v>2</v>
      </c>
      <c r="P727" t="s">
        <v>46</v>
      </c>
      <c r="Q727">
        <v>3743</v>
      </c>
      <c r="R727">
        <v>1</v>
      </c>
      <c r="S727" t="s">
        <v>30</v>
      </c>
      <c r="T727">
        <v>24</v>
      </c>
      <c r="U727">
        <v>4</v>
      </c>
      <c r="V727">
        <v>4</v>
      </c>
      <c r="W727">
        <v>1</v>
      </c>
      <c r="X727">
        <v>5</v>
      </c>
      <c r="Y727">
        <v>2</v>
      </c>
      <c r="Z727">
        <v>1</v>
      </c>
      <c r="AA727">
        <v>4</v>
      </c>
      <c r="AB727">
        <v>2</v>
      </c>
      <c r="AC727">
        <v>0</v>
      </c>
      <c r="AD727">
        <v>2</v>
      </c>
      <c r="AE727" t="str" cm="1">
        <f t="array" ref="AE727">_xlfn.IFS(G727=1,"Before College",G727=2,"College",G727=3,"Bachelor",G727=4,"Master",G727=5,"Doctor")</f>
        <v>Master</v>
      </c>
      <c r="AF727" t="str" cm="1">
        <f t="array" ref="AF727">_xlfn.IFS(J727=1,"Low",J727=2,"Medium",J727=3,"High",J727=4,"Very High")</f>
        <v>High</v>
      </c>
      <c r="AG727" t="str" cm="1">
        <f t="array" ref="AG727">_xlfn.IFS(L727=1,"Low",L727=2,"Medium",L727=3,"High",L727=4,"Very High")</f>
        <v>Medium</v>
      </c>
      <c r="AH727" t="str" cm="1">
        <f t="array" ref="AH727">_xlfn.IFS(M727=1,"Junior employee",M727=2,"Mid-level",M727=3,"Senior",M727=4,"Manager",M727=5,"Executive")</f>
        <v>Junior employee</v>
      </c>
      <c r="AI727" t="str" cm="1">
        <f t="array" ref="AI727">_xlfn.IFS(O727=1,"Low",O727=2,"Medium",O727=3,"High",O727=4,"Very High")</f>
        <v>Medium</v>
      </c>
      <c r="AJ727" t="str" cm="1">
        <f t="array" ref="AJ727">_xlfn.IFS(U727=1,"Low",U727=2,"Good",U727=3,"Excellent",U727=4,"Outstanding")</f>
        <v>Outstanding</v>
      </c>
      <c r="AK727" t="str" cm="1">
        <f t="array" ref="AK727">_xlfn.IFS(V727=1,"Low",V727=2,"Medium",V727=3,"High",V727=4,"Very High")</f>
        <v>Very High</v>
      </c>
      <c r="AL727" t="str" cm="1">
        <f t="array" ref="AL727">_xlfn.IFS(Z727=1,"Bad",Z727=2,"Good",Z727=3,"Better",Z727=4,"Best")</f>
        <v>Bad</v>
      </c>
      <c r="AM727" t="str" cm="1">
        <f t="array" ref="AM727">_xlfn.IFS(W727=0,"No_stock",W727=1,"Low",W727=2,"Medium",W727=3,"High")</f>
        <v>Low</v>
      </c>
      <c r="AN727" t="str">
        <f t="shared" si="11"/>
        <v>Medium</v>
      </c>
    </row>
    <row r="728" spans="1:40" x14ac:dyDescent="0.45">
      <c r="A728">
        <v>31</v>
      </c>
      <c r="B728" t="s">
        <v>37</v>
      </c>
      <c r="C728" t="s">
        <v>38</v>
      </c>
      <c r="D728">
        <v>853</v>
      </c>
      <c r="E728" t="s">
        <v>39</v>
      </c>
      <c r="F728">
        <v>1</v>
      </c>
      <c r="G728">
        <v>1</v>
      </c>
      <c r="H728" t="s">
        <v>33</v>
      </c>
      <c r="I728">
        <v>1011</v>
      </c>
      <c r="J728">
        <v>3</v>
      </c>
      <c r="K728" t="s">
        <v>34</v>
      </c>
      <c r="L728">
        <v>3</v>
      </c>
      <c r="M728">
        <v>2</v>
      </c>
      <c r="N728" t="s">
        <v>47</v>
      </c>
      <c r="O728">
        <v>1</v>
      </c>
      <c r="P728" t="s">
        <v>42</v>
      </c>
      <c r="Q728">
        <v>4148</v>
      </c>
      <c r="R728">
        <v>1</v>
      </c>
      <c r="S728" t="s">
        <v>37</v>
      </c>
      <c r="T728">
        <v>12</v>
      </c>
      <c r="U728">
        <v>3</v>
      </c>
      <c r="V728">
        <v>3</v>
      </c>
      <c r="W728">
        <v>1</v>
      </c>
      <c r="X728">
        <v>4</v>
      </c>
      <c r="Y728">
        <v>1</v>
      </c>
      <c r="Z728">
        <v>3</v>
      </c>
      <c r="AA728">
        <v>4</v>
      </c>
      <c r="AB728">
        <v>3</v>
      </c>
      <c r="AC728">
        <v>0</v>
      </c>
      <c r="AD728">
        <v>3</v>
      </c>
      <c r="AE728" t="str" cm="1">
        <f t="array" ref="AE728">_xlfn.IFS(G728=1,"Before College",G728=2,"College",G728=3,"Bachelor",G728=4,"Master",G728=5,"Doctor")</f>
        <v>Before College</v>
      </c>
      <c r="AF728" t="str" cm="1">
        <f t="array" ref="AF728">_xlfn.IFS(J728=1,"Low",J728=2,"Medium",J728=3,"High",J728=4,"Very High")</f>
        <v>High</v>
      </c>
      <c r="AG728" t="str" cm="1">
        <f t="array" ref="AG728">_xlfn.IFS(L728=1,"Low",L728=2,"Medium",L728=3,"High",L728=4,"Very High")</f>
        <v>High</v>
      </c>
      <c r="AH728" t="str" cm="1">
        <f t="array" ref="AH728">_xlfn.IFS(M728=1,"Junior employee",M728=2,"Mid-level",M728=3,"Senior",M728=4,"Manager",M728=5,"Executive")</f>
        <v>Mid-level</v>
      </c>
      <c r="AI728" t="str" cm="1">
        <f t="array" ref="AI728">_xlfn.IFS(O728=1,"Low",O728=2,"Medium",O728=3,"High",O728=4,"Very High")</f>
        <v>Low</v>
      </c>
      <c r="AJ728" t="str" cm="1">
        <f t="array" ref="AJ728">_xlfn.IFS(U728=1,"Low",U728=2,"Good",U728=3,"Excellent",U728=4,"Outstanding")</f>
        <v>Excellent</v>
      </c>
      <c r="AK728" t="str" cm="1">
        <f t="array" ref="AK728">_xlfn.IFS(V728=1,"Low",V728=2,"Medium",V728=3,"High",V728=4,"Very High")</f>
        <v>High</v>
      </c>
      <c r="AL728" t="str" cm="1">
        <f t="array" ref="AL728">_xlfn.IFS(Z728=1,"Bad",Z728=2,"Good",Z728=3,"Better",Z728=4,"Best")</f>
        <v>Better</v>
      </c>
      <c r="AM728" t="str" cm="1">
        <f t="array" ref="AM728">_xlfn.IFS(W728=0,"No_stock",W728=1,"Low",W728=2,"Medium",W728=3,"High")</f>
        <v>Low</v>
      </c>
      <c r="AN728" t="str">
        <f t="shared" si="11"/>
        <v>Near</v>
      </c>
    </row>
    <row r="729" spans="1:40" x14ac:dyDescent="0.45">
      <c r="A729">
        <v>18</v>
      </c>
      <c r="B729" t="s">
        <v>37</v>
      </c>
      <c r="C729" t="s">
        <v>49</v>
      </c>
      <c r="D729">
        <v>287</v>
      </c>
      <c r="E729" t="s">
        <v>39</v>
      </c>
      <c r="F729">
        <v>5</v>
      </c>
      <c r="G729">
        <v>2</v>
      </c>
      <c r="H729" t="s">
        <v>33</v>
      </c>
      <c r="I729">
        <v>1012</v>
      </c>
      <c r="J729">
        <v>2</v>
      </c>
      <c r="K729" t="s">
        <v>40</v>
      </c>
      <c r="L729">
        <v>3</v>
      </c>
      <c r="M729">
        <v>1</v>
      </c>
      <c r="N729" t="s">
        <v>41</v>
      </c>
      <c r="O729">
        <v>4</v>
      </c>
      <c r="P729" t="s">
        <v>36</v>
      </c>
      <c r="Q729">
        <v>1051</v>
      </c>
      <c r="R729">
        <v>1</v>
      </c>
      <c r="S729" t="s">
        <v>37</v>
      </c>
      <c r="T729">
        <v>15</v>
      </c>
      <c r="U729">
        <v>3</v>
      </c>
      <c r="V729">
        <v>4</v>
      </c>
      <c r="W729">
        <v>0</v>
      </c>
      <c r="X729">
        <v>0</v>
      </c>
      <c r="Y729">
        <v>2</v>
      </c>
      <c r="Z729">
        <v>3</v>
      </c>
      <c r="AA729">
        <v>0</v>
      </c>
      <c r="AB729">
        <v>0</v>
      </c>
      <c r="AC729">
        <v>0</v>
      </c>
      <c r="AD729">
        <v>0</v>
      </c>
      <c r="AE729" t="str" cm="1">
        <f t="array" ref="AE729">_xlfn.IFS(G729=1,"Before College",G729=2,"College",G729=3,"Bachelor",G729=4,"Master",G729=5,"Doctor")</f>
        <v>College</v>
      </c>
      <c r="AF729" t="str" cm="1">
        <f t="array" ref="AF729">_xlfn.IFS(J729=1,"Low",J729=2,"Medium",J729=3,"High",J729=4,"Very High")</f>
        <v>Medium</v>
      </c>
      <c r="AG729" t="str" cm="1">
        <f t="array" ref="AG729">_xlfn.IFS(L729=1,"Low",L729=2,"Medium",L729=3,"High",L729=4,"Very High")</f>
        <v>High</v>
      </c>
      <c r="AH729" t="str" cm="1">
        <f t="array" ref="AH729">_xlfn.IFS(M729=1,"Junior employee",M729=2,"Mid-level",M729=3,"Senior",M729=4,"Manager",M729=5,"Executive")</f>
        <v>Junior employee</v>
      </c>
      <c r="AI729" t="str" cm="1">
        <f t="array" ref="AI729">_xlfn.IFS(O729=1,"Low",O729=2,"Medium",O729=3,"High",O729=4,"Very High")</f>
        <v>Very High</v>
      </c>
      <c r="AJ729" t="str" cm="1">
        <f t="array" ref="AJ729">_xlfn.IFS(U729=1,"Low",U729=2,"Good",U729=3,"Excellent",U729=4,"Outstanding")</f>
        <v>Excellent</v>
      </c>
      <c r="AK729" t="str" cm="1">
        <f t="array" ref="AK729">_xlfn.IFS(V729=1,"Low",V729=2,"Medium",V729=3,"High",V729=4,"Very High")</f>
        <v>Very High</v>
      </c>
      <c r="AL729" t="str" cm="1">
        <f t="array" ref="AL729">_xlfn.IFS(Z729=1,"Bad",Z729=2,"Good",Z729=3,"Better",Z729=4,"Best")</f>
        <v>Better</v>
      </c>
      <c r="AM729" t="str" cm="1">
        <f t="array" ref="AM729">_xlfn.IFS(W729=0,"No_stock",W729=1,"Low",W729=2,"Medium",W729=3,"High")</f>
        <v>No_stock</v>
      </c>
      <c r="AN729" t="str">
        <f t="shared" si="11"/>
        <v>Near</v>
      </c>
    </row>
    <row r="730" spans="1:40" x14ac:dyDescent="0.45">
      <c r="A730">
        <v>54</v>
      </c>
      <c r="B730" t="s">
        <v>37</v>
      </c>
      <c r="C730" t="s">
        <v>31</v>
      </c>
      <c r="D730">
        <v>1441</v>
      </c>
      <c r="E730" t="s">
        <v>39</v>
      </c>
      <c r="F730">
        <v>17</v>
      </c>
      <c r="G730">
        <v>3</v>
      </c>
      <c r="H730" t="s">
        <v>54</v>
      </c>
      <c r="I730">
        <v>1013</v>
      </c>
      <c r="J730">
        <v>3</v>
      </c>
      <c r="K730" t="s">
        <v>34</v>
      </c>
      <c r="L730">
        <v>3</v>
      </c>
      <c r="M730">
        <v>3</v>
      </c>
      <c r="N730" t="s">
        <v>47</v>
      </c>
      <c r="O730">
        <v>3</v>
      </c>
      <c r="P730" t="s">
        <v>42</v>
      </c>
      <c r="Q730">
        <v>10739</v>
      </c>
      <c r="R730">
        <v>8</v>
      </c>
      <c r="S730" t="s">
        <v>37</v>
      </c>
      <c r="T730">
        <v>11</v>
      </c>
      <c r="U730">
        <v>3</v>
      </c>
      <c r="V730">
        <v>3</v>
      </c>
      <c r="W730">
        <v>1</v>
      </c>
      <c r="X730">
        <v>22</v>
      </c>
      <c r="Y730">
        <v>2</v>
      </c>
      <c r="Z730">
        <v>3</v>
      </c>
      <c r="AA730">
        <v>10</v>
      </c>
      <c r="AB730">
        <v>7</v>
      </c>
      <c r="AC730">
        <v>0</v>
      </c>
      <c r="AD730">
        <v>8</v>
      </c>
      <c r="AE730" t="str" cm="1">
        <f t="array" ref="AE730">_xlfn.IFS(G730=1,"Before College",G730=2,"College",G730=3,"Bachelor",G730=4,"Master",G730=5,"Doctor")</f>
        <v>Bachelor</v>
      </c>
      <c r="AF730" t="str" cm="1">
        <f t="array" ref="AF730">_xlfn.IFS(J730=1,"Low",J730=2,"Medium",J730=3,"High",J730=4,"Very High")</f>
        <v>High</v>
      </c>
      <c r="AG730" t="str" cm="1">
        <f t="array" ref="AG730">_xlfn.IFS(L730=1,"Low",L730=2,"Medium",L730=3,"High",L730=4,"Very High")</f>
        <v>High</v>
      </c>
      <c r="AH730" t="str" cm="1">
        <f t="array" ref="AH730">_xlfn.IFS(M730=1,"Junior employee",M730=2,"Mid-level",M730=3,"Senior",M730=4,"Manager",M730=5,"Executive")</f>
        <v>Senior</v>
      </c>
      <c r="AI730" t="str" cm="1">
        <f t="array" ref="AI730">_xlfn.IFS(O730=1,"Low",O730=2,"Medium",O730=3,"High",O730=4,"Very High")</f>
        <v>High</v>
      </c>
      <c r="AJ730" t="str" cm="1">
        <f t="array" ref="AJ730">_xlfn.IFS(U730=1,"Low",U730=2,"Good",U730=3,"Excellent",U730=4,"Outstanding")</f>
        <v>Excellent</v>
      </c>
      <c r="AK730" t="str" cm="1">
        <f t="array" ref="AK730">_xlfn.IFS(V730=1,"Low",V730=2,"Medium",V730=3,"High",V730=4,"Very High")</f>
        <v>High</v>
      </c>
      <c r="AL730" t="str" cm="1">
        <f t="array" ref="AL730">_xlfn.IFS(Z730=1,"Bad",Z730=2,"Good",Z730=3,"Better",Z730=4,"Best")</f>
        <v>Better</v>
      </c>
      <c r="AM730" t="str" cm="1">
        <f t="array" ref="AM730">_xlfn.IFS(W730=0,"No_stock",W730=1,"Low",W730=2,"Medium",W730=3,"High")</f>
        <v>Low</v>
      </c>
      <c r="AN730" t="str">
        <f t="shared" si="11"/>
        <v>Far</v>
      </c>
    </row>
    <row r="731" spans="1:40" x14ac:dyDescent="0.45">
      <c r="A731">
        <v>35</v>
      </c>
      <c r="B731" t="s">
        <v>37</v>
      </c>
      <c r="C731" t="s">
        <v>31</v>
      </c>
      <c r="D731">
        <v>583</v>
      </c>
      <c r="E731" t="s">
        <v>39</v>
      </c>
      <c r="F731">
        <v>25</v>
      </c>
      <c r="G731">
        <v>4</v>
      </c>
      <c r="H731" t="s">
        <v>45</v>
      </c>
      <c r="I731">
        <v>1014</v>
      </c>
      <c r="J731">
        <v>3</v>
      </c>
      <c r="K731" t="s">
        <v>34</v>
      </c>
      <c r="L731">
        <v>3</v>
      </c>
      <c r="M731">
        <v>3</v>
      </c>
      <c r="N731" t="s">
        <v>48</v>
      </c>
      <c r="O731">
        <v>3</v>
      </c>
      <c r="P731" t="s">
        <v>46</v>
      </c>
      <c r="Q731">
        <v>10388</v>
      </c>
      <c r="R731">
        <v>1</v>
      </c>
      <c r="S731" t="s">
        <v>30</v>
      </c>
      <c r="T731">
        <v>11</v>
      </c>
      <c r="U731">
        <v>3</v>
      </c>
      <c r="V731">
        <v>3</v>
      </c>
      <c r="W731">
        <v>1</v>
      </c>
      <c r="X731">
        <v>16</v>
      </c>
      <c r="Y731">
        <v>3</v>
      </c>
      <c r="Z731">
        <v>2</v>
      </c>
      <c r="AA731">
        <v>16</v>
      </c>
      <c r="AB731">
        <v>10</v>
      </c>
      <c r="AC731">
        <v>10</v>
      </c>
      <c r="AD731">
        <v>1</v>
      </c>
      <c r="AE731" t="str" cm="1">
        <f t="array" ref="AE731">_xlfn.IFS(G731=1,"Before College",G731=2,"College",G731=3,"Bachelor",G731=4,"Master",G731=5,"Doctor")</f>
        <v>Master</v>
      </c>
      <c r="AF731" t="str" cm="1">
        <f t="array" ref="AF731">_xlfn.IFS(J731=1,"Low",J731=2,"Medium",J731=3,"High",J731=4,"Very High")</f>
        <v>High</v>
      </c>
      <c r="AG731" t="str" cm="1">
        <f t="array" ref="AG731">_xlfn.IFS(L731=1,"Low",L731=2,"Medium",L731=3,"High",L731=4,"Very High")</f>
        <v>High</v>
      </c>
      <c r="AH731" t="str" cm="1">
        <f t="array" ref="AH731">_xlfn.IFS(M731=1,"Junior employee",M731=2,"Mid-level",M731=3,"Senior",M731=4,"Manager",M731=5,"Executive")</f>
        <v>Senior</v>
      </c>
      <c r="AI731" t="str" cm="1">
        <f t="array" ref="AI731">_xlfn.IFS(O731=1,"Low",O731=2,"Medium",O731=3,"High",O731=4,"Very High")</f>
        <v>High</v>
      </c>
      <c r="AJ731" t="str" cm="1">
        <f t="array" ref="AJ731">_xlfn.IFS(U731=1,"Low",U731=2,"Good",U731=3,"Excellent",U731=4,"Outstanding")</f>
        <v>Excellent</v>
      </c>
      <c r="AK731" t="str" cm="1">
        <f t="array" ref="AK731">_xlfn.IFS(V731=1,"Low",V731=2,"Medium",V731=3,"High",V731=4,"Very High")</f>
        <v>High</v>
      </c>
      <c r="AL731" t="str" cm="1">
        <f t="array" ref="AL731">_xlfn.IFS(Z731=1,"Bad",Z731=2,"Good",Z731=3,"Better",Z731=4,"Best")</f>
        <v>Good</v>
      </c>
      <c r="AM731" t="str" cm="1">
        <f t="array" ref="AM731">_xlfn.IFS(W731=0,"No_stock",W731=1,"Low",W731=2,"Medium",W731=3,"High")</f>
        <v>Low</v>
      </c>
      <c r="AN731" t="str">
        <f t="shared" si="11"/>
        <v>Far</v>
      </c>
    </row>
    <row r="732" spans="1:40" x14ac:dyDescent="0.45">
      <c r="A732">
        <v>30</v>
      </c>
      <c r="B732" t="s">
        <v>37</v>
      </c>
      <c r="C732" t="s">
        <v>31</v>
      </c>
      <c r="D732">
        <v>153</v>
      </c>
      <c r="E732" t="s">
        <v>39</v>
      </c>
      <c r="F732">
        <v>8</v>
      </c>
      <c r="G732">
        <v>2</v>
      </c>
      <c r="H732" t="s">
        <v>33</v>
      </c>
      <c r="I732">
        <v>1015</v>
      </c>
      <c r="J732">
        <v>2</v>
      </c>
      <c r="K732" t="s">
        <v>34</v>
      </c>
      <c r="L732">
        <v>4</v>
      </c>
      <c r="M732">
        <v>3</v>
      </c>
      <c r="N732" t="s">
        <v>52</v>
      </c>
      <c r="O732">
        <v>1</v>
      </c>
      <c r="P732" t="s">
        <v>42</v>
      </c>
      <c r="Q732">
        <v>11416</v>
      </c>
      <c r="R732">
        <v>0</v>
      </c>
      <c r="S732" t="s">
        <v>30</v>
      </c>
      <c r="T732">
        <v>12</v>
      </c>
      <c r="U732">
        <v>3</v>
      </c>
      <c r="V732">
        <v>3</v>
      </c>
      <c r="W732">
        <v>3</v>
      </c>
      <c r="X732">
        <v>9</v>
      </c>
      <c r="Y732">
        <v>4</v>
      </c>
      <c r="Z732">
        <v>2</v>
      </c>
      <c r="AA732">
        <v>8</v>
      </c>
      <c r="AB732">
        <v>7</v>
      </c>
      <c r="AC732">
        <v>1</v>
      </c>
      <c r="AD732">
        <v>7</v>
      </c>
      <c r="AE732" t="str" cm="1">
        <f t="array" ref="AE732">_xlfn.IFS(G732=1,"Before College",G732=2,"College",G732=3,"Bachelor",G732=4,"Master",G732=5,"Doctor")</f>
        <v>College</v>
      </c>
      <c r="AF732" t="str" cm="1">
        <f t="array" ref="AF732">_xlfn.IFS(J732=1,"Low",J732=2,"Medium",J732=3,"High",J732=4,"Very High")</f>
        <v>Medium</v>
      </c>
      <c r="AG732" t="str" cm="1">
        <f t="array" ref="AG732">_xlfn.IFS(L732=1,"Low",L732=2,"Medium",L732=3,"High",L732=4,"Very High")</f>
        <v>Very High</v>
      </c>
      <c r="AH732" t="str" cm="1">
        <f t="array" ref="AH732">_xlfn.IFS(M732=1,"Junior employee",M732=2,"Mid-level",M732=3,"Senior",M732=4,"Manager",M732=5,"Executive")</f>
        <v>Senior</v>
      </c>
      <c r="AI732" t="str" cm="1">
        <f t="array" ref="AI732">_xlfn.IFS(O732=1,"Low",O732=2,"Medium",O732=3,"High",O732=4,"Very High")</f>
        <v>Low</v>
      </c>
      <c r="AJ732" t="str" cm="1">
        <f t="array" ref="AJ732">_xlfn.IFS(U732=1,"Low",U732=2,"Good",U732=3,"Excellent",U732=4,"Outstanding")</f>
        <v>Excellent</v>
      </c>
      <c r="AK732" t="str" cm="1">
        <f t="array" ref="AK732">_xlfn.IFS(V732=1,"Low",V732=2,"Medium",V732=3,"High",V732=4,"Very High")</f>
        <v>High</v>
      </c>
      <c r="AL732" t="str" cm="1">
        <f t="array" ref="AL732">_xlfn.IFS(Z732=1,"Bad",Z732=2,"Good",Z732=3,"Better",Z732=4,"Best")</f>
        <v>Good</v>
      </c>
      <c r="AM732" t="str" cm="1">
        <f t="array" ref="AM732">_xlfn.IFS(W732=0,"No_stock",W732=1,"Low",W732=2,"Medium",W732=3,"High")</f>
        <v>High</v>
      </c>
      <c r="AN732" t="str">
        <f t="shared" si="11"/>
        <v>Medium</v>
      </c>
    </row>
    <row r="733" spans="1:40" x14ac:dyDescent="0.45">
      <c r="A733">
        <v>20</v>
      </c>
      <c r="B733" t="s">
        <v>30</v>
      </c>
      <c r="C733" t="s">
        <v>31</v>
      </c>
      <c r="D733">
        <v>1097</v>
      </c>
      <c r="E733" t="s">
        <v>39</v>
      </c>
      <c r="F733">
        <v>11</v>
      </c>
      <c r="G733">
        <v>3</v>
      </c>
      <c r="H733" t="s">
        <v>45</v>
      </c>
      <c r="I733">
        <v>1016</v>
      </c>
      <c r="J733">
        <v>4</v>
      </c>
      <c r="K733" t="s">
        <v>34</v>
      </c>
      <c r="L733">
        <v>2</v>
      </c>
      <c r="M733">
        <v>1</v>
      </c>
      <c r="N733" t="s">
        <v>41</v>
      </c>
      <c r="O733">
        <v>1</v>
      </c>
      <c r="P733" t="s">
        <v>36</v>
      </c>
      <c r="Q733">
        <v>2600</v>
      </c>
      <c r="R733">
        <v>1</v>
      </c>
      <c r="S733" t="s">
        <v>30</v>
      </c>
      <c r="T733">
        <v>15</v>
      </c>
      <c r="U733">
        <v>3</v>
      </c>
      <c r="V733">
        <v>1</v>
      </c>
      <c r="W733">
        <v>0</v>
      </c>
      <c r="X733">
        <v>1</v>
      </c>
      <c r="Y733">
        <v>2</v>
      </c>
      <c r="Z733">
        <v>3</v>
      </c>
      <c r="AA733">
        <v>1</v>
      </c>
      <c r="AB733">
        <v>0</v>
      </c>
      <c r="AC733">
        <v>0</v>
      </c>
      <c r="AD733">
        <v>0</v>
      </c>
      <c r="AE733" t="str" cm="1">
        <f t="array" ref="AE733">_xlfn.IFS(G733=1,"Before College",G733=2,"College",G733=3,"Bachelor",G733=4,"Master",G733=5,"Doctor")</f>
        <v>Bachelor</v>
      </c>
      <c r="AF733" t="str" cm="1">
        <f t="array" ref="AF733">_xlfn.IFS(J733=1,"Low",J733=2,"Medium",J733=3,"High",J733=4,"Very High")</f>
        <v>Very High</v>
      </c>
      <c r="AG733" t="str" cm="1">
        <f t="array" ref="AG733">_xlfn.IFS(L733=1,"Low",L733=2,"Medium",L733=3,"High",L733=4,"Very High")</f>
        <v>Medium</v>
      </c>
      <c r="AH733" t="str" cm="1">
        <f t="array" ref="AH733">_xlfn.IFS(M733=1,"Junior employee",M733=2,"Mid-level",M733=3,"Senior",M733=4,"Manager",M733=5,"Executive")</f>
        <v>Junior employee</v>
      </c>
      <c r="AI733" t="str" cm="1">
        <f t="array" ref="AI733">_xlfn.IFS(O733=1,"Low",O733=2,"Medium",O733=3,"High",O733=4,"Very High")</f>
        <v>Low</v>
      </c>
      <c r="AJ733" t="str" cm="1">
        <f t="array" ref="AJ733">_xlfn.IFS(U733=1,"Low",U733=2,"Good",U733=3,"Excellent",U733=4,"Outstanding")</f>
        <v>Excellent</v>
      </c>
      <c r="AK733" t="str" cm="1">
        <f t="array" ref="AK733">_xlfn.IFS(V733=1,"Low",V733=2,"Medium",V733=3,"High",V733=4,"Very High")</f>
        <v>Low</v>
      </c>
      <c r="AL733" t="str" cm="1">
        <f t="array" ref="AL733">_xlfn.IFS(Z733=1,"Bad",Z733=2,"Good",Z733=3,"Better",Z733=4,"Best")</f>
        <v>Better</v>
      </c>
      <c r="AM733" t="str" cm="1">
        <f t="array" ref="AM733">_xlfn.IFS(W733=0,"No_stock",W733=1,"Low",W733=2,"Medium",W733=3,"High")</f>
        <v>No_stock</v>
      </c>
      <c r="AN733" t="str">
        <f t="shared" si="11"/>
        <v>Medium</v>
      </c>
    </row>
    <row r="734" spans="1:40" x14ac:dyDescent="0.45">
      <c r="A734">
        <v>30</v>
      </c>
      <c r="B734" t="s">
        <v>30</v>
      </c>
      <c r="C734" t="s">
        <v>38</v>
      </c>
      <c r="D734">
        <v>109</v>
      </c>
      <c r="E734" t="s">
        <v>39</v>
      </c>
      <c r="F734">
        <v>5</v>
      </c>
      <c r="G734">
        <v>3</v>
      </c>
      <c r="H734" t="s">
        <v>45</v>
      </c>
      <c r="I734">
        <v>1017</v>
      </c>
      <c r="J734">
        <v>2</v>
      </c>
      <c r="K734" t="s">
        <v>34</v>
      </c>
      <c r="L734">
        <v>3</v>
      </c>
      <c r="M734">
        <v>1</v>
      </c>
      <c r="N734" t="s">
        <v>44</v>
      </c>
      <c r="O734">
        <v>2</v>
      </c>
      <c r="P734" t="s">
        <v>36</v>
      </c>
      <c r="Q734">
        <v>2422</v>
      </c>
      <c r="R734">
        <v>0</v>
      </c>
      <c r="S734" t="s">
        <v>37</v>
      </c>
      <c r="T734">
        <v>17</v>
      </c>
      <c r="U734">
        <v>3</v>
      </c>
      <c r="V734">
        <v>1</v>
      </c>
      <c r="W734">
        <v>0</v>
      </c>
      <c r="X734">
        <v>4</v>
      </c>
      <c r="Y734">
        <v>3</v>
      </c>
      <c r="Z734">
        <v>3</v>
      </c>
      <c r="AA734">
        <v>3</v>
      </c>
      <c r="AB734">
        <v>2</v>
      </c>
      <c r="AC734">
        <v>1</v>
      </c>
      <c r="AD734">
        <v>2</v>
      </c>
      <c r="AE734" t="str" cm="1">
        <f t="array" ref="AE734">_xlfn.IFS(G734=1,"Before College",G734=2,"College",G734=3,"Bachelor",G734=4,"Master",G734=5,"Doctor")</f>
        <v>Bachelor</v>
      </c>
      <c r="AF734" t="str" cm="1">
        <f t="array" ref="AF734">_xlfn.IFS(J734=1,"Low",J734=2,"Medium",J734=3,"High",J734=4,"Very High")</f>
        <v>Medium</v>
      </c>
      <c r="AG734" t="str" cm="1">
        <f t="array" ref="AG734">_xlfn.IFS(L734=1,"Low",L734=2,"Medium",L734=3,"High",L734=4,"Very High")</f>
        <v>High</v>
      </c>
      <c r="AH734" t="str" cm="1">
        <f t="array" ref="AH734">_xlfn.IFS(M734=1,"Junior employee",M734=2,"Mid-level",M734=3,"Senior",M734=4,"Manager",M734=5,"Executive")</f>
        <v>Junior employee</v>
      </c>
      <c r="AI734" t="str" cm="1">
        <f t="array" ref="AI734">_xlfn.IFS(O734=1,"Low",O734=2,"Medium",O734=3,"High",O734=4,"Very High")</f>
        <v>Medium</v>
      </c>
      <c r="AJ734" t="str" cm="1">
        <f t="array" ref="AJ734">_xlfn.IFS(U734=1,"Low",U734=2,"Good",U734=3,"Excellent",U734=4,"Outstanding")</f>
        <v>Excellent</v>
      </c>
      <c r="AK734" t="str" cm="1">
        <f t="array" ref="AK734">_xlfn.IFS(V734=1,"Low",V734=2,"Medium",V734=3,"High",V734=4,"Very High")</f>
        <v>Low</v>
      </c>
      <c r="AL734" t="str" cm="1">
        <f t="array" ref="AL734">_xlfn.IFS(Z734=1,"Bad",Z734=2,"Good",Z734=3,"Better",Z734=4,"Best")</f>
        <v>Better</v>
      </c>
      <c r="AM734" t="str" cm="1">
        <f t="array" ref="AM734">_xlfn.IFS(W734=0,"No_stock",W734=1,"Low",W734=2,"Medium",W734=3,"High")</f>
        <v>No_stock</v>
      </c>
      <c r="AN734" t="str">
        <f t="shared" si="11"/>
        <v>Near</v>
      </c>
    </row>
    <row r="735" spans="1:40" x14ac:dyDescent="0.45">
      <c r="A735">
        <v>26</v>
      </c>
      <c r="B735" t="s">
        <v>37</v>
      </c>
      <c r="C735" t="s">
        <v>31</v>
      </c>
      <c r="D735">
        <v>1066</v>
      </c>
      <c r="E735" t="s">
        <v>39</v>
      </c>
      <c r="F735">
        <v>2</v>
      </c>
      <c r="G735">
        <v>2</v>
      </c>
      <c r="H735" t="s">
        <v>45</v>
      </c>
      <c r="I735">
        <v>1018</v>
      </c>
      <c r="J735">
        <v>4</v>
      </c>
      <c r="K735" t="s">
        <v>40</v>
      </c>
      <c r="L735">
        <v>4</v>
      </c>
      <c r="M735">
        <v>2</v>
      </c>
      <c r="N735" t="s">
        <v>47</v>
      </c>
      <c r="O735">
        <v>4</v>
      </c>
      <c r="P735" t="s">
        <v>42</v>
      </c>
      <c r="Q735">
        <v>5472</v>
      </c>
      <c r="R735">
        <v>1</v>
      </c>
      <c r="S735" t="s">
        <v>37</v>
      </c>
      <c r="T735">
        <v>12</v>
      </c>
      <c r="U735">
        <v>3</v>
      </c>
      <c r="V735">
        <v>2</v>
      </c>
      <c r="W735">
        <v>0</v>
      </c>
      <c r="X735">
        <v>8</v>
      </c>
      <c r="Y735">
        <v>2</v>
      </c>
      <c r="Z735">
        <v>3</v>
      </c>
      <c r="AA735">
        <v>8</v>
      </c>
      <c r="AB735">
        <v>7</v>
      </c>
      <c r="AC735">
        <v>1</v>
      </c>
      <c r="AD735">
        <v>3</v>
      </c>
      <c r="AE735" t="str" cm="1">
        <f t="array" ref="AE735">_xlfn.IFS(G735=1,"Before College",G735=2,"College",G735=3,"Bachelor",G735=4,"Master",G735=5,"Doctor")</f>
        <v>College</v>
      </c>
      <c r="AF735" t="str" cm="1">
        <f t="array" ref="AF735">_xlfn.IFS(J735=1,"Low",J735=2,"Medium",J735=3,"High",J735=4,"Very High")</f>
        <v>Very High</v>
      </c>
      <c r="AG735" t="str" cm="1">
        <f t="array" ref="AG735">_xlfn.IFS(L735=1,"Low",L735=2,"Medium",L735=3,"High",L735=4,"Very High")</f>
        <v>Very High</v>
      </c>
      <c r="AH735" t="str" cm="1">
        <f t="array" ref="AH735">_xlfn.IFS(M735=1,"Junior employee",M735=2,"Mid-level",M735=3,"Senior",M735=4,"Manager",M735=5,"Executive")</f>
        <v>Mid-level</v>
      </c>
      <c r="AI735" t="str" cm="1">
        <f t="array" ref="AI735">_xlfn.IFS(O735=1,"Low",O735=2,"Medium",O735=3,"High",O735=4,"Very High")</f>
        <v>Very High</v>
      </c>
      <c r="AJ735" t="str" cm="1">
        <f t="array" ref="AJ735">_xlfn.IFS(U735=1,"Low",U735=2,"Good",U735=3,"Excellent",U735=4,"Outstanding")</f>
        <v>Excellent</v>
      </c>
      <c r="AK735" t="str" cm="1">
        <f t="array" ref="AK735">_xlfn.IFS(V735=1,"Low",V735=2,"Medium",V735=3,"High",V735=4,"Very High")</f>
        <v>Medium</v>
      </c>
      <c r="AL735" t="str" cm="1">
        <f t="array" ref="AL735">_xlfn.IFS(Z735=1,"Bad",Z735=2,"Good",Z735=3,"Better",Z735=4,"Best")</f>
        <v>Better</v>
      </c>
      <c r="AM735" t="str" cm="1">
        <f t="array" ref="AM735">_xlfn.IFS(W735=0,"No_stock",W735=1,"Low",W735=2,"Medium",W735=3,"High")</f>
        <v>No_stock</v>
      </c>
      <c r="AN735" t="str">
        <f t="shared" si="11"/>
        <v>Near</v>
      </c>
    </row>
    <row r="736" spans="1:40" x14ac:dyDescent="0.45">
      <c r="A736">
        <v>22</v>
      </c>
      <c r="B736" t="s">
        <v>37</v>
      </c>
      <c r="C736" t="s">
        <v>31</v>
      </c>
      <c r="D736">
        <v>217</v>
      </c>
      <c r="E736" t="s">
        <v>39</v>
      </c>
      <c r="F736">
        <v>8</v>
      </c>
      <c r="G736">
        <v>1</v>
      </c>
      <c r="H736" t="s">
        <v>33</v>
      </c>
      <c r="I736">
        <v>1019</v>
      </c>
      <c r="J736">
        <v>2</v>
      </c>
      <c r="K736" t="s">
        <v>40</v>
      </c>
      <c r="L736">
        <v>1</v>
      </c>
      <c r="M736">
        <v>1</v>
      </c>
      <c r="N736" t="s">
        <v>44</v>
      </c>
      <c r="O736">
        <v>1</v>
      </c>
      <c r="P736" t="s">
        <v>42</v>
      </c>
      <c r="Q736">
        <v>2451</v>
      </c>
      <c r="R736">
        <v>1</v>
      </c>
      <c r="S736" t="s">
        <v>37</v>
      </c>
      <c r="T736">
        <v>15</v>
      </c>
      <c r="U736">
        <v>3</v>
      </c>
      <c r="V736">
        <v>1</v>
      </c>
      <c r="W736">
        <v>1</v>
      </c>
      <c r="X736">
        <v>4</v>
      </c>
      <c r="Y736">
        <v>3</v>
      </c>
      <c r="Z736">
        <v>2</v>
      </c>
      <c r="AA736">
        <v>4</v>
      </c>
      <c r="AB736">
        <v>3</v>
      </c>
      <c r="AC736">
        <v>1</v>
      </c>
      <c r="AD736">
        <v>1</v>
      </c>
      <c r="AE736" t="str" cm="1">
        <f t="array" ref="AE736">_xlfn.IFS(G736=1,"Before College",G736=2,"College",G736=3,"Bachelor",G736=4,"Master",G736=5,"Doctor")</f>
        <v>Before College</v>
      </c>
      <c r="AF736" t="str" cm="1">
        <f t="array" ref="AF736">_xlfn.IFS(J736=1,"Low",J736=2,"Medium",J736=3,"High",J736=4,"Very High")</f>
        <v>Medium</v>
      </c>
      <c r="AG736" t="str" cm="1">
        <f t="array" ref="AG736">_xlfn.IFS(L736=1,"Low",L736=2,"Medium",L736=3,"High",L736=4,"Very High")</f>
        <v>Low</v>
      </c>
      <c r="AH736" t="str" cm="1">
        <f t="array" ref="AH736">_xlfn.IFS(M736=1,"Junior employee",M736=2,"Mid-level",M736=3,"Senior",M736=4,"Manager",M736=5,"Executive")</f>
        <v>Junior employee</v>
      </c>
      <c r="AI736" t="str" cm="1">
        <f t="array" ref="AI736">_xlfn.IFS(O736=1,"Low",O736=2,"Medium",O736=3,"High",O736=4,"Very High")</f>
        <v>Low</v>
      </c>
      <c r="AJ736" t="str" cm="1">
        <f t="array" ref="AJ736">_xlfn.IFS(U736=1,"Low",U736=2,"Good",U736=3,"Excellent",U736=4,"Outstanding")</f>
        <v>Excellent</v>
      </c>
      <c r="AK736" t="str" cm="1">
        <f t="array" ref="AK736">_xlfn.IFS(V736=1,"Low",V736=2,"Medium",V736=3,"High",V736=4,"Very High")</f>
        <v>Low</v>
      </c>
      <c r="AL736" t="str" cm="1">
        <f t="array" ref="AL736">_xlfn.IFS(Z736=1,"Bad",Z736=2,"Good",Z736=3,"Better",Z736=4,"Best")</f>
        <v>Good</v>
      </c>
      <c r="AM736" t="str" cm="1">
        <f t="array" ref="AM736">_xlfn.IFS(W736=0,"No_stock",W736=1,"Low",W736=2,"Medium",W736=3,"High")</f>
        <v>Low</v>
      </c>
      <c r="AN736" t="str">
        <f t="shared" si="11"/>
        <v>Medium</v>
      </c>
    </row>
    <row r="737" spans="1:40" x14ac:dyDescent="0.45">
      <c r="A737">
        <v>48</v>
      </c>
      <c r="B737" t="s">
        <v>37</v>
      </c>
      <c r="C737" t="s">
        <v>31</v>
      </c>
      <c r="D737">
        <v>277</v>
      </c>
      <c r="E737" t="s">
        <v>39</v>
      </c>
      <c r="F737">
        <v>6</v>
      </c>
      <c r="G737">
        <v>3</v>
      </c>
      <c r="H737" t="s">
        <v>33</v>
      </c>
      <c r="I737">
        <v>1022</v>
      </c>
      <c r="J737">
        <v>1</v>
      </c>
      <c r="K737" t="s">
        <v>40</v>
      </c>
      <c r="L737">
        <v>2</v>
      </c>
      <c r="M737">
        <v>2</v>
      </c>
      <c r="N737" t="s">
        <v>48</v>
      </c>
      <c r="O737">
        <v>3</v>
      </c>
      <c r="P737" t="s">
        <v>36</v>
      </c>
      <c r="Q737">
        <v>4240</v>
      </c>
      <c r="R737">
        <v>2</v>
      </c>
      <c r="S737" t="s">
        <v>37</v>
      </c>
      <c r="T737">
        <v>13</v>
      </c>
      <c r="U737">
        <v>3</v>
      </c>
      <c r="V737">
        <v>4</v>
      </c>
      <c r="W737">
        <v>0</v>
      </c>
      <c r="X737">
        <v>19</v>
      </c>
      <c r="Y737">
        <v>0</v>
      </c>
      <c r="Z737">
        <v>3</v>
      </c>
      <c r="AA737">
        <v>2</v>
      </c>
      <c r="AB737">
        <v>2</v>
      </c>
      <c r="AC737">
        <v>2</v>
      </c>
      <c r="AD737">
        <v>2</v>
      </c>
      <c r="AE737" t="str" cm="1">
        <f t="array" ref="AE737">_xlfn.IFS(G737=1,"Before College",G737=2,"College",G737=3,"Bachelor",G737=4,"Master",G737=5,"Doctor")</f>
        <v>Bachelor</v>
      </c>
      <c r="AF737" t="str" cm="1">
        <f t="array" ref="AF737">_xlfn.IFS(J737=1,"Low",J737=2,"Medium",J737=3,"High",J737=4,"Very High")</f>
        <v>Low</v>
      </c>
      <c r="AG737" t="str" cm="1">
        <f t="array" ref="AG737">_xlfn.IFS(L737=1,"Low",L737=2,"Medium",L737=3,"High",L737=4,"Very High")</f>
        <v>Medium</v>
      </c>
      <c r="AH737" t="str" cm="1">
        <f t="array" ref="AH737">_xlfn.IFS(M737=1,"Junior employee",M737=2,"Mid-level",M737=3,"Senior",M737=4,"Manager",M737=5,"Executive")</f>
        <v>Mid-level</v>
      </c>
      <c r="AI737" t="str" cm="1">
        <f t="array" ref="AI737">_xlfn.IFS(O737=1,"Low",O737=2,"Medium",O737=3,"High",O737=4,"Very High")</f>
        <v>High</v>
      </c>
      <c r="AJ737" t="str" cm="1">
        <f t="array" ref="AJ737">_xlfn.IFS(U737=1,"Low",U737=2,"Good",U737=3,"Excellent",U737=4,"Outstanding")</f>
        <v>Excellent</v>
      </c>
      <c r="AK737" t="str" cm="1">
        <f t="array" ref="AK737">_xlfn.IFS(V737=1,"Low",V737=2,"Medium",V737=3,"High",V737=4,"Very High")</f>
        <v>Very High</v>
      </c>
      <c r="AL737" t="str" cm="1">
        <f t="array" ref="AL737">_xlfn.IFS(Z737=1,"Bad",Z737=2,"Good",Z737=3,"Better",Z737=4,"Best")</f>
        <v>Better</v>
      </c>
      <c r="AM737" t="str" cm="1">
        <f t="array" ref="AM737">_xlfn.IFS(W737=0,"No_stock",W737=1,"Low",W737=2,"Medium",W737=3,"High")</f>
        <v>No_stock</v>
      </c>
      <c r="AN737" t="str">
        <f t="shared" si="11"/>
        <v>Medium</v>
      </c>
    </row>
    <row r="738" spans="1:40" x14ac:dyDescent="0.45">
      <c r="A738">
        <v>48</v>
      </c>
      <c r="B738" t="s">
        <v>37</v>
      </c>
      <c r="C738" t="s">
        <v>31</v>
      </c>
      <c r="D738">
        <v>1355</v>
      </c>
      <c r="E738" t="s">
        <v>39</v>
      </c>
      <c r="F738">
        <v>4</v>
      </c>
      <c r="G738">
        <v>4</v>
      </c>
      <c r="H738" t="s">
        <v>33</v>
      </c>
      <c r="I738">
        <v>1024</v>
      </c>
      <c r="J738">
        <v>3</v>
      </c>
      <c r="K738" t="s">
        <v>40</v>
      </c>
      <c r="L738">
        <v>2</v>
      </c>
      <c r="M738">
        <v>3</v>
      </c>
      <c r="N738" t="s">
        <v>48</v>
      </c>
      <c r="O738">
        <v>3</v>
      </c>
      <c r="P738" t="s">
        <v>36</v>
      </c>
      <c r="Q738">
        <v>10999</v>
      </c>
      <c r="R738">
        <v>7</v>
      </c>
      <c r="S738" t="s">
        <v>37</v>
      </c>
      <c r="T738">
        <v>14</v>
      </c>
      <c r="U738">
        <v>3</v>
      </c>
      <c r="V738">
        <v>2</v>
      </c>
      <c r="W738">
        <v>0</v>
      </c>
      <c r="X738">
        <v>27</v>
      </c>
      <c r="Y738">
        <v>3</v>
      </c>
      <c r="Z738">
        <v>3</v>
      </c>
      <c r="AA738">
        <v>15</v>
      </c>
      <c r="AB738">
        <v>11</v>
      </c>
      <c r="AC738">
        <v>4</v>
      </c>
      <c r="AD738">
        <v>8</v>
      </c>
      <c r="AE738" t="str" cm="1">
        <f t="array" ref="AE738">_xlfn.IFS(G738=1,"Before College",G738=2,"College",G738=3,"Bachelor",G738=4,"Master",G738=5,"Doctor")</f>
        <v>Master</v>
      </c>
      <c r="AF738" t="str" cm="1">
        <f t="array" ref="AF738">_xlfn.IFS(J738=1,"Low",J738=2,"Medium",J738=3,"High",J738=4,"Very High")</f>
        <v>High</v>
      </c>
      <c r="AG738" t="str" cm="1">
        <f t="array" ref="AG738">_xlfn.IFS(L738=1,"Low",L738=2,"Medium",L738=3,"High",L738=4,"Very High")</f>
        <v>Medium</v>
      </c>
      <c r="AH738" t="str" cm="1">
        <f t="array" ref="AH738">_xlfn.IFS(M738=1,"Junior employee",M738=2,"Mid-level",M738=3,"Senior",M738=4,"Manager",M738=5,"Executive")</f>
        <v>Senior</v>
      </c>
      <c r="AI738" t="str" cm="1">
        <f t="array" ref="AI738">_xlfn.IFS(O738=1,"Low",O738=2,"Medium",O738=3,"High",O738=4,"Very High")</f>
        <v>High</v>
      </c>
      <c r="AJ738" t="str" cm="1">
        <f t="array" ref="AJ738">_xlfn.IFS(U738=1,"Low",U738=2,"Good",U738=3,"Excellent",U738=4,"Outstanding")</f>
        <v>Excellent</v>
      </c>
      <c r="AK738" t="str" cm="1">
        <f t="array" ref="AK738">_xlfn.IFS(V738=1,"Low",V738=2,"Medium",V738=3,"High",V738=4,"Very High")</f>
        <v>Medium</v>
      </c>
      <c r="AL738" t="str" cm="1">
        <f t="array" ref="AL738">_xlfn.IFS(Z738=1,"Bad",Z738=2,"Good",Z738=3,"Better",Z738=4,"Best")</f>
        <v>Better</v>
      </c>
      <c r="AM738" t="str" cm="1">
        <f t="array" ref="AM738">_xlfn.IFS(W738=0,"No_stock",W738=1,"Low",W738=2,"Medium",W738=3,"High")</f>
        <v>No_stock</v>
      </c>
      <c r="AN738" t="str">
        <f t="shared" si="11"/>
        <v>Near</v>
      </c>
    </row>
    <row r="739" spans="1:40" x14ac:dyDescent="0.45">
      <c r="A739">
        <v>41</v>
      </c>
      <c r="B739" t="s">
        <v>37</v>
      </c>
      <c r="C739" t="s">
        <v>31</v>
      </c>
      <c r="D739">
        <v>549</v>
      </c>
      <c r="E739" t="s">
        <v>39</v>
      </c>
      <c r="F739">
        <v>7</v>
      </c>
      <c r="G739">
        <v>2</v>
      </c>
      <c r="H739" t="s">
        <v>45</v>
      </c>
      <c r="I739">
        <v>1025</v>
      </c>
      <c r="J739">
        <v>4</v>
      </c>
      <c r="K739" t="s">
        <v>34</v>
      </c>
      <c r="L739">
        <v>3</v>
      </c>
      <c r="M739">
        <v>2</v>
      </c>
      <c r="N739" t="s">
        <v>47</v>
      </c>
      <c r="O739">
        <v>3</v>
      </c>
      <c r="P739" t="s">
        <v>36</v>
      </c>
      <c r="Q739">
        <v>5003</v>
      </c>
      <c r="R739">
        <v>6</v>
      </c>
      <c r="S739" t="s">
        <v>37</v>
      </c>
      <c r="T739">
        <v>14</v>
      </c>
      <c r="U739">
        <v>3</v>
      </c>
      <c r="V739">
        <v>2</v>
      </c>
      <c r="W739">
        <v>0</v>
      </c>
      <c r="X739">
        <v>8</v>
      </c>
      <c r="Y739">
        <v>6</v>
      </c>
      <c r="Z739">
        <v>3</v>
      </c>
      <c r="AA739">
        <v>2</v>
      </c>
      <c r="AB739">
        <v>2</v>
      </c>
      <c r="AC739">
        <v>2</v>
      </c>
      <c r="AD739">
        <v>1</v>
      </c>
      <c r="AE739" t="str" cm="1">
        <f t="array" ref="AE739">_xlfn.IFS(G739=1,"Before College",G739=2,"College",G739=3,"Bachelor",G739=4,"Master",G739=5,"Doctor")</f>
        <v>College</v>
      </c>
      <c r="AF739" t="str" cm="1">
        <f t="array" ref="AF739">_xlfn.IFS(J739=1,"Low",J739=2,"Medium",J739=3,"High",J739=4,"Very High")</f>
        <v>Very High</v>
      </c>
      <c r="AG739" t="str" cm="1">
        <f t="array" ref="AG739">_xlfn.IFS(L739=1,"Low",L739=2,"Medium",L739=3,"High",L739=4,"Very High")</f>
        <v>High</v>
      </c>
      <c r="AH739" t="str" cm="1">
        <f t="array" ref="AH739">_xlfn.IFS(M739=1,"Junior employee",M739=2,"Mid-level",M739=3,"Senior",M739=4,"Manager",M739=5,"Executive")</f>
        <v>Mid-level</v>
      </c>
      <c r="AI739" t="str" cm="1">
        <f t="array" ref="AI739">_xlfn.IFS(O739=1,"Low",O739=2,"Medium",O739=3,"High",O739=4,"Very High")</f>
        <v>High</v>
      </c>
      <c r="AJ739" t="str" cm="1">
        <f t="array" ref="AJ739">_xlfn.IFS(U739=1,"Low",U739=2,"Good",U739=3,"Excellent",U739=4,"Outstanding")</f>
        <v>Excellent</v>
      </c>
      <c r="AK739" t="str" cm="1">
        <f t="array" ref="AK739">_xlfn.IFS(V739=1,"Low",V739=2,"Medium",V739=3,"High",V739=4,"Very High")</f>
        <v>Medium</v>
      </c>
      <c r="AL739" t="str" cm="1">
        <f t="array" ref="AL739">_xlfn.IFS(Z739=1,"Bad",Z739=2,"Good",Z739=3,"Better",Z739=4,"Best")</f>
        <v>Better</v>
      </c>
      <c r="AM739" t="str" cm="1">
        <f t="array" ref="AM739">_xlfn.IFS(W739=0,"No_stock",W739=1,"Low",W739=2,"Medium",W739=3,"High")</f>
        <v>No_stock</v>
      </c>
      <c r="AN739" t="str">
        <f t="shared" si="11"/>
        <v>Medium</v>
      </c>
    </row>
    <row r="740" spans="1:40" x14ac:dyDescent="0.45">
      <c r="A740">
        <v>39</v>
      </c>
      <c r="B740" t="s">
        <v>37</v>
      </c>
      <c r="C740" t="s">
        <v>31</v>
      </c>
      <c r="D740">
        <v>466</v>
      </c>
      <c r="E740" t="s">
        <v>39</v>
      </c>
      <c r="F740">
        <v>1</v>
      </c>
      <c r="G740">
        <v>1</v>
      </c>
      <c r="H740" t="s">
        <v>33</v>
      </c>
      <c r="I740">
        <v>1026</v>
      </c>
      <c r="J740">
        <v>4</v>
      </c>
      <c r="K740" t="s">
        <v>34</v>
      </c>
      <c r="L740">
        <v>2</v>
      </c>
      <c r="M740">
        <v>4</v>
      </c>
      <c r="N740" t="s">
        <v>47</v>
      </c>
      <c r="O740">
        <v>4</v>
      </c>
      <c r="P740" t="s">
        <v>42</v>
      </c>
      <c r="Q740">
        <v>12742</v>
      </c>
      <c r="R740">
        <v>1</v>
      </c>
      <c r="S740" t="s">
        <v>37</v>
      </c>
      <c r="T740">
        <v>16</v>
      </c>
      <c r="U740">
        <v>3</v>
      </c>
      <c r="V740">
        <v>3</v>
      </c>
      <c r="W740">
        <v>1</v>
      </c>
      <c r="X740">
        <v>21</v>
      </c>
      <c r="Y740">
        <v>3</v>
      </c>
      <c r="Z740">
        <v>3</v>
      </c>
      <c r="AA740">
        <v>21</v>
      </c>
      <c r="AB740">
        <v>6</v>
      </c>
      <c r="AC740">
        <v>11</v>
      </c>
      <c r="AD740">
        <v>8</v>
      </c>
      <c r="AE740" t="str" cm="1">
        <f t="array" ref="AE740">_xlfn.IFS(G740=1,"Before College",G740=2,"College",G740=3,"Bachelor",G740=4,"Master",G740=5,"Doctor")</f>
        <v>Before College</v>
      </c>
      <c r="AF740" t="str" cm="1">
        <f t="array" ref="AF740">_xlfn.IFS(J740=1,"Low",J740=2,"Medium",J740=3,"High",J740=4,"Very High")</f>
        <v>Very High</v>
      </c>
      <c r="AG740" t="str" cm="1">
        <f t="array" ref="AG740">_xlfn.IFS(L740=1,"Low",L740=2,"Medium",L740=3,"High",L740=4,"Very High")</f>
        <v>Medium</v>
      </c>
      <c r="AH740" t="str" cm="1">
        <f t="array" ref="AH740">_xlfn.IFS(M740=1,"Junior employee",M740=2,"Mid-level",M740=3,"Senior",M740=4,"Manager",M740=5,"Executive")</f>
        <v>Manager</v>
      </c>
      <c r="AI740" t="str" cm="1">
        <f t="array" ref="AI740">_xlfn.IFS(O740=1,"Low",O740=2,"Medium",O740=3,"High",O740=4,"Very High")</f>
        <v>Very High</v>
      </c>
      <c r="AJ740" t="str" cm="1">
        <f t="array" ref="AJ740">_xlfn.IFS(U740=1,"Low",U740=2,"Good",U740=3,"Excellent",U740=4,"Outstanding")</f>
        <v>Excellent</v>
      </c>
      <c r="AK740" t="str" cm="1">
        <f t="array" ref="AK740">_xlfn.IFS(V740=1,"Low",V740=2,"Medium",V740=3,"High",V740=4,"Very High")</f>
        <v>High</v>
      </c>
      <c r="AL740" t="str" cm="1">
        <f t="array" ref="AL740">_xlfn.IFS(Z740=1,"Bad",Z740=2,"Good",Z740=3,"Better",Z740=4,"Best")</f>
        <v>Better</v>
      </c>
      <c r="AM740" t="str" cm="1">
        <f t="array" ref="AM740">_xlfn.IFS(W740=0,"No_stock",W740=1,"Low",W740=2,"Medium",W740=3,"High")</f>
        <v>Low</v>
      </c>
      <c r="AN740" t="str">
        <f t="shared" si="11"/>
        <v>Near</v>
      </c>
    </row>
    <row r="741" spans="1:40" x14ac:dyDescent="0.45">
      <c r="A741">
        <v>27</v>
      </c>
      <c r="B741" t="s">
        <v>37</v>
      </c>
      <c r="C741" t="s">
        <v>31</v>
      </c>
      <c r="D741">
        <v>1055</v>
      </c>
      <c r="E741" t="s">
        <v>39</v>
      </c>
      <c r="F741">
        <v>2</v>
      </c>
      <c r="G741">
        <v>4</v>
      </c>
      <c r="H741" t="s">
        <v>33</v>
      </c>
      <c r="I741">
        <v>1027</v>
      </c>
      <c r="J741">
        <v>1</v>
      </c>
      <c r="K741" t="s">
        <v>34</v>
      </c>
      <c r="L741">
        <v>3</v>
      </c>
      <c r="M741">
        <v>2</v>
      </c>
      <c r="N741" t="s">
        <v>47</v>
      </c>
      <c r="O741">
        <v>4</v>
      </c>
      <c r="P741" t="s">
        <v>42</v>
      </c>
      <c r="Q741">
        <v>4227</v>
      </c>
      <c r="R741">
        <v>0</v>
      </c>
      <c r="S741" t="s">
        <v>37</v>
      </c>
      <c r="T741">
        <v>18</v>
      </c>
      <c r="U741">
        <v>3</v>
      </c>
      <c r="V741">
        <v>2</v>
      </c>
      <c r="W741">
        <v>1</v>
      </c>
      <c r="X741">
        <v>4</v>
      </c>
      <c r="Y741">
        <v>2</v>
      </c>
      <c r="Z741">
        <v>3</v>
      </c>
      <c r="AA741">
        <v>3</v>
      </c>
      <c r="AB741">
        <v>2</v>
      </c>
      <c r="AC741">
        <v>2</v>
      </c>
      <c r="AD741">
        <v>2</v>
      </c>
      <c r="AE741" t="str" cm="1">
        <f t="array" ref="AE741">_xlfn.IFS(G741=1,"Before College",G741=2,"College",G741=3,"Bachelor",G741=4,"Master",G741=5,"Doctor")</f>
        <v>Master</v>
      </c>
      <c r="AF741" t="str" cm="1">
        <f t="array" ref="AF741">_xlfn.IFS(J741=1,"Low",J741=2,"Medium",J741=3,"High",J741=4,"Very High")</f>
        <v>Low</v>
      </c>
      <c r="AG741" t="str" cm="1">
        <f t="array" ref="AG741">_xlfn.IFS(L741=1,"Low",L741=2,"Medium",L741=3,"High",L741=4,"Very High")</f>
        <v>High</v>
      </c>
      <c r="AH741" t="str" cm="1">
        <f t="array" ref="AH741">_xlfn.IFS(M741=1,"Junior employee",M741=2,"Mid-level",M741=3,"Senior",M741=4,"Manager",M741=5,"Executive")</f>
        <v>Mid-level</v>
      </c>
      <c r="AI741" t="str" cm="1">
        <f t="array" ref="AI741">_xlfn.IFS(O741=1,"Low",O741=2,"Medium",O741=3,"High",O741=4,"Very High")</f>
        <v>Very High</v>
      </c>
      <c r="AJ741" t="str" cm="1">
        <f t="array" ref="AJ741">_xlfn.IFS(U741=1,"Low",U741=2,"Good",U741=3,"Excellent",U741=4,"Outstanding")</f>
        <v>Excellent</v>
      </c>
      <c r="AK741" t="str" cm="1">
        <f t="array" ref="AK741">_xlfn.IFS(V741=1,"Low",V741=2,"Medium",V741=3,"High",V741=4,"Very High")</f>
        <v>Medium</v>
      </c>
      <c r="AL741" t="str" cm="1">
        <f t="array" ref="AL741">_xlfn.IFS(Z741=1,"Bad",Z741=2,"Good",Z741=3,"Better",Z741=4,"Best")</f>
        <v>Better</v>
      </c>
      <c r="AM741" t="str" cm="1">
        <f t="array" ref="AM741">_xlfn.IFS(W741=0,"No_stock",W741=1,"Low",W741=2,"Medium",W741=3,"High")</f>
        <v>Low</v>
      </c>
      <c r="AN741" t="str">
        <f t="shared" si="11"/>
        <v>Near</v>
      </c>
    </row>
    <row r="742" spans="1:40" x14ac:dyDescent="0.45">
      <c r="A742">
        <v>35</v>
      </c>
      <c r="B742" t="s">
        <v>37</v>
      </c>
      <c r="C742" t="s">
        <v>31</v>
      </c>
      <c r="D742">
        <v>802</v>
      </c>
      <c r="E742" t="s">
        <v>39</v>
      </c>
      <c r="F742">
        <v>10</v>
      </c>
      <c r="G742">
        <v>3</v>
      </c>
      <c r="H742" t="s">
        <v>43</v>
      </c>
      <c r="I742">
        <v>1028</v>
      </c>
      <c r="J742">
        <v>2</v>
      </c>
      <c r="K742" t="s">
        <v>40</v>
      </c>
      <c r="L742">
        <v>3</v>
      </c>
      <c r="M742">
        <v>1</v>
      </c>
      <c r="N742" t="s">
        <v>44</v>
      </c>
      <c r="O742">
        <v>4</v>
      </c>
      <c r="P742" t="s">
        <v>46</v>
      </c>
      <c r="Q742">
        <v>3917</v>
      </c>
      <c r="R742">
        <v>1</v>
      </c>
      <c r="S742" t="s">
        <v>37</v>
      </c>
      <c r="T742">
        <v>20</v>
      </c>
      <c r="U742">
        <v>4</v>
      </c>
      <c r="V742">
        <v>1</v>
      </c>
      <c r="W742">
        <v>1</v>
      </c>
      <c r="X742">
        <v>3</v>
      </c>
      <c r="Y742">
        <v>4</v>
      </c>
      <c r="Z742">
        <v>2</v>
      </c>
      <c r="AA742">
        <v>3</v>
      </c>
      <c r="AB742">
        <v>2</v>
      </c>
      <c r="AC742">
        <v>1</v>
      </c>
      <c r="AD742">
        <v>2</v>
      </c>
      <c r="AE742" t="str" cm="1">
        <f t="array" ref="AE742">_xlfn.IFS(G742=1,"Before College",G742=2,"College",G742=3,"Bachelor",G742=4,"Master",G742=5,"Doctor")</f>
        <v>Bachelor</v>
      </c>
      <c r="AF742" t="str" cm="1">
        <f t="array" ref="AF742">_xlfn.IFS(J742=1,"Low",J742=2,"Medium",J742=3,"High",J742=4,"Very High")</f>
        <v>Medium</v>
      </c>
      <c r="AG742" t="str" cm="1">
        <f t="array" ref="AG742">_xlfn.IFS(L742=1,"Low",L742=2,"Medium",L742=3,"High",L742=4,"Very High")</f>
        <v>High</v>
      </c>
      <c r="AH742" t="str" cm="1">
        <f t="array" ref="AH742">_xlfn.IFS(M742=1,"Junior employee",M742=2,"Mid-level",M742=3,"Senior",M742=4,"Manager",M742=5,"Executive")</f>
        <v>Junior employee</v>
      </c>
      <c r="AI742" t="str" cm="1">
        <f t="array" ref="AI742">_xlfn.IFS(O742=1,"Low",O742=2,"Medium",O742=3,"High",O742=4,"Very High")</f>
        <v>Very High</v>
      </c>
      <c r="AJ742" t="str" cm="1">
        <f t="array" ref="AJ742">_xlfn.IFS(U742=1,"Low",U742=2,"Good",U742=3,"Excellent",U742=4,"Outstanding")</f>
        <v>Outstanding</v>
      </c>
      <c r="AK742" t="str" cm="1">
        <f t="array" ref="AK742">_xlfn.IFS(V742=1,"Low",V742=2,"Medium",V742=3,"High",V742=4,"Very High")</f>
        <v>Low</v>
      </c>
      <c r="AL742" t="str" cm="1">
        <f t="array" ref="AL742">_xlfn.IFS(Z742=1,"Bad",Z742=2,"Good",Z742=3,"Better",Z742=4,"Best")</f>
        <v>Good</v>
      </c>
      <c r="AM742" t="str" cm="1">
        <f t="array" ref="AM742">_xlfn.IFS(W742=0,"No_stock",W742=1,"Low",W742=2,"Medium",W742=3,"High")</f>
        <v>Low</v>
      </c>
      <c r="AN742" t="str">
        <f t="shared" si="11"/>
        <v>Medium</v>
      </c>
    </row>
    <row r="743" spans="1:40" x14ac:dyDescent="0.45">
      <c r="A743">
        <v>42</v>
      </c>
      <c r="B743" t="s">
        <v>37</v>
      </c>
      <c r="C743" t="s">
        <v>31</v>
      </c>
      <c r="D743">
        <v>265</v>
      </c>
      <c r="E743" t="s">
        <v>32</v>
      </c>
      <c r="F743">
        <v>5</v>
      </c>
      <c r="G743">
        <v>2</v>
      </c>
      <c r="H743" t="s">
        <v>53</v>
      </c>
      <c r="I743">
        <v>1029</v>
      </c>
      <c r="J743">
        <v>4</v>
      </c>
      <c r="K743" t="s">
        <v>40</v>
      </c>
      <c r="L743">
        <v>3</v>
      </c>
      <c r="M743">
        <v>5</v>
      </c>
      <c r="N743" t="s">
        <v>50</v>
      </c>
      <c r="O743">
        <v>3</v>
      </c>
      <c r="P743" t="s">
        <v>42</v>
      </c>
      <c r="Q743">
        <v>18303</v>
      </c>
      <c r="R743">
        <v>6</v>
      </c>
      <c r="S743" t="s">
        <v>37</v>
      </c>
      <c r="T743">
        <v>13</v>
      </c>
      <c r="U743">
        <v>3</v>
      </c>
      <c r="V743">
        <v>2</v>
      </c>
      <c r="W743">
        <v>0</v>
      </c>
      <c r="X743">
        <v>21</v>
      </c>
      <c r="Y743">
        <v>3</v>
      </c>
      <c r="Z743">
        <v>4</v>
      </c>
      <c r="AA743">
        <v>1</v>
      </c>
      <c r="AB743">
        <v>0</v>
      </c>
      <c r="AC743">
        <v>0</v>
      </c>
      <c r="AD743">
        <v>0</v>
      </c>
      <c r="AE743" t="str" cm="1">
        <f t="array" ref="AE743">_xlfn.IFS(G743=1,"Before College",G743=2,"College",G743=3,"Bachelor",G743=4,"Master",G743=5,"Doctor")</f>
        <v>College</v>
      </c>
      <c r="AF743" t="str" cm="1">
        <f t="array" ref="AF743">_xlfn.IFS(J743=1,"Low",J743=2,"Medium",J743=3,"High",J743=4,"Very High")</f>
        <v>Very High</v>
      </c>
      <c r="AG743" t="str" cm="1">
        <f t="array" ref="AG743">_xlfn.IFS(L743=1,"Low",L743=2,"Medium",L743=3,"High",L743=4,"Very High")</f>
        <v>High</v>
      </c>
      <c r="AH743" t="str" cm="1">
        <f t="array" ref="AH743">_xlfn.IFS(M743=1,"Junior employee",M743=2,"Mid-level",M743=3,"Senior",M743=4,"Manager",M743=5,"Executive")</f>
        <v>Executive</v>
      </c>
      <c r="AI743" t="str" cm="1">
        <f t="array" ref="AI743">_xlfn.IFS(O743=1,"Low",O743=2,"Medium",O743=3,"High",O743=4,"Very High")</f>
        <v>High</v>
      </c>
      <c r="AJ743" t="str" cm="1">
        <f t="array" ref="AJ743">_xlfn.IFS(U743=1,"Low",U743=2,"Good",U743=3,"Excellent",U743=4,"Outstanding")</f>
        <v>Excellent</v>
      </c>
      <c r="AK743" t="str" cm="1">
        <f t="array" ref="AK743">_xlfn.IFS(V743=1,"Low",V743=2,"Medium",V743=3,"High",V743=4,"Very High")</f>
        <v>Medium</v>
      </c>
      <c r="AL743" t="str" cm="1">
        <f t="array" ref="AL743">_xlfn.IFS(Z743=1,"Bad",Z743=2,"Good",Z743=3,"Better",Z743=4,"Best")</f>
        <v>Best</v>
      </c>
      <c r="AM743" t="str" cm="1">
        <f t="array" ref="AM743">_xlfn.IFS(W743=0,"No_stock",W743=1,"Low",W743=2,"Medium",W743=3,"High")</f>
        <v>No_stock</v>
      </c>
      <c r="AN743" t="str">
        <f t="shared" si="11"/>
        <v>Near</v>
      </c>
    </row>
    <row r="744" spans="1:40" x14ac:dyDescent="0.45">
      <c r="A744">
        <v>50</v>
      </c>
      <c r="B744" t="s">
        <v>37</v>
      </c>
      <c r="C744" t="s">
        <v>31</v>
      </c>
      <c r="D744">
        <v>804</v>
      </c>
      <c r="E744" t="s">
        <v>39</v>
      </c>
      <c r="F744">
        <v>9</v>
      </c>
      <c r="G744">
        <v>3</v>
      </c>
      <c r="H744" t="s">
        <v>33</v>
      </c>
      <c r="I744">
        <v>1030</v>
      </c>
      <c r="J744">
        <v>1</v>
      </c>
      <c r="K744" t="s">
        <v>40</v>
      </c>
      <c r="L744">
        <v>3</v>
      </c>
      <c r="M744">
        <v>1</v>
      </c>
      <c r="N744" t="s">
        <v>44</v>
      </c>
      <c r="O744">
        <v>4</v>
      </c>
      <c r="P744" t="s">
        <v>42</v>
      </c>
      <c r="Q744">
        <v>2380</v>
      </c>
      <c r="R744">
        <v>4</v>
      </c>
      <c r="S744" t="s">
        <v>37</v>
      </c>
      <c r="T744">
        <v>18</v>
      </c>
      <c r="U744">
        <v>3</v>
      </c>
      <c r="V744">
        <v>2</v>
      </c>
      <c r="W744">
        <v>0</v>
      </c>
      <c r="X744">
        <v>8</v>
      </c>
      <c r="Y744">
        <v>5</v>
      </c>
      <c r="Z744">
        <v>3</v>
      </c>
      <c r="AA744">
        <v>1</v>
      </c>
      <c r="AB744">
        <v>0</v>
      </c>
      <c r="AC744">
        <v>0</v>
      </c>
      <c r="AD744">
        <v>0</v>
      </c>
      <c r="AE744" t="str" cm="1">
        <f t="array" ref="AE744">_xlfn.IFS(G744=1,"Before College",G744=2,"College",G744=3,"Bachelor",G744=4,"Master",G744=5,"Doctor")</f>
        <v>Bachelor</v>
      </c>
      <c r="AF744" t="str" cm="1">
        <f t="array" ref="AF744">_xlfn.IFS(J744=1,"Low",J744=2,"Medium",J744=3,"High",J744=4,"Very High")</f>
        <v>Low</v>
      </c>
      <c r="AG744" t="str" cm="1">
        <f t="array" ref="AG744">_xlfn.IFS(L744=1,"Low",L744=2,"Medium",L744=3,"High",L744=4,"Very High")</f>
        <v>High</v>
      </c>
      <c r="AH744" t="str" cm="1">
        <f t="array" ref="AH744">_xlfn.IFS(M744=1,"Junior employee",M744=2,"Mid-level",M744=3,"Senior",M744=4,"Manager",M744=5,"Executive")</f>
        <v>Junior employee</v>
      </c>
      <c r="AI744" t="str" cm="1">
        <f t="array" ref="AI744">_xlfn.IFS(O744=1,"Low",O744=2,"Medium",O744=3,"High",O744=4,"Very High")</f>
        <v>Very High</v>
      </c>
      <c r="AJ744" t="str" cm="1">
        <f t="array" ref="AJ744">_xlfn.IFS(U744=1,"Low",U744=2,"Good",U744=3,"Excellent",U744=4,"Outstanding")</f>
        <v>Excellent</v>
      </c>
      <c r="AK744" t="str" cm="1">
        <f t="array" ref="AK744">_xlfn.IFS(V744=1,"Low",V744=2,"Medium",V744=3,"High",V744=4,"Very High")</f>
        <v>Medium</v>
      </c>
      <c r="AL744" t="str" cm="1">
        <f t="array" ref="AL744">_xlfn.IFS(Z744=1,"Bad",Z744=2,"Good",Z744=3,"Better",Z744=4,"Best")</f>
        <v>Better</v>
      </c>
      <c r="AM744" t="str" cm="1">
        <f t="array" ref="AM744">_xlfn.IFS(W744=0,"No_stock",W744=1,"Low",W744=2,"Medium",W744=3,"High")</f>
        <v>No_stock</v>
      </c>
      <c r="AN744" t="str">
        <f t="shared" si="11"/>
        <v>Medium</v>
      </c>
    </row>
    <row r="745" spans="1:40" x14ac:dyDescent="0.45">
      <c r="A745">
        <v>59</v>
      </c>
      <c r="B745" t="s">
        <v>37</v>
      </c>
      <c r="C745" t="s">
        <v>31</v>
      </c>
      <c r="D745">
        <v>715</v>
      </c>
      <c r="E745" t="s">
        <v>39</v>
      </c>
      <c r="F745">
        <v>2</v>
      </c>
      <c r="G745">
        <v>3</v>
      </c>
      <c r="H745" t="s">
        <v>33</v>
      </c>
      <c r="I745">
        <v>1032</v>
      </c>
      <c r="J745">
        <v>3</v>
      </c>
      <c r="K745" t="s">
        <v>34</v>
      </c>
      <c r="L745">
        <v>2</v>
      </c>
      <c r="M745">
        <v>4</v>
      </c>
      <c r="N745" t="s">
        <v>47</v>
      </c>
      <c r="O745">
        <v>4</v>
      </c>
      <c r="P745" t="s">
        <v>36</v>
      </c>
      <c r="Q745">
        <v>13726</v>
      </c>
      <c r="R745">
        <v>3</v>
      </c>
      <c r="S745" t="s">
        <v>30</v>
      </c>
      <c r="T745">
        <v>13</v>
      </c>
      <c r="U745">
        <v>3</v>
      </c>
      <c r="V745">
        <v>1</v>
      </c>
      <c r="W745">
        <v>0</v>
      </c>
      <c r="X745">
        <v>30</v>
      </c>
      <c r="Y745">
        <v>4</v>
      </c>
      <c r="Z745">
        <v>3</v>
      </c>
      <c r="AA745">
        <v>5</v>
      </c>
      <c r="AB745">
        <v>3</v>
      </c>
      <c r="AC745">
        <v>4</v>
      </c>
      <c r="AD745">
        <v>3</v>
      </c>
      <c r="AE745" t="str" cm="1">
        <f t="array" ref="AE745">_xlfn.IFS(G745=1,"Before College",G745=2,"College",G745=3,"Bachelor",G745=4,"Master",G745=5,"Doctor")</f>
        <v>Bachelor</v>
      </c>
      <c r="AF745" t="str" cm="1">
        <f t="array" ref="AF745">_xlfn.IFS(J745=1,"Low",J745=2,"Medium",J745=3,"High",J745=4,"Very High")</f>
        <v>High</v>
      </c>
      <c r="AG745" t="str" cm="1">
        <f t="array" ref="AG745">_xlfn.IFS(L745=1,"Low",L745=2,"Medium",L745=3,"High",L745=4,"Very High")</f>
        <v>Medium</v>
      </c>
      <c r="AH745" t="str" cm="1">
        <f t="array" ref="AH745">_xlfn.IFS(M745=1,"Junior employee",M745=2,"Mid-level",M745=3,"Senior",M745=4,"Manager",M745=5,"Executive")</f>
        <v>Manager</v>
      </c>
      <c r="AI745" t="str" cm="1">
        <f t="array" ref="AI745">_xlfn.IFS(O745=1,"Low",O745=2,"Medium",O745=3,"High",O745=4,"Very High")</f>
        <v>Very High</v>
      </c>
      <c r="AJ745" t="str" cm="1">
        <f t="array" ref="AJ745">_xlfn.IFS(U745=1,"Low",U745=2,"Good",U745=3,"Excellent",U745=4,"Outstanding")</f>
        <v>Excellent</v>
      </c>
      <c r="AK745" t="str" cm="1">
        <f t="array" ref="AK745">_xlfn.IFS(V745=1,"Low",V745=2,"Medium",V745=3,"High",V745=4,"Very High")</f>
        <v>Low</v>
      </c>
      <c r="AL745" t="str" cm="1">
        <f t="array" ref="AL745">_xlfn.IFS(Z745=1,"Bad",Z745=2,"Good",Z745=3,"Better",Z745=4,"Best")</f>
        <v>Better</v>
      </c>
      <c r="AM745" t="str" cm="1">
        <f t="array" ref="AM745">_xlfn.IFS(W745=0,"No_stock",W745=1,"Low",W745=2,"Medium",W745=3,"High")</f>
        <v>No_stock</v>
      </c>
      <c r="AN745" t="str">
        <f t="shared" si="11"/>
        <v>Near</v>
      </c>
    </row>
    <row r="746" spans="1:40" x14ac:dyDescent="0.45">
      <c r="A746">
        <v>37</v>
      </c>
      <c r="B746" t="s">
        <v>30</v>
      </c>
      <c r="C746" t="s">
        <v>31</v>
      </c>
      <c r="D746">
        <v>1141</v>
      </c>
      <c r="E746" t="s">
        <v>39</v>
      </c>
      <c r="F746">
        <v>11</v>
      </c>
      <c r="G746">
        <v>2</v>
      </c>
      <c r="H746" t="s">
        <v>45</v>
      </c>
      <c r="I746">
        <v>1033</v>
      </c>
      <c r="J746">
        <v>1</v>
      </c>
      <c r="K746" t="s">
        <v>34</v>
      </c>
      <c r="L746">
        <v>1</v>
      </c>
      <c r="M746">
        <v>2</v>
      </c>
      <c r="N746" t="s">
        <v>48</v>
      </c>
      <c r="O746">
        <v>2</v>
      </c>
      <c r="P746" t="s">
        <v>42</v>
      </c>
      <c r="Q746">
        <v>4777</v>
      </c>
      <c r="R746">
        <v>5</v>
      </c>
      <c r="S746" t="s">
        <v>37</v>
      </c>
      <c r="T746">
        <v>15</v>
      </c>
      <c r="U746">
        <v>3</v>
      </c>
      <c r="V746">
        <v>1</v>
      </c>
      <c r="W746">
        <v>0</v>
      </c>
      <c r="X746">
        <v>15</v>
      </c>
      <c r="Y746">
        <v>2</v>
      </c>
      <c r="Z746">
        <v>1</v>
      </c>
      <c r="AA746">
        <v>1</v>
      </c>
      <c r="AB746">
        <v>0</v>
      </c>
      <c r="AC746">
        <v>0</v>
      </c>
      <c r="AD746">
        <v>0</v>
      </c>
      <c r="AE746" t="str" cm="1">
        <f t="array" ref="AE746">_xlfn.IFS(G746=1,"Before College",G746=2,"College",G746=3,"Bachelor",G746=4,"Master",G746=5,"Doctor")</f>
        <v>College</v>
      </c>
      <c r="AF746" t="str" cm="1">
        <f t="array" ref="AF746">_xlfn.IFS(J746=1,"Low",J746=2,"Medium",J746=3,"High",J746=4,"Very High")</f>
        <v>Low</v>
      </c>
      <c r="AG746" t="str" cm="1">
        <f t="array" ref="AG746">_xlfn.IFS(L746=1,"Low",L746=2,"Medium",L746=3,"High",L746=4,"Very High")</f>
        <v>Low</v>
      </c>
      <c r="AH746" t="str" cm="1">
        <f t="array" ref="AH746">_xlfn.IFS(M746=1,"Junior employee",M746=2,"Mid-level",M746=3,"Senior",M746=4,"Manager",M746=5,"Executive")</f>
        <v>Mid-level</v>
      </c>
      <c r="AI746" t="str" cm="1">
        <f t="array" ref="AI746">_xlfn.IFS(O746=1,"Low",O746=2,"Medium",O746=3,"High",O746=4,"Very High")</f>
        <v>Medium</v>
      </c>
      <c r="AJ746" t="str" cm="1">
        <f t="array" ref="AJ746">_xlfn.IFS(U746=1,"Low",U746=2,"Good",U746=3,"Excellent",U746=4,"Outstanding")</f>
        <v>Excellent</v>
      </c>
      <c r="AK746" t="str" cm="1">
        <f t="array" ref="AK746">_xlfn.IFS(V746=1,"Low",V746=2,"Medium",V746=3,"High",V746=4,"Very High")</f>
        <v>Low</v>
      </c>
      <c r="AL746" t="str" cm="1">
        <f t="array" ref="AL746">_xlfn.IFS(Z746=1,"Bad",Z746=2,"Good",Z746=3,"Better",Z746=4,"Best")</f>
        <v>Bad</v>
      </c>
      <c r="AM746" t="str" cm="1">
        <f t="array" ref="AM746">_xlfn.IFS(W746=0,"No_stock",W746=1,"Low",W746=2,"Medium",W746=3,"High")</f>
        <v>No_stock</v>
      </c>
      <c r="AN746" t="str">
        <f t="shared" si="11"/>
        <v>Medium</v>
      </c>
    </row>
    <row r="747" spans="1:40" x14ac:dyDescent="0.45">
      <c r="A747">
        <v>55</v>
      </c>
      <c r="B747" t="s">
        <v>37</v>
      </c>
      <c r="C747" t="s">
        <v>38</v>
      </c>
      <c r="D747">
        <v>135</v>
      </c>
      <c r="E747" t="s">
        <v>39</v>
      </c>
      <c r="F747">
        <v>18</v>
      </c>
      <c r="G747">
        <v>4</v>
      </c>
      <c r="H747" t="s">
        <v>45</v>
      </c>
      <c r="I747">
        <v>1034</v>
      </c>
      <c r="J747">
        <v>3</v>
      </c>
      <c r="K747" t="s">
        <v>40</v>
      </c>
      <c r="L747">
        <v>3</v>
      </c>
      <c r="M747">
        <v>2</v>
      </c>
      <c r="N747" t="s">
        <v>48</v>
      </c>
      <c r="O747">
        <v>2</v>
      </c>
      <c r="P747" t="s">
        <v>42</v>
      </c>
      <c r="Q747">
        <v>6385</v>
      </c>
      <c r="R747">
        <v>3</v>
      </c>
      <c r="S747" t="s">
        <v>30</v>
      </c>
      <c r="T747">
        <v>14</v>
      </c>
      <c r="U747">
        <v>3</v>
      </c>
      <c r="V747">
        <v>4</v>
      </c>
      <c r="W747">
        <v>2</v>
      </c>
      <c r="X747">
        <v>17</v>
      </c>
      <c r="Y747">
        <v>3</v>
      </c>
      <c r="Z747">
        <v>3</v>
      </c>
      <c r="AA747">
        <v>8</v>
      </c>
      <c r="AB747">
        <v>7</v>
      </c>
      <c r="AC747">
        <v>6</v>
      </c>
      <c r="AD747">
        <v>7</v>
      </c>
      <c r="AE747" t="str" cm="1">
        <f t="array" ref="AE747">_xlfn.IFS(G747=1,"Before College",G747=2,"College",G747=3,"Bachelor",G747=4,"Master",G747=5,"Doctor")</f>
        <v>Master</v>
      </c>
      <c r="AF747" t="str" cm="1">
        <f t="array" ref="AF747">_xlfn.IFS(J747=1,"Low",J747=2,"Medium",J747=3,"High",J747=4,"Very High")</f>
        <v>High</v>
      </c>
      <c r="AG747" t="str" cm="1">
        <f t="array" ref="AG747">_xlfn.IFS(L747=1,"Low",L747=2,"Medium",L747=3,"High",L747=4,"Very High")</f>
        <v>High</v>
      </c>
      <c r="AH747" t="str" cm="1">
        <f t="array" ref="AH747">_xlfn.IFS(M747=1,"Junior employee",M747=2,"Mid-level",M747=3,"Senior",M747=4,"Manager",M747=5,"Executive")</f>
        <v>Mid-level</v>
      </c>
      <c r="AI747" t="str" cm="1">
        <f t="array" ref="AI747">_xlfn.IFS(O747=1,"Low",O747=2,"Medium",O747=3,"High",O747=4,"Very High")</f>
        <v>Medium</v>
      </c>
      <c r="AJ747" t="str" cm="1">
        <f t="array" ref="AJ747">_xlfn.IFS(U747=1,"Low",U747=2,"Good",U747=3,"Excellent",U747=4,"Outstanding")</f>
        <v>Excellent</v>
      </c>
      <c r="AK747" t="str" cm="1">
        <f t="array" ref="AK747">_xlfn.IFS(V747=1,"Low",V747=2,"Medium",V747=3,"High",V747=4,"Very High")</f>
        <v>Very High</v>
      </c>
      <c r="AL747" t="str" cm="1">
        <f t="array" ref="AL747">_xlfn.IFS(Z747=1,"Bad",Z747=2,"Good",Z747=3,"Better",Z747=4,"Best")</f>
        <v>Better</v>
      </c>
      <c r="AM747" t="str" cm="1">
        <f t="array" ref="AM747">_xlfn.IFS(W747=0,"No_stock",W747=1,"Low",W747=2,"Medium",W747=3,"High")</f>
        <v>Medium</v>
      </c>
      <c r="AN747" t="str">
        <f t="shared" si="11"/>
        <v>Far</v>
      </c>
    </row>
    <row r="748" spans="1:40" x14ac:dyDescent="0.45">
      <c r="A748">
        <v>41</v>
      </c>
      <c r="B748" t="s">
        <v>37</v>
      </c>
      <c r="C748" t="s">
        <v>49</v>
      </c>
      <c r="D748">
        <v>247</v>
      </c>
      <c r="E748" t="s">
        <v>39</v>
      </c>
      <c r="F748">
        <v>7</v>
      </c>
      <c r="G748">
        <v>1</v>
      </c>
      <c r="H748" t="s">
        <v>33</v>
      </c>
      <c r="I748">
        <v>1035</v>
      </c>
      <c r="J748">
        <v>2</v>
      </c>
      <c r="K748" t="s">
        <v>34</v>
      </c>
      <c r="L748">
        <v>1</v>
      </c>
      <c r="M748">
        <v>5</v>
      </c>
      <c r="N748" t="s">
        <v>52</v>
      </c>
      <c r="O748">
        <v>3</v>
      </c>
      <c r="P748" t="s">
        <v>46</v>
      </c>
      <c r="Q748">
        <v>19973</v>
      </c>
      <c r="R748">
        <v>1</v>
      </c>
      <c r="S748" t="s">
        <v>37</v>
      </c>
      <c r="T748">
        <v>22</v>
      </c>
      <c r="U748">
        <v>4</v>
      </c>
      <c r="V748">
        <v>2</v>
      </c>
      <c r="W748">
        <v>2</v>
      </c>
      <c r="X748">
        <v>21</v>
      </c>
      <c r="Y748">
        <v>3</v>
      </c>
      <c r="Z748">
        <v>3</v>
      </c>
      <c r="AA748">
        <v>21</v>
      </c>
      <c r="AB748">
        <v>16</v>
      </c>
      <c r="AC748">
        <v>5</v>
      </c>
      <c r="AD748">
        <v>10</v>
      </c>
      <c r="AE748" t="str" cm="1">
        <f t="array" ref="AE748">_xlfn.IFS(G748=1,"Before College",G748=2,"College",G748=3,"Bachelor",G748=4,"Master",G748=5,"Doctor")</f>
        <v>Before College</v>
      </c>
      <c r="AF748" t="str" cm="1">
        <f t="array" ref="AF748">_xlfn.IFS(J748=1,"Low",J748=2,"Medium",J748=3,"High",J748=4,"Very High")</f>
        <v>Medium</v>
      </c>
      <c r="AG748" t="str" cm="1">
        <f t="array" ref="AG748">_xlfn.IFS(L748=1,"Low",L748=2,"Medium",L748=3,"High",L748=4,"Very High")</f>
        <v>Low</v>
      </c>
      <c r="AH748" t="str" cm="1">
        <f t="array" ref="AH748">_xlfn.IFS(M748=1,"Junior employee",M748=2,"Mid-level",M748=3,"Senior",M748=4,"Manager",M748=5,"Executive")</f>
        <v>Executive</v>
      </c>
      <c r="AI748" t="str" cm="1">
        <f t="array" ref="AI748">_xlfn.IFS(O748=1,"Low",O748=2,"Medium",O748=3,"High",O748=4,"Very High")</f>
        <v>High</v>
      </c>
      <c r="AJ748" t="str" cm="1">
        <f t="array" ref="AJ748">_xlfn.IFS(U748=1,"Low",U748=2,"Good",U748=3,"Excellent",U748=4,"Outstanding")</f>
        <v>Outstanding</v>
      </c>
      <c r="AK748" t="str" cm="1">
        <f t="array" ref="AK748">_xlfn.IFS(V748=1,"Low",V748=2,"Medium",V748=3,"High",V748=4,"Very High")</f>
        <v>Medium</v>
      </c>
      <c r="AL748" t="str" cm="1">
        <f t="array" ref="AL748">_xlfn.IFS(Z748=1,"Bad",Z748=2,"Good",Z748=3,"Better",Z748=4,"Best")</f>
        <v>Better</v>
      </c>
      <c r="AM748" t="str" cm="1">
        <f t="array" ref="AM748">_xlfn.IFS(W748=0,"No_stock",W748=1,"Low",W748=2,"Medium",W748=3,"High")</f>
        <v>Medium</v>
      </c>
      <c r="AN748" t="str">
        <f t="shared" si="11"/>
        <v>Medium</v>
      </c>
    </row>
    <row r="749" spans="1:40" x14ac:dyDescent="0.45">
      <c r="A749">
        <v>38</v>
      </c>
      <c r="B749" t="s">
        <v>37</v>
      </c>
      <c r="C749" t="s">
        <v>31</v>
      </c>
      <c r="D749">
        <v>1035</v>
      </c>
      <c r="E749" t="s">
        <v>32</v>
      </c>
      <c r="F749">
        <v>3</v>
      </c>
      <c r="G749">
        <v>4</v>
      </c>
      <c r="H749" t="s">
        <v>33</v>
      </c>
      <c r="I749">
        <v>1036</v>
      </c>
      <c r="J749">
        <v>2</v>
      </c>
      <c r="K749" t="s">
        <v>40</v>
      </c>
      <c r="L749">
        <v>3</v>
      </c>
      <c r="M749">
        <v>2</v>
      </c>
      <c r="N749" t="s">
        <v>35</v>
      </c>
      <c r="O749">
        <v>4</v>
      </c>
      <c r="P749" t="s">
        <v>36</v>
      </c>
      <c r="Q749">
        <v>6861</v>
      </c>
      <c r="R749">
        <v>8</v>
      </c>
      <c r="S749" t="s">
        <v>30</v>
      </c>
      <c r="T749">
        <v>12</v>
      </c>
      <c r="U749">
        <v>3</v>
      </c>
      <c r="V749">
        <v>3</v>
      </c>
      <c r="W749">
        <v>0</v>
      </c>
      <c r="X749">
        <v>19</v>
      </c>
      <c r="Y749">
        <v>1</v>
      </c>
      <c r="Z749">
        <v>3</v>
      </c>
      <c r="AA749">
        <v>1</v>
      </c>
      <c r="AB749">
        <v>0</v>
      </c>
      <c r="AC749">
        <v>0</v>
      </c>
      <c r="AD749">
        <v>0</v>
      </c>
      <c r="AE749" t="str" cm="1">
        <f t="array" ref="AE749">_xlfn.IFS(G749=1,"Before College",G749=2,"College",G749=3,"Bachelor",G749=4,"Master",G749=5,"Doctor")</f>
        <v>Master</v>
      </c>
      <c r="AF749" t="str" cm="1">
        <f t="array" ref="AF749">_xlfn.IFS(J749=1,"Low",J749=2,"Medium",J749=3,"High",J749=4,"Very High")</f>
        <v>Medium</v>
      </c>
      <c r="AG749" t="str" cm="1">
        <f t="array" ref="AG749">_xlfn.IFS(L749=1,"Low",L749=2,"Medium",L749=3,"High",L749=4,"Very High")</f>
        <v>High</v>
      </c>
      <c r="AH749" t="str" cm="1">
        <f t="array" ref="AH749">_xlfn.IFS(M749=1,"Junior employee",M749=2,"Mid-level",M749=3,"Senior",M749=4,"Manager",M749=5,"Executive")</f>
        <v>Mid-level</v>
      </c>
      <c r="AI749" t="str" cm="1">
        <f t="array" ref="AI749">_xlfn.IFS(O749=1,"Low",O749=2,"Medium",O749=3,"High",O749=4,"Very High")</f>
        <v>Very High</v>
      </c>
      <c r="AJ749" t="str" cm="1">
        <f t="array" ref="AJ749">_xlfn.IFS(U749=1,"Low",U749=2,"Good",U749=3,"Excellent",U749=4,"Outstanding")</f>
        <v>Excellent</v>
      </c>
      <c r="AK749" t="str" cm="1">
        <f t="array" ref="AK749">_xlfn.IFS(V749=1,"Low",V749=2,"Medium",V749=3,"High",V749=4,"Very High")</f>
        <v>High</v>
      </c>
      <c r="AL749" t="str" cm="1">
        <f t="array" ref="AL749">_xlfn.IFS(Z749=1,"Bad",Z749=2,"Good",Z749=3,"Better",Z749=4,"Best")</f>
        <v>Better</v>
      </c>
      <c r="AM749" t="str" cm="1">
        <f t="array" ref="AM749">_xlfn.IFS(W749=0,"No_stock",W749=1,"Low",W749=2,"Medium",W749=3,"High")</f>
        <v>No_stock</v>
      </c>
      <c r="AN749" t="str">
        <f t="shared" si="11"/>
        <v>Near</v>
      </c>
    </row>
    <row r="750" spans="1:40" x14ac:dyDescent="0.45">
      <c r="A750">
        <v>26</v>
      </c>
      <c r="B750" t="s">
        <v>30</v>
      </c>
      <c r="C750" t="s">
        <v>49</v>
      </c>
      <c r="D750">
        <v>265</v>
      </c>
      <c r="E750" t="s">
        <v>32</v>
      </c>
      <c r="F750">
        <v>29</v>
      </c>
      <c r="G750">
        <v>2</v>
      </c>
      <c r="H750" t="s">
        <v>45</v>
      </c>
      <c r="I750">
        <v>1037</v>
      </c>
      <c r="J750">
        <v>2</v>
      </c>
      <c r="K750" t="s">
        <v>40</v>
      </c>
      <c r="L750">
        <v>1</v>
      </c>
      <c r="M750">
        <v>2</v>
      </c>
      <c r="N750" t="s">
        <v>35</v>
      </c>
      <c r="O750">
        <v>1</v>
      </c>
      <c r="P750" t="s">
        <v>36</v>
      </c>
      <c r="Q750">
        <v>4969</v>
      </c>
      <c r="R750">
        <v>8</v>
      </c>
      <c r="S750" t="s">
        <v>37</v>
      </c>
      <c r="T750">
        <v>18</v>
      </c>
      <c r="U750">
        <v>3</v>
      </c>
      <c r="V750">
        <v>4</v>
      </c>
      <c r="W750">
        <v>0</v>
      </c>
      <c r="X750">
        <v>7</v>
      </c>
      <c r="Y750">
        <v>6</v>
      </c>
      <c r="Z750">
        <v>3</v>
      </c>
      <c r="AA750">
        <v>2</v>
      </c>
      <c r="AB750">
        <v>2</v>
      </c>
      <c r="AC750">
        <v>2</v>
      </c>
      <c r="AD750">
        <v>2</v>
      </c>
      <c r="AE750" t="str" cm="1">
        <f t="array" ref="AE750">_xlfn.IFS(G750=1,"Before College",G750=2,"College",G750=3,"Bachelor",G750=4,"Master",G750=5,"Doctor")</f>
        <v>College</v>
      </c>
      <c r="AF750" t="str" cm="1">
        <f t="array" ref="AF750">_xlfn.IFS(J750=1,"Low",J750=2,"Medium",J750=3,"High",J750=4,"Very High")</f>
        <v>Medium</v>
      </c>
      <c r="AG750" t="str" cm="1">
        <f t="array" ref="AG750">_xlfn.IFS(L750=1,"Low",L750=2,"Medium",L750=3,"High",L750=4,"Very High")</f>
        <v>Low</v>
      </c>
      <c r="AH750" t="str" cm="1">
        <f t="array" ref="AH750">_xlfn.IFS(M750=1,"Junior employee",M750=2,"Mid-level",M750=3,"Senior",M750=4,"Manager",M750=5,"Executive")</f>
        <v>Mid-level</v>
      </c>
      <c r="AI750" t="str" cm="1">
        <f t="array" ref="AI750">_xlfn.IFS(O750=1,"Low",O750=2,"Medium",O750=3,"High",O750=4,"Very High")</f>
        <v>Low</v>
      </c>
      <c r="AJ750" t="str" cm="1">
        <f t="array" ref="AJ750">_xlfn.IFS(U750=1,"Low",U750=2,"Good",U750=3,"Excellent",U750=4,"Outstanding")</f>
        <v>Excellent</v>
      </c>
      <c r="AK750" t="str" cm="1">
        <f t="array" ref="AK750">_xlfn.IFS(V750=1,"Low",V750=2,"Medium",V750=3,"High",V750=4,"Very High")</f>
        <v>Very High</v>
      </c>
      <c r="AL750" t="str" cm="1">
        <f t="array" ref="AL750">_xlfn.IFS(Z750=1,"Bad",Z750=2,"Good",Z750=3,"Better",Z750=4,"Best")</f>
        <v>Better</v>
      </c>
      <c r="AM750" t="str" cm="1">
        <f t="array" ref="AM750">_xlfn.IFS(W750=0,"No_stock",W750=1,"Low",W750=2,"Medium",W750=3,"High")</f>
        <v>No_stock</v>
      </c>
      <c r="AN750" t="str">
        <f t="shared" si="11"/>
        <v>Far</v>
      </c>
    </row>
    <row r="751" spans="1:40" x14ac:dyDescent="0.45">
      <c r="A751">
        <v>52</v>
      </c>
      <c r="B751" t="s">
        <v>30</v>
      </c>
      <c r="C751" t="s">
        <v>31</v>
      </c>
      <c r="D751">
        <v>266</v>
      </c>
      <c r="E751" t="s">
        <v>32</v>
      </c>
      <c r="F751">
        <v>2</v>
      </c>
      <c r="G751">
        <v>1</v>
      </c>
      <c r="H751" t="s">
        <v>53</v>
      </c>
      <c r="I751">
        <v>1038</v>
      </c>
      <c r="J751">
        <v>1</v>
      </c>
      <c r="K751" t="s">
        <v>34</v>
      </c>
      <c r="L751">
        <v>1</v>
      </c>
      <c r="M751">
        <v>5</v>
      </c>
      <c r="N751" t="s">
        <v>50</v>
      </c>
      <c r="O751">
        <v>4</v>
      </c>
      <c r="P751" t="s">
        <v>42</v>
      </c>
      <c r="Q751">
        <v>19845</v>
      </c>
      <c r="R751">
        <v>1</v>
      </c>
      <c r="S751" t="s">
        <v>37</v>
      </c>
      <c r="T751">
        <v>15</v>
      </c>
      <c r="U751">
        <v>3</v>
      </c>
      <c r="V751">
        <v>4</v>
      </c>
      <c r="W751">
        <v>1</v>
      </c>
      <c r="X751">
        <v>33</v>
      </c>
      <c r="Y751">
        <v>3</v>
      </c>
      <c r="Z751">
        <v>3</v>
      </c>
      <c r="AA751">
        <v>32</v>
      </c>
      <c r="AB751">
        <v>14</v>
      </c>
      <c r="AC751">
        <v>6</v>
      </c>
      <c r="AD751">
        <v>9</v>
      </c>
      <c r="AE751" t="str" cm="1">
        <f t="array" ref="AE751">_xlfn.IFS(G751=1,"Before College",G751=2,"College",G751=3,"Bachelor",G751=4,"Master",G751=5,"Doctor")</f>
        <v>Before College</v>
      </c>
      <c r="AF751" t="str" cm="1">
        <f t="array" ref="AF751">_xlfn.IFS(J751=1,"Low",J751=2,"Medium",J751=3,"High",J751=4,"Very High")</f>
        <v>Low</v>
      </c>
      <c r="AG751" t="str" cm="1">
        <f t="array" ref="AG751">_xlfn.IFS(L751=1,"Low",L751=2,"Medium",L751=3,"High",L751=4,"Very High")</f>
        <v>Low</v>
      </c>
      <c r="AH751" t="str" cm="1">
        <f t="array" ref="AH751">_xlfn.IFS(M751=1,"Junior employee",M751=2,"Mid-level",M751=3,"Senior",M751=4,"Manager",M751=5,"Executive")</f>
        <v>Executive</v>
      </c>
      <c r="AI751" t="str" cm="1">
        <f t="array" ref="AI751">_xlfn.IFS(O751=1,"Low",O751=2,"Medium",O751=3,"High",O751=4,"Very High")</f>
        <v>Very High</v>
      </c>
      <c r="AJ751" t="str" cm="1">
        <f t="array" ref="AJ751">_xlfn.IFS(U751=1,"Low",U751=2,"Good",U751=3,"Excellent",U751=4,"Outstanding")</f>
        <v>Excellent</v>
      </c>
      <c r="AK751" t="str" cm="1">
        <f t="array" ref="AK751">_xlfn.IFS(V751=1,"Low",V751=2,"Medium",V751=3,"High",V751=4,"Very High")</f>
        <v>Very High</v>
      </c>
      <c r="AL751" t="str" cm="1">
        <f t="array" ref="AL751">_xlfn.IFS(Z751=1,"Bad",Z751=2,"Good",Z751=3,"Better",Z751=4,"Best")</f>
        <v>Better</v>
      </c>
      <c r="AM751" t="str" cm="1">
        <f t="array" ref="AM751">_xlfn.IFS(W751=0,"No_stock",W751=1,"Low",W751=2,"Medium",W751=3,"High")</f>
        <v>Low</v>
      </c>
      <c r="AN751" t="str">
        <f t="shared" si="11"/>
        <v>Near</v>
      </c>
    </row>
    <row r="752" spans="1:40" x14ac:dyDescent="0.45">
      <c r="A752">
        <v>44</v>
      </c>
      <c r="B752" t="s">
        <v>37</v>
      </c>
      <c r="C752" t="s">
        <v>31</v>
      </c>
      <c r="D752">
        <v>1448</v>
      </c>
      <c r="E752" t="s">
        <v>32</v>
      </c>
      <c r="F752">
        <v>28</v>
      </c>
      <c r="G752">
        <v>3</v>
      </c>
      <c r="H752" t="s">
        <v>45</v>
      </c>
      <c r="I752">
        <v>1039</v>
      </c>
      <c r="J752">
        <v>4</v>
      </c>
      <c r="K752" t="s">
        <v>34</v>
      </c>
      <c r="L752">
        <v>4</v>
      </c>
      <c r="M752">
        <v>4</v>
      </c>
      <c r="N752" t="s">
        <v>35</v>
      </c>
      <c r="O752">
        <v>4</v>
      </c>
      <c r="P752" t="s">
        <v>42</v>
      </c>
      <c r="Q752">
        <v>13320</v>
      </c>
      <c r="R752">
        <v>3</v>
      </c>
      <c r="S752" t="s">
        <v>30</v>
      </c>
      <c r="T752">
        <v>18</v>
      </c>
      <c r="U752">
        <v>3</v>
      </c>
      <c r="V752">
        <v>3</v>
      </c>
      <c r="W752">
        <v>1</v>
      </c>
      <c r="X752">
        <v>23</v>
      </c>
      <c r="Y752">
        <v>2</v>
      </c>
      <c r="Z752">
        <v>3</v>
      </c>
      <c r="AA752">
        <v>12</v>
      </c>
      <c r="AB752">
        <v>11</v>
      </c>
      <c r="AC752">
        <v>11</v>
      </c>
      <c r="AD752">
        <v>11</v>
      </c>
      <c r="AE752" t="str" cm="1">
        <f t="array" ref="AE752">_xlfn.IFS(G752=1,"Before College",G752=2,"College",G752=3,"Bachelor",G752=4,"Master",G752=5,"Doctor")</f>
        <v>Bachelor</v>
      </c>
      <c r="AF752" t="str" cm="1">
        <f t="array" ref="AF752">_xlfn.IFS(J752=1,"Low",J752=2,"Medium",J752=3,"High",J752=4,"Very High")</f>
        <v>Very High</v>
      </c>
      <c r="AG752" t="str" cm="1">
        <f t="array" ref="AG752">_xlfn.IFS(L752=1,"Low",L752=2,"Medium",L752=3,"High",L752=4,"Very High")</f>
        <v>Very High</v>
      </c>
      <c r="AH752" t="str" cm="1">
        <f t="array" ref="AH752">_xlfn.IFS(M752=1,"Junior employee",M752=2,"Mid-level",M752=3,"Senior",M752=4,"Manager",M752=5,"Executive")</f>
        <v>Manager</v>
      </c>
      <c r="AI752" t="str" cm="1">
        <f t="array" ref="AI752">_xlfn.IFS(O752=1,"Low",O752=2,"Medium",O752=3,"High",O752=4,"Very High")</f>
        <v>Very High</v>
      </c>
      <c r="AJ752" t="str" cm="1">
        <f t="array" ref="AJ752">_xlfn.IFS(U752=1,"Low",U752=2,"Good",U752=3,"Excellent",U752=4,"Outstanding")</f>
        <v>Excellent</v>
      </c>
      <c r="AK752" t="str" cm="1">
        <f t="array" ref="AK752">_xlfn.IFS(V752=1,"Low",V752=2,"Medium",V752=3,"High",V752=4,"Very High")</f>
        <v>High</v>
      </c>
      <c r="AL752" t="str" cm="1">
        <f t="array" ref="AL752">_xlfn.IFS(Z752=1,"Bad",Z752=2,"Good",Z752=3,"Better",Z752=4,"Best")</f>
        <v>Better</v>
      </c>
      <c r="AM752" t="str" cm="1">
        <f t="array" ref="AM752">_xlfn.IFS(W752=0,"No_stock",W752=1,"Low",W752=2,"Medium",W752=3,"High")</f>
        <v>Low</v>
      </c>
      <c r="AN752" t="str">
        <f t="shared" si="11"/>
        <v>Far</v>
      </c>
    </row>
    <row r="753" spans="1:40" x14ac:dyDescent="0.45">
      <c r="A753">
        <v>50</v>
      </c>
      <c r="B753" t="s">
        <v>37</v>
      </c>
      <c r="C753" t="s">
        <v>49</v>
      </c>
      <c r="D753">
        <v>145</v>
      </c>
      <c r="E753" t="s">
        <v>32</v>
      </c>
      <c r="F753">
        <v>1</v>
      </c>
      <c r="G753">
        <v>3</v>
      </c>
      <c r="H753" t="s">
        <v>33</v>
      </c>
      <c r="I753">
        <v>1040</v>
      </c>
      <c r="J753">
        <v>4</v>
      </c>
      <c r="K753" t="s">
        <v>34</v>
      </c>
      <c r="L753">
        <v>3</v>
      </c>
      <c r="M753">
        <v>2</v>
      </c>
      <c r="N753" t="s">
        <v>35</v>
      </c>
      <c r="O753">
        <v>3</v>
      </c>
      <c r="P753" t="s">
        <v>42</v>
      </c>
      <c r="Q753">
        <v>6347</v>
      </c>
      <c r="R753">
        <v>0</v>
      </c>
      <c r="S753" t="s">
        <v>37</v>
      </c>
      <c r="T753">
        <v>12</v>
      </c>
      <c r="U753">
        <v>3</v>
      </c>
      <c r="V753">
        <v>1</v>
      </c>
      <c r="W753">
        <v>1</v>
      </c>
      <c r="X753">
        <v>19</v>
      </c>
      <c r="Y753">
        <v>3</v>
      </c>
      <c r="Z753">
        <v>3</v>
      </c>
      <c r="AA753">
        <v>18</v>
      </c>
      <c r="AB753">
        <v>7</v>
      </c>
      <c r="AC753">
        <v>0</v>
      </c>
      <c r="AD753">
        <v>13</v>
      </c>
      <c r="AE753" t="str" cm="1">
        <f t="array" ref="AE753">_xlfn.IFS(G753=1,"Before College",G753=2,"College",G753=3,"Bachelor",G753=4,"Master",G753=5,"Doctor")</f>
        <v>Bachelor</v>
      </c>
      <c r="AF753" t="str" cm="1">
        <f t="array" ref="AF753">_xlfn.IFS(J753=1,"Low",J753=2,"Medium",J753=3,"High",J753=4,"Very High")</f>
        <v>Very High</v>
      </c>
      <c r="AG753" t="str" cm="1">
        <f t="array" ref="AG753">_xlfn.IFS(L753=1,"Low",L753=2,"Medium",L753=3,"High",L753=4,"Very High")</f>
        <v>High</v>
      </c>
      <c r="AH753" t="str" cm="1">
        <f t="array" ref="AH753">_xlfn.IFS(M753=1,"Junior employee",M753=2,"Mid-level",M753=3,"Senior",M753=4,"Manager",M753=5,"Executive")</f>
        <v>Mid-level</v>
      </c>
      <c r="AI753" t="str" cm="1">
        <f t="array" ref="AI753">_xlfn.IFS(O753=1,"Low",O753=2,"Medium",O753=3,"High",O753=4,"Very High")</f>
        <v>High</v>
      </c>
      <c r="AJ753" t="str" cm="1">
        <f t="array" ref="AJ753">_xlfn.IFS(U753=1,"Low",U753=2,"Good",U753=3,"Excellent",U753=4,"Outstanding")</f>
        <v>Excellent</v>
      </c>
      <c r="AK753" t="str" cm="1">
        <f t="array" ref="AK753">_xlfn.IFS(V753=1,"Low",V753=2,"Medium",V753=3,"High",V753=4,"Very High")</f>
        <v>Low</v>
      </c>
      <c r="AL753" t="str" cm="1">
        <f t="array" ref="AL753">_xlfn.IFS(Z753=1,"Bad",Z753=2,"Good",Z753=3,"Better",Z753=4,"Best")</f>
        <v>Better</v>
      </c>
      <c r="AM753" t="str" cm="1">
        <f t="array" ref="AM753">_xlfn.IFS(W753=0,"No_stock",W753=1,"Low",W753=2,"Medium",W753=3,"High")</f>
        <v>Low</v>
      </c>
      <c r="AN753" t="str">
        <f t="shared" si="11"/>
        <v>Near</v>
      </c>
    </row>
    <row r="754" spans="1:40" x14ac:dyDescent="0.45">
      <c r="A754">
        <v>36</v>
      </c>
      <c r="B754" t="s">
        <v>30</v>
      </c>
      <c r="C754" t="s">
        <v>31</v>
      </c>
      <c r="D754">
        <v>885</v>
      </c>
      <c r="E754" t="s">
        <v>39</v>
      </c>
      <c r="F754">
        <v>16</v>
      </c>
      <c r="G754">
        <v>4</v>
      </c>
      <c r="H754" t="s">
        <v>33</v>
      </c>
      <c r="I754">
        <v>1042</v>
      </c>
      <c r="J754">
        <v>3</v>
      </c>
      <c r="K754" t="s">
        <v>34</v>
      </c>
      <c r="L754">
        <v>4</v>
      </c>
      <c r="M754">
        <v>1</v>
      </c>
      <c r="N754" t="s">
        <v>44</v>
      </c>
      <c r="O754">
        <v>1</v>
      </c>
      <c r="P754" t="s">
        <v>36</v>
      </c>
      <c r="Q754">
        <v>2743</v>
      </c>
      <c r="R754">
        <v>1</v>
      </c>
      <c r="S754" t="s">
        <v>37</v>
      </c>
      <c r="T754">
        <v>16</v>
      </c>
      <c r="U754">
        <v>3</v>
      </c>
      <c r="V754">
        <v>3</v>
      </c>
      <c r="W754">
        <v>0</v>
      </c>
      <c r="X754">
        <v>18</v>
      </c>
      <c r="Y754">
        <v>1</v>
      </c>
      <c r="Z754">
        <v>3</v>
      </c>
      <c r="AA754">
        <v>17</v>
      </c>
      <c r="AB754">
        <v>13</v>
      </c>
      <c r="AC754">
        <v>15</v>
      </c>
      <c r="AD754">
        <v>14</v>
      </c>
      <c r="AE754" t="str" cm="1">
        <f t="array" ref="AE754">_xlfn.IFS(G754=1,"Before College",G754=2,"College",G754=3,"Bachelor",G754=4,"Master",G754=5,"Doctor")</f>
        <v>Master</v>
      </c>
      <c r="AF754" t="str" cm="1">
        <f t="array" ref="AF754">_xlfn.IFS(J754=1,"Low",J754=2,"Medium",J754=3,"High",J754=4,"Very High")</f>
        <v>High</v>
      </c>
      <c r="AG754" t="str" cm="1">
        <f t="array" ref="AG754">_xlfn.IFS(L754=1,"Low",L754=2,"Medium",L754=3,"High",L754=4,"Very High")</f>
        <v>Very High</v>
      </c>
      <c r="AH754" t="str" cm="1">
        <f t="array" ref="AH754">_xlfn.IFS(M754=1,"Junior employee",M754=2,"Mid-level",M754=3,"Senior",M754=4,"Manager",M754=5,"Executive")</f>
        <v>Junior employee</v>
      </c>
      <c r="AI754" t="str" cm="1">
        <f t="array" ref="AI754">_xlfn.IFS(O754=1,"Low",O754=2,"Medium",O754=3,"High",O754=4,"Very High")</f>
        <v>Low</v>
      </c>
      <c r="AJ754" t="str" cm="1">
        <f t="array" ref="AJ754">_xlfn.IFS(U754=1,"Low",U754=2,"Good",U754=3,"Excellent",U754=4,"Outstanding")</f>
        <v>Excellent</v>
      </c>
      <c r="AK754" t="str" cm="1">
        <f t="array" ref="AK754">_xlfn.IFS(V754=1,"Low",V754=2,"Medium",V754=3,"High",V754=4,"Very High")</f>
        <v>High</v>
      </c>
      <c r="AL754" t="str" cm="1">
        <f t="array" ref="AL754">_xlfn.IFS(Z754=1,"Bad",Z754=2,"Good",Z754=3,"Better",Z754=4,"Best")</f>
        <v>Better</v>
      </c>
      <c r="AM754" t="str" cm="1">
        <f t="array" ref="AM754">_xlfn.IFS(W754=0,"No_stock",W754=1,"Low",W754=2,"Medium",W754=3,"High")</f>
        <v>No_stock</v>
      </c>
      <c r="AN754" t="str">
        <f t="shared" si="11"/>
        <v>Far</v>
      </c>
    </row>
    <row r="755" spans="1:40" x14ac:dyDescent="0.45">
      <c r="A755">
        <v>39</v>
      </c>
      <c r="B755" t="s">
        <v>37</v>
      </c>
      <c r="C755" t="s">
        <v>38</v>
      </c>
      <c r="D755">
        <v>945</v>
      </c>
      <c r="E755" t="s">
        <v>39</v>
      </c>
      <c r="F755">
        <v>22</v>
      </c>
      <c r="G755">
        <v>3</v>
      </c>
      <c r="H755" t="s">
        <v>45</v>
      </c>
      <c r="I755">
        <v>1043</v>
      </c>
      <c r="J755">
        <v>4</v>
      </c>
      <c r="K755" t="s">
        <v>34</v>
      </c>
      <c r="L755">
        <v>3</v>
      </c>
      <c r="M755">
        <v>3</v>
      </c>
      <c r="N755" t="s">
        <v>47</v>
      </c>
      <c r="O755">
        <v>1</v>
      </c>
      <c r="P755" t="s">
        <v>36</v>
      </c>
      <c r="Q755">
        <v>10880</v>
      </c>
      <c r="R755">
        <v>1</v>
      </c>
      <c r="S755" t="s">
        <v>30</v>
      </c>
      <c r="T755">
        <v>13</v>
      </c>
      <c r="U755">
        <v>3</v>
      </c>
      <c r="V755">
        <v>3</v>
      </c>
      <c r="W755">
        <v>0</v>
      </c>
      <c r="X755">
        <v>21</v>
      </c>
      <c r="Y755">
        <v>2</v>
      </c>
      <c r="Z755">
        <v>3</v>
      </c>
      <c r="AA755">
        <v>21</v>
      </c>
      <c r="AB755">
        <v>6</v>
      </c>
      <c r="AC755">
        <v>2</v>
      </c>
      <c r="AD755">
        <v>8</v>
      </c>
      <c r="AE755" t="str" cm="1">
        <f t="array" ref="AE755">_xlfn.IFS(G755=1,"Before College",G755=2,"College",G755=3,"Bachelor",G755=4,"Master",G755=5,"Doctor")</f>
        <v>Bachelor</v>
      </c>
      <c r="AF755" t="str" cm="1">
        <f t="array" ref="AF755">_xlfn.IFS(J755=1,"Low",J755=2,"Medium",J755=3,"High",J755=4,"Very High")</f>
        <v>Very High</v>
      </c>
      <c r="AG755" t="str" cm="1">
        <f t="array" ref="AG755">_xlfn.IFS(L755=1,"Low",L755=2,"Medium",L755=3,"High",L755=4,"Very High")</f>
        <v>High</v>
      </c>
      <c r="AH755" t="str" cm="1">
        <f t="array" ref="AH755">_xlfn.IFS(M755=1,"Junior employee",M755=2,"Mid-level",M755=3,"Senior",M755=4,"Manager",M755=5,"Executive")</f>
        <v>Senior</v>
      </c>
      <c r="AI755" t="str" cm="1">
        <f t="array" ref="AI755">_xlfn.IFS(O755=1,"Low",O755=2,"Medium",O755=3,"High",O755=4,"Very High")</f>
        <v>Low</v>
      </c>
      <c r="AJ755" t="str" cm="1">
        <f t="array" ref="AJ755">_xlfn.IFS(U755=1,"Low",U755=2,"Good",U755=3,"Excellent",U755=4,"Outstanding")</f>
        <v>Excellent</v>
      </c>
      <c r="AK755" t="str" cm="1">
        <f t="array" ref="AK755">_xlfn.IFS(V755=1,"Low",V755=2,"Medium",V755=3,"High",V755=4,"Very High")</f>
        <v>High</v>
      </c>
      <c r="AL755" t="str" cm="1">
        <f t="array" ref="AL755">_xlfn.IFS(Z755=1,"Bad",Z755=2,"Good",Z755=3,"Better",Z755=4,"Best")</f>
        <v>Better</v>
      </c>
      <c r="AM755" t="str" cm="1">
        <f t="array" ref="AM755">_xlfn.IFS(W755=0,"No_stock",W755=1,"Low",W755=2,"Medium",W755=3,"High")</f>
        <v>No_stock</v>
      </c>
      <c r="AN755" t="str">
        <f t="shared" si="11"/>
        <v>Far</v>
      </c>
    </row>
    <row r="756" spans="1:40" x14ac:dyDescent="0.45">
      <c r="A756">
        <v>33</v>
      </c>
      <c r="B756" t="s">
        <v>37</v>
      </c>
      <c r="C756" t="s">
        <v>49</v>
      </c>
      <c r="D756">
        <v>1038</v>
      </c>
      <c r="E756" t="s">
        <v>32</v>
      </c>
      <c r="F756">
        <v>8</v>
      </c>
      <c r="G756">
        <v>1</v>
      </c>
      <c r="H756" t="s">
        <v>33</v>
      </c>
      <c r="I756">
        <v>1044</v>
      </c>
      <c r="J756">
        <v>2</v>
      </c>
      <c r="K756" t="s">
        <v>34</v>
      </c>
      <c r="L756">
        <v>2</v>
      </c>
      <c r="M756">
        <v>1</v>
      </c>
      <c r="N756" t="s">
        <v>51</v>
      </c>
      <c r="O756">
        <v>4</v>
      </c>
      <c r="P756" t="s">
        <v>36</v>
      </c>
      <c r="Q756">
        <v>2342</v>
      </c>
      <c r="R756">
        <v>0</v>
      </c>
      <c r="S756" t="s">
        <v>37</v>
      </c>
      <c r="T756">
        <v>19</v>
      </c>
      <c r="U756">
        <v>3</v>
      </c>
      <c r="V756">
        <v>4</v>
      </c>
      <c r="W756">
        <v>0</v>
      </c>
      <c r="X756">
        <v>3</v>
      </c>
      <c r="Y756">
        <v>2</v>
      </c>
      <c r="Z756">
        <v>2</v>
      </c>
      <c r="AA756">
        <v>2</v>
      </c>
      <c r="AB756">
        <v>2</v>
      </c>
      <c r="AC756">
        <v>2</v>
      </c>
      <c r="AD756">
        <v>2</v>
      </c>
      <c r="AE756" t="str" cm="1">
        <f t="array" ref="AE756">_xlfn.IFS(G756=1,"Before College",G756=2,"College",G756=3,"Bachelor",G756=4,"Master",G756=5,"Doctor")</f>
        <v>Before College</v>
      </c>
      <c r="AF756" t="str" cm="1">
        <f t="array" ref="AF756">_xlfn.IFS(J756=1,"Low",J756=2,"Medium",J756=3,"High",J756=4,"Very High")</f>
        <v>Medium</v>
      </c>
      <c r="AG756" t="str" cm="1">
        <f t="array" ref="AG756">_xlfn.IFS(L756=1,"Low",L756=2,"Medium",L756=3,"High",L756=4,"Very High")</f>
        <v>Medium</v>
      </c>
      <c r="AH756" t="str" cm="1">
        <f t="array" ref="AH756">_xlfn.IFS(M756=1,"Junior employee",M756=2,"Mid-level",M756=3,"Senior",M756=4,"Manager",M756=5,"Executive")</f>
        <v>Junior employee</v>
      </c>
      <c r="AI756" t="str" cm="1">
        <f t="array" ref="AI756">_xlfn.IFS(O756=1,"Low",O756=2,"Medium",O756=3,"High",O756=4,"Very High")</f>
        <v>Very High</v>
      </c>
      <c r="AJ756" t="str" cm="1">
        <f t="array" ref="AJ756">_xlfn.IFS(U756=1,"Low",U756=2,"Good",U756=3,"Excellent",U756=4,"Outstanding")</f>
        <v>Excellent</v>
      </c>
      <c r="AK756" t="str" cm="1">
        <f t="array" ref="AK756">_xlfn.IFS(V756=1,"Low",V756=2,"Medium",V756=3,"High",V756=4,"Very High")</f>
        <v>Very High</v>
      </c>
      <c r="AL756" t="str" cm="1">
        <f t="array" ref="AL756">_xlfn.IFS(Z756=1,"Bad",Z756=2,"Good",Z756=3,"Better",Z756=4,"Best")</f>
        <v>Good</v>
      </c>
      <c r="AM756" t="str" cm="1">
        <f t="array" ref="AM756">_xlfn.IFS(W756=0,"No_stock",W756=1,"Low",W756=2,"Medium",W756=3,"High")</f>
        <v>No_stock</v>
      </c>
      <c r="AN756" t="str">
        <f t="shared" si="11"/>
        <v>Medium</v>
      </c>
    </row>
    <row r="757" spans="1:40" x14ac:dyDescent="0.45">
      <c r="A757">
        <v>45</v>
      </c>
      <c r="B757" t="s">
        <v>37</v>
      </c>
      <c r="C757" t="s">
        <v>31</v>
      </c>
      <c r="D757">
        <v>1234</v>
      </c>
      <c r="E757" t="s">
        <v>32</v>
      </c>
      <c r="F757">
        <v>11</v>
      </c>
      <c r="G757">
        <v>2</v>
      </c>
      <c r="H757" t="s">
        <v>33</v>
      </c>
      <c r="I757">
        <v>1045</v>
      </c>
      <c r="J757">
        <v>4</v>
      </c>
      <c r="K757" t="s">
        <v>34</v>
      </c>
      <c r="L757">
        <v>3</v>
      </c>
      <c r="M757">
        <v>4</v>
      </c>
      <c r="N757" t="s">
        <v>50</v>
      </c>
      <c r="O757">
        <v>4</v>
      </c>
      <c r="P757" t="s">
        <v>42</v>
      </c>
      <c r="Q757">
        <v>17650</v>
      </c>
      <c r="R757">
        <v>3</v>
      </c>
      <c r="S757" t="s">
        <v>37</v>
      </c>
      <c r="T757">
        <v>13</v>
      </c>
      <c r="U757">
        <v>3</v>
      </c>
      <c r="V757">
        <v>2</v>
      </c>
      <c r="W757">
        <v>1</v>
      </c>
      <c r="X757">
        <v>26</v>
      </c>
      <c r="Y757">
        <v>4</v>
      </c>
      <c r="Z757">
        <v>4</v>
      </c>
      <c r="AA757">
        <v>9</v>
      </c>
      <c r="AB757">
        <v>3</v>
      </c>
      <c r="AC757">
        <v>1</v>
      </c>
      <c r="AD757">
        <v>1</v>
      </c>
      <c r="AE757" t="str" cm="1">
        <f t="array" ref="AE757">_xlfn.IFS(G757=1,"Before College",G757=2,"College",G757=3,"Bachelor",G757=4,"Master",G757=5,"Doctor")</f>
        <v>College</v>
      </c>
      <c r="AF757" t="str" cm="1">
        <f t="array" ref="AF757">_xlfn.IFS(J757=1,"Low",J757=2,"Medium",J757=3,"High",J757=4,"Very High")</f>
        <v>Very High</v>
      </c>
      <c r="AG757" t="str" cm="1">
        <f t="array" ref="AG757">_xlfn.IFS(L757=1,"Low",L757=2,"Medium",L757=3,"High",L757=4,"Very High")</f>
        <v>High</v>
      </c>
      <c r="AH757" t="str" cm="1">
        <f t="array" ref="AH757">_xlfn.IFS(M757=1,"Junior employee",M757=2,"Mid-level",M757=3,"Senior",M757=4,"Manager",M757=5,"Executive")</f>
        <v>Manager</v>
      </c>
      <c r="AI757" t="str" cm="1">
        <f t="array" ref="AI757">_xlfn.IFS(O757=1,"Low",O757=2,"Medium",O757=3,"High",O757=4,"Very High")</f>
        <v>Very High</v>
      </c>
      <c r="AJ757" t="str" cm="1">
        <f t="array" ref="AJ757">_xlfn.IFS(U757=1,"Low",U757=2,"Good",U757=3,"Excellent",U757=4,"Outstanding")</f>
        <v>Excellent</v>
      </c>
      <c r="AK757" t="str" cm="1">
        <f t="array" ref="AK757">_xlfn.IFS(V757=1,"Low",V757=2,"Medium",V757=3,"High",V757=4,"Very High")</f>
        <v>Medium</v>
      </c>
      <c r="AL757" t="str" cm="1">
        <f t="array" ref="AL757">_xlfn.IFS(Z757=1,"Bad",Z757=2,"Good",Z757=3,"Better",Z757=4,"Best")</f>
        <v>Best</v>
      </c>
      <c r="AM757" t="str" cm="1">
        <f t="array" ref="AM757">_xlfn.IFS(W757=0,"No_stock",W757=1,"Low",W757=2,"Medium",W757=3,"High")</f>
        <v>Low</v>
      </c>
      <c r="AN757" t="str">
        <f t="shared" si="11"/>
        <v>Medium</v>
      </c>
    </row>
    <row r="758" spans="1:40" x14ac:dyDescent="0.45">
      <c r="A758">
        <v>32</v>
      </c>
      <c r="B758" t="s">
        <v>37</v>
      </c>
      <c r="C758" t="s">
        <v>49</v>
      </c>
      <c r="D758">
        <v>1109</v>
      </c>
      <c r="E758" t="s">
        <v>39</v>
      </c>
      <c r="F758">
        <v>29</v>
      </c>
      <c r="G758">
        <v>4</v>
      </c>
      <c r="H758" t="s">
        <v>45</v>
      </c>
      <c r="I758">
        <v>1046</v>
      </c>
      <c r="J758">
        <v>4</v>
      </c>
      <c r="K758" t="s">
        <v>34</v>
      </c>
      <c r="L758">
        <v>3</v>
      </c>
      <c r="M758">
        <v>1</v>
      </c>
      <c r="N758" t="s">
        <v>44</v>
      </c>
      <c r="O758">
        <v>3</v>
      </c>
      <c r="P758" t="s">
        <v>36</v>
      </c>
      <c r="Q758">
        <v>4025</v>
      </c>
      <c r="R758">
        <v>9</v>
      </c>
      <c r="S758" t="s">
        <v>37</v>
      </c>
      <c r="T758">
        <v>12</v>
      </c>
      <c r="U758">
        <v>3</v>
      </c>
      <c r="V758">
        <v>2</v>
      </c>
      <c r="W758">
        <v>0</v>
      </c>
      <c r="X758">
        <v>10</v>
      </c>
      <c r="Y758">
        <v>2</v>
      </c>
      <c r="Z758">
        <v>3</v>
      </c>
      <c r="AA758">
        <v>8</v>
      </c>
      <c r="AB758">
        <v>7</v>
      </c>
      <c r="AC758">
        <v>7</v>
      </c>
      <c r="AD758">
        <v>7</v>
      </c>
      <c r="AE758" t="str" cm="1">
        <f t="array" ref="AE758">_xlfn.IFS(G758=1,"Before College",G758=2,"College",G758=3,"Bachelor",G758=4,"Master",G758=5,"Doctor")</f>
        <v>Master</v>
      </c>
      <c r="AF758" t="str" cm="1">
        <f t="array" ref="AF758">_xlfn.IFS(J758=1,"Low",J758=2,"Medium",J758=3,"High",J758=4,"Very High")</f>
        <v>Very High</v>
      </c>
      <c r="AG758" t="str" cm="1">
        <f t="array" ref="AG758">_xlfn.IFS(L758=1,"Low",L758=2,"Medium",L758=3,"High",L758=4,"Very High")</f>
        <v>High</v>
      </c>
      <c r="AH758" t="str" cm="1">
        <f t="array" ref="AH758">_xlfn.IFS(M758=1,"Junior employee",M758=2,"Mid-level",M758=3,"Senior",M758=4,"Manager",M758=5,"Executive")</f>
        <v>Junior employee</v>
      </c>
      <c r="AI758" t="str" cm="1">
        <f t="array" ref="AI758">_xlfn.IFS(O758=1,"Low",O758=2,"Medium",O758=3,"High",O758=4,"Very High")</f>
        <v>High</v>
      </c>
      <c r="AJ758" t="str" cm="1">
        <f t="array" ref="AJ758">_xlfn.IFS(U758=1,"Low",U758=2,"Good",U758=3,"Excellent",U758=4,"Outstanding")</f>
        <v>Excellent</v>
      </c>
      <c r="AK758" t="str" cm="1">
        <f t="array" ref="AK758">_xlfn.IFS(V758=1,"Low",V758=2,"Medium",V758=3,"High",V758=4,"Very High")</f>
        <v>Medium</v>
      </c>
      <c r="AL758" t="str" cm="1">
        <f t="array" ref="AL758">_xlfn.IFS(Z758=1,"Bad",Z758=2,"Good",Z758=3,"Better",Z758=4,"Best")</f>
        <v>Better</v>
      </c>
      <c r="AM758" t="str" cm="1">
        <f t="array" ref="AM758">_xlfn.IFS(W758=0,"No_stock",W758=1,"Low",W758=2,"Medium",W758=3,"High")</f>
        <v>No_stock</v>
      </c>
      <c r="AN758" t="str">
        <f t="shared" si="11"/>
        <v>Far</v>
      </c>
    </row>
    <row r="759" spans="1:40" x14ac:dyDescent="0.45">
      <c r="A759">
        <v>34</v>
      </c>
      <c r="B759" t="s">
        <v>37</v>
      </c>
      <c r="C759" t="s">
        <v>31</v>
      </c>
      <c r="D759">
        <v>216</v>
      </c>
      <c r="E759" t="s">
        <v>32</v>
      </c>
      <c r="F759">
        <v>1</v>
      </c>
      <c r="G759">
        <v>4</v>
      </c>
      <c r="H759" t="s">
        <v>53</v>
      </c>
      <c r="I759">
        <v>1047</v>
      </c>
      <c r="J759">
        <v>2</v>
      </c>
      <c r="K759" t="s">
        <v>40</v>
      </c>
      <c r="L759">
        <v>4</v>
      </c>
      <c r="M759">
        <v>2</v>
      </c>
      <c r="N759" t="s">
        <v>35</v>
      </c>
      <c r="O759">
        <v>4</v>
      </c>
      <c r="P759" t="s">
        <v>46</v>
      </c>
      <c r="Q759">
        <v>9725</v>
      </c>
      <c r="R759">
        <v>0</v>
      </c>
      <c r="S759" t="s">
        <v>37</v>
      </c>
      <c r="T759">
        <v>11</v>
      </c>
      <c r="U759">
        <v>3</v>
      </c>
      <c r="V759">
        <v>4</v>
      </c>
      <c r="W759">
        <v>1</v>
      </c>
      <c r="X759">
        <v>16</v>
      </c>
      <c r="Y759">
        <v>2</v>
      </c>
      <c r="Z759">
        <v>2</v>
      </c>
      <c r="AA759">
        <v>15</v>
      </c>
      <c r="AB759">
        <v>1</v>
      </c>
      <c r="AC759">
        <v>0</v>
      </c>
      <c r="AD759">
        <v>9</v>
      </c>
      <c r="AE759" t="str" cm="1">
        <f t="array" ref="AE759">_xlfn.IFS(G759=1,"Before College",G759=2,"College",G759=3,"Bachelor",G759=4,"Master",G759=5,"Doctor")</f>
        <v>Master</v>
      </c>
      <c r="AF759" t="str" cm="1">
        <f t="array" ref="AF759">_xlfn.IFS(J759=1,"Low",J759=2,"Medium",J759=3,"High",J759=4,"Very High")</f>
        <v>Medium</v>
      </c>
      <c r="AG759" t="str" cm="1">
        <f t="array" ref="AG759">_xlfn.IFS(L759=1,"Low",L759=2,"Medium",L759=3,"High",L759=4,"Very High")</f>
        <v>Very High</v>
      </c>
      <c r="AH759" t="str" cm="1">
        <f t="array" ref="AH759">_xlfn.IFS(M759=1,"Junior employee",M759=2,"Mid-level",M759=3,"Senior",M759=4,"Manager",M759=5,"Executive")</f>
        <v>Mid-level</v>
      </c>
      <c r="AI759" t="str" cm="1">
        <f t="array" ref="AI759">_xlfn.IFS(O759=1,"Low",O759=2,"Medium",O759=3,"High",O759=4,"Very High")</f>
        <v>Very High</v>
      </c>
      <c r="AJ759" t="str" cm="1">
        <f t="array" ref="AJ759">_xlfn.IFS(U759=1,"Low",U759=2,"Good",U759=3,"Excellent",U759=4,"Outstanding")</f>
        <v>Excellent</v>
      </c>
      <c r="AK759" t="str" cm="1">
        <f t="array" ref="AK759">_xlfn.IFS(V759=1,"Low",V759=2,"Medium",V759=3,"High",V759=4,"Very High")</f>
        <v>Very High</v>
      </c>
      <c r="AL759" t="str" cm="1">
        <f t="array" ref="AL759">_xlfn.IFS(Z759=1,"Bad",Z759=2,"Good",Z759=3,"Better",Z759=4,"Best")</f>
        <v>Good</v>
      </c>
      <c r="AM759" t="str" cm="1">
        <f t="array" ref="AM759">_xlfn.IFS(W759=0,"No_stock",W759=1,"Low",W759=2,"Medium",W759=3,"High")</f>
        <v>Low</v>
      </c>
      <c r="AN759" t="str">
        <f t="shared" si="11"/>
        <v>Near</v>
      </c>
    </row>
    <row r="760" spans="1:40" x14ac:dyDescent="0.45">
      <c r="A760">
        <v>59</v>
      </c>
      <c r="B760" t="s">
        <v>37</v>
      </c>
      <c r="C760" t="s">
        <v>31</v>
      </c>
      <c r="D760">
        <v>1089</v>
      </c>
      <c r="E760" t="s">
        <v>32</v>
      </c>
      <c r="F760">
        <v>1</v>
      </c>
      <c r="G760">
        <v>2</v>
      </c>
      <c r="H760" t="s">
        <v>54</v>
      </c>
      <c r="I760">
        <v>1048</v>
      </c>
      <c r="J760">
        <v>2</v>
      </c>
      <c r="K760" t="s">
        <v>40</v>
      </c>
      <c r="L760">
        <v>3</v>
      </c>
      <c r="M760">
        <v>3</v>
      </c>
      <c r="N760" t="s">
        <v>50</v>
      </c>
      <c r="O760">
        <v>4</v>
      </c>
      <c r="P760" t="s">
        <v>42</v>
      </c>
      <c r="Q760">
        <v>11904</v>
      </c>
      <c r="R760">
        <v>3</v>
      </c>
      <c r="S760" t="s">
        <v>30</v>
      </c>
      <c r="T760">
        <v>14</v>
      </c>
      <c r="U760">
        <v>3</v>
      </c>
      <c r="V760">
        <v>3</v>
      </c>
      <c r="W760">
        <v>1</v>
      </c>
      <c r="X760">
        <v>14</v>
      </c>
      <c r="Y760">
        <v>1</v>
      </c>
      <c r="Z760">
        <v>1</v>
      </c>
      <c r="AA760">
        <v>6</v>
      </c>
      <c r="AB760">
        <v>4</v>
      </c>
      <c r="AC760">
        <v>0</v>
      </c>
      <c r="AD760">
        <v>4</v>
      </c>
      <c r="AE760" t="str" cm="1">
        <f t="array" ref="AE760">_xlfn.IFS(G760=1,"Before College",G760=2,"College",G760=3,"Bachelor",G760=4,"Master",G760=5,"Doctor")</f>
        <v>College</v>
      </c>
      <c r="AF760" t="str" cm="1">
        <f t="array" ref="AF760">_xlfn.IFS(J760=1,"Low",J760=2,"Medium",J760=3,"High",J760=4,"Very High")</f>
        <v>Medium</v>
      </c>
      <c r="AG760" t="str" cm="1">
        <f t="array" ref="AG760">_xlfn.IFS(L760=1,"Low",L760=2,"Medium",L760=3,"High",L760=4,"Very High")</f>
        <v>High</v>
      </c>
      <c r="AH760" t="str" cm="1">
        <f t="array" ref="AH760">_xlfn.IFS(M760=1,"Junior employee",M760=2,"Mid-level",M760=3,"Senior",M760=4,"Manager",M760=5,"Executive")</f>
        <v>Senior</v>
      </c>
      <c r="AI760" t="str" cm="1">
        <f t="array" ref="AI760">_xlfn.IFS(O760=1,"Low",O760=2,"Medium",O760=3,"High",O760=4,"Very High")</f>
        <v>Very High</v>
      </c>
      <c r="AJ760" t="str" cm="1">
        <f t="array" ref="AJ760">_xlfn.IFS(U760=1,"Low",U760=2,"Good",U760=3,"Excellent",U760=4,"Outstanding")</f>
        <v>Excellent</v>
      </c>
      <c r="AK760" t="str" cm="1">
        <f t="array" ref="AK760">_xlfn.IFS(V760=1,"Low",V760=2,"Medium",V760=3,"High",V760=4,"Very High")</f>
        <v>High</v>
      </c>
      <c r="AL760" t="str" cm="1">
        <f t="array" ref="AL760">_xlfn.IFS(Z760=1,"Bad",Z760=2,"Good",Z760=3,"Better",Z760=4,"Best")</f>
        <v>Bad</v>
      </c>
      <c r="AM760" t="str" cm="1">
        <f t="array" ref="AM760">_xlfn.IFS(W760=0,"No_stock",W760=1,"Low",W760=2,"Medium",W760=3,"High")</f>
        <v>Low</v>
      </c>
      <c r="AN760" t="str">
        <f t="shared" si="11"/>
        <v>Near</v>
      </c>
    </row>
    <row r="761" spans="1:40" x14ac:dyDescent="0.45">
      <c r="A761">
        <v>45</v>
      </c>
      <c r="B761" t="s">
        <v>37</v>
      </c>
      <c r="C761" t="s">
        <v>31</v>
      </c>
      <c r="D761">
        <v>788</v>
      </c>
      <c r="E761" t="s">
        <v>55</v>
      </c>
      <c r="F761">
        <v>24</v>
      </c>
      <c r="G761">
        <v>4</v>
      </c>
      <c r="H761" t="s">
        <v>45</v>
      </c>
      <c r="I761">
        <v>1049</v>
      </c>
      <c r="J761">
        <v>2</v>
      </c>
      <c r="K761" t="s">
        <v>40</v>
      </c>
      <c r="L761">
        <v>3</v>
      </c>
      <c r="M761">
        <v>1</v>
      </c>
      <c r="N761" t="s">
        <v>55</v>
      </c>
      <c r="O761">
        <v>2</v>
      </c>
      <c r="P761" t="s">
        <v>36</v>
      </c>
      <c r="Q761">
        <v>2177</v>
      </c>
      <c r="R761">
        <v>1</v>
      </c>
      <c r="S761" t="s">
        <v>37</v>
      </c>
      <c r="T761">
        <v>16</v>
      </c>
      <c r="U761">
        <v>3</v>
      </c>
      <c r="V761">
        <v>1</v>
      </c>
      <c r="W761">
        <v>0</v>
      </c>
      <c r="X761">
        <v>6</v>
      </c>
      <c r="Y761">
        <v>3</v>
      </c>
      <c r="Z761">
        <v>3</v>
      </c>
      <c r="AA761">
        <v>6</v>
      </c>
      <c r="AB761">
        <v>3</v>
      </c>
      <c r="AC761">
        <v>0</v>
      </c>
      <c r="AD761">
        <v>4</v>
      </c>
      <c r="AE761" t="str" cm="1">
        <f t="array" ref="AE761">_xlfn.IFS(G761=1,"Before College",G761=2,"College",G761=3,"Bachelor",G761=4,"Master",G761=5,"Doctor")</f>
        <v>Master</v>
      </c>
      <c r="AF761" t="str" cm="1">
        <f t="array" ref="AF761">_xlfn.IFS(J761=1,"Low",J761=2,"Medium",J761=3,"High",J761=4,"Very High")</f>
        <v>Medium</v>
      </c>
      <c r="AG761" t="str" cm="1">
        <f t="array" ref="AG761">_xlfn.IFS(L761=1,"Low",L761=2,"Medium",L761=3,"High",L761=4,"Very High")</f>
        <v>High</v>
      </c>
      <c r="AH761" t="str" cm="1">
        <f t="array" ref="AH761">_xlfn.IFS(M761=1,"Junior employee",M761=2,"Mid-level",M761=3,"Senior",M761=4,"Manager",M761=5,"Executive")</f>
        <v>Junior employee</v>
      </c>
      <c r="AI761" t="str" cm="1">
        <f t="array" ref="AI761">_xlfn.IFS(O761=1,"Low",O761=2,"Medium",O761=3,"High",O761=4,"Very High")</f>
        <v>Medium</v>
      </c>
      <c r="AJ761" t="str" cm="1">
        <f t="array" ref="AJ761">_xlfn.IFS(U761=1,"Low",U761=2,"Good",U761=3,"Excellent",U761=4,"Outstanding")</f>
        <v>Excellent</v>
      </c>
      <c r="AK761" t="str" cm="1">
        <f t="array" ref="AK761">_xlfn.IFS(V761=1,"Low",V761=2,"Medium",V761=3,"High",V761=4,"Very High")</f>
        <v>Low</v>
      </c>
      <c r="AL761" t="str" cm="1">
        <f t="array" ref="AL761">_xlfn.IFS(Z761=1,"Bad",Z761=2,"Good",Z761=3,"Better",Z761=4,"Best")</f>
        <v>Better</v>
      </c>
      <c r="AM761" t="str" cm="1">
        <f t="array" ref="AM761">_xlfn.IFS(W761=0,"No_stock",W761=1,"Low",W761=2,"Medium",W761=3,"High")</f>
        <v>No_stock</v>
      </c>
      <c r="AN761" t="str">
        <f t="shared" si="11"/>
        <v>Far</v>
      </c>
    </row>
    <row r="762" spans="1:40" x14ac:dyDescent="0.45">
      <c r="A762">
        <v>53</v>
      </c>
      <c r="B762" t="s">
        <v>37</v>
      </c>
      <c r="C762" t="s">
        <v>38</v>
      </c>
      <c r="D762">
        <v>124</v>
      </c>
      <c r="E762" t="s">
        <v>32</v>
      </c>
      <c r="F762">
        <v>2</v>
      </c>
      <c r="G762">
        <v>3</v>
      </c>
      <c r="H762" t="s">
        <v>53</v>
      </c>
      <c r="I762">
        <v>1050</v>
      </c>
      <c r="J762">
        <v>3</v>
      </c>
      <c r="K762" t="s">
        <v>34</v>
      </c>
      <c r="L762">
        <v>2</v>
      </c>
      <c r="M762">
        <v>3</v>
      </c>
      <c r="N762" t="s">
        <v>35</v>
      </c>
      <c r="O762">
        <v>2</v>
      </c>
      <c r="P762" t="s">
        <v>42</v>
      </c>
      <c r="Q762">
        <v>7525</v>
      </c>
      <c r="R762">
        <v>2</v>
      </c>
      <c r="S762" t="s">
        <v>37</v>
      </c>
      <c r="T762">
        <v>12</v>
      </c>
      <c r="U762">
        <v>3</v>
      </c>
      <c r="V762">
        <v>1</v>
      </c>
      <c r="W762">
        <v>1</v>
      </c>
      <c r="X762">
        <v>30</v>
      </c>
      <c r="Y762">
        <v>2</v>
      </c>
      <c r="Z762">
        <v>3</v>
      </c>
      <c r="AA762">
        <v>15</v>
      </c>
      <c r="AB762">
        <v>7</v>
      </c>
      <c r="AC762">
        <v>6</v>
      </c>
      <c r="AD762">
        <v>12</v>
      </c>
      <c r="AE762" t="str" cm="1">
        <f t="array" ref="AE762">_xlfn.IFS(G762=1,"Before College",G762=2,"College",G762=3,"Bachelor",G762=4,"Master",G762=5,"Doctor")</f>
        <v>Bachelor</v>
      </c>
      <c r="AF762" t="str" cm="1">
        <f t="array" ref="AF762">_xlfn.IFS(J762=1,"Low",J762=2,"Medium",J762=3,"High",J762=4,"Very High")</f>
        <v>High</v>
      </c>
      <c r="AG762" t="str" cm="1">
        <f t="array" ref="AG762">_xlfn.IFS(L762=1,"Low",L762=2,"Medium",L762=3,"High",L762=4,"Very High")</f>
        <v>Medium</v>
      </c>
      <c r="AH762" t="str" cm="1">
        <f t="array" ref="AH762">_xlfn.IFS(M762=1,"Junior employee",M762=2,"Mid-level",M762=3,"Senior",M762=4,"Manager",M762=5,"Executive")</f>
        <v>Senior</v>
      </c>
      <c r="AI762" t="str" cm="1">
        <f t="array" ref="AI762">_xlfn.IFS(O762=1,"Low",O762=2,"Medium",O762=3,"High",O762=4,"Very High")</f>
        <v>Medium</v>
      </c>
      <c r="AJ762" t="str" cm="1">
        <f t="array" ref="AJ762">_xlfn.IFS(U762=1,"Low",U762=2,"Good",U762=3,"Excellent",U762=4,"Outstanding")</f>
        <v>Excellent</v>
      </c>
      <c r="AK762" t="str" cm="1">
        <f t="array" ref="AK762">_xlfn.IFS(V762=1,"Low",V762=2,"Medium",V762=3,"High",V762=4,"Very High")</f>
        <v>Low</v>
      </c>
      <c r="AL762" t="str" cm="1">
        <f t="array" ref="AL762">_xlfn.IFS(Z762=1,"Bad",Z762=2,"Good",Z762=3,"Better",Z762=4,"Best")</f>
        <v>Better</v>
      </c>
      <c r="AM762" t="str" cm="1">
        <f t="array" ref="AM762">_xlfn.IFS(W762=0,"No_stock",W762=1,"Low",W762=2,"Medium",W762=3,"High")</f>
        <v>Low</v>
      </c>
      <c r="AN762" t="str">
        <f t="shared" si="11"/>
        <v>Near</v>
      </c>
    </row>
    <row r="763" spans="1:40" x14ac:dyDescent="0.45">
      <c r="A763">
        <v>36</v>
      </c>
      <c r="B763" t="s">
        <v>30</v>
      </c>
      <c r="C763" t="s">
        <v>31</v>
      </c>
      <c r="D763">
        <v>660</v>
      </c>
      <c r="E763" t="s">
        <v>39</v>
      </c>
      <c r="F763">
        <v>15</v>
      </c>
      <c r="G763">
        <v>3</v>
      </c>
      <c r="H763" t="s">
        <v>43</v>
      </c>
      <c r="I763">
        <v>1052</v>
      </c>
      <c r="J763">
        <v>1</v>
      </c>
      <c r="K763" t="s">
        <v>40</v>
      </c>
      <c r="L763">
        <v>3</v>
      </c>
      <c r="M763">
        <v>2</v>
      </c>
      <c r="N763" t="s">
        <v>44</v>
      </c>
      <c r="O763">
        <v>3</v>
      </c>
      <c r="P763" t="s">
        <v>46</v>
      </c>
      <c r="Q763">
        <v>4834</v>
      </c>
      <c r="R763">
        <v>7</v>
      </c>
      <c r="S763" t="s">
        <v>37</v>
      </c>
      <c r="T763">
        <v>14</v>
      </c>
      <c r="U763">
        <v>3</v>
      </c>
      <c r="V763">
        <v>2</v>
      </c>
      <c r="W763">
        <v>1</v>
      </c>
      <c r="X763">
        <v>9</v>
      </c>
      <c r="Y763">
        <v>3</v>
      </c>
      <c r="Z763">
        <v>2</v>
      </c>
      <c r="AA763">
        <v>1</v>
      </c>
      <c r="AB763">
        <v>0</v>
      </c>
      <c r="AC763">
        <v>0</v>
      </c>
      <c r="AD763">
        <v>0</v>
      </c>
      <c r="AE763" t="str" cm="1">
        <f t="array" ref="AE763">_xlfn.IFS(G763=1,"Before College",G763=2,"College",G763=3,"Bachelor",G763=4,"Master",G763=5,"Doctor")</f>
        <v>Bachelor</v>
      </c>
      <c r="AF763" t="str" cm="1">
        <f t="array" ref="AF763">_xlfn.IFS(J763=1,"Low",J763=2,"Medium",J763=3,"High",J763=4,"Very High")</f>
        <v>Low</v>
      </c>
      <c r="AG763" t="str" cm="1">
        <f t="array" ref="AG763">_xlfn.IFS(L763=1,"Low",L763=2,"Medium",L763=3,"High",L763=4,"Very High")</f>
        <v>High</v>
      </c>
      <c r="AH763" t="str" cm="1">
        <f t="array" ref="AH763">_xlfn.IFS(M763=1,"Junior employee",M763=2,"Mid-level",M763=3,"Senior",M763=4,"Manager",M763=5,"Executive")</f>
        <v>Mid-level</v>
      </c>
      <c r="AI763" t="str" cm="1">
        <f t="array" ref="AI763">_xlfn.IFS(O763=1,"Low",O763=2,"Medium",O763=3,"High",O763=4,"Very High")</f>
        <v>High</v>
      </c>
      <c r="AJ763" t="str" cm="1">
        <f t="array" ref="AJ763">_xlfn.IFS(U763=1,"Low",U763=2,"Good",U763=3,"Excellent",U763=4,"Outstanding")</f>
        <v>Excellent</v>
      </c>
      <c r="AK763" t="str" cm="1">
        <f t="array" ref="AK763">_xlfn.IFS(V763=1,"Low",V763=2,"Medium",V763=3,"High",V763=4,"Very High")</f>
        <v>Medium</v>
      </c>
      <c r="AL763" t="str" cm="1">
        <f t="array" ref="AL763">_xlfn.IFS(Z763=1,"Bad",Z763=2,"Good",Z763=3,"Better",Z763=4,"Best")</f>
        <v>Good</v>
      </c>
      <c r="AM763" t="str" cm="1">
        <f t="array" ref="AM763">_xlfn.IFS(W763=0,"No_stock",W763=1,"Low",W763=2,"Medium",W763=3,"High")</f>
        <v>Low</v>
      </c>
      <c r="AN763" t="str">
        <f t="shared" si="11"/>
        <v>Medium</v>
      </c>
    </row>
    <row r="764" spans="1:40" x14ac:dyDescent="0.45">
      <c r="A764">
        <v>26</v>
      </c>
      <c r="B764" t="s">
        <v>30</v>
      </c>
      <c r="C764" t="s">
        <v>38</v>
      </c>
      <c r="D764">
        <v>342</v>
      </c>
      <c r="E764" t="s">
        <v>39</v>
      </c>
      <c r="F764">
        <v>2</v>
      </c>
      <c r="G764">
        <v>3</v>
      </c>
      <c r="H764" t="s">
        <v>33</v>
      </c>
      <c r="I764">
        <v>1053</v>
      </c>
      <c r="J764">
        <v>1</v>
      </c>
      <c r="K764" t="s">
        <v>40</v>
      </c>
      <c r="L764">
        <v>3</v>
      </c>
      <c r="M764">
        <v>1</v>
      </c>
      <c r="N764" t="s">
        <v>41</v>
      </c>
      <c r="O764">
        <v>1</v>
      </c>
      <c r="P764" t="s">
        <v>42</v>
      </c>
      <c r="Q764">
        <v>2042</v>
      </c>
      <c r="R764">
        <v>6</v>
      </c>
      <c r="S764" t="s">
        <v>30</v>
      </c>
      <c r="T764">
        <v>14</v>
      </c>
      <c r="U764">
        <v>3</v>
      </c>
      <c r="V764">
        <v>2</v>
      </c>
      <c r="W764">
        <v>1</v>
      </c>
      <c r="X764">
        <v>6</v>
      </c>
      <c r="Y764">
        <v>2</v>
      </c>
      <c r="Z764">
        <v>3</v>
      </c>
      <c r="AA764">
        <v>3</v>
      </c>
      <c r="AB764">
        <v>2</v>
      </c>
      <c r="AC764">
        <v>1</v>
      </c>
      <c r="AD764">
        <v>2</v>
      </c>
      <c r="AE764" t="str" cm="1">
        <f t="array" ref="AE764">_xlfn.IFS(G764=1,"Before College",G764=2,"College",G764=3,"Bachelor",G764=4,"Master",G764=5,"Doctor")</f>
        <v>Bachelor</v>
      </c>
      <c r="AF764" t="str" cm="1">
        <f t="array" ref="AF764">_xlfn.IFS(J764=1,"Low",J764=2,"Medium",J764=3,"High",J764=4,"Very High")</f>
        <v>Low</v>
      </c>
      <c r="AG764" t="str" cm="1">
        <f t="array" ref="AG764">_xlfn.IFS(L764=1,"Low",L764=2,"Medium",L764=3,"High",L764=4,"Very High")</f>
        <v>High</v>
      </c>
      <c r="AH764" t="str" cm="1">
        <f t="array" ref="AH764">_xlfn.IFS(M764=1,"Junior employee",M764=2,"Mid-level",M764=3,"Senior",M764=4,"Manager",M764=5,"Executive")</f>
        <v>Junior employee</v>
      </c>
      <c r="AI764" t="str" cm="1">
        <f t="array" ref="AI764">_xlfn.IFS(O764=1,"Low",O764=2,"Medium",O764=3,"High",O764=4,"Very High")</f>
        <v>Low</v>
      </c>
      <c r="AJ764" t="str" cm="1">
        <f t="array" ref="AJ764">_xlfn.IFS(U764=1,"Low",U764=2,"Good",U764=3,"Excellent",U764=4,"Outstanding")</f>
        <v>Excellent</v>
      </c>
      <c r="AK764" t="str" cm="1">
        <f t="array" ref="AK764">_xlfn.IFS(V764=1,"Low",V764=2,"Medium",V764=3,"High",V764=4,"Very High")</f>
        <v>Medium</v>
      </c>
      <c r="AL764" t="str" cm="1">
        <f t="array" ref="AL764">_xlfn.IFS(Z764=1,"Bad",Z764=2,"Good",Z764=3,"Better",Z764=4,"Best")</f>
        <v>Better</v>
      </c>
      <c r="AM764" t="str" cm="1">
        <f t="array" ref="AM764">_xlfn.IFS(W764=0,"No_stock",W764=1,"Low",W764=2,"Medium",W764=3,"High")</f>
        <v>Low</v>
      </c>
      <c r="AN764" t="str">
        <f t="shared" si="11"/>
        <v>Near</v>
      </c>
    </row>
    <row r="765" spans="1:40" x14ac:dyDescent="0.45">
      <c r="A765">
        <v>34</v>
      </c>
      <c r="B765" t="s">
        <v>37</v>
      </c>
      <c r="C765" t="s">
        <v>31</v>
      </c>
      <c r="D765">
        <v>1333</v>
      </c>
      <c r="E765" t="s">
        <v>32</v>
      </c>
      <c r="F765">
        <v>10</v>
      </c>
      <c r="G765">
        <v>4</v>
      </c>
      <c r="H765" t="s">
        <v>33</v>
      </c>
      <c r="I765">
        <v>1055</v>
      </c>
      <c r="J765">
        <v>3</v>
      </c>
      <c r="K765" t="s">
        <v>34</v>
      </c>
      <c r="L765">
        <v>3</v>
      </c>
      <c r="M765">
        <v>1</v>
      </c>
      <c r="N765" t="s">
        <v>51</v>
      </c>
      <c r="O765">
        <v>3</v>
      </c>
      <c r="P765" t="s">
        <v>42</v>
      </c>
      <c r="Q765">
        <v>2220</v>
      </c>
      <c r="R765">
        <v>1</v>
      </c>
      <c r="S765" t="s">
        <v>30</v>
      </c>
      <c r="T765">
        <v>19</v>
      </c>
      <c r="U765">
        <v>3</v>
      </c>
      <c r="V765">
        <v>4</v>
      </c>
      <c r="W765">
        <v>1</v>
      </c>
      <c r="X765">
        <v>1</v>
      </c>
      <c r="Y765">
        <v>2</v>
      </c>
      <c r="Z765">
        <v>3</v>
      </c>
      <c r="AA765">
        <v>1</v>
      </c>
      <c r="AB765">
        <v>1</v>
      </c>
      <c r="AC765">
        <v>0</v>
      </c>
      <c r="AD765">
        <v>0</v>
      </c>
      <c r="AE765" t="str" cm="1">
        <f t="array" ref="AE765">_xlfn.IFS(G765=1,"Before College",G765=2,"College",G765=3,"Bachelor",G765=4,"Master",G765=5,"Doctor")</f>
        <v>Master</v>
      </c>
      <c r="AF765" t="str" cm="1">
        <f t="array" ref="AF765">_xlfn.IFS(J765=1,"Low",J765=2,"Medium",J765=3,"High",J765=4,"Very High")</f>
        <v>High</v>
      </c>
      <c r="AG765" t="str" cm="1">
        <f t="array" ref="AG765">_xlfn.IFS(L765=1,"Low",L765=2,"Medium",L765=3,"High",L765=4,"Very High")</f>
        <v>High</v>
      </c>
      <c r="AH765" t="str" cm="1">
        <f t="array" ref="AH765">_xlfn.IFS(M765=1,"Junior employee",M765=2,"Mid-level",M765=3,"Senior",M765=4,"Manager",M765=5,"Executive")</f>
        <v>Junior employee</v>
      </c>
      <c r="AI765" t="str" cm="1">
        <f t="array" ref="AI765">_xlfn.IFS(O765=1,"Low",O765=2,"Medium",O765=3,"High",O765=4,"Very High")</f>
        <v>High</v>
      </c>
      <c r="AJ765" t="str" cm="1">
        <f t="array" ref="AJ765">_xlfn.IFS(U765=1,"Low",U765=2,"Good",U765=3,"Excellent",U765=4,"Outstanding")</f>
        <v>Excellent</v>
      </c>
      <c r="AK765" t="str" cm="1">
        <f t="array" ref="AK765">_xlfn.IFS(V765=1,"Low",V765=2,"Medium",V765=3,"High",V765=4,"Very High")</f>
        <v>Very High</v>
      </c>
      <c r="AL765" t="str" cm="1">
        <f t="array" ref="AL765">_xlfn.IFS(Z765=1,"Bad",Z765=2,"Good",Z765=3,"Better",Z765=4,"Best")</f>
        <v>Better</v>
      </c>
      <c r="AM765" t="str" cm="1">
        <f t="array" ref="AM765">_xlfn.IFS(W765=0,"No_stock",W765=1,"Low",W765=2,"Medium",W765=3,"High")</f>
        <v>Low</v>
      </c>
      <c r="AN765" t="str">
        <f t="shared" si="11"/>
        <v>Medium</v>
      </c>
    </row>
    <row r="766" spans="1:40" x14ac:dyDescent="0.45">
      <c r="A766">
        <v>28</v>
      </c>
      <c r="B766" t="s">
        <v>37</v>
      </c>
      <c r="C766" t="s">
        <v>31</v>
      </c>
      <c r="D766">
        <v>1144</v>
      </c>
      <c r="E766" t="s">
        <v>32</v>
      </c>
      <c r="F766">
        <v>10</v>
      </c>
      <c r="G766">
        <v>1</v>
      </c>
      <c r="H766" t="s">
        <v>45</v>
      </c>
      <c r="I766">
        <v>1056</v>
      </c>
      <c r="J766">
        <v>4</v>
      </c>
      <c r="K766" t="s">
        <v>40</v>
      </c>
      <c r="L766">
        <v>3</v>
      </c>
      <c r="M766">
        <v>1</v>
      </c>
      <c r="N766" t="s">
        <v>51</v>
      </c>
      <c r="O766">
        <v>2</v>
      </c>
      <c r="P766" t="s">
        <v>42</v>
      </c>
      <c r="Q766">
        <v>1052</v>
      </c>
      <c r="R766">
        <v>1</v>
      </c>
      <c r="S766" t="s">
        <v>37</v>
      </c>
      <c r="T766">
        <v>22</v>
      </c>
      <c r="U766">
        <v>4</v>
      </c>
      <c r="V766">
        <v>2</v>
      </c>
      <c r="W766">
        <v>0</v>
      </c>
      <c r="X766">
        <v>1</v>
      </c>
      <c r="Y766">
        <v>5</v>
      </c>
      <c r="Z766">
        <v>3</v>
      </c>
      <c r="AA766">
        <v>1</v>
      </c>
      <c r="AB766">
        <v>0</v>
      </c>
      <c r="AC766">
        <v>0</v>
      </c>
      <c r="AD766">
        <v>0</v>
      </c>
      <c r="AE766" t="str" cm="1">
        <f t="array" ref="AE766">_xlfn.IFS(G766=1,"Before College",G766=2,"College",G766=3,"Bachelor",G766=4,"Master",G766=5,"Doctor")</f>
        <v>Before College</v>
      </c>
      <c r="AF766" t="str" cm="1">
        <f t="array" ref="AF766">_xlfn.IFS(J766=1,"Low",J766=2,"Medium",J766=3,"High",J766=4,"Very High")</f>
        <v>Very High</v>
      </c>
      <c r="AG766" t="str" cm="1">
        <f t="array" ref="AG766">_xlfn.IFS(L766=1,"Low",L766=2,"Medium",L766=3,"High",L766=4,"Very High")</f>
        <v>High</v>
      </c>
      <c r="AH766" t="str" cm="1">
        <f t="array" ref="AH766">_xlfn.IFS(M766=1,"Junior employee",M766=2,"Mid-level",M766=3,"Senior",M766=4,"Manager",M766=5,"Executive")</f>
        <v>Junior employee</v>
      </c>
      <c r="AI766" t="str" cm="1">
        <f t="array" ref="AI766">_xlfn.IFS(O766=1,"Low",O766=2,"Medium",O766=3,"High",O766=4,"Very High")</f>
        <v>Medium</v>
      </c>
      <c r="AJ766" t="str" cm="1">
        <f t="array" ref="AJ766">_xlfn.IFS(U766=1,"Low",U766=2,"Good",U766=3,"Excellent",U766=4,"Outstanding")</f>
        <v>Outstanding</v>
      </c>
      <c r="AK766" t="str" cm="1">
        <f t="array" ref="AK766">_xlfn.IFS(V766=1,"Low",V766=2,"Medium",V766=3,"High",V766=4,"Very High")</f>
        <v>Medium</v>
      </c>
      <c r="AL766" t="str" cm="1">
        <f t="array" ref="AL766">_xlfn.IFS(Z766=1,"Bad",Z766=2,"Good",Z766=3,"Better",Z766=4,"Best")</f>
        <v>Better</v>
      </c>
      <c r="AM766" t="str" cm="1">
        <f t="array" ref="AM766">_xlfn.IFS(W766=0,"No_stock",W766=1,"Low",W766=2,"Medium",W766=3,"High")</f>
        <v>No_stock</v>
      </c>
      <c r="AN766" t="str">
        <f t="shared" si="11"/>
        <v>Medium</v>
      </c>
    </row>
    <row r="767" spans="1:40" x14ac:dyDescent="0.45">
      <c r="A767">
        <v>38</v>
      </c>
      <c r="B767" t="s">
        <v>37</v>
      </c>
      <c r="C767" t="s">
        <v>38</v>
      </c>
      <c r="D767">
        <v>1186</v>
      </c>
      <c r="E767" t="s">
        <v>39</v>
      </c>
      <c r="F767">
        <v>3</v>
      </c>
      <c r="G767">
        <v>4</v>
      </c>
      <c r="H767" t="s">
        <v>43</v>
      </c>
      <c r="I767">
        <v>1060</v>
      </c>
      <c r="J767">
        <v>3</v>
      </c>
      <c r="K767" t="s">
        <v>40</v>
      </c>
      <c r="L767">
        <v>3</v>
      </c>
      <c r="M767">
        <v>1</v>
      </c>
      <c r="N767" t="s">
        <v>41</v>
      </c>
      <c r="O767">
        <v>3</v>
      </c>
      <c r="P767" t="s">
        <v>42</v>
      </c>
      <c r="Q767">
        <v>2821</v>
      </c>
      <c r="R767">
        <v>3</v>
      </c>
      <c r="S767" t="s">
        <v>37</v>
      </c>
      <c r="T767">
        <v>16</v>
      </c>
      <c r="U767">
        <v>3</v>
      </c>
      <c r="V767">
        <v>1</v>
      </c>
      <c r="W767">
        <v>1</v>
      </c>
      <c r="X767">
        <v>8</v>
      </c>
      <c r="Y767">
        <v>2</v>
      </c>
      <c r="Z767">
        <v>3</v>
      </c>
      <c r="AA767">
        <v>2</v>
      </c>
      <c r="AB767">
        <v>2</v>
      </c>
      <c r="AC767">
        <v>2</v>
      </c>
      <c r="AD767">
        <v>2</v>
      </c>
      <c r="AE767" t="str" cm="1">
        <f t="array" ref="AE767">_xlfn.IFS(G767=1,"Before College",G767=2,"College",G767=3,"Bachelor",G767=4,"Master",G767=5,"Doctor")</f>
        <v>Master</v>
      </c>
      <c r="AF767" t="str" cm="1">
        <f t="array" ref="AF767">_xlfn.IFS(J767=1,"Low",J767=2,"Medium",J767=3,"High",J767=4,"Very High")</f>
        <v>High</v>
      </c>
      <c r="AG767" t="str" cm="1">
        <f t="array" ref="AG767">_xlfn.IFS(L767=1,"Low",L767=2,"Medium",L767=3,"High",L767=4,"Very High")</f>
        <v>High</v>
      </c>
      <c r="AH767" t="str" cm="1">
        <f t="array" ref="AH767">_xlfn.IFS(M767=1,"Junior employee",M767=2,"Mid-level",M767=3,"Senior",M767=4,"Manager",M767=5,"Executive")</f>
        <v>Junior employee</v>
      </c>
      <c r="AI767" t="str" cm="1">
        <f t="array" ref="AI767">_xlfn.IFS(O767=1,"Low",O767=2,"Medium",O767=3,"High",O767=4,"Very High")</f>
        <v>High</v>
      </c>
      <c r="AJ767" t="str" cm="1">
        <f t="array" ref="AJ767">_xlfn.IFS(U767=1,"Low",U767=2,"Good",U767=3,"Excellent",U767=4,"Outstanding")</f>
        <v>Excellent</v>
      </c>
      <c r="AK767" t="str" cm="1">
        <f t="array" ref="AK767">_xlfn.IFS(V767=1,"Low",V767=2,"Medium",V767=3,"High",V767=4,"Very High")</f>
        <v>Low</v>
      </c>
      <c r="AL767" t="str" cm="1">
        <f t="array" ref="AL767">_xlfn.IFS(Z767=1,"Bad",Z767=2,"Good",Z767=3,"Better",Z767=4,"Best")</f>
        <v>Better</v>
      </c>
      <c r="AM767" t="str" cm="1">
        <f t="array" ref="AM767">_xlfn.IFS(W767=0,"No_stock",W767=1,"Low",W767=2,"Medium",W767=3,"High")</f>
        <v>Low</v>
      </c>
      <c r="AN767" t="str">
        <f t="shared" si="11"/>
        <v>Near</v>
      </c>
    </row>
    <row r="768" spans="1:40" x14ac:dyDescent="0.45">
      <c r="A768">
        <v>50</v>
      </c>
      <c r="B768" t="s">
        <v>37</v>
      </c>
      <c r="C768" t="s">
        <v>31</v>
      </c>
      <c r="D768">
        <v>1464</v>
      </c>
      <c r="E768" t="s">
        <v>39</v>
      </c>
      <c r="F768">
        <v>2</v>
      </c>
      <c r="G768">
        <v>4</v>
      </c>
      <c r="H768" t="s">
        <v>45</v>
      </c>
      <c r="I768">
        <v>1061</v>
      </c>
      <c r="J768">
        <v>2</v>
      </c>
      <c r="K768" t="s">
        <v>40</v>
      </c>
      <c r="L768">
        <v>3</v>
      </c>
      <c r="M768">
        <v>5</v>
      </c>
      <c r="N768" t="s">
        <v>52</v>
      </c>
      <c r="O768">
        <v>3</v>
      </c>
      <c r="P768" t="s">
        <v>42</v>
      </c>
      <c r="Q768">
        <v>19237</v>
      </c>
      <c r="R768">
        <v>2</v>
      </c>
      <c r="S768" t="s">
        <v>30</v>
      </c>
      <c r="T768">
        <v>11</v>
      </c>
      <c r="U768">
        <v>3</v>
      </c>
      <c r="V768">
        <v>4</v>
      </c>
      <c r="W768">
        <v>1</v>
      </c>
      <c r="X768">
        <v>29</v>
      </c>
      <c r="Y768">
        <v>2</v>
      </c>
      <c r="Z768">
        <v>2</v>
      </c>
      <c r="AA768">
        <v>8</v>
      </c>
      <c r="AB768">
        <v>1</v>
      </c>
      <c r="AC768">
        <v>7</v>
      </c>
      <c r="AD768">
        <v>7</v>
      </c>
      <c r="AE768" t="str" cm="1">
        <f t="array" ref="AE768">_xlfn.IFS(G768=1,"Before College",G768=2,"College",G768=3,"Bachelor",G768=4,"Master",G768=5,"Doctor")</f>
        <v>Master</v>
      </c>
      <c r="AF768" t="str" cm="1">
        <f t="array" ref="AF768">_xlfn.IFS(J768=1,"Low",J768=2,"Medium",J768=3,"High",J768=4,"Very High")</f>
        <v>Medium</v>
      </c>
      <c r="AG768" t="str" cm="1">
        <f t="array" ref="AG768">_xlfn.IFS(L768=1,"Low",L768=2,"Medium",L768=3,"High",L768=4,"Very High")</f>
        <v>High</v>
      </c>
      <c r="AH768" t="str" cm="1">
        <f t="array" ref="AH768">_xlfn.IFS(M768=1,"Junior employee",M768=2,"Mid-level",M768=3,"Senior",M768=4,"Manager",M768=5,"Executive")</f>
        <v>Executive</v>
      </c>
      <c r="AI768" t="str" cm="1">
        <f t="array" ref="AI768">_xlfn.IFS(O768=1,"Low",O768=2,"Medium",O768=3,"High",O768=4,"Very High")</f>
        <v>High</v>
      </c>
      <c r="AJ768" t="str" cm="1">
        <f t="array" ref="AJ768">_xlfn.IFS(U768=1,"Low",U768=2,"Good",U768=3,"Excellent",U768=4,"Outstanding")</f>
        <v>Excellent</v>
      </c>
      <c r="AK768" t="str" cm="1">
        <f t="array" ref="AK768">_xlfn.IFS(V768=1,"Low",V768=2,"Medium",V768=3,"High",V768=4,"Very High")</f>
        <v>Very High</v>
      </c>
      <c r="AL768" t="str" cm="1">
        <f t="array" ref="AL768">_xlfn.IFS(Z768=1,"Bad",Z768=2,"Good",Z768=3,"Better",Z768=4,"Best")</f>
        <v>Good</v>
      </c>
      <c r="AM768" t="str" cm="1">
        <f t="array" ref="AM768">_xlfn.IFS(W768=0,"No_stock",W768=1,"Low",W768=2,"Medium",W768=3,"High")</f>
        <v>Low</v>
      </c>
      <c r="AN768" t="str">
        <f t="shared" si="11"/>
        <v>Near</v>
      </c>
    </row>
    <row r="769" spans="1:40" x14ac:dyDescent="0.45">
      <c r="A769">
        <v>37</v>
      </c>
      <c r="B769" t="s">
        <v>37</v>
      </c>
      <c r="C769" t="s">
        <v>31</v>
      </c>
      <c r="D769">
        <v>124</v>
      </c>
      <c r="E769" t="s">
        <v>39</v>
      </c>
      <c r="F769">
        <v>3</v>
      </c>
      <c r="G769">
        <v>3</v>
      </c>
      <c r="H769" t="s">
        <v>43</v>
      </c>
      <c r="I769">
        <v>1062</v>
      </c>
      <c r="J769">
        <v>4</v>
      </c>
      <c r="K769" t="s">
        <v>34</v>
      </c>
      <c r="L769">
        <v>3</v>
      </c>
      <c r="M769">
        <v>2</v>
      </c>
      <c r="N769" t="s">
        <v>48</v>
      </c>
      <c r="O769">
        <v>2</v>
      </c>
      <c r="P769" t="s">
        <v>36</v>
      </c>
      <c r="Q769">
        <v>4107</v>
      </c>
      <c r="R769">
        <v>3</v>
      </c>
      <c r="S769" t="s">
        <v>37</v>
      </c>
      <c r="T769">
        <v>15</v>
      </c>
      <c r="U769">
        <v>3</v>
      </c>
      <c r="V769">
        <v>1</v>
      </c>
      <c r="W769">
        <v>0</v>
      </c>
      <c r="X769">
        <v>8</v>
      </c>
      <c r="Y769">
        <v>3</v>
      </c>
      <c r="Z769">
        <v>2</v>
      </c>
      <c r="AA769">
        <v>4</v>
      </c>
      <c r="AB769">
        <v>3</v>
      </c>
      <c r="AC769">
        <v>0</v>
      </c>
      <c r="AD769">
        <v>1</v>
      </c>
      <c r="AE769" t="str" cm="1">
        <f t="array" ref="AE769">_xlfn.IFS(G769=1,"Before College",G769=2,"College",G769=3,"Bachelor",G769=4,"Master",G769=5,"Doctor")</f>
        <v>Bachelor</v>
      </c>
      <c r="AF769" t="str" cm="1">
        <f t="array" ref="AF769">_xlfn.IFS(J769=1,"Low",J769=2,"Medium",J769=3,"High",J769=4,"Very High")</f>
        <v>Very High</v>
      </c>
      <c r="AG769" t="str" cm="1">
        <f t="array" ref="AG769">_xlfn.IFS(L769=1,"Low",L769=2,"Medium",L769=3,"High",L769=4,"Very High")</f>
        <v>High</v>
      </c>
      <c r="AH769" t="str" cm="1">
        <f t="array" ref="AH769">_xlfn.IFS(M769=1,"Junior employee",M769=2,"Mid-level",M769=3,"Senior",M769=4,"Manager",M769=5,"Executive")</f>
        <v>Mid-level</v>
      </c>
      <c r="AI769" t="str" cm="1">
        <f t="array" ref="AI769">_xlfn.IFS(O769=1,"Low",O769=2,"Medium",O769=3,"High",O769=4,"Very High")</f>
        <v>Medium</v>
      </c>
      <c r="AJ769" t="str" cm="1">
        <f t="array" ref="AJ769">_xlfn.IFS(U769=1,"Low",U769=2,"Good",U769=3,"Excellent",U769=4,"Outstanding")</f>
        <v>Excellent</v>
      </c>
      <c r="AK769" t="str" cm="1">
        <f t="array" ref="AK769">_xlfn.IFS(V769=1,"Low",V769=2,"Medium",V769=3,"High",V769=4,"Very High")</f>
        <v>Low</v>
      </c>
      <c r="AL769" t="str" cm="1">
        <f t="array" ref="AL769">_xlfn.IFS(Z769=1,"Bad",Z769=2,"Good",Z769=3,"Better",Z769=4,"Best")</f>
        <v>Good</v>
      </c>
      <c r="AM769" t="str" cm="1">
        <f t="array" ref="AM769">_xlfn.IFS(W769=0,"No_stock",W769=1,"Low",W769=2,"Medium",W769=3,"High")</f>
        <v>No_stock</v>
      </c>
      <c r="AN769" t="str">
        <f t="shared" si="11"/>
        <v>Near</v>
      </c>
    </row>
    <row r="770" spans="1:40" x14ac:dyDescent="0.45">
      <c r="A770">
        <v>40</v>
      </c>
      <c r="B770" t="s">
        <v>37</v>
      </c>
      <c r="C770" t="s">
        <v>31</v>
      </c>
      <c r="D770">
        <v>300</v>
      </c>
      <c r="E770" t="s">
        <v>32</v>
      </c>
      <c r="F770">
        <v>26</v>
      </c>
      <c r="G770">
        <v>3</v>
      </c>
      <c r="H770" t="s">
        <v>53</v>
      </c>
      <c r="I770">
        <v>1066</v>
      </c>
      <c r="J770">
        <v>3</v>
      </c>
      <c r="K770" t="s">
        <v>40</v>
      </c>
      <c r="L770">
        <v>3</v>
      </c>
      <c r="M770">
        <v>2</v>
      </c>
      <c r="N770" t="s">
        <v>35</v>
      </c>
      <c r="O770">
        <v>1</v>
      </c>
      <c r="P770" t="s">
        <v>42</v>
      </c>
      <c r="Q770">
        <v>8396</v>
      </c>
      <c r="R770">
        <v>1</v>
      </c>
      <c r="S770" t="s">
        <v>37</v>
      </c>
      <c r="T770">
        <v>14</v>
      </c>
      <c r="U770">
        <v>3</v>
      </c>
      <c r="V770">
        <v>2</v>
      </c>
      <c r="W770">
        <v>1</v>
      </c>
      <c r="X770">
        <v>8</v>
      </c>
      <c r="Y770">
        <v>3</v>
      </c>
      <c r="Z770">
        <v>2</v>
      </c>
      <c r="AA770">
        <v>7</v>
      </c>
      <c r="AB770">
        <v>7</v>
      </c>
      <c r="AC770">
        <v>7</v>
      </c>
      <c r="AD770">
        <v>5</v>
      </c>
      <c r="AE770" t="str" cm="1">
        <f t="array" ref="AE770">_xlfn.IFS(G770=1,"Before College",G770=2,"College",G770=3,"Bachelor",G770=4,"Master",G770=5,"Doctor")</f>
        <v>Bachelor</v>
      </c>
      <c r="AF770" t="str" cm="1">
        <f t="array" ref="AF770">_xlfn.IFS(J770=1,"Low",J770=2,"Medium",J770=3,"High",J770=4,"Very High")</f>
        <v>High</v>
      </c>
      <c r="AG770" t="str" cm="1">
        <f t="array" ref="AG770">_xlfn.IFS(L770=1,"Low",L770=2,"Medium",L770=3,"High",L770=4,"Very High")</f>
        <v>High</v>
      </c>
      <c r="AH770" t="str" cm="1">
        <f t="array" ref="AH770">_xlfn.IFS(M770=1,"Junior employee",M770=2,"Mid-level",M770=3,"Senior",M770=4,"Manager",M770=5,"Executive")</f>
        <v>Mid-level</v>
      </c>
      <c r="AI770" t="str" cm="1">
        <f t="array" ref="AI770">_xlfn.IFS(O770=1,"Low",O770=2,"Medium",O770=3,"High",O770=4,"Very High")</f>
        <v>Low</v>
      </c>
      <c r="AJ770" t="str" cm="1">
        <f t="array" ref="AJ770">_xlfn.IFS(U770=1,"Low",U770=2,"Good",U770=3,"Excellent",U770=4,"Outstanding")</f>
        <v>Excellent</v>
      </c>
      <c r="AK770" t="str" cm="1">
        <f t="array" ref="AK770">_xlfn.IFS(V770=1,"Low",V770=2,"Medium",V770=3,"High",V770=4,"Very High")</f>
        <v>Medium</v>
      </c>
      <c r="AL770" t="str" cm="1">
        <f t="array" ref="AL770">_xlfn.IFS(Z770=1,"Bad",Z770=2,"Good",Z770=3,"Better",Z770=4,"Best")</f>
        <v>Good</v>
      </c>
      <c r="AM770" t="str" cm="1">
        <f t="array" ref="AM770">_xlfn.IFS(W770=0,"No_stock",W770=1,"Low",W770=2,"Medium",W770=3,"High")</f>
        <v>Low</v>
      </c>
      <c r="AN770" t="str">
        <f t="shared" ref="AN770:AN833" si="12">IF(F770&lt;=5,"Near",IF(F770&lt;=15,"Medium","Far"))</f>
        <v>Far</v>
      </c>
    </row>
    <row r="771" spans="1:40" x14ac:dyDescent="0.45">
      <c r="A771">
        <v>26</v>
      </c>
      <c r="B771" t="s">
        <v>37</v>
      </c>
      <c r="C771" t="s">
        <v>38</v>
      </c>
      <c r="D771">
        <v>921</v>
      </c>
      <c r="E771" t="s">
        <v>39</v>
      </c>
      <c r="F771">
        <v>1</v>
      </c>
      <c r="G771">
        <v>1</v>
      </c>
      <c r="H771" t="s">
        <v>45</v>
      </c>
      <c r="I771">
        <v>1068</v>
      </c>
      <c r="J771">
        <v>1</v>
      </c>
      <c r="K771" t="s">
        <v>34</v>
      </c>
      <c r="L771">
        <v>2</v>
      </c>
      <c r="M771">
        <v>1</v>
      </c>
      <c r="N771" t="s">
        <v>41</v>
      </c>
      <c r="O771">
        <v>3</v>
      </c>
      <c r="P771" t="s">
        <v>46</v>
      </c>
      <c r="Q771">
        <v>2007</v>
      </c>
      <c r="R771">
        <v>1</v>
      </c>
      <c r="S771" t="s">
        <v>37</v>
      </c>
      <c r="T771">
        <v>13</v>
      </c>
      <c r="U771">
        <v>3</v>
      </c>
      <c r="V771">
        <v>3</v>
      </c>
      <c r="W771">
        <v>2</v>
      </c>
      <c r="X771">
        <v>5</v>
      </c>
      <c r="Y771">
        <v>5</v>
      </c>
      <c r="Z771">
        <v>3</v>
      </c>
      <c r="AA771">
        <v>5</v>
      </c>
      <c r="AB771">
        <v>3</v>
      </c>
      <c r="AC771">
        <v>1</v>
      </c>
      <c r="AD771">
        <v>3</v>
      </c>
      <c r="AE771" t="str" cm="1">
        <f t="array" ref="AE771">_xlfn.IFS(G771=1,"Before College",G771=2,"College",G771=3,"Bachelor",G771=4,"Master",G771=5,"Doctor")</f>
        <v>Before College</v>
      </c>
      <c r="AF771" t="str" cm="1">
        <f t="array" ref="AF771">_xlfn.IFS(J771=1,"Low",J771=2,"Medium",J771=3,"High",J771=4,"Very High")</f>
        <v>Low</v>
      </c>
      <c r="AG771" t="str" cm="1">
        <f t="array" ref="AG771">_xlfn.IFS(L771=1,"Low",L771=2,"Medium",L771=3,"High",L771=4,"Very High")</f>
        <v>Medium</v>
      </c>
      <c r="AH771" t="str" cm="1">
        <f t="array" ref="AH771">_xlfn.IFS(M771=1,"Junior employee",M771=2,"Mid-level",M771=3,"Senior",M771=4,"Manager",M771=5,"Executive")</f>
        <v>Junior employee</v>
      </c>
      <c r="AI771" t="str" cm="1">
        <f t="array" ref="AI771">_xlfn.IFS(O771=1,"Low",O771=2,"Medium",O771=3,"High",O771=4,"Very High")</f>
        <v>High</v>
      </c>
      <c r="AJ771" t="str" cm="1">
        <f t="array" ref="AJ771">_xlfn.IFS(U771=1,"Low",U771=2,"Good",U771=3,"Excellent",U771=4,"Outstanding")</f>
        <v>Excellent</v>
      </c>
      <c r="AK771" t="str" cm="1">
        <f t="array" ref="AK771">_xlfn.IFS(V771=1,"Low",V771=2,"Medium",V771=3,"High",V771=4,"Very High")</f>
        <v>High</v>
      </c>
      <c r="AL771" t="str" cm="1">
        <f t="array" ref="AL771">_xlfn.IFS(Z771=1,"Bad",Z771=2,"Good",Z771=3,"Better",Z771=4,"Best")</f>
        <v>Better</v>
      </c>
      <c r="AM771" t="str" cm="1">
        <f t="array" ref="AM771">_xlfn.IFS(W771=0,"No_stock",W771=1,"Low",W771=2,"Medium",W771=3,"High")</f>
        <v>Medium</v>
      </c>
      <c r="AN771" t="str">
        <f t="shared" si="12"/>
        <v>Near</v>
      </c>
    </row>
    <row r="772" spans="1:40" x14ac:dyDescent="0.45">
      <c r="A772">
        <v>46</v>
      </c>
      <c r="B772" t="s">
        <v>37</v>
      </c>
      <c r="C772" t="s">
        <v>31</v>
      </c>
      <c r="D772">
        <v>430</v>
      </c>
      <c r="E772" t="s">
        <v>39</v>
      </c>
      <c r="F772">
        <v>1</v>
      </c>
      <c r="G772">
        <v>4</v>
      </c>
      <c r="H772" t="s">
        <v>45</v>
      </c>
      <c r="I772">
        <v>1069</v>
      </c>
      <c r="J772">
        <v>4</v>
      </c>
      <c r="K772" t="s">
        <v>40</v>
      </c>
      <c r="L772">
        <v>3</v>
      </c>
      <c r="M772">
        <v>5</v>
      </c>
      <c r="N772" t="s">
        <v>52</v>
      </c>
      <c r="O772">
        <v>4</v>
      </c>
      <c r="P772" t="s">
        <v>46</v>
      </c>
      <c r="Q772">
        <v>19627</v>
      </c>
      <c r="R772">
        <v>9</v>
      </c>
      <c r="S772" t="s">
        <v>37</v>
      </c>
      <c r="T772">
        <v>17</v>
      </c>
      <c r="U772">
        <v>3</v>
      </c>
      <c r="V772">
        <v>4</v>
      </c>
      <c r="W772">
        <v>2</v>
      </c>
      <c r="X772">
        <v>23</v>
      </c>
      <c r="Y772">
        <v>0</v>
      </c>
      <c r="Z772">
        <v>3</v>
      </c>
      <c r="AA772">
        <v>2</v>
      </c>
      <c r="AB772">
        <v>2</v>
      </c>
      <c r="AC772">
        <v>2</v>
      </c>
      <c r="AD772">
        <v>2</v>
      </c>
      <c r="AE772" t="str" cm="1">
        <f t="array" ref="AE772">_xlfn.IFS(G772=1,"Before College",G772=2,"College",G772=3,"Bachelor",G772=4,"Master",G772=5,"Doctor")</f>
        <v>Master</v>
      </c>
      <c r="AF772" t="str" cm="1">
        <f t="array" ref="AF772">_xlfn.IFS(J772=1,"Low",J772=2,"Medium",J772=3,"High",J772=4,"Very High")</f>
        <v>Very High</v>
      </c>
      <c r="AG772" t="str" cm="1">
        <f t="array" ref="AG772">_xlfn.IFS(L772=1,"Low",L772=2,"Medium",L772=3,"High",L772=4,"Very High")</f>
        <v>High</v>
      </c>
      <c r="AH772" t="str" cm="1">
        <f t="array" ref="AH772">_xlfn.IFS(M772=1,"Junior employee",M772=2,"Mid-level",M772=3,"Senior",M772=4,"Manager",M772=5,"Executive")</f>
        <v>Executive</v>
      </c>
      <c r="AI772" t="str" cm="1">
        <f t="array" ref="AI772">_xlfn.IFS(O772=1,"Low",O772=2,"Medium",O772=3,"High",O772=4,"Very High")</f>
        <v>Very High</v>
      </c>
      <c r="AJ772" t="str" cm="1">
        <f t="array" ref="AJ772">_xlfn.IFS(U772=1,"Low",U772=2,"Good",U772=3,"Excellent",U772=4,"Outstanding")</f>
        <v>Excellent</v>
      </c>
      <c r="AK772" t="str" cm="1">
        <f t="array" ref="AK772">_xlfn.IFS(V772=1,"Low",V772=2,"Medium",V772=3,"High",V772=4,"Very High")</f>
        <v>Very High</v>
      </c>
      <c r="AL772" t="str" cm="1">
        <f t="array" ref="AL772">_xlfn.IFS(Z772=1,"Bad",Z772=2,"Good",Z772=3,"Better",Z772=4,"Best")</f>
        <v>Better</v>
      </c>
      <c r="AM772" t="str" cm="1">
        <f t="array" ref="AM772">_xlfn.IFS(W772=0,"No_stock",W772=1,"Low",W772=2,"Medium",W772=3,"High")</f>
        <v>Medium</v>
      </c>
      <c r="AN772" t="str">
        <f t="shared" si="12"/>
        <v>Near</v>
      </c>
    </row>
    <row r="773" spans="1:40" x14ac:dyDescent="0.45">
      <c r="A773">
        <v>54</v>
      </c>
      <c r="B773" t="s">
        <v>37</v>
      </c>
      <c r="C773" t="s">
        <v>31</v>
      </c>
      <c r="D773">
        <v>1082</v>
      </c>
      <c r="E773" t="s">
        <v>32</v>
      </c>
      <c r="F773">
        <v>2</v>
      </c>
      <c r="G773">
        <v>4</v>
      </c>
      <c r="H773" t="s">
        <v>33</v>
      </c>
      <c r="I773">
        <v>1070</v>
      </c>
      <c r="J773">
        <v>3</v>
      </c>
      <c r="K773" t="s">
        <v>34</v>
      </c>
      <c r="L773">
        <v>2</v>
      </c>
      <c r="M773">
        <v>3</v>
      </c>
      <c r="N773" t="s">
        <v>35</v>
      </c>
      <c r="O773">
        <v>3</v>
      </c>
      <c r="P773" t="s">
        <v>42</v>
      </c>
      <c r="Q773">
        <v>10686</v>
      </c>
      <c r="R773">
        <v>6</v>
      </c>
      <c r="S773" t="s">
        <v>37</v>
      </c>
      <c r="T773">
        <v>11</v>
      </c>
      <c r="U773">
        <v>3</v>
      </c>
      <c r="V773">
        <v>2</v>
      </c>
      <c r="W773">
        <v>1</v>
      </c>
      <c r="X773">
        <v>13</v>
      </c>
      <c r="Y773">
        <v>4</v>
      </c>
      <c r="Z773">
        <v>3</v>
      </c>
      <c r="AA773">
        <v>9</v>
      </c>
      <c r="AB773">
        <v>4</v>
      </c>
      <c r="AC773">
        <v>7</v>
      </c>
      <c r="AD773">
        <v>0</v>
      </c>
      <c r="AE773" t="str" cm="1">
        <f t="array" ref="AE773">_xlfn.IFS(G773=1,"Before College",G773=2,"College",G773=3,"Bachelor",G773=4,"Master",G773=5,"Doctor")</f>
        <v>Master</v>
      </c>
      <c r="AF773" t="str" cm="1">
        <f t="array" ref="AF773">_xlfn.IFS(J773=1,"Low",J773=2,"Medium",J773=3,"High",J773=4,"Very High")</f>
        <v>High</v>
      </c>
      <c r="AG773" t="str" cm="1">
        <f t="array" ref="AG773">_xlfn.IFS(L773=1,"Low",L773=2,"Medium",L773=3,"High",L773=4,"Very High")</f>
        <v>Medium</v>
      </c>
      <c r="AH773" t="str" cm="1">
        <f t="array" ref="AH773">_xlfn.IFS(M773=1,"Junior employee",M773=2,"Mid-level",M773=3,"Senior",M773=4,"Manager",M773=5,"Executive")</f>
        <v>Senior</v>
      </c>
      <c r="AI773" t="str" cm="1">
        <f t="array" ref="AI773">_xlfn.IFS(O773=1,"Low",O773=2,"Medium",O773=3,"High",O773=4,"Very High")</f>
        <v>High</v>
      </c>
      <c r="AJ773" t="str" cm="1">
        <f t="array" ref="AJ773">_xlfn.IFS(U773=1,"Low",U773=2,"Good",U773=3,"Excellent",U773=4,"Outstanding")</f>
        <v>Excellent</v>
      </c>
      <c r="AK773" t="str" cm="1">
        <f t="array" ref="AK773">_xlfn.IFS(V773=1,"Low",V773=2,"Medium",V773=3,"High",V773=4,"Very High")</f>
        <v>Medium</v>
      </c>
      <c r="AL773" t="str" cm="1">
        <f t="array" ref="AL773">_xlfn.IFS(Z773=1,"Bad",Z773=2,"Good",Z773=3,"Better",Z773=4,"Best")</f>
        <v>Better</v>
      </c>
      <c r="AM773" t="str" cm="1">
        <f t="array" ref="AM773">_xlfn.IFS(W773=0,"No_stock",W773=1,"Low",W773=2,"Medium",W773=3,"High")</f>
        <v>Low</v>
      </c>
      <c r="AN773" t="str">
        <f t="shared" si="12"/>
        <v>Near</v>
      </c>
    </row>
    <row r="774" spans="1:40" x14ac:dyDescent="0.45">
      <c r="A774">
        <v>56</v>
      </c>
      <c r="B774" t="s">
        <v>37</v>
      </c>
      <c r="C774" t="s">
        <v>38</v>
      </c>
      <c r="D774">
        <v>1240</v>
      </c>
      <c r="E774" t="s">
        <v>39</v>
      </c>
      <c r="F774">
        <v>9</v>
      </c>
      <c r="G774">
        <v>3</v>
      </c>
      <c r="H774" t="s">
        <v>45</v>
      </c>
      <c r="I774">
        <v>1071</v>
      </c>
      <c r="J774">
        <v>1</v>
      </c>
      <c r="K774" t="s">
        <v>34</v>
      </c>
      <c r="L774">
        <v>3</v>
      </c>
      <c r="M774">
        <v>1</v>
      </c>
      <c r="N774" t="s">
        <v>41</v>
      </c>
      <c r="O774">
        <v>3</v>
      </c>
      <c r="P774" t="s">
        <v>42</v>
      </c>
      <c r="Q774">
        <v>2942</v>
      </c>
      <c r="R774">
        <v>2</v>
      </c>
      <c r="S774" t="s">
        <v>37</v>
      </c>
      <c r="T774">
        <v>19</v>
      </c>
      <c r="U774">
        <v>3</v>
      </c>
      <c r="V774">
        <v>2</v>
      </c>
      <c r="W774">
        <v>1</v>
      </c>
      <c r="X774">
        <v>18</v>
      </c>
      <c r="Y774">
        <v>4</v>
      </c>
      <c r="Z774">
        <v>3</v>
      </c>
      <c r="AA774">
        <v>5</v>
      </c>
      <c r="AB774">
        <v>4</v>
      </c>
      <c r="AC774">
        <v>0</v>
      </c>
      <c r="AD774">
        <v>3</v>
      </c>
      <c r="AE774" t="str" cm="1">
        <f t="array" ref="AE774">_xlfn.IFS(G774=1,"Before College",G774=2,"College",G774=3,"Bachelor",G774=4,"Master",G774=5,"Doctor")</f>
        <v>Bachelor</v>
      </c>
      <c r="AF774" t="str" cm="1">
        <f t="array" ref="AF774">_xlfn.IFS(J774=1,"Low",J774=2,"Medium",J774=3,"High",J774=4,"Very High")</f>
        <v>Low</v>
      </c>
      <c r="AG774" t="str" cm="1">
        <f t="array" ref="AG774">_xlfn.IFS(L774=1,"Low",L774=2,"Medium",L774=3,"High",L774=4,"Very High")</f>
        <v>High</v>
      </c>
      <c r="AH774" t="str" cm="1">
        <f t="array" ref="AH774">_xlfn.IFS(M774=1,"Junior employee",M774=2,"Mid-level",M774=3,"Senior",M774=4,"Manager",M774=5,"Executive")</f>
        <v>Junior employee</v>
      </c>
      <c r="AI774" t="str" cm="1">
        <f t="array" ref="AI774">_xlfn.IFS(O774=1,"Low",O774=2,"Medium",O774=3,"High",O774=4,"Very High")</f>
        <v>High</v>
      </c>
      <c r="AJ774" t="str" cm="1">
        <f t="array" ref="AJ774">_xlfn.IFS(U774=1,"Low",U774=2,"Good",U774=3,"Excellent",U774=4,"Outstanding")</f>
        <v>Excellent</v>
      </c>
      <c r="AK774" t="str" cm="1">
        <f t="array" ref="AK774">_xlfn.IFS(V774=1,"Low",V774=2,"Medium",V774=3,"High",V774=4,"Very High")</f>
        <v>Medium</v>
      </c>
      <c r="AL774" t="str" cm="1">
        <f t="array" ref="AL774">_xlfn.IFS(Z774=1,"Bad",Z774=2,"Good",Z774=3,"Better",Z774=4,"Best")</f>
        <v>Better</v>
      </c>
      <c r="AM774" t="str" cm="1">
        <f t="array" ref="AM774">_xlfn.IFS(W774=0,"No_stock",W774=1,"Low",W774=2,"Medium",W774=3,"High")</f>
        <v>Low</v>
      </c>
      <c r="AN774" t="str">
        <f t="shared" si="12"/>
        <v>Medium</v>
      </c>
    </row>
    <row r="775" spans="1:40" x14ac:dyDescent="0.45">
      <c r="A775">
        <v>36</v>
      </c>
      <c r="B775" t="s">
        <v>37</v>
      </c>
      <c r="C775" t="s">
        <v>31</v>
      </c>
      <c r="D775">
        <v>796</v>
      </c>
      <c r="E775" t="s">
        <v>39</v>
      </c>
      <c r="F775">
        <v>12</v>
      </c>
      <c r="G775">
        <v>5</v>
      </c>
      <c r="H775" t="s">
        <v>45</v>
      </c>
      <c r="I775">
        <v>1073</v>
      </c>
      <c r="J775">
        <v>4</v>
      </c>
      <c r="K775" t="s">
        <v>34</v>
      </c>
      <c r="L775">
        <v>2</v>
      </c>
      <c r="M775">
        <v>3</v>
      </c>
      <c r="N775" t="s">
        <v>47</v>
      </c>
      <c r="O775">
        <v>4</v>
      </c>
      <c r="P775" t="s">
        <v>36</v>
      </c>
      <c r="Q775">
        <v>8858</v>
      </c>
      <c r="R775">
        <v>0</v>
      </c>
      <c r="S775" t="s">
        <v>37</v>
      </c>
      <c r="T775">
        <v>11</v>
      </c>
      <c r="U775">
        <v>3</v>
      </c>
      <c r="V775">
        <v>2</v>
      </c>
      <c r="W775">
        <v>0</v>
      </c>
      <c r="X775">
        <v>15</v>
      </c>
      <c r="Y775">
        <v>2</v>
      </c>
      <c r="Z775">
        <v>2</v>
      </c>
      <c r="AA775">
        <v>14</v>
      </c>
      <c r="AB775">
        <v>8</v>
      </c>
      <c r="AC775">
        <v>7</v>
      </c>
      <c r="AD775">
        <v>8</v>
      </c>
      <c r="AE775" t="str" cm="1">
        <f t="array" ref="AE775">_xlfn.IFS(G775=1,"Before College",G775=2,"College",G775=3,"Bachelor",G775=4,"Master",G775=5,"Doctor")</f>
        <v>Doctor</v>
      </c>
      <c r="AF775" t="str" cm="1">
        <f t="array" ref="AF775">_xlfn.IFS(J775=1,"Low",J775=2,"Medium",J775=3,"High",J775=4,"Very High")</f>
        <v>Very High</v>
      </c>
      <c r="AG775" t="str" cm="1">
        <f t="array" ref="AG775">_xlfn.IFS(L775=1,"Low",L775=2,"Medium",L775=3,"High",L775=4,"Very High")</f>
        <v>Medium</v>
      </c>
      <c r="AH775" t="str" cm="1">
        <f t="array" ref="AH775">_xlfn.IFS(M775=1,"Junior employee",M775=2,"Mid-level",M775=3,"Senior",M775=4,"Manager",M775=5,"Executive")</f>
        <v>Senior</v>
      </c>
      <c r="AI775" t="str" cm="1">
        <f t="array" ref="AI775">_xlfn.IFS(O775=1,"Low",O775=2,"Medium",O775=3,"High",O775=4,"Very High")</f>
        <v>Very High</v>
      </c>
      <c r="AJ775" t="str" cm="1">
        <f t="array" ref="AJ775">_xlfn.IFS(U775=1,"Low",U775=2,"Good",U775=3,"Excellent",U775=4,"Outstanding")</f>
        <v>Excellent</v>
      </c>
      <c r="AK775" t="str" cm="1">
        <f t="array" ref="AK775">_xlfn.IFS(V775=1,"Low",V775=2,"Medium",V775=3,"High",V775=4,"Very High")</f>
        <v>Medium</v>
      </c>
      <c r="AL775" t="str" cm="1">
        <f t="array" ref="AL775">_xlfn.IFS(Z775=1,"Bad",Z775=2,"Good",Z775=3,"Better",Z775=4,"Best")</f>
        <v>Good</v>
      </c>
      <c r="AM775" t="str" cm="1">
        <f t="array" ref="AM775">_xlfn.IFS(W775=0,"No_stock",W775=1,"Low",W775=2,"Medium",W775=3,"High")</f>
        <v>No_stock</v>
      </c>
      <c r="AN775" t="str">
        <f t="shared" si="12"/>
        <v>Medium</v>
      </c>
    </row>
    <row r="776" spans="1:40" x14ac:dyDescent="0.45">
      <c r="A776">
        <v>55</v>
      </c>
      <c r="B776" t="s">
        <v>37</v>
      </c>
      <c r="C776" t="s">
        <v>49</v>
      </c>
      <c r="D776">
        <v>444</v>
      </c>
      <c r="E776" t="s">
        <v>39</v>
      </c>
      <c r="F776">
        <v>2</v>
      </c>
      <c r="G776">
        <v>1</v>
      </c>
      <c r="H776" t="s">
        <v>45</v>
      </c>
      <c r="I776">
        <v>1074</v>
      </c>
      <c r="J776">
        <v>3</v>
      </c>
      <c r="K776" t="s">
        <v>40</v>
      </c>
      <c r="L776">
        <v>2</v>
      </c>
      <c r="M776">
        <v>4</v>
      </c>
      <c r="N776" t="s">
        <v>50</v>
      </c>
      <c r="O776">
        <v>1</v>
      </c>
      <c r="P776" t="s">
        <v>36</v>
      </c>
      <c r="Q776">
        <v>16756</v>
      </c>
      <c r="R776">
        <v>7</v>
      </c>
      <c r="S776" t="s">
        <v>37</v>
      </c>
      <c r="T776">
        <v>15</v>
      </c>
      <c r="U776">
        <v>3</v>
      </c>
      <c r="V776">
        <v>2</v>
      </c>
      <c r="W776">
        <v>0</v>
      </c>
      <c r="X776">
        <v>31</v>
      </c>
      <c r="Y776">
        <v>3</v>
      </c>
      <c r="Z776">
        <v>4</v>
      </c>
      <c r="AA776">
        <v>9</v>
      </c>
      <c r="AB776">
        <v>7</v>
      </c>
      <c r="AC776">
        <v>6</v>
      </c>
      <c r="AD776">
        <v>2</v>
      </c>
      <c r="AE776" t="str" cm="1">
        <f t="array" ref="AE776">_xlfn.IFS(G776=1,"Before College",G776=2,"College",G776=3,"Bachelor",G776=4,"Master",G776=5,"Doctor")</f>
        <v>Before College</v>
      </c>
      <c r="AF776" t="str" cm="1">
        <f t="array" ref="AF776">_xlfn.IFS(J776=1,"Low",J776=2,"Medium",J776=3,"High",J776=4,"Very High")</f>
        <v>High</v>
      </c>
      <c r="AG776" t="str" cm="1">
        <f t="array" ref="AG776">_xlfn.IFS(L776=1,"Low",L776=2,"Medium",L776=3,"High",L776=4,"Very High")</f>
        <v>Medium</v>
      </c>
      <c r="AH776" t="str" cm="1">
        <f t="array" ref="AH776">_xlfn.IFS(M776=1,"Junior employee",M776=2,"Mid-level",M776=3,"Senior",M776=4,"Manager",M776=5,"Executive")</f>
        <v>Manager</v>
      </c>
      <c r="AI776" t="str" cm="1">
        <f t="array" ref="AI776">_xlfn.IFS(O776=1,"Low",O776=2,"Medium",O776=3,"High",O776=4,"Very High")</f>
        <v>Low</v>
      </c>
      <c r="AJ776" t="str" cm="1">
        <f t="array" ref="AJ776">_xlfn.IFS(U776=1,"Low",U776=2,"Good",U776=3,"Excellent",U776=4,"Outstanding")</f>
        <v>Excellent</v>
      </c>
      <c r="AK776" t="str" cm="1">
        <f t="array" ref="AK776">_xlfn.IFS(V776=1,"Low",V776=2,"Medium",V776=3,"High",V776=4,"Very High")</f>
        <v>Medium</v>
      </c>
      <c r="AL776" t="str" cm="1">
        <f t="array" ref="AL776">_xlfn.IFS(Z776=1,"Bad",Z776=2,"Good",Z776=3,"Better",Z776=4,"Best")</f>
        <v>Best</v>
      </c>
      <c r="AM776" t="str" cm="1">
        <f t="array" ref="AM776">_xlfn.IFS(W776=0,"No_stock",W776=1,"Low",W776=2,"Medium",W776=3,"High")</f>
        <v>No_stock</v>
      </c>
      <c r="AN776" t="str">
        <f t="shared" si="12"/>
        <v>Near</v>
      </c>
    </row>
    <row r="777" spans="1:40" x14ac:dyDescent="0.45">
      <c r="A777">
        <v>43</v>
      </c>
      <c r="B777" t="s">
        <v>37</v>
      </c>
      <c r="C777" t="s">
        <v>31</v>
      </c>
      <c r="D777">
        <v>415</v>
      </c>
      <c r="E777" t="s">
        <v>32</v>
      </c>
      <c r="F777">
        <v>25</v>
      </c>
      <c r="G777">
        <v>3</v>
      </c>
      <c r="H777" t="s">
        <v>45</v>
      </c>
      <c r="I777">
        <v>1076</v>
      </c>
      <c r="J777">
        <v>3</v>
      </c>
      <c r="K777" t="s">
        <v>40</v>
      </c>
      <c r="L777">
        <v>2</v>
      </c>
      <c r="M777">
        <v>3</v>
      </c>
      <c r="N777" t="s">
        <v>35</v>
      </c>
      <c r="O777">
        <v>4</v>
      </c>
      <c r="P777" t="s">
        <v>46</v>
      </c>
      <c r="Q777">
        <v>10798</v>
      </c>
      <c r="R777">
        <v>5</v>
      </c>
      <c r="S777" t="s">
        <v>37</v>
      </c>
      <c r="T777">
        <v>13</v>
      </c>
      <c r="U777">
        <v>3</v>
      </c>
      <c r="V777">
        <v>3</v>
      </c>
      <c r="W777">
        <v>1</v>
      </c>
      <c r="X777">
        <v>18</v>
      </c>
      <c r="Y777">
        <v>5</v>
      </c>
      <c r="Z777">
        <v>3</v>
      </c>
      <c r="AA777">
        <v>1</v>
      </c>
      <c r="AB777">
        <v>0</v>
      </c>
      <c r="AC777">
        <v>0</v>
      </c>
      <c r="AD777">
        <v>0</v>
      </c>
      <c r="AE777" t="str" cm="1">
        <f t="array" ref="AE777">_xlfn.IFS(G777=1,"Before College",G777=2,"College",G777=3,"Bachelor",G777=4,"Master",G777=5,"Doctor")</f>
        <v>Bachelor</v>
      </c>
      <c r="AF777" t="str" cm="1">
        <f t="array" ref="AF777">_xlfn.IFS(J777=1,"Low",J777=2,"Medium",J777=3,"High",J777=4,"Very High")</f>
        <v>High</v>
      </c>
      <c r="AG777" t="str" cm="1">
        <f t="array" ref="AG777">_xlfn.IFS(L777=1,"Low",L777=2,"Medium",L777=3,"High",L777=4,"Very High")</f>
        <v>Medium</v>
      </c>
      <c r="AH777" t="str" cm="1">
        <f t="array" ref="AH777">_xlfn.IFS(M777=1,"Junior employee",M777=2,"Mid-level",M777=3,"Senior",M777=4,"Manager",M777=5,"Executive")</f>
        <v>Senior</v>
      </c>
      <c r="AI777" t="str" cm="1">
        <f t="array" ref="AI777">_xlfn.IFS(O777=1,"Low",O777=2,"Medium",O777=3,"High",O777=4,"Very High")</f>
        <v>Very High</v>
      </c>
      <c r="AJ777" t="str" cm="1">
        <f t="array" ref="AJ777">_xlfn.IFS(U777=1,"Low",U777=2,"Good",U777=3,"Excellent",U777=4,"Outstanding")</f>
        <v>Excellent</v>
      </c>
      <c r="AK777" t="str" cm="1">
        <f t="array" ref="AK777">_xlfn.IFS(V777=1,"Low",V777=2,"Medium",V777=3,"High",V777=4,"Very High")</f>
        <v>High</v>
      </c>
      <c r="AL777" t="str" cm="1">
        <f t="array" ref="AL777">_xlfn.IFS(Z777=1,"Bad",Z777=2,"Good",Z777=3,"Better",Z777=4,"Best")</f>
        <v>Better</v>
      </c>
      <c r="AM777" t="str" cm="1">
        <f t="array" ref="AM777">_xlfn.IFS(W777=0,"No_stock",W777=1,"Low",W777=2,"Medium",W777=3,"High")</f>
        <v>Low</v>
      </c>
      <c r="AN777" t="str">
        <f t="shared" si="12"/>
        <v>Far</v>
      </c>
    </row>
    <row r="778" spans="1:40" x14ac:dyDescent="0.45">
      <c r="A778">
        <v>20</v>
      </c>
      <c r="B778" t="s">
        <v>30</v>
      </c>
      <c r="C778" t="s">
        <v>38</v>
      </c>
      <c r="D778">
        <v>769</v>
      </c>
      <c r="E778" t="s">
        <v>32</v>
      </c>
      <c r="F778">
        <v>9</v>
      </c>
      <c r="G778">
        <v>3</v>
      </c>
      <c r="H778" t="s">
        <v>53</v>
      </c>
      <c r="I778">
        <v>1077</v>
      </c>
      <c r="J778">
        <v>4</v>
      </c>
      <c r="K778" t="s">
        <v>34</v>
      </c>
      <c r="L778">
        <v>3</v>
      </c>
      <c r="M778">
        <v>1</v>
      </c>
      <c r="N778" t="s">
        <v>51</v>
      </c>
      <c r="O778">
        <v>4</v>
      </c>
      <c r="P778" t="s">
        <v>36</v>
      </c>
      <c r="Q778">
        <v>2323</v>
      </c>
      <c r="R778">
        <v>1</v>
      </c>
      <c r="S778" t="s">
        <v>30</v>
      </c>
      <c r="T778">
        <v>14</v>
      </c>
      <c r="U778">
        <v>3</v>
      </c>
      <c r="V778">
        <v>2</v>
      </c>
      <c r="W778">
        <v>0</v>
      </c>
      <c r="X778">
        <v>2</v>
      </c>
      <c r="Y778">
        <v>3</v>
      </c>
      <c r="Z778">
        <v>3</v>
      </c>
      <c r="AA778">
        <v>2</v>
      </c>
      <c r="AB778">
        <v>2</v>
      </c>
      <c r="AC778">
        <v>0</v>
      </c>
      <c r="AD778">
        <v>2</v>
      </c>
      <c r="AE778" t="str" cm="1">
        <f t="array" ref="AE778">_xlfn.IFS(G778=1,"Before College",G778=2,"College",G778=3,"Bachelor",G778=4,"Master",G778=5,"Doctor")</f>
        <v>Bachelor</v>
      </c>
      <c r="AF778" t="str" cm="1">
        <f t="array" ref="AF778">_xlfn.IFS(J778=1,"Low",J778=2,"Medium",J778=3,"High",J778=4,"Very High")</f>
        <v>Very High</v>
      </c>
      <c r="AG778" t="str" cm="1">
        <f t="array" ref="AG778">_xlfn.IFS(L778=1,"Low",L778=2,"Medium",L778=3,"High",L778=4,"Very High")</f>
        <v>High</v>
      </c>
      <c r="AH778" t="str" cm="1">
        <f t="array" ref="AH778">_xlfn.IFS(M778=1,"Junior employee",M778=2,"Mid-level",M778=3,"Senior",M778=4,"Manager",M778=5,"Executive")</f>
        <v>Junior employee</v>
      </c>
      <c r="AI778" t="str" cm="1">
        <f t="array" ref="AI778">_xlfn.IFS(O778=1,"Low",O778=2,"Medium",O778=3,"High",O778=4,"Very High")</f>
        <v>Very High</v>
      </c>
      <c r="AJ778" t="str" cm="1">
        <f t="array" ref="AJ778">_xlfn.IFS(U778=1,"Low",U778=2,"Good",U778=3,"Excellent",U778=4,"Outstanding")</f>
        <v>Excellent</v>
      </c>
      <c r="AK778" t="str" cm="1">
        <f t="array" ref="AK778">_xlfn.IFS(V778=1,"Low",V778=2,"Medium",V778=3,"High",V778=4,"Very High")</f>
        <v>Medium</v>
      </c>
      <c r="AL778" t="str" cm="1">
        <f t="array" ref="AL778">_xlfn.IFS(Z778=1,"Bad",Z778=2,"Good",Z778=3,"Better",Z778=4,"Best")</f>
        <v>Better</v>
      </c>
      <c r="AM778" t="str" cm="1">
        <f t="array" ref="AM778">_xlfn.IFS(W778=0,"No_stock",W778=1,"Low",W778=2,"Medium",W778=3,"High")</f>
        <v>No_stock</v>
      </c>
      <c r="AN778" t="str">
        <f t="shared" si="12"/>
        <v>Medium</v>
      </c>
    </row>
    <row r="779" spans="1:40" x14ac:dyDescent="0.45">
      <c r="A779">
        <v>21</v>
      </c>
      <c r="B779" t="s">
        <v>30</v>
      </c>
      <c r="C779" t="s">
        <v>31</v>
      </c>
      <c r="D779">
        <v>1334</v>
      </c>
      <c r="E779" t="s">
        <v>39</v>
      </c>
      <c r="F779">
        <v>10</v>
      </c>
      <c r="G779">
        <v>3</v>
      </c>
      <c r="H779" t="s">
        <v>33</v>
      </c>
      <c r="I779">
        <v>1079</v>
      </c>
      <c r="J779">
        <v>3</v>
      </c>
      <c r="K779" t="s">
        <v>34</v>
      </c>
      <c r="L779">
        <v>2</v>
      </c>
      <c r="M779">
        <v>1</v>
      </c>
      <c r="N779" t="s">
        <v>44</v>
      </c>
      <c r="O779">
        <v>1</v>
      </c>
      <c r="P779" t="s">
        <v>36</v>
      </c>
      <c r="Q779">
        <v>1416</v>
      </c>
      <c r="R779">
        <v>1</v>
      </c>
      <c r="S779" t="s">
        <v>37</v>
      </c>
      <c r="T779">
        <v>13</v>
      </c>
      <c r="U779">
        <v>3</v>
      </c>
      <c r="V779">
        <v>1</v>
      </c>
      <c r="W779">
        <v>0</v>
      </c>
      <c r="X779">
        <v>1</v>
      </c>
      <c r="Y779">
        <v>6</v>
      </c>
      <c r="Z779">
        <v>2</v>
      </c>
      <c r="AA779">
        <v>1</v>
      </c>
      <c r="AB779">
        <v>0</v>
      </c>
      <c r="AC779">
        <v>1</v>
      </c>
      <c r="AD779">
        <v>0</v>
      </c>
      <c r="AE779" t="str" cm="1">
        <f t="array" ref="AE779">_xlfn.IFS(G779=1,"Before College",G779=2,"College",G779=3,"Bachelor",G779=4,"Master",G779=5,"Doctor")</f>
        <v>Bachelor</v>
      </c>
      <c r="AF779" t="str" cm="1">
        <f t="array" ref="AF779">_xlfn.IFS(J779=1,"Low",J779=2,"Medium",J779=3,"High",J779=4,"Very High")</f>
        <v>High</v>
      </c>
      <c r="AG779" t="str" cm="1">
        <f t="array" ref="AG779">_xlfn.IFS(L779=1,"Low",L779=2,"Medium",L779=3,"High",L779=4,"Very High")</f>
        <v>Medium</v>
      </c>
      <c r="AH779" t="str" cm="1">
        <f t="array" ref="AH779">_xlfn.IFS(M779=1,"Junior employee",M779=2,"Mid-level",M779=3,"Senior",M779=4,"Manager",M779=5,"Executive")</f>
        <v>Junior employee</v>
      </c>
      <c r="AI779" t="str" cm="1">
        <f t="array" ref="AI779">_xlfn.IFS(O779=1,"Low",O779=2,"Medium",O779=3,"High",O779=4,"Very High")</f>
        <v>Low</v>
      </c>
      <c r="AJ779" t="str" cm="1">
        <f t="array" ref="AJ779">_xlfn.IFS(U779=1,"Low",U779=2,"Good",U779=3,"Excellent",U779=4,"Outstanding")</f>
        <v>Excellent</v>
      </c>
      <c r="AK779" t="str" cm="1">
        <f t="array" ref="AK779">_xlfn.IFS(V779=1,"Low",V779=2,"Medium",V779=3,"High",V779=4,"Very High")</f>
        <v>Low</v>
      </c>
      <c r="AL779" t="str" cm="1">
        <f t="array" ref="AL779">_xlfn.IFS(Z779=1,"Bad",Z779=2,"Good",Z779=3,"Better",Z779=4,"Best")</f>
        <v>Good</v>
      </c>
      <c r="AM779" t="str" cm="1">
        <f t="array" ref="AM779">_xlfn.IFS(W779=0,"No_stock",W779=1,"Low",W779=2,"Medium",W779=3,"High")</f>
        <v>No_stock</v>
      </c>
      <c r="AN779" t="str">
        <f t="shared" si="12"/>
        <v>Medium</v>
      </c>
    </row>
    <row r="780" spans="1:40" x14ac:dyDescent="0.45">
      <c r="A780">
        <v>46</v>
      </c>
      <c r="B780" t="s">
        <v>37</v>
      </c>
      <c r="C780" t="s">
        <v>31</v>
      </c>
      <c r="D780">
        <v>1003</v>
      </c>
      <c r="E780" t="s">
        <v>39</v>
      </c>
      <c r="F780">
        <v>8</v>
      </c>
      <c r="G780">
        <v>4</v>
      </c>
      <c r="H780" t="s">
        <v>33</v>
      </c>
      <c r="I780">
        <v>1080</v>
      </c>
      <c r="J780">
        <v>4</v>
      </c>
      <c r="K780" t="s">
        <v>34</v>
      </c>
      <c r="L780">
        <v>2</v>
      </c>
      <c r="M780">
        <v>2</v>
      </c>
      <c r="N780" t="s">
        <v>41</v>
      </c>
      <c r="O780">
        <v>1</v>
      </c>
      <c r="P780" t="s">
        <v>46</v>
      </c>
      <c r="Q780">
        <v>4615</v>
      </c>
      <c r="R780">
        <v>8</v>
      </c>
      <c r="S780" t="s">
        <v>30</v>
      </c>
      <c r="T780">
        <v>23</v>
      </c>
      <c r="U780">
        <v>4</v>
      </c>
      <c r="V780">
        <v>1</v>
      </c>
      <c r="W780">
        <v>3</v>
      </c>
      <c r="X780">
        <v>19</v>
      </c>
      <c r="Y780">
        <v>2</v>
      </c>
      <c r="Z780">
        <v>3</v>
      </c>
      <c r="AA780">
        <v>16</v>
      </c>
      <c r="AB780">
        <v>13</v>
      </c>
      <c r="AC780">
        <v>1</v>
      </c>
      <c r="AD780">
        <v>7</v>
      </c>
      <c r="AE780" t="str" cm="1">
        <f t="array" ref="AE780">_xlfn.IFS(G780=1,"Before College",G780=2,"College",G780=3,"Bachelor",G780=4,"Master",G780=5,"Doctor")</f>
        <v>Master</v>
      </c>
      <c r="AF780" t="str" cm="1">
        <f t="array" ref="AF780">_xlfn.IFS(J780=1,"Low",J780=2,"Medium",J780=3,"High",J780=4,"Very High")</f>
        <v>Very High</v>
      </c>
      <c r="AG780" t="str" cm="1">
        <f t="array" ref="AG780">_xlfn.IFS(L780=1,"Low",L780=2,"Medium",L780=3,"High",L780=4,"Very High")</f>
        <v>Medium</v>
      </c>
      <c r="AH780" t="str" cm="1">
        <f t="array" ref="AH780">_xlfn.IFS(M780=1,"Junior employee",M780=2,"Mid-level",M780=3,"Senior",M780=4,"Manager",M780=5,"Executive")</f>
        <v>Mid-level</v>
      </c>
      <c r="AI780" t="str" cm="1">
        <f t="array" ref="AI780">_xlfn.IFS(O780=1,"Low",O780=2,"Medium",O780=3,"High",O780=4,"Very High")</f>
        <v>Low</v>
      </c>
      <c r="AJ780" t="str" cm="1">
        <f t="array" ref="AJ780">_xlfn.IFS(U780=1,"Low",U780=2,"Good",U780=3,"Excellent",U780=4,"Outstanding")</f>
        <v>Outstanding</v>
      </c>
      <c r="AK780" t="str" cm="1">
        <f t="array" ref="AK780">_xlfn.IFS(V780=1,"Low",V780=2,"Medium",V780=3,"High",V780=4,"Very High")</f>
        <v>Low</v>
      </c>
      <c r="AL780" t="str" cm="1">
        <f t="array" ref="AL780">_xlfn.IFS(Z780=1,"Bad",Z780=2,"Good",Z780=3,"Better",Z780=4,"Best")</f>
        <v>Better</v>
      </c>
      <c r="AM780" t="str" cm="1">
        <f t="array" ref="AM780">_xlfn.IFS(W780=0,"No_stock",W780=1,"Low",W780=2,"Medium",W780=3,"High")</f>
        <v>High</v>
      </c>
      <c r="AN780" t="str">
        <f t="shared" si="12"/>
        <v>Medium</v>
      </c>
    </row>
    <row r="781" spans="1:40" x14ac:dyDescent="0.45">
      <c r="A781">
        <v>51</v>
      </c>
      <c r="B781" t="s">
        <v>30</v>
      </c>
      <c r="C781" t="s">
        <v>31</v>
      </c>
      <c r="D781">
        <v>1323</v>
      </c>
      <c r="E781" t="s">
        <v>39</v>
      </c>
      <c r="F781">
        <v>4</v>
      </c>
      <c r="G781">
        <v>4</v>
      </c>
      <c r="H781" t="s">
        <v>33</v>
      </c>
      <c r="I781">
        <v>1081</v>
      </c>
      <c r="J781">
        <v>1</v>
      </c>
      <c r="K781" t="s">
        <v>40</v>
      </c>
      <c r="L781">
        <v>3</v>
      </c>
      <c r="M781">
        <v>1</v>
      </c>
      <c r="N781" t="s">
        <v>41</v>
      </c>
      <c r="O781">
        <v>3</v>
      </c>
      <c r="P781" t="s">
        <v>42</v>
      </c>
      <c r="Q781">
        <v>2461</v>
      </c>
      <c r="R781">
        <v>9</v>
      </c>
      <c r="S781" t="s">
        <v>30</v>
      </c>
      <c r="T781">
        <v>12</v>
      </c>
      <c r="U781">
        <v>3</v>
      </c>
      <c r="V781">
        <v>3</v>
      </c>
      <c r="W781">
        <v>3</v>
      </c>
      <c r="X781">
        <v>18</v>
      </c>
      <c r="Y781">
        <v>2</v>
      </c>
      <c r="Z781">
        <v>4</v>
      </c>
      <c r="AA781">
        <v>10</v>
      </c>
      <c r="AB781">
        <v>0</v>
      </c>
      <c r="AC781">
        <v>2</v>
      </c>
      <c r="AD781">
        <v>7</v>
      </c>
      <c r="AE781" t="str" cm="1">
        <f t="array" ref="AE781">_xlfn.IFS(G781=1,"Before College",G781=2,"College",G781=3,"Bachelor",G781=4,"Master",G781=5,"Doctor")</f>
        <v>Master</v>
      </c>
      <c r="AF781" t="str" cm="1">
        <f t="array" ref="AF781">_xlfn.IFS(J781=1,"Low",J781=2,"Medium",J781=3,"High",J781=4,"Very High")</f>
        <v>Low</v>
      </c>
      <c r="AG781" t="str" cm="1">
        <f t="array" ref="AG781">_xlfn.IFS(L781=1,"Low",L781=2,"Medium",L781=3,"High",L781=4,"Very High")</f>
        <v>High</v>
      </c>
      <c r="AH781" t="str" cm="1">
        <f t="array" ref="AH781">_xlfn.IFS(M781=1,"Junior employee",M781=2,"Mid-level",M781=3,"Senior",M781=4,"Manager",M781=5,"Executive")</f>
        <v>Junior employee</v>
      </c>
      <c r="AI781" t="str" cm="1">
        <f t="array" ref="AI781">_xlfn.IFS(O781=1,"Low",O781=2,"Medium",O781=3,"High",O781=4,"Very High")</f>
        <v>High</v>
      </c>
      <c r="AJ781" t="str" cm="1">
        <f t="array" ref="AJ781">_xlfn.IFS(U781=1,"Low",U781=2,"Good",U781=3,"Excellent",U781=4,"Outstanding")</f>
        <v>Excellent</v>
      </c>
      <c r="AK781" t="str" cm="1">
        <f t="array" ref="AK781">_xlfn.IFS(V781=1,"Low",V781=2,"Medium",V781=3,"High",V781=4,"Very High")</f>
        <v>High</v>
      </c>
      <c r="AL781" t="str" cm="1">
        <f t="array" ref="AL781">_xlfn.IFS(Z781=1,"Bad",Z781=2,"Good",Z781=3,"Better",Z781=4,"Best")</f>
        <v>Best</v>
      </c>
      <c r="AM781" t="str" cm="1">
        <f t="array" ref="AM781">_xlfn.IFS(W781=0,"No_stock",W781=1,"Low",W781=2,"Medium",W781=3,"High")</f>
        <v>High</v>
      </c>
      <c r="AN781" t="str">
        <f t="shared" si="12"/>
        <v>Near</v>
      </c>
    </row>
    <row r="782" spans="1:40" x14ac:dyDescent="0.45">
      <c r="A782">
        <v>28</v>
      </c>
      <c r="B782" t="s">
        <v>30</v>
      </c>
      <c r="C782" t="s">
        <v>49</v>
      </c>
      <c r="D782">
        <v>1366</v>
      </c>
      <c r="E782" t="s">
        <v>39</v>
      </c>
      <c r="F782">
        <v>24</v>
      </c>
      <c r="G782">
        <v>2</v>
      </c>
      <c r="H782" t="s">
        <v>54</v>
      </c>
      <c r="I782">
        <v>1082</v>
      </c>
      <c r="J782">
        <v>2</v>
      </c>
      <c r="K782" t="s">
        <v>40</v>
      </c>
      <c r="L782">
        <v>2</v>
      </c>
      <c r="M782">
        <v>3</v>
      </c>
      <c r="N782" t="s">
        <v>48</v>
      </c>
      <c r="O782">
        <v>1</v>
      </c>
      <c r="P782" t="s">
        <v>36</v>
      </c>
      <c r="Q782">
        <v>8722</v>
      </c>
      <c r="R782">
        <v>1</v>
      </c>
      <c r="S782" t="s">
        <v>37</v>
      </c>
      <c r="T782">
        <v>12</v>
      </c>
      <c r="U782">
        <v>3</v>
      </c>
      <c r="V782">
        <v>1</v>
      </c>
      <c r="W782">
        <v>0</v>
      </c>
      <c r="X782">
        <v>10</v>
      </c>
      <c r="Y782">
        <v>2</v>
      </c>
      <c r="Z782">
        <v>2</v>
      </c>
      <c r="AA782">
        <v>10</v>
      </c>
      <c r="AB782">
        <v>7</v>
      </c>
      <c r="AC782">
        <v>1</v>
      </c>
      <c r="AD782">
        <v>9</v>
      </c>
      <c r="AE782" t="str" cm="1">
        <f t="array" ref="AE782">_xlfn.IFS(G782=1,"Before College",G782=2,"College",G782=3,"Bachelor",G782=4,"Master",G782=5,"Doctor")</f>
        <v>College</v>
      </c>
      <c r="AF782" t="str" cm="1">
        <f t="array" ref="AF782">_xlfn.IFS(J782=1,"Low",J782=2,"Medium",J782=3,"High",J782=4,"Very High")</f>
        <v>Medium</v>
      </c>
      <c r="AG782" t="str" cm="1">
        <f t="array" ref="AG782">_xlfn.IFS(L782=1,"Low",L782=2,"Medium",L782=3,"High",L782=4,"Very High")</f>
        <v>Medium</v>
      </c>
      <c r="AH782" t="str" cm="1">
        <f t="array" ref="AH782">_xlfn.IFS(M782=1,"Junior employee",M782=2,"Mid-level",M782=3,"Senior",M782=4,"Manager",M782=5,"Executive")</f>
        <v>Senior</v>
      </c>
      <c r="AI782" t="str" cm="1">
        <f t="array" ref="AI782">_xlfn.IFS(O782=1,"Low",O782=2,"Medium",O782=3,"High",O782=4,"Very High")</f>
        <v>Low</v>
      </c>
      <c r="AJ782" t="str" cm="1">
        <f t="array" ref="AJ782">_xlfn.IFS(U782=1,"Low",U782=2,"Good",U782=3,"Excellent",U782=4,"Outstanding")</f>
        <v>Excellent</v>
      </c>
      <c r="AK782" t="str" cm="1">
        <f t="array" ref="AK782">_xlfn.IFS(V782=1,"Low",V782=2,"Medium",V782=3,"High",V782=4,"Very High")</f>
        <v>Low</v>
      </c>
      <c r="AL782" t="str" cm="1">
        <f t="array" ref="AL782">_xlfn.IFS(Z782=1,"Bad",Z782=2,"Good",Z782=3,"Better",Z782=4,"Best")</f>
        <v>Good</v>
      </c>
      <c r="AM782" t="str" cm="1">
        <f t="array" ref="AM782">_xlfn.IFS(W782=0,"No_stock",W782=1,"Low",W782=2,"Medium",W782=3,"High")</f>
        <v>No_stock</v>
      </c>
      <c r="AN782" t="str">
        <f t="shared" si="12"/>
        <v>Far</v>
      </c>
    </row>
    <row r="783" spans="1:40" x14ac:dyDescent="0.45">
      <c r="A783">
        <v>26</v>
      </c>
      <c r="B783" t="s">
        <v>37</v>
      </c>
      <c r="C783" t="s">
        <v>31</v>
      </c>
      <c r="D783">
        <v>192</v>
      </c>
      <c r="E783" t="s">
        <v>39</v>
      </c>
      <c r="F783">
        <v>1</v>
      </c>
      <c r="G783">
        <v>2</v>
      </c>
      <c r="H783" t="s">
        <v>45</v>
      </c>
      <c r="I783">
        <v>1083</v>
      </c>
      <c r="J783">
        <v>1</v>
      </c>
      <c r="K783" t="s">
        <v>40</v>
      </c>
      <c r="L783">
        <v>2</v>
      </c>
      <c r="M783">
        <v>1</v>
      </c>
      <c r="N783" t="s">
        <v>44</v>
      </c>
      <c r="O783">
        <v>1</v>
      </c>
      <c r="P783" t="s">
        <v>42</v>
      </c>
      <c r="Q783">
        <v>3955</v>
      </c>
      <c r="R783">
        <v>1</v>
      </c>
      <c r="S783" t="s">
        <v>37</v>
      </c>
      <c r="T783">
        <v>16</v>
      </c>
      <c r="U783">
        <v>3</v>
      </c>
      <c r="V783">
        <v>1</v>
      </c>
      <c r="W783">
        <v>2</v>
      </c>
      <c r="X783">
        <v>6</v>
      </c>
      <c r="Y783">
        <v>2</v>
      </c>
      <c r="Z783">
        <v>3</v>
      </c>
      <c r="AA783">
        <v>5</v>
      </c>
      <c r="AB783">
        <v>3</v>
      </c>
      <c r="AC783">
        <v>1</v>
      </c>
      <c r="AD783">
        <v>3</v>
      </c>
      <c r="AE783" t="str" cm="1">
        <f t="array" ref="AE783">_xlfn.IFS(G783=1,"Before College",G783=2,"College",G783=3,"Bachelor",G783=4,"Master",G783=5,"Doctor")</f>
        <v>College</v>
      </c>
      <c r="AF783" t="str" cm="1">
        <f t="array" ref="AF783">_xlfn.IFS(J783=1,"Low",J783=2,"Medium",J783=3,"High",J783=4,"Very High")</f>
        <v>Low</v>
      </c>
      <c r="AG783" t="str" cm="1">
        <f t="array" ref="AG783">_xlfn.IFS(L783=1,"Low",L783=2,"Medium",L783=3,"High",L783=4,"Very High")</f>
        <v>Medium</v>
      </c>
      <c r="AH783" t="str" cm="1">
        <f t="array" ref="AH783">_xlfn.IFS(M783=1,"Junior employee",M783=2,"Mid-level",M783=3,"Senior",M783=4,"Manager",M783=5,"Executive")</f>
        <v>Junior employee</v>
      </c>
      <c r="AI783" t="str" cm="1">
        <f t="array" ref="AI783">_xlfn.IFS(O783=1,"Low",O783=2,"Medium",O783=3,"High",O783=4,"Very High")</f>
        <v>Low</v>
      </c>
      <c r="AJ783" t="str" cm="1">
        <f t="array" ref="AJ783">_xlfn.IFS(U783=1,"Low",U783=2,"Good",U783=3,"Excellent",U783=4,"Outstanding")</f>
        <v>Excellent</v>
      </c>
      <c r="AK783" t="str" cm="1">
        <f t="array" ref="AK783">_xlfn.IFS(V783=1,"Low",V783=2,"Medium",V783=3,"High",V783=4,"Very High")</f>
        <v>Low</v>
      </c>
      <c r="AL783" t="str" cm="1">
        <f t="array" ref="AL783">_xlfn.IFS(Z783=1,"Bad",Z783=2,"Good",Z783=3,"Better",Z783=4,"Best")</f>
        <v>Better</v>
      </c>
      <c r="AM783" t="str" cm="1">
        <f t="array" ref="AM783">_xlfn.IFS(W783=0,"No_stock",W783=1,"Low",W783=2,"Medium",W783=3,"High")</f>
        <v>Medium</v>
      </c>
      <c r="AN783" t="str">
        <f t="shared" si="12"/>
        <v>Near</v>
      </c>
    </row>
    <row r="784" spans="1:40" x14ac:dyDescent="0.45">
      <c r="A784">
        <v>30</v>
      </c>
      <c r="B784" t="s">
        <v>37</v>
      </c>
      <c r="C784" t="s">
        <v>31</v>
      </c>
      <c r="D784">
        <v>1176</v>
      </c>
      <c r="E784" t="s">
        <v>39</v>
      </c>
      <c r="F784">
        <v>20</v>
      </c>
      <c r="G784">
        <v>3</v>
      </c>
      <c r="H784" t="s">
        <v>43</v>
      </c>
      <c r="I784">
        <v>1084</v>
      </c>
      <c r="J784">
        <v>3</v>
      </c>
      <c r="K784" t="s">
        <v>40</v>
      </c>
      <c r="L784">
        <v>3</v>
      </c>
      <c r="M784">
        <v>2</v>
      </c>
      <c r="N784" t="s">
        <v>47</v>
      </c>
      <c r="O784">
        <v>1</v>
      </c>
      <c r="P784" t="s">
        <v>42</v>
      </c>
      <c r="Q784">
        <v>9957</v>
      </c>
      <c r="R784">
        <v>0</v>
      </c>
      <c r="S784" t="s">
        <v>37</v>
      </c>
      <c r="T784">
        <v>15</v>
      </c>
      <c r="U784">
        <v>3</v>
      </c>
      <c r="V784">
        <v>3</v>
      </c>
      <c r="W784">
        <v>1</v>
      </c>
      <c r="X784">
        <v>7</v>
      </c>
      <c r="Y784">
        <v>1</v>
      </c>
      <c r="Z784">
        <v>2</v>
      </c>
      <c r="AA784">
        <v>6</v>
      </c>
      <c r="AB784">
        <v>2</v>
      </c>
      <c r="AC784">
        <v>0</v>
      </c>
      <c r="AD784">
        <v>2</v>
      </c>
      <c r="AE784" t="str" cm="1">
        <f t="array" ref="AE784">_xlfn.IFS(G784=1,"Before College",G784=2,"College",G784=3,"Bachelor",G784=4,"Master",G784=5,"Doctor")</f>
        <v>Bachelor</v>
      </c>
      <c r="AF784" t="str" cm="1">
        <f t="array" ref="AF784">_xlfn.IFS(J784=1,"Low",J784=2,"Medium",J784=3,"High",J784=4,"Very High")</f>
        <v>High</v>
      </c>
      <c r="AG784" t="str" cm="1">
        <f t="array" ref="AG784">_xlfn.IFS(L784=1,"Low",L784=2,"Medium",L784=3,"High",L784=4,"Very High")</f>
        <v>High</v>
      </c>
      <c r="AH784" t="str" cm="1">
        <f t="array" ref="AH784">_xlfn.IFS(M784=1,"Junior employee",M784=2,"Mid-level",M784=3,"Senior",M784=4,"Manager",M784=5,"Executive")</f>
        <v>Mid-level</v>
      </c>
      <c r="AI784" t="str" cm="1">
        <f t="array" ref="AI784">_xlfn.IFS(O784=1,"Low",O784=2,"Medium",O784=3,"High",O784=4,"Very High")</f>
        <v>Low</v>
      </c>
      <c r="AJ784" t="str" cm="1">
        <f t="array" ref="AJ784">_xlfn.IFS(U784=1,"Low",U784=2,"Good",U784=3,"Excellent",U784=4,"Outstanding")</f>
        <v>Excellent</v>
      </c>
      <c r="AK784" t="str" cm="1">
        <f t="array" ref="AK784">_xlfn.IFS(V784=1,"Low",V784=2,"Medium",V784=3,"High",V784=4,"Very High")</f>
        <v>High</v>
      </c>
      <c r="AL784" t="str" cm="1">
        <f t="array" ref="AL784">_xlfn.IFS(Z784=1,"Bad",Z784=2,"Good",Z784=3,"Better",Z784=4,"Best")</f>
        <v>Good</v>
      </c>
      <c r="AM784" t="str" cm="1">
        <f t="array" ref="AM784">_xlfn.IFS(W784=0,"No_stock",W784=1,"Low",W784=2,"Medium",W784=3,"High")</f>
        <v>Low</v>
      </c>
      <c r="AN784" t="str">
        <f t="shared" si="12"/>
        <v>Far</v>
      </c>
    </row>
    <row r="785" spans="1:40" x14ac:dyDescent="0.45">
      <c r="A785">
        <v>41</v>
      </c>
      <c r="B785" t="s">
        <v>37</v>
      </c>
      <c r="C785" t="s">
        <v>31</v>
      </c>
      <c r="D785">
        <v>509</v>
      </c>
      <c r="E785" t="s">
        <v>39</v>
      </c>
      <c r="F785">
        <v>7</v>
      </c>
      <c r="G785">
        <v>2</v>
      </c>
      <c r="H785" t="s">
        <v>54</v>
      </c>
      <c r="I785">
        <v>1085</v>
      </c>
      <c r="J785">
        <v>2</v>
      </c>
      <c r="K785" t="s">
        <v>34</v>
      </c>
      <c r="L785">
        <v>4</v>
      </c>
      <c r="M785">
        <v>1</v>
      </c>
      <c r="N785" t="s">
        <v>41</v>
      </c>
      <c r="O785">
        <v>3</v>
      </c>
      <c r="P785" t="s">
        <v>42</v>
      </c>
      <c r="Q785">
        <v>3376</v>
      </c>
      <c r="R785">
        <v>1</v>
      </c>
      <c r="S785" t="s">
        <v>37</v>
      </c>
      <c r="T785">
        <v>13</v>
      </c>
      <c r="U785">
        <v>3</v>
      </c>
      <c r="V785">
        <v>3</v>
      </c>
      <c r="W785">
        <v>0</v>
      </c>
      <c r="X785">
        <v>10</v>
      </c>
      <c r="Y785">
        <v>3</v>
      </c>
      <c r="Z785">
        <v>3</v>
      </c>
      <c r="AA785">
        <v>10</v>
      </c>
      <c r="AB785">
        <v>6</v>
      </c>
      <c r="AC785">
        <v>0</v>
      </c>
      <c r="AD785">
        <v>8</v>
      </c>
      <c r="AE785" t="str" cm="1">
        <f t="array" ref="AE785">_xlfn.IFS(G785=1,"Before College",G785=2,"College",G785=3,"Bachelor",G785=4,"Master",G785=5,"Doctor")</f>
        <v>College</v>
      </c>
      <c r="AF785" t="str" cm="1">
        <f t="array" ref="AF785">_xlfn.IFS(J785=1,"Low",J785=2,"Medium",J785=3,"High",J785=4,"Very High")</f>
        <v>Medium</v>
      </c>
      <c r="AG785" t="str" cm="1">
        <f t="array" ref="AG785">_xlfn.IFS(L785=1,"Low",L785=2,"Medium",L785=3,"High",L785=4,"Very High")</f>
        <v>Very High</v>
      </c>
      <c r="AH785" t="str" cm="1">
        <f t="array" ref="AH785">_xlfn.IFS(M785=1,"Junior employee",M785=2,"Mid-level",M785=3,"Senior",M785=4,"Manager",M785=5,"Executive")</f>
        <v>Junior employee</v>
      </c>
      <c r="AI785" t="str" cm="1">
        <f t="array" ref="AI785">_xlfn.IFS(O785=1,"Low",O785=2,"Medium",O785=3,"High",O785=4,"Very High")</f>
        <v>High</v>
      </c>
      <c r="AJ785" t="str" cm="1">
        <f t="array" ref="AJ785">_xlfn.IFS(U785=1,"Low",U785=2,"Good",U785=3,"Excellent",U785=4,"Outstanding")</f>
        <v>Excellent</v>
      </c>
      <c r="AK785" t="str" cm="1">
        <f t="array" ref="AK785">_xlfn.IFS(V785=1,"Low",V785=2,"Medium",V785=3,"High",V785=4,"Very High")</f>
        <v>High</v>
      </c>
      <c r="AL785" t="str" cm="1">
        <f t="array" ref="AL785">_xlfn.IFS(Z785=1,"Bad",Z785=2,"Good",Z785=3,"Better",Z785=4,"Best")</f>
        <v>Better</v>
      </c>
      <c r="AM785" t="str" cm="1">
        <f t="array" ref="AM785">_xlfn.IFS(W785=0,"No_stock",W785=1,"Low",W785=2,"Medium",W785=3,"High")</f>
        <v>No_stock</v>
      </c>
      <c r="AN785" t="str">
        <f t="shared" si="12"/>
        <v>Medium</v>
      </c>
    </row>
    <row r="786" spans="1:40" x14ac:dyDescent="0.45">
      <c r="A786">
        <v>38</v>
      </c>
      <c r="B786" t="s">
        <v>37</v>
      </c>
      <c r="C786" t="s">
        <v>31</v>
      </c>
      <c r="D786">
        <v>330</v>
      </c>
      <c r="E786" t="s">
        <v>39</v>
      </c>
      <c r="F786">
        <v>17</v>
      </c>
      <c r="G786">
        <v>1</v>
      </c>
      <c r="H786" t="s">
        <v>33</v>
      </c>
      <c r="I786">
        <v>1088</v>
      </c>
      <c r="J786">
        <v>3</v>
      </c>
      <c r="K786" t="s">
        <v>34</v>
      </c>
      <c r="L786">
        <v>2</v>
      </c>
      <c r="M786">
        <v>3</v>
      </c>
      <c r="N786" t="s">
        <v>48</v>
      </c>
      <c r="O786">
        <v>3</v>
      </c>
      <c r="P786" t="s">
        <v>42</v>
      </c>
      <c r="Q786">
        <v>8823</v>
      </c>
      <c r="R786">
        <v>0</v>
      </c>
      <c r="S786" t="s">
        <v>37</v>
      </c>
      <c r="T786">
        <v>18</v>
      </c>
      <c r="U786">
        <v>3</v>
      </c>
      <c r="V786">
        <v>1</v>
      </c>
      <c r="W786">
        <v>1</v>
      </c>
      <c r="X786">
        <v>20</v>
      </c>
      <c r="Y786">
        <v>4</v>
      </c>
      <c r="Z786">
        <v>2</v>
      </c>
      <c r="AA786">
        <v>19</v>
      </c>
      <c r="AB786">
        <v>9</v>
      </c>
      <c r="AC786">
        <v>1</v>
      </c>
      <c r="AD786">
        <v>9</v>
      </c>
      <c r="AE786" t="str" cm="1">
        <f t="array" ref="AE786">_xlfn.IFS(G786=1,"Before College",G786=2,"College",G786=3,"Bachelor",G786=4,"Master",G786=5,"Doctor")</f>
        <v>Before College</v>
      </c>
      <c r="AF786" t="str" cm="1">
        <f t="array" ref="AF786">_xlfn.IFS(J786=1,"Low",J786=2,"Medium",J786=3,"High",J786=4,"Very High")</f>
        <v>High</v>
      </c>
      <c r="AG786" t="str" cm="1">
        <f t="array" ref="AG786">_xlfn.IFS(L786=1,"Low",L786=2,"Medium",L786=3,"High",L786=4,"Very High")</f>
        <v>Medium</v>
      </c>
      <c r="AH786" t="str" cm="1">
        <f t="array" ref="AH786">_xlfn.IFS(M786=1,"Junior employee",M786=2,"Mid-level",M786=3,"Senior",M786=4,"Manager",M786=5,"Executive")</f>
        <v>Senior</v>
      </c>
      <c r="AI786" t="str" cm="1">
        <f t="array" ref="AI786">_xlfn.IFS(O786=1,"Low",O786=2,"Medium",O786=3,"High",O786=4,"Very High")</f>
        <v>High</v>
      </c>
      <c r="AJ786" t="str" cm="1">
        <f t="array" ref="AJ786">_xlfn.IFS(U786=1,"Low",U786=2,"Good",U786=3,"Excellent",U786=4,"Outstanding")</f>
        <v>Excellent</v>
      </c>
      <c r="AK786" t="str" cm="1">
        <f t="array" ref="AK786">_xlfn.IFS(V786=1,"Low",V786=2,"Medium",V786=3,"High",V786=4,"Very High")</f>
        <v>Low</v>
      </c>
      <c r="AL786" t="str" cm="1">
        <f t="array" ref="AL786">_xlfn.IFS(Z786=1,"Bad",Z786=2,"Good",Z786=3,"Better",Z786=4,"Best")</f>
        <v>Good</v>
      </c>
      <c r="AM786" t="str" cm="1">
        <f t="array" ref="AM786">_xlfn.IFS(W786=0,"No_stock",W786=1,"Low",W786=2,"Medium",W786=3,"High")</f>
        <v>Low</v>
      </c>
      <c r="AN786" t="str">
        <f t="shared" si="12"/>
        <v>Far</v>
      </c>
    </row>
    <row r="787" spans="1:40" x14ac:dyDescent="0.45">
      <c r="A787">
        <v>40</v>
      </c>
      <c r="B787" t="s">
        <v>37</v>
      </c>
      <c r="C787" t="s">
        <v>31</v>
      </c>
      <c r="D787">
        <v>1492</v>
      </c>
      <c r="E787" t="s">
        <v>39</v>
      </c>
      <c r="F787">
        <v>20</v>
      </c>
      <c r="G787">
        <v>4</v>
      </c>
      <c r="H787" t="s">
        <v>54</v>
      </c>
      <c r="I787">
        <v>1092</v>
      </c>
      <c r="J787">
        <v>1</v>
      </c>
      <c r="K787" t="s">
        <v>40</v>
      </c>
      <c r="L787">
        <v>3</v>
      </c>
      <c r="M787">
        <v>3</v>
      </c>
      <c r="N787" t="s">
        <v>48</v>
      </c>
      <c r="O787">
        <v>4</v>
      </c>
      <c r="P787" t="s">
        <v>42</v>
      </c>
      <c r="Q787">
        <v>10322</v>
      </c>
      <c r="R787">
        <v>4</v>
      </c>
      <c r="S787" t="s">
        <v>37</v>
      </c>
      <c r="T787">
        <v>20</v>
      </c>
      <c r="U787">
        <v>4</v>
      </c>
      <c r="V787">
        <v>4</v>
      </c>
      <c r="W787">
        <v>1</v>
      </c>
      <c r="X787">
        <v>14</v>
      </c>
      <c r="Y787">
        <v>6</v>
      </c>
      <c r="Z787">
        <v>3</v>
      </c>
      <c r="AA787">
        <v>11</v>
      </c>
      <c r="AB787">
        <v>10</v>
      </c>
      <c r="AC787">
        <v>11</v>
      </c>
      <c r="AD787">
        <v>1</v>
      </c>
      <c r="AE787" t="str" cm="1">
        <f t="array" ref="AE787">_xlfn.IFS(G787=1,"Before College",G787=2,"College",G787=3,"Bachelor",G787=4,"Master",G787=5,"Doctor")</f>
        <v>Master</v>
      </c>
      <c r="AF787" t="str" cm="1">
        <f t="array" ref="AF787">_xlfn.IFS(J787=1,"Low",J787=2,"Medium",J787=3,"High",J787=4,"Very High")</f>
        <v>Low</v>
      </c>
      <c r="AG787" t="str" cm="1">
        <f t="array" ref="AG787">_xlfn.IFS(L787=1,"Low",L787=2,"Medium",L787=3,"High",L787=4,"Very High")</f>
        <v>High</v>
      </c>
      <c r="AH787" t="str" cm="1">
        <f t="array" ref="AH787">_xlfn.IFS(M787=1,"Junior employee",M787=2,"Mid-level",M787=3,"Senior",M787=4,"Manager",M787=5,"Executive")</f>
        <v>Senior</v>
      </c>
      <c r="AI787" t="str" cm="1">
        <f t="array" ref="AI787">_xlfn.IFS(O787=1,"Low",O787=2,"Medium",O787=3,"High",O787=4,"Very High")</f>
        <v>Very High</v>
      </c>
      <c r="AJ787" t="str" cm="1">
        <f t="array" ref="AJ787">_xlfn.IFS(U787=1,"Low",U787=2,"Good",U787=3,"Excellent",U787=4,"Outstanding")</f>
        <v>Outstanding</v>
      </c>
      <c r="AK787" t="str" cm="1">
        <f t="array" ref="AK787">_xlfn.IFS(V787=1,"Low",V787=2,"Medium",V787=3,"High",V787=4,"Very High")</f>
        <v>Very High</v>
      </c>
      <c r="AL787" t="str" cm="1">
        <f t="array" ref="AL787">_xlfn.IFS(Z787=1,"Bad",Z787=2,"Good",Z787=3,"Better",Z787=4,"Best")</f>
        <v>Better</v>
      </c>
      <c r="AM787" t="str" cm="1">
        <f t="array" ref="AM787">_xlfn.IFS(W787=0,"No_stock",W787=1,"Low",W787=2,"Medium",W787=3,"High")</f>
        <v>Low</v>
      </c>
      <c r="AN787" t="str">
        <f t="shared" si="12"/>
        <v>Far</v>
      </c>
    </row>
    <row r="788" spans="1:40" x14ac:dyDescent="0.45">
      <c r="A788">
        <v>27</v>
      </c>
      <c r="B788" t="s">
        <v>37</v>
      </c>
      <c r="C788" t="s">
        <v>49</v>
      </c>
      <c r="D788">
        <v>1277</v>
      </c>
      <c r="E788" t="s">
        <v>39</v>
      </c>
      <c r="F788">
        <v>8</v>
      </c>
      <c r="G788">
        <v>5</v>
      </c>
      <c r="H788" t="s">
        <v>33</v>
      </c>
      <c r="I788">
        <v>1094</v>
      </c>
      <c r="J788">
        <v>1</v>
      </c>
      <c r="K788" t="s">
        <v>40</v>
      </c>
      <c r="L788">
        <v>1</v>
      </c>
      <c r="M788">
        <v>1</v>
      </c>
      <c r="N788" t="s">
        <v>44</v>
      </c>
      <c r="O788">
        <v>3</v>
      </c>
      <c r="P788" t="s">
        <v>42</v>
      </c>
      <c r="Q788">
        <v>4621</v>
      </c>
      <c r="R788">
        <v>1</v>
      </c>
      <c r="S788" t="s">
        <v>37</v>
      </c>
      <c r="T788">
        <v>19</v>
      </c>
      <c r="U788">
        <v>3</v>
      </c>
      <c r="V788">
        <v>4</v>
      </c>
      <c r="W788">
        <v>3</v>
      </c>
      <c r="X788">
        <v>3</v>
      </c>
      <c r="Y788">
        <v>4</v>
      </c>
      <c r="Z788">
        <v>3</v>
      </c>
      <c r="AA788">
        <v>3</v>
      </c>
      <c r="AB788">
        <v>2</v>
      </c>
      <c r="AC788">
        <v>1</v>
      </c>
      <c r="AD788">
        <v>2</v>
      </c>
      <c r="AE788" t="str" cm="1">
        <f t="array" ref="AE788">_xlfn.IFS(G788=1,"Before College",G788=2,"College",G788=3,"Bachelor",G788=4,"Master",G788=5,"Doctor")</f>
        <v>Doctor</v>
      </c>
      <c r="AF788" t="str" cm="1">
        <f t="array" ref="AF788">_xlfn.IFS(J788=1,"Low",J788=2,"Medium",J788=3,"High",J788=4,"Very High")</f>
        <v>Low</v>
      </c>
      <c r="AG788" t="str" cm="1">
        <f t="array" ref="AG788">_xlfn.IFS(L788=1,"Low",L788=2,"Medium",L788=3,"High",L788=4,"Very High")</f>
        <v>Low</v>
      </c>
      <c r="AH788" t="str" cm="1">
        <f t="array" ref="AH788">_xlfn.IFS(M788=1,"Junior employee",M788=2,"Mid-level",M788=3,"Senior",M788=4,"Manager",M788=5,"Executive")</f>
        <v>Junior employee</v>
      </c>
      <c r="AI788" t="str" cm="1">
        <f t="array" ref="AI788">_xlfn.IFS(O788=1,"Low",O788=2,"Medium",O788=3,"High",O788=4,"Very High")</f>
        <v>High</v>
      </c>
      <c r="AJ788" t="str" cm="1">
        <f t="array" ref="AJ788">_xlfn.IFS(U788=1,"Low",U788=2,"Good",U788=3,"Excellent",U788=4,"Outstanding")</f>
        <v>Excellent</v>
      </c>
      <c r="AK788" t="str" cm="1">
        <f t="array" ref="AK788">_xlfn.IFS(V788=1,"Low",V788=2,"Medium",V788=3,"High",V788=4,"Very High")</f>
        <v>Very High</v>
      </c>
      <c r="AL788" t="str" cm="1">
        <f t="array" ref="AL788">_xlfn.IFS(Z788=1,"Bad",Z788=2,"Good",Z788=3,"Better",Z788=4,"Best")</f>
        <v>Better</v>
      </c>
      <c r="AM788" t="str" cm="1">
        <f t="array" ref="AM788">_xlfn.IFS(W788=0,"No_stock",W788=1,"Low",W788=2,"Medium",W788=3,"High")</f>
        <v>High</v>
      </c>
      <c r="AN788" t="str">
        <f t="shared" si="12"/>
        <v>Medium</v>
      </c>
    </row>
    <row r="789" spans="1:40" x14ac:dyDescent="0.45">
      <c r="A789">
        <v>55</v>
      </c>
      <c r="B789" t="s">
        <v>37</v>
      </c>
      <c r="C789" t="s">
        <v>38</v>
      </c>
      <c r="D789">
        <v>1091</v>
      </c>
      <c r="E789" t="s">
        <v>39</v>
      </c>
      <c r="F789">
        <v>2</v>
      </c>
      <c r="G789">
        <v>1</v>
      </c>
      <c r="H789" t="s">
        <v>33</v>
      </c>
      <c r="I789">
        <v>1096</v>
      </c>
      <c r="J789">
        <v>4</v>
      </c>
      <c r="K789" t="s">
        <v>40</v>
      </c>
      <c r="L789">
        <v>3</v>
      </c>
      <c r="M789">
        <v>3</v>
      </c>
      <c r="N789" t="s">
        <v>47</v>
      </c>
      <c r="O789">
        <v>2</v>
      </c>
      <c r="P789" t="s">
        <v>42</v>
      </c>
      <c r="Q789">
        <v>10976</v>
      </c>
      <c r="R789">
        <v>3</v>
      </c>
      <c r="S789" t="s">
        <v>37</v>
      </c>
      <c r="T789">
        <v>18</v>
      </c>
      <c r="U789">
        <v>3</v>
      </c>
      <c r="V789">
        <v>2</v>
      </c>
      <c r="W789">
        <v>1</v>
      </c>
      <c r="X789">
        <v>23</v>
      </c>
      <c r="Y789">
        <v>4</v>
      </c>
      <c r="Z789">
        <v>3</v>
      </c>
      <c r="AA789">
        <v>3</v>
      </c>
      <c r="AB789">
        <v>2</v>
      </c>
      <c r="AC789">
        <v>1</v>
      </c>
      <c r="AD789">
        <v>2</v>
      </c>
      <c r="AE789" t="str" cm="1">
        <f t="array" ref="AE789">_xlfn.IFS(G789=1,"Before College",G789=2,"College",G789=3,"Bachelor",G789=4,"Master",G789=5,"Doctor")</f>
        <v>Before College</v>
      </c>
      <c r="AF789" t="str" cm="1">
        <f t="array" ref="AF789">_xlfn.IFS(J789=1,"Low",J789=2,"Medium",J789=3,"High",J789=4,"Very High")</f>
        <v>Very High</v>
      </c>
      <c r="AG789" t="str" cm="1">
        <f t="array" ref="AG789">_xlfn.IFS(L789=1,"Low",L789=2,"Medium",L789=3,"High",L789=4,"Very High")</f>
        <v>High</v>
      </c>
      <c r="AH789" t="str" cm="1">
        <f t="array" ref="AH789">_xlfn.IFS(M789=1,"Junior employee",M789=2,"Mid-level",M789=3,"Senior",M789=4,"Manager",M789=5,"Executive")</f>
        <v>Senior</v>
      </c>
      <c r="AI789" t="str" cm="1">
        <f t="array" ref="AI789">_xlfn.IFS(O789=1,"Low",O789=2,"Medium",O789=3,"High",O789=4,"Very High")</f>
        <v>Medium</v>
      </c>
      <c r="AJ789" t="str" cm="1">
        <f t="array" ref="AJ789">_xlfn.IFS(U789=1,"Low",U789=2,"Good",U789=3,"Excellent",U789=4,"Outstanding")</f>
        <v>Excellent</v>
      </c>
      <c r="AK789" t="str" cm="1">
        <f t="array" ref="AK789">_xlfn.IFS(V789=1,"Low",V789=2,"Medium",V789=3,"High",V789=4,"Very High")</f>
        <v>Medium</v>
      </c>
      <c r="AL789" t="str" cm="1">
        <f t="array" ref="AL789">_xlfn.IFS(Z789=1,"Bad",Z789=2,"Good",Z789=3,"Better",Z789=4,"Best")</f>
        <v>Better</v>
      </c>
      <c r="AM789" t="str" cm="1">
        <f t="array" ref="AM789">_xlfn.IFS(W789=0,"No_stock",W789=1,"Low",W789=2,"Medium",W789=3,"High")</f>
        <v>Low</v>
      </c>
      <c r="AN789" t="str">
        <f t="shared" si="12"/>
        <v>Near</v>
      </c>
    </row>
    <row r="790" spans="1:40" x14ac:dyDescent="0.45">
      <c r="A790">
        <v>28</v>
      </c>
      <c r="B790" t="s">
        <v>37</v>
      </c>
      <c r="C790" t="s">
        <v>31</v>
      </c>
      <c r="D790">
        <v>857</v>
      </c>
      <c r="E790" t="s">
        <v>39</v>
      </c>
      <c r="F790">
        <v>10</v>
      </c>
      <c r="G790">
        <v>3</v>
      </c>
      <c r="H790" t="s">
        <v>43</v>
      </c>
      <c r="I790">
        <v>1097</v>
      </c>
      <c r="J790">
        <v>3</v>
      </c>
      <c r="K790" t="s">
        <v>34</v>
      </c>
      <c r="L790">
        <v>3</v>
      </c>
      <c r="M790">
        <v>2</v>
      </c>
      <c r="N790" t="s">
        <v>41</v>
      </c>
      <c r="O790">
        <v>3</v>
      </c>
      <c r="P790" t="s">
        <v>36</v>
      </c>
      <c r="Q790">
        <v>3660</v>
      </c>
      <c r="R790">
        <v>3</v>
      </c>
      <c r="S790" t="s">
        <v>37</v>
      </c>
      <c r="T790">
        <v>13</v>
      </c>
      <c r="U790">
        <v>3</v>
      </c>
      <c r="V790">
        <v>4</v>
      </c>
      <c r="W790">
        <v>0</v>
      </c>
      <c r="X790">
        <v>10</v>
      </c>
      <c r="Y790">
        <v>4</v>
      </c>
      <c r="Z790">
        <v>4</v>
      </c>
      <c r="AA790">
        <v>8</v>
      </c>
      <c r="AB790">
        <v>7</v>
      </c>
      <c r="AC790">
        <v>1</v>
      </c>
      <c r="AD790">
        <v>7</v>
      </c>
      <c r="AE790" t="str" cm="1">
        <f t="array" ref="AE790">_xlfn.IFS(G790=1,"Before College",G790=2,"College",G790=3,"Bachelor",G790=4,"Master",G790=5,"Doctor")</f>
        <v>Bachelor</v>
      </c>
      <c r="AF790" t="str" cm="1">
        <f t="array" ref="AF790">_xlfn.IFS(J790=1,"Low",J790=2,"Medium",J790=3,"High",J790=4,"Very High")</f>
        <v>High</v>
      </c>
      <c r="AG790" t="str" cm="1">
        <f t="array" ref="AG790">_xlfn.IFS(L790=1,"Low",L790=2,"Medium",L790=3,"High",L790=4,"Very High")</f>
        <v>High</v>
      </c>
      <c r="AH790" t="str" cm="1">
        <f t="array" ref="AH790">_xlfn.IFS(M790=1,"Junior employee",M790=2,"Mid-level",M790=3,"Senior",M790=4,"Manager",M790=5,"Executive")</f>
        <v>Mid-level</v>
      </c>
      <c r="AI790" t="str" cm="1">
        <f t="array" ref="AI790">_xlfn.IFS(O790=1,"Low",O790=2,"Medium",O790=3,"High",O790=4,"Very High")</f>
        <v>High</v>
      </c>
      <c r="AJ790" t="str" cm="1">
        <f t="array" ref="AJ790">_xlfn.IFS(U790=1,"Low",U790=2,"Good",U790=3,"Excellent",U790=4,"Outstanding")</f>
        <v>Excellent</v>
      </c>
      <c r="AK790" t="str" cm="1">
        <f t="array" ref="AK790">_xlfn.IFS(V790=1,"Low",V790=2,"Medium",V790=3,"High",V790=4,"Very High")</f>
        <v>Very High</v>
      </c>
      <c r="AL790" t="str" cm="1">
        <f t="array" ref="AL790">_xlfn.IFS(Z790=1,"Bad",Z790=2,"Good",Z790=3,"Better",Z790=4,"Best")</f>
        <v>Best</v>
      </c>
      <c r="AM790" t="str" cm="1">
        <f t="array" ref="AM790">_xlfn.IFS(W790=0,"No_stock",W790=1,"Low",W790=2,"Medium",W790=3,"High")</f>
        <v>No_stock</v>
      </c>
      <c r="AN790" t="str">
        <f t="shared" si="12"/>
        <v>Medium</v>
      </c>
    </row>
    <row r="791" spans="1:40" x14ac:dyDescent="0.45">
      <c r="A791">
        <v>44</v>
      </c>
      <c r="B791" t="s">
        <v>30</v>
      </c>
      <c r="C791" t="s">
        <v>31</v>
      </c>
      <c r="D791">
        <v>1376</v>
      </c>
      <c r="E791" t="s">
        <v>55</v>
      </c>
      <c r="F791">
        <v>1</v>
      </c>
      <c r="G791">
        <v>2</v>
      </c>
      <c r="H791" t="s">
        <v>45</v>
      </c>
      <c r="I791">
        <v>1098</v>
      </c>
      <c r="J791">
        <v>2</v>
      </c>
      <c r="K791" t="s">
        <v>40</v>
      </c>
      <c r="L791">
        <v>2</v>
      </c>
      <c r="M791">
        <v>3</v>
      </c>
      <c r="N791" t="s">
        <v>55</v>
      </c>
      <c r="O791">
        <v>1</v>
      </c>
      <c r="P791" t="s">
        <v>42</v>
      </c>
      <c r="Q791">
        <v>10482</v>
      </c>
      <c r="R791">
        <v>9</v>
      </c>
      <c r="S791" t="s">
        <v>37</v>
      </c>
      <c r="T791">
        <v>14</v>
      </c>
      <c r="U791">
        <v>3</v>
      </c>
      <c r="V791">
        <v>4</v>
      </c>
      <c r="W791">
        <v>1</v>
      </c>
      <c r="X791">
        <v>24</v>
      </c>
      <c r="Y791">
        <v>1</v>
      </c>
      <c r="Z791">
        <v>3</v>
      </c>
      <c r="AA791">
        <v>20</v>
      </c>
      <c r="AB791">
        <v>6</v>
      </c>
      <c r="AC791">
        <v>3</v>
      </c>
      <c r="AD791">
        <v>6</v>
      </c>
      <c r="AE791" t="str" cm="1">
        <f t="array" ref="AE791">_xlfn.IFS(G791=1,"Before College",G791=2,"College",G791=3,"Bachelor",G791=4,"Master",G791=5,"Doctor")</f>
        <v>College</v>
      </c>
      <c r="AF791" t="str" cm="1">
        <f t="array" ref="AF791">_xlfn.IFS(J791=1,"Low",J791=2,"Medium",J791=3,"High",J791=4,"Very High")</f>
        <v>Medium</v>
      </c>
      <c r="AG791" t="str" cm="1">
        <f t="array" ref="AG791">_xlfn.IFS(L791=1,"Low",L791=2,"Medium",L791=3,"High",L791=4,"Very High")</f>
        <v>Medium</v>
      </c>
      <c r="AH791" t="str" cm="1">
        <f t="array" ref="AH791">_xlfn.IFS(M791=1,"Junior employee",M791=2,"Mid-level",M791=3,"Senior",M791=4,"Manager",M791=5,"Executive")</f>
        <v>Senior</v>
      </c>
      <c r="AI791" t="str" cm="1">
        <f t="array" ref="AI791">_xlfn.IFS(O791=1,"Low",O791=2,"Medium",O791=3,"High",O791=4,"Very High")</f>
        <v>Low</v>
      </c>
      <c r="AJ791" t="str" cm="1">
        <f t="array" ref="AJ791">_xlfn.IFS(U791=1,"Low",U791=2,"Good",U791=3,"Excellent",U791=4,"Outstanding")</f>
        <v>Excellent</v>
      </c>
      <c r="AK791" t="str" cm="1">
        <f t="array" ref="AK791">_xlfn.IFS(V791=1,"Low",V791=2,"Medium",V791=3,"High",V791=4,"Very High")</f>
        <v>Very High</v>
      </c>
      <c r="AL791" t="str" cm="1">
        <f t="array" ref="AL791">_xlfn.IFS(Z791=1,"Bad",Z791=2,"Good",Z791=3,"Better",Z791=4,"Best")</f>
        <v>Better</v>
      </c>
      <c r="AM791" t="str" cm="1">
        <f t="array" ref="AM791">_xlfn.IFS(W791=0,"No_stock",W791=1,"Low",W791=2,"Medium",W791=3,"High")</f>
        <v>Low</v>
      </c>
      <c r="AN791" t="str">
        <f t="shared" si="12"/>
        <v>Near</v>
      </c>
    </row>
    <row r="792" spans="1:40" x14ac:dyDescent="0.45">
      <c r="A792">
        <v>33</v>
      </c>
      <c r="B792" t="s">
        <v>37</v>
      </c>
      <c r="C792" t="s">
        <v>31</v>
      </c>
      <c r="D792">
        <v>654</v>
      </c>
      <c r="E792" t="s">
        <v>39</v>
      </c>
      <c r="F792">
        <v>5</v>
      </c>
      <c r="G792">
        <v>3</v>
      </c>
      <c r="H792" t="s">
        <v>33</v>
      </c>
      <c r="I792">
        <v>1099</v>
      </c>
      <c r="J792">
        <v>4</v>
      </c>
      <c r="K792" t="s">
        <v>40</v>
      </c>
      <c r="L792">
        <v>2</v>
      </c>
      <c r="M792">
        <v>3</v>
      </c>
      <c r="N792" t="s">
        <v>48</v>
      </c>
      <c r="O792">
        <v>4</v>
      </c>
      <c r="P792" t="s">
        <v>46</v>
      </c>
      <c r="Q792">
        <v>7119</v>
      </c>
      <c r="R792">
        <v>4</v>
      </c>
      <c r="S792" t="s">
        <v>37</v>
      </c>
      <c r="T792">
        <v>15</v>
      </c>
      <c r="U792">
        <v>3</v>
      </c>
      <c r="V792">
        <v>3</v>
      </c>
      <c r="W792">
        <v>1</v>
      </c>
      <c r="X792">
        <v>9</v>
      </c>
      <c r="Y792">
        <v>2</v>
      </c>
      <c r="Z792">
        <v>3</v>
      </c>
      <c r="AA792">
        <v>3</v>
      </c>
      <c r="AB792">
        <v>2</v>
      </c>
      <c r="AC792">
        <v>1</v>
      </c>
      <c r="AD792">
        <v>2</v>
      </c>
      <c r="AE792" t="str" cm="1">
        <f t="array" ref="AE792">_xlfn.IFS(G792=1,"Before College",G792=2,"College",G792=3,"Bachelor",G792=4,"Master",G792=5,"Doctor")</f>
        <v>Bachelor</v>
      </c>
      <c r="AF792" t="str" cm="1">
        <f t="array" ref="AF792">_xlfn.IFS(J792=1,"Low",J792=2,"Medium",J792=3,"High",J792=4,"Very High")</f>
        <v>Very High</v>
      </c>
      <c r="AG792" t="str" cm="1">
        <f t="array" ref="AG792">_xlfn.IFS(L792=1,"Low",L792=2,"Medium",L792=3,"High",L792=4,"Very High")</f>
        <v>Medium</v>
      </c>
      <c r="AH792" t="str" cm="1">
        <f t="array" ref="AH792">_xlfn.IFS(M792=1,"Junior employee",M792=2,"Mid-level",M792=3,"Senior",M792=4,"Manager",M792=5,"Executive")</f>
        <v>Senior</v>
      </c>
      <c r="AI792" t="str" cm="1">
        <f t="array" ref="AI792">_xlfn.IFS(O792=1,"Low",O792=2,"Medium",O792=3,"High",O792=4,"Very High")</f>
        <v>Very High</v>
      </c>
      <c r="AJ792" t="str" cm="1">
        <f t="array" ref="AJ792">_xlfn.IFS(U792=1,"Low",U792=2,"Good",U792=3,"Excellent",U792=4,"Outstanding")</f>
        <v>Excellent</v>
      </c>
      <c r="AK792" t="str" cm="1">
        <f t="array" ref="AK792">_xlfn.IFS(V792=1,"Low",V792=2,"Medium",V792=3,"High",V792=4,"Very High")</f>
        <v>High</v>
      </c>
      <c r="AL792" t="str" cm="1">
        <f t="array" ref="AL792">_xlfn.IFS(Z792=1,"Bad",Z792=2,"Good",Z792=3,"Better",Z792=4,"Best")</f>
        <v>Better</v>
      </c>
      <c r="AM792" t="str" cm="1">
        <f t="array" ref="AM792">_xlfn.IFS(W792=0,"No_stock",W792=1,"Low",W792=2,"Medium",W792=3,"High")</f>
        <v>Low</v>
      </c>
      <c r="AN792" t="str">
        <f t="shared" si="12"/>
        <v>Near</v>
      </c>
    </row>
    <row r="793" spans="1:40" x14ac:dyDescent="0.45">
      <c r="A793">
        <v>35</v>
      </c>
      <c r="B793" t="s">
        <v>30</v>
      </c>
      <c r="C793" t="s">
        <v>31</v>
      </c>
      <c r="D793">
        <v>1204</v>
      </c>
      <c r="E793" t="s">
        <v>32</v>
      </c>
      <c r="F793">
        <v>4</v>
      </c>
      <c r="G793">
        <v>3</v>
      </c>
      <c r="H793" t="s">
        <v>54</v>
      </c>
      <c r="I793">
        <v>1100</v>
      </c>
      <c r="J793">
        <v>4</v>
      </c>
      <c r="K793" t="s">
        <v>40</v>
      </c>
      <c r="L793">
        <v>3</v>
      </c>
      <c r="M793">
        <v>3</v>
      </c>
      <c r="N793" t="s">
        <v>35</v>
      </c>
      <c r="O793">
        <v>1</v>
      </c>
      <c r="P793" t="s">
        <v>36</v>
      </c>
      <c r="Q793">
        <v>9582</v>
      </c>
      <c r="R793">
        <v>0</v>
      </c>
      <c r="S793" t="s">
        <v>30</v>
      </c>
      <c r="T793">
        <v>22</v>
      </c>
      <c r="U793">
        <v>4</v>
      </c>
      <c r="V793">
        <v>1</v>
      </c>
      <c r="W793">
        <v>0</v>
      </c>
      <c r="X793">
        <v>9</v>
      </c>
      <c r="Y793">
        <v>2</v>
      </c>
      <c r="Z793">
        <v>3</v>
      </c>
      <c r="AA793">
        <v>8</v>
      </c>
      <c r="AB793">
        <v>7</v>
      </c>
      <c r="AC793">
        <v>4</v>
      </c>
      <c r="AD793">
        <v>7</v>
      </c>
      <c r="AE793" t="str" cm="1">
        <f t="array" ref="AE793">_xlfn.IFS(G793=1,"Before College",G793=2,"College",G793=3,"Bachelor",G793=4,"Master",G793=5,"Doctor")</f>
        <v>Bachelor</v>
      </c>
      <c r="AF793" t="str" cm="1">
        <f t="array" ref="AF793">_xlfn.IFS(J793=1,"Low",J793=2,"Medium",J793=3,"High",J793=4,"Very High")</f>
        <v>Very High</v>
      </c>
      <c r="AG793" t="str" cm="1">
        <f t="array" ref="AG793">_xlfn.IFS(L793=1,"Low",L793=2,"Medium",L793=3,"High",L793=4,"Very High")</f>
        <v>High</v>
      </c>
      <c r="AH793" t="str" cm="1">
        <f t="array" ref="AH793">_xlfn.IFS(M793=1,"Junior employee",M793=2,"Mid-level",M793=3,"Senior",M793=4,"Manager",M793=5,"Executive")</f>
        <v>Senior</v>
      </c>
      <c r="AI793" t="str" cm="1">
        <f t="array" ref="AI793">_xlfn.IFS(O793=1,"Low",O793=2,"Medium",O793=3,"High",O793=4,"Very High")</f>
        <v>Low</v>
      </c>
      <c r="AJ793" t="str" cm="1">
        <f t="array" ref="AJ793">_xlfn.IFS(U793=1,"Low",U793=2,"Good",U793=3,"Excellent",U793=4,"Outstanding")</f>
        <v>Outstanding</v>
      </c>
      <c r="AK793" t="str" cm="1">
        <f t="array" ref="AK793">_xlfn.IFS(V793=1,"Low",V793=2,"Medium",V793=3,"High",V793=4,"Very High")</f>
        <v>Low</v>
      </c>
      <c r="AL793" t="str" cm="1">
        <f t="array" ref="AL793">_xlfn.IFS(Z793=1,"Bad",Z793=2,"Good",Z793=3,"Better",Z793=4,"Best")</f>
        <v>Better</v>
      </c>
      <c r="AM793" t="str" cm="1">
        <f t="array" ref="AM793">_xlfn.IFS(W793=0,"No_stock",W793=1,"Low",W793=2,"Medium",W793=3,"High")</f>
        <v>No_stock</v>
      </c>
      <c r="AN793" t="str">
        <f t="shared" si="12"/>
        <v>Near</v>
      </c>
    </row>
    <row r="794" spans="1:40" x14ac:dyDescent="0.45">
      <c r="A794">
        <v>33</v>
      </c>
      <c r="B794" t="s">
        <v>30</v>
      </c>
      <c r="C794" t="s">
        <v>38</v>
      </c>
      <c r="D794">
        <v>827</v>
      </c>
      <c r="E794" t="s">
        <v>39</v>
      </c>
      <c r="F794">
        <v>29</v>
      </c>
      <c r="G794">
        <v>4</v>
      </c>
      <c r="H794" t="s">
        <v>45</v>
      </c>
      <c r="I794">
        <v>1101</v>
      </c>
      <c r="J794">
        <v>1</v>
      </c>
      <c r="K794" t="s">
        <v>34</v>
      </c>
      <c r="L794">
        <v>2</v>
      </c>
      <c r="M794">
        <v>2</v>
      </c>
      <c r="N794" t="s">
        <v>41</v>
      </c>
      <c r="O794">
        <v>3</v>
      </c>
      <c r="P794" t="s">
        <v>36</v>
      </c>
      <c r="Q794">
        <v>4508</v>
      </c>
      <c r="R794">
        <v>1</v>
      </c>
      <c r="S794" t="s">
        <v>37</v>
      </c>
      <c r="T794">
        <v>22</v>
      </c>
      <c r="U794">
        <v>4</v>
      </c>
      <c r="V794">
        <v>2</v>
      </c>
      <c r="W794">
        <v>0</v>
      </c>
      <c r="X794">
        <v>14</v>
      </c>
      <c r="Y794">
        <v>4</v>
      </c>
      <c r="Z794">
        <v>3</v>
      </c>
      <c r="AA794">
        <v>13</v>
      </c>
      <c r="AB794">
        <v>7</v>
      </c>
      <c r="AC794">
        <v>3</v>
      </c>
      <c r="AD794">
        <v>8</v>
      </c>
      <c r="AE794" t="str" cm="1">
        <f t="array" ref="AE794">_xlfn.IFS(G794=1,"Before College",G794=2,"College",G794=3,"Bachelor",G794=4,"Master",G794=5,"Doctor")</f>
        <v>Master</v>
      </c>
      <c r="AF794" t="str" cm="1">
        <f t="array" ref="AF794">_xlfn.IFS(J794=1,"Low",J794=2,"Medium",J794=3,"High",J794=4,"Very High")</f>
        <v>Low</v>
      </c>
      <c r="AG794" t="str" cm="1">
        <f t="array" ref="AG794">_xlfn.IFS(L794=1,"Low",L794=2,"Medium",L794=3,"High",L794=4,"Very High")</f>
        <v>Medium</v>
      </c>
      <c r="AH794" t="str" cm="1">
        <f t="array" ref="AH794">_xlfn.IFS(M794=1,"Junior employee",M794=2,"Mid-level",M794=3,"Senior",M794=4,"Manager",M794=5,"Executive")</f>
        <v>Mid-level</v>
      </c>
      <c r="AI794" t="str" cm="1">
        <f t="array" ref="AI794">_xlfn.IFS(O794=1,"Low",O794=2,"Medium",O794=3,"High",O794=4,"Very High")</f>
        <v>High</v>
      </c>
      <c r="AJ794" t="str" cm="1">
        <f t="array" ref="AJ794">_xlfn.IFS(U794=1,"Low",U794=2,"Good",U794=3,"Excellent",U794=4,"Outstanding")</f>
        <v>Outstanding</v>
      </c>
      <c r="AK794" t="str" cm="1">
        <f t="array" ref="AK794">_xlfn.IFS(V794=1,"Low",V794=2,"Medium",V794=3,"High",V794=4,"Very High")</f>
        <v>Medium</v>
      </c>
      <c r="AL794" t="str" cm="1">
        <f t="array" ref="AL794">_xlfn.IFS(Z794=1,"Bad",Z794=2,"Good",Z794=3,"Better",Z794=4,"Best")</f>
        <v>Better</v>
      </c>
      <c r="AM794" t="str" cm="1">
        <f t="array" ref="AM794">_xlfn.IFS(W794=0,"No_stock",W794=1,"Low",W794=2,"Medium",W794=3,"High")</f>
        <v>No_stock</v>
      </c>
      <c r="AN794" t="str">
        <f t="shared" si="12"/>
        <v>Far</v>
      </c>
    </row>
    <row r="795" spans="1:40" x14ac:dyDescent="0.45">
      <c r="A795">
        <v>28</v>
      </c>
      <c r="B795" t="s">
        <v>37</v>
      </c>
      <c r="C795" t="s">
        <v>31</v>
      </c>
      <c r="D795">
        <v>895</v>
      </c>
      <c r="E795" t="s">
        <v>39</v>
      </c>
      <c r="F795">
        <v>15</v>
      </c>
      <c r="G795">
        <v>2</v>
      </c>
      <c r="H795" t="s">
        <v>33</v>
      </c>
      <c r="I795">
        <v>1102</v>
      </c>
      <c r="J795">
        <v>1</v>
      </c>
      <c r="K795" t="s">
        <v>40</v>
      </c>
      <c r="L795">
        <v>3</v>
      </c>
      <c r="M795">
        <v>1</v>
      </c>
      <c r="N795" t="s">
        <v>44</v>
      </c>
      <c r="O795">
        <v>3</v>
      </c>
      <c r="P795" t="s">
        <v>46</v>
      </c>
      <c r="Q795">
        <v>2207</v>
      </c>
      <c r="R795">
        <v>1</v>
      </c>
      <c r="S795" t="s">
        <v>37</v>
      </c>
      <c r="T795">
        <v>16</v>
      </c>
      <c r="U795">
        <v>3</v>
      </c>
      <c r="V795">
        <v>4</v>
      </c>
      <c r="W795">
        <v>1</v>
      </c>
      <c r="X795">
        <v>4</v>
      </c>
      <c r="Y795">
        <v>5</v>
      </c>
      <c r="Z795">
        <v>2</v>
      </c>
      <c r="AA795">
        <v>4</v>
      </c>
      <c r="AB795">
        <v>2</v>
      </c>
      <c r="AC795">
        <v>2</v>
      </c>
      <c r="AD795">
        <v>2</v>
      </c>
      <c r="AE795" t="str" cm="1">
        <f t="array" ref="AE795">_xlfn.IFS(G795=1,"Before College",G795=2,"College",G795=3,"Bachelor",G795=4,"Master",G795=5,"Doctor")</f>
        <v>College</v>
      </c>
      <c r="AF795" t="str" cm="1">
        <f t="array" ref="AF795">_xlfn.IFS(J795=1,"Low",J795=2,"Medium",J795=3,"High",J795=4,"Very High")</f>
        <v>Low</v>
      </c>
      <c r="AG795" t="str" cm="1">
        <f t="array" ref="AG795">_xlfn.IFS(L795=1,"Low",L795=2,"Medium",L795=3,"High",L795=4,"Very High")</f>
        <v>High</v>
      </c>
      <c r="AH795" t="str" cm="1">
        <f t="array" ref="AH795">_xlfn.IFS(M795=1,"Junior employee",M795=2,"Mid-level",M795=3,"Senior",M795=4,"Manager",M795=5,"Executive")</f>
        <v>Junior employee</v>
      </c>
      <c r="AI795" t="str" cm="1">
        <f t="array" ref="AI795">_xlfn.IFS(O795=1,"Low",O795=2,"Medium",O795=3,"High",O795=4,"Very High")</f>
        <v>High</v>
      </c>
      <c r="AJ795" t="str" cm="1">
        <f t="array" ref="AJ795">_xlfn.IFS(U795=1,"Low",U795=2,"Good",U795=3,"Excellent",U795=4,"Outstanding")</f>
        <v>Excellent</v>
      </c>
      <c r="AK795" t="str" cm="1">
        <f t="array" ref="AK795">_xlfn.IFS(V795=1,"Low",V795=2,"Medium",V795=3,"High",V795=4,"Very High")</f>
        <v>Very High</v>
      </c>
      <c r="AL795" t="str" cm="1">
        <f t="array" ref="AL795">_xlfn.IFS(Z795=1,"Bad",Z795=2,"Good",Z795=3,"Better",Z795=4,"Best")</f>
        <v>Good</v>
      </c>
      <c r="AM795" t="str" cm="1">
        <f t="array" ref="AM795">_xlfn.IFS(W795=0,"No_stock",W795=1,"Low",W795=2,"Medium",W795=3,"High")</f>
        <v>Low</v>
      </c>
      <c r="AN795" t="str">
        <f t="shared" si="12"/>
        <v>Medium</v>
      </c>
    </row>
    <row r="796" spans="1:40" x14ac:dyDescent="0.45">
      <c r="A796">
        <v>34</v>
      </c>
      <c r="B796" t="s">
        <v>37</v>
      </c>
      <c r="C796" t="s">
        <v>38</v>
      </c>
      <c r="D796">
        <v>618</v>
      </c>
      <c r="E796" t="s">
        <v>39</v>
      </c>
      <c r="F796">
        <v>3</v>
      </c>
      <c r="G796">
        <v>1</v>
      </c>
      <c r="H796" t="s">
        <v>33</v>
      </c>
      <c r="I796">
        <v>1103</v>
      </c>
      <c r="J796">
        <v>1</v>
      </c>
      <c r="K796" t="s">
        <v>40</v>
      </c>
      <c r="L796">
        <v>3</v>
      </c>
      <c r="M796">
        <v>2</v>
      </c>
      <c r="N796" t="s">
        <v>48</v>
      </c>
      <c r="O796">
        <v>4</v>
      </c>
      <c r="P796" t="s">
        <v>36</v>
      </c>
      <c r="Q796">
        <v>7756</v>
      </c>
      <c r="R796">
        <v>0</v>
      </c>
      <c r="S796" t="s">
        <v>37</v>
      </c>
      <c r="T796">
        <v>17</v>
      </c>
      <c r="U796">
        <v>3</v>
      </c>
      <c r="V796">
        <v>3</v>
      </c>
      <c r="W796">
        <v>0</v>
      </c>
      <c r="X796">
        <v>7</v>
      </c>
      <c r="Y796">
        <v>1</v>
      </c>
      <c r="Z796">
        <v>2</v>
      </c>
      <c r="AA796">
        <v>6</v>
      </c>
      <c r="AB796">
        <v>2</v>
      </c>
      <c r="AC796">
        <v>0</v>
      </c>
      <c r="AD796">
        <v>4</v>
      </c>
      <c r="AE796" t="str" cm="1">
        <f t="array" ref="AE796">_xlfn.IFS(G796=1,"Before College",G796=2,"College",G796=3,"Bachelor",G796=4,"Master",G796=5,"Doctor")</f>
        <v>Before College</v>
      </c>
      <c r="AF796" t="str" cm="1">
        <f t="array" ref="AF796">_xlfn.IFS(J796=1,"Low",J796=2,"Medium",J796=3,"High",J796=4,"Very High")</f>
        <v>Low</v>
      </c>
      <c r="AG796" t="str" cm="1">
        <f t="array" ref="AG796">_xlfn.IFS(L796=1,"Low",L796=2,"Medium",L796=3,"High",L796=4,"Very High")</f>
        <v>High</v>
      </c>
      <c r="AH796" t="str" cm="1">
        <f t="array" ref="AH796">_xlfn.IFS(M796=1,"Junior employee",M796=2,"Mid-level",M796=3,"Senior",M796=4,"Manager",M796=5,"Executive")</f>
        <v>Mid-level</v>
      </c>
      <c r="AI796" t="str" cm="1">
        <f t="array" ref="AI796">_xlfn.IFS(O796=1,"Low",O796=2,"Medium",O796=3,"High",O796=4,"Very High")</f>
        <v>Very High</v>
      </c>
      <c r="AJ796" t="str" cm="1">
        <f t="array" ref="AJ796">_xlfn.IFS(U796=1,"Low",U796=2,"Good",U796=3,"Excellent",U796=4,"Outstanding")</f>
        <v>Excellent</v>
      </c>
      <c r="AK796" t="str" cm="1">
        <f t="array" ref="AK796">_xlfn.IFS(V796=1,"Low",V796=2,"Medium",V796=3,"High",V796=4,"Very High")</f>
        <v>High</v>
      </c>
      <c r="AL796" t="str" cm="1">
        <f t="array" ref="AL796">_xlfn.IFS(Z796=1,"Bad",Z796=2,"Good",Z796=3,"Better",Z796=4,"Best")</f>
        <v>Good</v>
      </c>
      <c r="AM796" t="str" cm="1">
        <f t="array" ref="AM796">_xlfn.IFS(W796=0,"No_stock",W796=1,"Low",W796=2,"Medium",W796=3,"High")</f>
        <v>No_stock</v>
      </c>
      <c r="AN796" t="str">
        <f t="shared" si="12"/>
        <v>Near</v>
      </c>
    </row>
    <row r="797" spans="1:40" x14ac:dyDescent="0.45">
      <c r="A797">
        <v>37</v>
      </c>
      <c r="B797" t="s">
        <v>37</v>
      </c>
      <c r="C797" t="s">
        <v>31</v>
      </c>
      <c r="D797">
        <v>309</v>
      </c>
      <c r="E797" t="s">
        <v>32</v>
      </c>
      <c r="F797">
        <v>10</v>
      </c>
      <c r="G797">
        <v>4</v>
      </c>
      <c r="H797" t="s">
        <v>33</v>
      </c>
      <c r="I797">
        <v>1105</v>
      </c>
      <c r="J797">
        <v>4</v>
      </c>
      <c r="K797" t="s">
        <v>34</v>
      </c>
      <c r="L797">
        <v>2</v>
      </c>
      <c r="M797">
        <v>2</v>
      </c>
      <c r="N797" t="s">
        <v>35</v>
      </c>
      <c r="O797">
        <v>4</v>
      </c>
      <c r="P797" t="s">
        <v>46</v>
      </c>
      <c r="Q797">
        <v>6694</v>
      </c>
      <c r="R797">
        <v>2</v>
      </c>
      <c r="S797" t="s">
        <v>30</v>
      </c>
      <c r="T797">
        <v>14</v>
      </c>
      <c r="U797">
        <v>3</v>
      </c>
      <c r="V797">
        <v>3</v>
      </c>
      <c r="W797">
        <v>3</v>
      </c>
      <c r="X797">
        <v>8</v>
      </c>
      <c r="Y797">
        <v>5</v>
      </c>
      <c r="Z797">
        <v>3</v>
      </c>
      <c r="AA797">
        <v>1</v>
      </c>
      <c r="AB797">
        <v>0</v>
      </c>
      <c r="AC797">
        <v>0</v>
      </c>
      <c r="AD797">
        <v>0</v>
      </c>
      <c r="AE797" t="str" cm="1">
        <f t="array" ref="AE797">_xlfn.IFS(G797=1,"Before College",G797=2,"College",G797=3,"Bachelor",G797=4,"Master",G797=5,"Doctor")</f>
        <v>Master</v>
      </c>
      <c r="AF797" t="str" cm="1">
        <f t="array" ref="AF797">_xlfn.IFS(J797=1,"Low",J797=2,"Medium",J797=3,"High",J797=4,"Very High")</f>
        <v>Very High</v>
      </c>
      <c r="AG797" t="str" cm="1">
        <f t="array" ref="AG797">_xlfn.IFS(L797=1,"Low",L797=2,"Medium",L797=3,"High",L797=4,"Very High")</f>
        <v>Medium</v>
      </c>
      <c r="AH797" t="str" cm="1">
        <f t="array" ref="AH797">_xlfn.IFS(M797=1,"Junior employee",M797=2,"Mid-level",M797=3,"Senior",M797=4,"Manager",M797=5,"Executive")</f>
        <v>Mid-level</v>
      </c>
      <c r="AI797" t="str" cm="1">
        <f t="array" ref="AI797">_xlfn.IFS(O797=1,"Low",O797=2,"Medium",O797=3,"High",O797=4,"Very High")</f>
        <v>Very High</v>
      </c>
      <c r="AJ797" t="str" cm="1">
        <f t="array" ref="AJ797">_xlfn.IFS(U797=1,"Low",U797=2,"Good",U797=3,"Excellent",U797=4,"Outstanding")</f>
        <v>Excellent</v>
      </c>
      <c r="AK797" t="str" cm="1">
        <f t="array" ref="AK797">_xlfn.IFS(V797=1,"Low",V797=2,"Medium",V797=3,"High",V797=4,"Very High")</f>
        <v>High</v>
      </c>
      <c r="AL797" t="str" cm="1">
        <f t="array" ref="AL797">_xlfn.IFS(Z797=1,"Bad",Z797=2,"Good",Z797=3,"Better",Z797=4,"Best")</f>
        <v>Better</v>
      </c>
      <c r="AM797" t="str" cm="1">
        <f t="array" ref="AM797">_xlfn.IFS(W797=0,"No_stock",W797=1,"Low",W797=2,"Medium",W797=3,"High")</f>
        <v>High</v>
      </c>
      <c r="AN797" t="str">
        <f t="shared" si="12"/>
        <v>Medium</v>
      </c>
    </row>
    <row r="798" spans="1:40" x14ac:dyDescent="0.45">
      <c r="A798">
        <v>25</v>
      </c>
      <c r="B798" t="s">
        <v>30</v>
      </c>
      <c r="C798" t="s">
        <v>31</v>
      </c>
      <c r="D798">
        <v>1219</v>
      </c>
      <c r="E798" t="s">
        <v>39</v>
      </c>
      <c r="F798">
        <v>4</v>
      </c>
      <c r="G798">
        <v>1</v>
      </c>
      <c r="H798" t="s">
        <v>54</v>
      </c>
      <c r="I798">
        <v>1106</v>
      </c>
      <c r="J798">
        <v>4</v>
      </c>
      <c r="K798" t="s">
        <v>40</v>
      </c>
      <c r="L798">
        <v>3</v>
      </c>
      <c r="M798">
        <v>1</v>
      </c>
      <c r="N798" t="s">
        <v>44</v>
      </c>
      <c r="O798">
        <v>4</v>
      </c>
      <c r="P798" t="s">
        <v>42</v>
      </c>
      <c r="Q798">
        <v>3691</v>
      </c>
      <c r="R798">
        <v>1</v>
      </c>
      <c r="S798" t="s">
        <v>30</v>
      </c>
      <c r="T798">
        <v>15</v>
      </c>
      <c r="U798">
        <v>3</v>
      </c>
      <c r="V798">
        <v>2</v>
      </c>
      <c r="W798">
        <v>1</v>
      </c>
      <c r="X798">
        <v>7</v>
      </c>
      <c r="Y798">
        <v>3</v>
      </c>
      <c r="Z798">
        <v>4</v>
      </c>
      <c r="AA798">
        <v>7</v>
      </c>
      <c r="AB798">
        <v>7</v>
      </c>
      <c r="AC798">
        <v>5</v>
      </c>
      <c r="AD798">
        <v>6</v>
      </c>
      <c r="AE798" t="str" cm="1">
        <f t="array" ref="AE798">_xlfn.IFS(G798=1,"Before College",G798=2,"College",G798=3,"Bachelor",G798=4,"Master",G798=5,"Doctor")</f>
        <v>Before College</v>
      </c>
      <c r="AF798" t="str" cm="1">
        <f t="array" ref="AF798">_xlfn.IFS(J798=1,"Low",J798=2,"Medium",J798=3,"High",J798=4,"Very High")</f>
        <v>Very High</v>
      </c>
      <c r="AG798" t="str" cm="1">
        <f t="array" ref="AG798">_xlfn.IFS(L798=1,"Low",L798=2,"Medium",L798=3,"High",L798=4,"Very High")</f>
        <v>High</v>
      </c>
      <c r="AH798" t="str" cm="1">
        <f t="array" ref="AH798">_xlfn.IFS(M798=1,"Junior employee",M798=2,"Mid-level",M798=3,"Senior",M798=4,"Manager",M798=5,"Executive")</f>
        <v>Junior employee</v>
      </c>
      <c r="AI798" t="str" cm="1">
        <f t="array" ref="AI798">_xlfn.IFS(O798=1,"Low",O798=2,"Medium",O798=3,"High",O798=4,"Very High")</f>
        <v>Very High</v>
      </c>
      <c r="AJ798" t="str" cm="1">
        <f t="array" ref="AJ798">_xlfn.IFS(U798=1,"Low",U798=2,"Good",U798=3,"Excellent",U798=4,"Outstanding")</f>
        <v>Excellent</v>
      </c>
      <c r="AK798" t="str" cm="1">
        <f t="array" ref="AK798">_xlfn.IFS(V798=1,"Low",V798=2,"Medium",V798=3,"High",V798=4,"Very High")</f>
        <v>Medium</v>
      </c>
      <c r="AL798" t="str" cm="1">
        <f t="array" ref="AL798">_xlfn.IFS(Z798=1,"Bad",Z798=2,"Good",Z798=3,"Better",Z798=4,"Best")</f>
        <v>Best</v>
      </c>
      <c r="AM798" t="str" cm="1">
        <f t="array" ref="AM798">_xlfn.IFS(W798=0,"No_stock",W798=1,"Low",W798=2,"Medium",W798=3,"High")</f>
        <v>Low</v>
      </c>
      <c r="AN798" t="str">
        <f t="shared" si="12"/>
        <v>Near</v>
      </c>
    </row>
    <row r="799" spans="1:40" x14ac:dyDescent="0.45">
      <c r="A799">
        <v>26</v>
      </c>
      <c r="B799" t="s">
        <v>30</v>
      </c>
      <c r="C799" t="s">
        <v>31</v>
      </c>
      <c r="D799">
        <v>1330</v>
      </c>
      <c r="E799" t="s">
        <v>39</v>
      </c>
      <c r="F799">
        <v>21</v>
      </c>
      <c r="G799">
        <v>3</v>
      </c>
      <c r="H799" t="s">
        <v>45</v>
      </c>
      <c r="I799">
        <v>1107</v>
      </c>
      <c r="J799">
        <v>1</v>
      </c>
      <c r="K799" t="s">
        <v>40</v>
      </c>
      <c r="L799">
        <v>3</v>
      </c>
      <c r="M799">
        <v>1</v>
      </c>
      <c r="N799" t="s">
        <v>44</v>
      </c>
      <c r="O799">
        <v>3</v>
      </c>
      <c r="P799" t="s">
        <v>46</v>
      </c>
      <c r="Q799">
        <v>2377</v>
      </c>
      <c r="R799">
        <v>1</v>
      </c>
      <c r="S799" t="s">
        <v>37</v>
      </c>
      <c r="T799">
        <v>20</v>
      </c>
      <c r="U799">
        <v>4</v>
      </c>
      <c r="V799">
        <v>3</v>
      </c>
      <c r="W799">
        <v>1</v>
      </c>
      <c r="X799">
        <v>1</v>
      </c>
      <c r="Y799">
        <v>0</v>
      </c>
      <c r="Z799">
        <v>2</v>
      </c>
      <c r="AA799">
        <v>1</v>
      </c>
      <c r="AB799">
        <v>1</v>
      </c>
      <c r="AC799">
        <v>0</v>
      </c>
      <c r="AD799">
        <v>0</v>
      </c>
      <c r="AE799" t="str" cm="1">
        <f t="array" ref="AE799">_xlfn.IFS(G799=1,"Before College",G799=2,"College",G799=3,"Bachelor",G799=4,"Master",G799=5,"Doctor")</f>
        <v>Bachelor</v>
      </c>
      <c r="AF799" t="str" cm="1">
        <f t="array" ref="AF799">_xlfn.IFS(J799=1,"Low",J799=2,"Medium",J799=3,"High",J799=4,"Very High")</f>
        <v>Low</v>
      </c>
      <c r="AG799" t="str" cm="1">
        <f t="array" ref="AG799">_xlfn.IFS(L799=1,"Low",L799=2,"Medium",L799=3,"High",L799=4,"Very High")</f>
        <v>High</v>
      </c>
      <c r="AH799" t="str" cm="1">
        <f t="array" ref="AH799">_xlfn.IFS(M799=1,"Junior employee",M799=2,"Mid-level",M799=3,"Senior",M799=4,"Manager",M799=5,"Executive")</f>
        <v>Junior employee</v>
      </c>
      <c r="AI799" t="str" cm="1">
        <f t="array" ref="AI799">_xlfn.IFS(O799=1,"Low",O799=2,"Medium",O799=3,"High",O799=4,"Very High")</f>
        <v>High</v>
      </c>
      <c r="AJ799" t="str" cm="1">
        <f t="array" ref="AJ799">_xlfn.IFS(U799=1,"Low",U799=2,"Good",U799=3,"Excellent",U799=4,"Outstanding")</f>
        <v>Outstanding</v>
      </c>
      <c r="AK799" t="str" cm="1">
        <f t="array" ref="AK799">_xlfn.IFS(V799=1,"Low",V799=2,"Medium",V799=3,"High",V799=4,"Very High")</f>
        <v>High</v>
      </c>
      <c r="AL799" t="str" cm="1">
        <f t="array" ref="AL799">_xlfn.IFS(Z799=1,"Bad",Z799=2,"Good",Z799=3,"Better",Z799=4,"Best")</f>
        <v>Good</v>
      </c>
      <c r="AM799" t="str" cm="1">
        <f t="array" ref="AM799">_xlfn.IFS(W799=0,"No_stock",W799=1,"Low",W799=2,"Medium",W799=3,"High")</f>
        <v>Low</v>
      </c>
      <c r="AN799" t="str">
        <f t="shared" si="12"/>
        <v>Far</v>
      </c>
    </row>
    <row r="800" spans="1:40" x14ac:dyDescent="0.45">
      <c r="A800">
        <v>33</v>
      </c>
      <c r="B800" t="s">
        <v>30</v>
      </c>
      <c r="C800" t="s">
        <v>31</v>
      </c>
      <c r="D800">
        <v>1017</v>
      </c>
      <c r="E800" t="s">
        <v>39</v>
      </c>
      <c r="F800">
        <v>25</v>
      </c>
      <c r="G800">
        <v>3</v>
      </c>
      <c r="H800" t="s">
        <v>45</v>
      </c>
      <c r="I800">
        <v>1108</v>
      </c>
      <c r="J800">
        <v>1</v>
      </c>
      <c r="K800" t="s">
        <v>40</v>
      </c>
      <c r="L800">
        <v>2</v>
      </c>
      <c r="M800">
        <v>1</v>
      </c>
      <c r="N800" t="s">
        <v>41</v>
      </c>
      <c r="O800">
        <v>2</v>
      </c>
      <c r="P800" t="s">
        <v>36</v>
      </c>
      <c r="Q800">
        <v>2313</v>
      </c>
      <c r="R800">
        <v>4</v>
      </c>
      <c r="S800" t="s">
        <v>30</v>
      </c>
      <c r="T800">
        <v>20</v>
      </c>
      <c r="U800">
        <v>4</v>
      </c>
      <c r="V800">
        <v>2</v>
      </c>
      <c r="W800">
        <v>0</v>
      </c>
      <c r="X800">
        <v>5</v>
      </c>
      <c r="Y800">
        <v>0</v>
      </c>
      <c r="Z800">
        <v>3</v>
      </c>
      <c r="AA800">
        <v>2</v>
      </c>
      <c r="AB800">
        <v>2</v>
      </c>
      <c r="AC800">
        <v>2</v>
      </c>
      <c r="AD800">
        <v>2</v>
      </c>
      <c r="AE800" t="str" cm="1">
        <f t="array" ref="AE800">_xlfn.IFS(G800=1,"Before College",G800=2,"College",G800=3,"Bachelor",G800=4,"Master",G800=5,"Doctor")</f>
        <v>Bachelor</v>
      </c>
      <c r="AF800" t="str" cm="1">
        <f t="array" ref="AF800">_xlfn.IFS(J800=1,"Low",J800=2,"Medium",J800=3,"High",J800=4,"Very High")</f>
        <v>Low</v>
      </c>
      <c r="AG800" t="str" cm="1">
        <f t="array" ref="AG800">_xlfn.IFS(L800=1,"Low",L800=2,"Medium",L800=3,"High",L800=4,"Very High")</f>
        <v>Medium</v>
      </c>
      <c r="AH800" t="str" cm="1">
        <f t="array" ref="AH800">_xlfn.IFS(M800=1,"Junior employee",M800=2,"Mid-level",M800=3,"Senior",M800=4,"Manager",M800=5,"Executive")</f>
        <v>Junior employee</v>
      </c>
      <c r="AI800" t="str" cm="1">
        <f t="array" ref="AI800">_xlfn.IFS(O800=1,"Low",O800=2,"Medium",O800=3,"High",O800=4,"Very High")</f>
        <v>Medium</v>
      </c>
      <c r="AJ800" t="str" cm="1">
        <f t="array" ref="AJ800">_xlfn.IFS(U800=1,"Low",U800=2,"Good",U800=3,"Excellent",U800=4,"Outstanding")</f>
        <v>Outstanding</v>
      </c>
      <c r="AK800" t="str" cm="1">
        <f t="array" ref="AK800">_xlfn.IFS(V800=1,"Low",V800=2,"Medium",V800=3,"High",V800=4,"Very High")</f>
        <v>Medium</v>
      </c>
      <c r="AL800" t="str" cm="1">
        <f t="array" ref="AL800">_xlfn.IFS(Z800=1,"Bad",Z800=2,"Good",Z800=3,"Better",Z800=4,"Best")</f>
        <v>Better</v>
      </c>
      <c r="AM800" t="str" cm="1">
        <f t="array" ref="AM800">_xlfn.IFS(W800=0,"No_stock",W800=1,"Low",W800=2,"Medium",W800=3,"High")</f>
        <v>No_stock</v>
      </c>
      <c r="AN800" t="str">
        <f t="shared" si="12"/>
        <v>Far</v>
      </c>
    </row>
    <row r="801" spans="1:40" x14ac:dyDescent="0.45">
      <c r="A801">
        <v>42</v>
      </c>
      <c r="B801" t="s">
        <v>37</v>
      </c>
      <c r="C801" t="s">
        <v>31</v>
      </c>
      <c r="D801">
        <v>469</v>
      </c>
      <c r="E801" t="s">
        <v>39</v>
      </c>
      <c r="F801">
        <v>2</v>
      </c>
      <c r="G801">
        <v>2</v>
      </c>
      <c r="H801" t="s">
        <v>45</v>
      </c>
      <c r="I801">
        <v>1109</v>
      </c>
      <c r="J801">
        <v>4</v>
      </c>
      <c r="K801" t="s">
        <v>40</v>
      </c>
      <c r="L801">
        <v>3</v>
      </c>
      <c r="M801">
        <v>4</v>
      </c>
      <c r="N801" t="s">
        <v>50</v>
      </c>
      <c r="O801">
        <v>1</v>
      </c>
      <c r="P801" t="s">
        <v>42</v>
      </c>
      <c r="Q801">
        <v>17665</v>
      </c>
      <c r="R801">
        <v>0</v>
      </c>
      <c r="S801" t="s">
        <v>37</v>
      </c>
      <c r="T801">
        <v>17</v>
      </c>
      <c r="U801">
        <v>3</v>
      </c>
      <c r="V801">
        <v>4</v>
      </c>
      <c r="W801">
        <v>1</v>
      </c>
      <c r="X801">
        <v>23</v>
      </c>
      <c r="Y801">
        <v>3</v>
      </c>
      <c r="Z801">
        <v>3</v>
      </c>
      <c r="AA801">
        <v>22</v>
      </c>
      <c r="AB801">
        <v>6</v>
      </c>
      <c r="AC801">
        <v>13</v>
      </c>
      <c r="AD801">
        <v>7</v>
      </c>
      <c r="AE801" t="str" cm="1">
        <f t="array" ref="AE801">_xlfn.IFS(G801=1,"Before College",G801=2,"College",G801=3,"Bachelor",G801=4,"Master",G801=5,"Doctor")</f>
        <v>College</v>
      </c>
      <c r="AF801" t="str" cm="1">
        <f t="array" ref="AF801">_xlfn.IFS(J801=1,"Low",J801=2,"Medium",J801=3,"High",J801=4,"Very High")</f>
        <v>Very High</v>
      </c>
      <c r="AG801" t="str" cm="1">
        <f t="array" ref="AG801">_xlfn.IFS(L801=1,"Low",L801=2,"Medium",L801=3,"High",L801=4,"Very High")</f>
        <v>High</v>
      </c>
      <c r="AH801" t="str" cm="1">
        <f t="array" ref="AH801">_xlfn.IFS(M801=1,"Junior employee",M801=2,"Mid-level",M801=3,"Senior",M801=4,"Manager",M801=5,"Executive")</f>
        <v>Manager</v>
      </c>
      <c r="AI801" t="str" cm="1">
        <f t="array" ref="AI801">_xlfn.IFS(O801=1,"Low",O801=2,"Medium",O801=3,"High",O801=4,"Very High")</f>
        <v>Low</v>
      </c>
      <c r="AJ801" t="str" cm="1">
        <f t="array" ref="AJ801">_xlfn.IFS(U801=1,"Low",U801=2,"Good",U801=3,"Excellent",U801=4,"Outstanding")</f>
        <v>Excellent</v>
      </c>
      <c r="AK801" t="str" cm="1">
        <f t="array" ref="AK801">_xlfn.IFS(V801=1,"Low",V801=2,"Medium",V801=3,"High",V801=4,"Very High")</f>
        <v>Very High</v>
      </c>
      <c r="AL801" t="str" cm="1">
        <f t="array" ref="AL801">_xlfn.IFS(Z801=1,"Bad",Z801=2,"Good",Z801=3,"Better",Z801=4,"Best")</f>
        <v>Better</v>
      </c>
      <c r="AM801" t="str" cm="1">
        <f t="array" ref="AM801">_xlfn.IFS(W801=0,"No_stock",W801=1,"Low",W801=2,"Medium",W801=3,"High")</f>
        <v>Low</v>
      </c>
      <c r="AN801" t="str">
        <f t="shared" si="12"/>
        <v>Near</v>
      </c>
    </row>
    <row r="802" spans="1:40" x14ac:dyDescent="0.45">
      <c r="A802">
        <v>28</v>
      </c>
      <c r="B802" t="s">
        <v>30</v>
      </c>
      <c r="C802" t="s">
        <v>38</v>
      </c>
      <c r="D802">
        <v>1009</v>
      </c>
      <c r="E802" t="s">
        <v>39</v>
      </c>
      <c r="F802">
        <v>1</v>
      </c>
      <c r="G802">
        <v>3</v>
      </c>
      <c r="H802" t="s">
        <v>45</v>
      </c>
      <c r="I802">
        <v>1111</v>
      </c>
      <c r="J802">
        <v>1</v>
      </c>
      <c r="K802" t="s">
        <v>40</v>
      </c>
      <c r="L802">
        <v>2</v>
      </c>
      <c r="M802">
        <v>1</v>
      </c>
      <c r="N802" t="s">
        <v>44</v>
      </c>
      <c r="O802">
        <v>2</v>
      </c>
      <c r="P802" t="s">
        <v>46</v>
      </c>
      <c r="Q802">
        <v>2596</v>
      </c>
      <c r="R802">
        <v>1</v>
      </c>
      <c r="S802" t="s">
        <v>37</v>
      </c>
      <c r="T802">
        <v>15</v>
      </c>
      <c r="U802">
        <v>3</v>
      </c>
      <c r="V802">
        <v>1</v>
      </c>
      <c r="W802">
        <v>2</v>
      </c>
      <c r="X802">
        <v>1</v>
      </c>
      <c r="Y802">
        <v>2</v>
      </c>
      <c r="Z802">
        <v>3</v>
      </c>
      <c r="AA802">
        <v>1</v>
      </c>
      <c r="AB802">
        <v>0</v>
      </c>
      <c r="AC802">
        <v>0</v>
      </c>
      <c r="AD802">
        <v>0</v>
      </c>
      <c r="AE802" t="str" cm="1">
        <f t="array" ref="AE802">_xlfn.IFS(G802=1,"Before College",G802=2,"College",G802=3,"Bachelor",G802=4,"Master",G802=5,"Doctor")</f>
        <v>Bachelor</v>
      </c>
      <c r="AF802" t="str" cm="1">
        <f t="array" ref="AF802">_xlfn.IFS(J802=1,"Low",J802=2,"Medium",J802=3,"High",J802=4,"Very High")</f>
        <v>Low</v>
      </c>
      <c r="AG802" t="str" cm="1">
        <f t="array" ref="AG802">_xlfn.IFS(L802=1,"Low",L802=2,"Medium",L802=3,"High",L802=4,"Very High")</f>
        <v>Medium</v>
      </c>
      <c r="AH802" t="str" cm="1">
        <f t="array" ref="AH802">_xlfn.IFS(M802=1,"Junior employee",M802=2,"Mid-level",M802=3,"Senior",M802=4,"Manager",M802=5,"Executive")</f>
        <v>Junior employee</v>
      </c>
      <c r="AI802" t="str" cm="1">
        <f t="array" ref="AI802">_xlfn.IFS(O802=1,"Low",O802=2,"Medium",O802=3,"High",O802=4,"Very High")</f>
        <v>Medium</v>
      </c>
      <c r="AJ802" t="str" cm="1">
        <f t="array" ref="AJ802">_xlfn.IFS(U802=1,"Low",U802=2,"Good",U802=3,"Excellent",U802=4,"Outstanding")</f>
        <v>Excellent</v>
      </c>
      <c r="AK802" t="str" cm="1">
        <f t="array" ref="AK802">_xlfn.IFS(V802=1,"Low",V802=2,"Medium",V802=3,"High",V802=4,"Very High")</f>
        <v>Low</v>
      </c>
      <c r="AL802" t="str" cm="1">
        <f t="array" ref="AL802">_xlfn.IFS(Z802=1,"Bad",Z802=2,"Good",Z802=3,"Better",Z802=4,"Best")</f>
        <v>Better</v>
      </c>
      <c r="AM802" t="str" cm="1">
        <f t="array" ref="AM802">_xlfn.IFS(W802=0,"No_stock",W802=1,"Low",W802=2,"Medium",W802=3,"High")</f>
        <v>Medium</v>
      </c>
      <c r="AN802" t="str">
        <f t="shared" si="12"/>
        <v>Near</v>
      </c>
    </row>
    <row r="803" spans="1:40" x14ac:dyDescent="0.45">
      <c r="A803">
        <v>50</v>
      </c>
      <c r="B803" t="s">
        <v>30</v>
      </c>
      <c r="C803" t="s">
        <v>38</v>
      </c>
      <c r="D803">
        <v>959</v>
      </c>
      <c r="E803" t="s">
        <v>32</v>
      </c>
      <c r="F803">
        <v>1</v>
      </c>
      <c r="G803">
        <v>4</v>
      </c>
      <c r="H803" t="s">
        <v>43</v>
      </c>
      <c r="I803">
        <v>1113</v>
      </c>
      <c r="J803">
        <v>4</v>
      </c>
      <c r="K803" t="s">
        <v>40</v>
      </c>
      <c r="L803">
        <v>3</v>
      </c>
      <c r="M803">
        <v>2</v>
      </c>
      <c r="N803" t="s">
        <v>35</v>
      </c>
      <c r="O803">
        <v>3</v>
      </c>
      <c r="P803" t="s">
        <v>36</v>
      </c>
      <c r="Q803">
        <v>4728</v>
      </c>
      <c r="R803">
        <v>3</v>
      </c>
      <c r="S803" t="s">
        <v>30</v>
      </c>
      <c r="T803">
        <v>14</v>
      </c>
      <c r="U803">
        <v>3</v>
      </c>
      <c r="V803">
        <v>4</v>
      </c>
      <c r="W803">
        <v>0</v>
      </c>
      <c r="X803">
        <v>5</v>
      </c>
      <c r="Y803">
        <v>4</v>
      </c>
      <c r="Z803">
        <v>3</v>
      </c>
      <c r="AA803">
        <v>0</v>
      </c>
      <c r="AB803">
        <v>0</v>
      </c>
      <c r="AC803">
        <v>0</v>
      </c>
      <c r="AD803">
        <v>0</v>
      </c>
      <c r="AE803" t="str" cm="1">
        <f t="array" ref="AE803">_xlfn.IFS(G803=1,"Before College",G803=2,"College",G803=3,"Bachelor",G803=4,"Master",G803=5,"Doctor")</f>
        <v>Master</v>
      </c>
      <c r="AF803" t="str" cm="1">
        <f t="array" ref="AF803">_xlfn.IFS(J803=1,"Low",J803=2,"Medium",J803=3,"High",J803=4,"Very High")</f>
        <v>Very High</v>
      </c>
      <c r="AG803" t="str" cm="1">
        <f t="array" ref="AG803">_xlfn.IFS(L803=1,"Low",L803=2,"Medium",L803=3,"High",L803=4,"Very High")</f>
        <v>High</v>
      </c>
      <c r="AH803" t="str" cm="1">
        <f t="array" ref="AH803">_xlfn.IFS(M803=1,"Junior employee",M803=2,"Mid-level",M803=3,"Senior",M803=4,"Manager",M803=5,"Executive")</f>
        <v>Mid-level</v>
      </c>
      <c r="AI803" t="str" cm="1">
        <f t="array" ref="AI803">_xlfn.IFS(O803=1,"Low",O803=2,"Medium",O803=3,"High",O803=4,"Very High")</f>
        <v>High</v>
      </c>
      <c r="AJ803" t="str" cm="1">
        <f t="array" ref="AJ803">_xlfn.IFS(U803=1,"Low",U803=2,"Good",U803=3,"Excellent",U803=4,"Outstanding")</f>
        <v>Excellent</v>
      </c>
      <c r="AK803" t="str" cm="1">
        <f t="array" ref="AK803">_xlfn.IFS(V803=1,"Low",V803=2,"Medium",V803=3,"High",V803=4,"Very High")</f>
        <v>Very High</v>
      </c>
      <c r="AL803" t="str" cm="1">
        <f t="array" ref="AL803">_xlfn.IFS(Z803=1,"Bad",Z803=2,"Good",Z803=3,"Better",Z803=4,"Best")</f>
        <v>Better</v>
      </c>
      <c r="AM803" t="str" cm="1">
        <f t="array" ref="AM803">_xlfn.IFS(W803=0,"No_stock",W803=1,"Low",W803=2,"Medium",W803=3,"High")</f>
        <v>No_stock</v>
      </c>
      <c r="AN803" t="str">
        <f t="shared" si="12"/>
        <v>Near</v>
      </c>
    </row>
    <row r="804" spans="1:40" x14ac:dyDescent="0.45">
      <c r="A804">
        <v>33</v>
      </c>
      <c r="B804" t="s">
        <v>37</v>
      </c>
      <c r="C804" t="s">
        <v>38</v>
      </c>
      <c r="D804">
        <v>970</v>
      </c>
      <c r="E804" t="s">
        <v>32</v>
      </c>
      <c r="F804">
        <v>7</v>
      </c>
      <c r="G804">
        <v>3</v>
      </c>
      <c r="H804" t="s">
        <v>33</v>
      </c>
      <c r="I804">
        <v>1114</v>
      </c>
      <c r="J804">
        <v>4</v>
      </c>
      <c r="K804" t="s">
        <v>34</v>
      </c>
      <c r="L804">
        <v>3</v>
      </c>
      <c r="M804">
        <v>2</v>
      </c>
      <c r="N804" t="s">
        <v>35</v>
      </c>
      <c r="O804">
        <v>2</v>
      </c>
      <c r="P804" t="s">
        <v>42</v>
      </c>
      <c r="Q804">
        <v>4302</v>
      </c>
      <c r="R804">
        <v>0</v>
      </c>
      <c r="S804" t="s">
        <v>37</v>
      </c>
      <c r="T804">
        <v>17</v>
      </c>
      <c r="U804">
        <v>3</v>
      </c>
      <c r="V804">
        <v>3</v>
      </c>
      <c r="W804">
        <v>1</v>
      </c>
      <c r="X804">
        <v>4</v>
      </c>
      <c r="Y804">
        <v>3</v>
      </c>
      <c r="Z804">
        <v>3</v>
      </c>
      <c r="AA804">
        <v>3</v>
      </c>
      <c r="AB804">
        <v>2</v>
      </c>
      <c r="AC804">
        <v>0</v>
      </c>
      <c r="AD804">
        <v>2</v>
      </c>
      <c r="AE804" t="str" cm="1">
        <f t="array" ref="AE804">_xlfn.IFS(G804=1,"Before College",G804=2,"College",G804=3,"Bachelor",G804=4,"Master",G804=5,"Doctor")</f>
        <v>Bachelor</v>
      </c>
      <c r="AF804" t="str" cm="1">
        <f t="array" ref="AF804">_xlfn.IFS(J804=1,"Low",J804=2,"Medium",J804=3,"High",J804=4,"Very High")</f>
        <v>Very High</v>
      </c>
      <c r="AG804" t="str" cm="1">
        <f t="array" ref="AG804">_xlfn.IFS(L804=1,"Low",L804=2,"Medium",L804=3,"High",L804=4,"Very High")</f>
        <v>High</v>
      </c>
      <c r="AH804" t="str" cm="1">
        <f t="array" ref="AH804">_xlfn.IFS(M804=1,"Junior employee",M804=2,"Mid-level",M804=3,"Senior",M804=4,"Manager",M804=5,"Executive")</f>
        <v>Mid-level</v>
      </c>
      <c r="AI804" t="str" cm="1">
        <f t="array" ref="AI804">_xlfn.IFS(O804=1,"Low",O804=2,"Medium",O804=3,"High",O804=4,"Very High")</f>
        <v>Medium</v>
      </c>
      <c r="AJ804" t="str" cm="1">
        <f t="array" ref="AJ804">_xlfn.IFS(U804=1,"Low",U804=2,"Good",U804=3,"Excellent",U804=4,"Outstanding")</f>
        <v>Excellent</v>
      </c>
      <c r="AK804" t="str" cm="1">
        <f t="array" ref="AK804">_xlfn.IFS(V804=1,"Low",V804=2,"Medium",V804=3,"High",V804=4,"Very High")</f>
        <v>High</v>
      </c>
      <c r="AL804" t="str" cm="1">
        <f t="array" ref="AL804">_xlfn.IFS(Z804=1,"Bad",Z804=2,"Good",Z804=3,"Better",Z804=4,"Best")</f>
        <v>Better</v>
      </c>
      <c r="AM804" t="str" cm="1">
        <f t="array" ref="AM804">_xlfn.IFS(W804=0,"No_stock",W804=1,"Low",W804=2,"Medium",W804=3,"High")</f>
        <v>Low</v>
      </c>
      <c r="AN804" t="str">
        <f t="shared" si="12"/>
        <v>Medium</v>
      </c>
    </row>
    <row r="805" spans="1:40" x14ac:dyDescent="0.45">
      <c r="A805">
        <v>34</v>
      </c>
      <c r="B805" t="s">
        <v>37</v>
      </c>
      <c r="C805" t="s">
        <v>49</v>
      </c>
      <c r="D805">
        <v>697</v>
      </c>
      <c r="E805" t="s">
        <v>39</v>
      </c>
      <c r="F805">
        <v>3</v>
      </c>
      <c r="G805">
        <v>4</v>
      </c>
      <c r="H805" t="s">
        <v>33</v>
      </c>
      <c r="I805">
        <v>1115</v>
      </c>
      <c r="J805">
        <v>3</v>
      </c>
      <c r="K805" t="s">
        <v>40</v>
      </c>
      <c r="L805">
        <v>2</v>
      </c>
      <c r="M805">
        <v>1</v>
      </c>
      <c r="N805" t="s">
        <v>41</v>
      </c>
      <c r="O805">
        <v>4</v>
      </c>
      <c r="P805" t="s">
        <v>42</v>
      </c>
      <c r="Q805">
        <v>2979</v>
      </c>
      <c r="R805">
        <v>3</v>
      </c>
      <c r="S805" t="s">
        <v>37</v>
      </c>
      <c r="T805">
        <v>17</v>
      </c>
      <c r="U805">
        <v>3</v>
      </c>
      <c r="V805">
        <v>4</v>
      </c>
      <c r="W805">
        <v>3</v>
      </c>
      <c r="X805">
        <v>6</v>
      </c>
      <c r="Y805">
        <v>2</v>
      </c>
      <c r="Z805">
        <v>3</v>
      </c>
      <c r="AA805">
        <v>0</v>
      </c>
      <c r="AB805">
        <v>0</v>
      </c>
      <c r="AC805">
        <v>0</v>
      </c>
      <c r="AD805">
        <v>0</v>
      </c>
      <c r="AE805" t="str" cm="1">
        <f t="array" ref="AE805">_xlfn.IFS(G805=1,"Before College",G805=2,"College",G805=3,"Bachelor",G805=4,"Master",G805=5,"Doctor")</f>
        <v>Master</v>
      </c>
      <c r="AF805" t="str" cm="1">
        <f t="array" ref="AF805">_xlfn.IFS(J805=1,"Low",J805=2,"Medium",J805=3,"High",J805=4,"Very High")</f>
        <v>High</v>
      </c>
      <c r="AG805" t="str" cm="1">
        <f t="array" ref="AG805">_xlfn.IFS(L805=1,"Low",L805=2,"Medium",L805=3,"High",L805=4,"Very High")</f>
        <v>Medium</v>
      </c>
      <c r="AH805" t="str" cm="1">
        <f t="array" ref="AH805">_xlfn.IFS(M805=1,"Junior employee",M805=2,"Mid-level",M805=3,"Senior",M805=4,"Manager",M805=5,"Executive")</f>
        <v>Junior employee</v>
      </c>
      <c r="AI805" t="str" cm="1">
        <f t="array" ref="AI805">_xlfn.IFS(O805=1,"Low",O805=2,"Medium",O805=3,"High",O805=4,"Very High")</f>
        <v>Very High</v>
      </c>
      <c r="AJ805" t="str" cm="1">
        <f t="array" ref="AJ805">_xlfn.IFS(U805=1,"Low",U805=2,"Good",U805=3,"Excellent",U805=4,"Outstanding")</f>
        <v>Excellent</v>
      </c>
      <c r="AK805" t="str" cm="1">
        <f t="array" ref="AK805">_xlfn.IFS(V805=1,"Low",V805=2,"Medium",V805=3,"High",V805=4,"Very High")</f>
        <v>Very High</v>
      </c>
      <c r="AL805" t="str" cm="1">
        <f t="array" ref="AL805">_xlfn.IFS(Z805=1,"Bad",Z805=2,"Good",Z805=3,"Better",Z805=4,"Best")</f>
        <v>Better</v>
      </c>
      <c r="AM805" t="str" cm="1">
        <f t="array" ref="AM805">_xlfn.IFS(W805=0,"No_stock",W805=1,"Low",W805=2,"Medium",W805=3,"High")</f>
        <v>High</v>
      </c>
      <c r="AN805" t="str">
        <f t="shared" si="12"/>
        <v>Near</v>
      </c>
    </row>
    <row r="806" spans="1:40" x14ac:dyDescent="0.45">
      <c r="A806">
        <v>48</v>
      </c>
      <c r="B806" t="s">
        <v>37</v>
      </c>
      <c r="C806" t="s">
        <v>49</v>
      </c>
      <c r="D806">
        <v>1262</v>
      </c>
      <c r="E806" t="s">
        <v>39</v>
      </c>
      <c r="F806">
        <v>1</v>
      </c>
      <c r="G806">
        <v>4</v>
      </c>
      <c r="H806" t="s">
        <v>45</v>
      </c>
      <c r="I806">
        <v>1116</v>
      </c>
      <c r="J806">
        <v>1</v>
      </c>
      <c r="K806" t="s">
        <v>40</v>
      </c>
      <c r="L806">
        <v>4</v>
      </c>
      <c r="M806">
        <v>4</v>
      </c>
      <c r="N806" t="s">
        <v>50</v>
      </c>
      <c r="O806">
        <v>4</v>
      </c>
      <c r="P806" t="s">
        <v>36</v>
      </c>
      <c r="Q806">
        <v>16885</v>
      </c>
      <c r="R806">
        <v>2</v>
      </c>
      <c r="S806" t="s">
        <v>37</v>
      </c>
      <c r="T806">
        <v>22</v>
      </c>
      <c r="U806">
        <v>4</v>
      </c>
      <c r="V806">
        <v>3</v>
      </c>
      <c r="W806">
        <v>0</v>
      </c>
      <c r="X806">
        <v>27</v>
      </c>
      <c r="Y806">
        <v>3</v>
      </c>
      <c r="Z806">
        <v>2</v>
      </c>
      <c r="AA806">
        <v>5</v>
      </c>
      <c r="AB806">
        <v>4</v>
      </c>
      <c r="AC806">
        <v>2</v>
      </c>
      <c r="AD806">
        <v>1</v>
      </c>
      <c r="AE806" t="str" cm="1">
        <f t="array" ref="AE806">_xlfn.IFS(G806=1,"Before College",G806=2,"College",G806=3,"Bachelor",G806=4,"Master",G806=5,"Doctor")</f>
        <v>Master</v>
      </c>
      <c r="AF806" t="str" cm="1">
        <f t="array" ref="AF806">_xlfn.IFS(J806=1,"Low",J806=2,"Medium",J806=3,"High",J806=4,"Very High")</f>
        <v>Low</v>
      </c>
      <c r="AG806" t="str" cm="1">
        <f t="array" ref="AG806">_xlfn.IFS(L806=1,"Low",L806=2,"Medium",L806=3,"High",L806=4,"Very High")</f>
        <v>Very High</v>
      </c>
      <c r="AH806" t="str" cm="1">
        <f t="array" ref="AH806">_xlfn.IFS(M806=1,"Junior employee",M806=2,"Mid-level",M806=3,"Senior",M806=4,"Manager",M806=5,"Executive")</f>
        <v>Manager</v>
      </c>
      <c r="AI806" t="str" cm="1">
        <f t="array" ref="AI806">_xlfn.IFS(O806=1,"Low",O806=2,"Medium",O806=3,"High",O806=4,"Very High")</f>
        <v>Very High</v>
      </c>
      <c r="AJ806" t="str" cm="1">
        <f t="array" ref="AJ806">_xlfn.IFS(U806=1,"Low",U806=2,"Good",U806=3,"Excellent",U806=4,"Outstanding")</f>
        <v>Outstanding</v>
      </c>
      <c r="AK806" t="str" cm="1">
        <f t="array" ref="AK806">_xlfn.IFS(V806=1,"Low",V806=2,"Medium",V806=3,"High",V806=4,"Very High")</f>
        <v>High</v>
      </c>
      <c r="AL806" t="str" cm="1">
        <f t="array" ref="AL806">_xlfn.IFS(Z806=1,"Bad",Z806=2,"Good",Z806=3,"Better",Z806=4,"Best")</f>
        <v>Good</v>
      </c>
      <c r="AM806" t="str" cm="1">
        <f t="array" ref="AM806">_xlfn.IFS(W806=0,"No_stock",W806=1,"Low",W806=2,"Medium",W806=3,"High")</f>
        <v>No_stock</v>
      </c>
      <c r="AN806" t="str">
        <f t="shared" si="12"/>
        <v>Near</v>
      </c>
    </row>
    <row r="807" spans="1:40" x14ac:dyDescent="0.45">
      <c r="A807">
        <v>45</v>
      </c>
      <c r="B807" t="s">
        <v>37</v>
      </c>
      <c r="C807" t="s">
        <v>49</v>
      </c>
      <c r="D807">
        <v>1050</v>
      </c>
      <c r="E807" t="s">
        <v>32</v>
      </c>
      <c r="F807">
        <v>9</v>
      </c>
      <c r="G807">
        <v>4</v>
      </c>
      <c r="H807" t="s">
        <v>33</v>
      </c>
      <c r="I807">
        <v>1117</v>
      </c>
      <c r="J807">
        <v>2</v>
      </c>
      <c r="K807" t="s">
        <v>34</v>
      </c>
      <c r="L807">
        <v>2</v>
      </c>
      <c r="M807">
        <v>2</v>
      </c>
      <c r="N807" t="s">
        <v>35</v>
      </c>
      <c r="O807">
        <v>3</v>
      </c>
      <c r="P807" t="s">
        <v>42</v>
      </c>
      <c r="Q807">
        <v>5593</v>
      </c>
      <c r="R807">
        <v>1</v>
      </c>
      <c r="S807" t="s">
        <v>37</v>
      </c>
      <c r="T807">
        <v>13</v>
      </c>
      <c r="U807">
        <v>3</v>
      </c>
      <c r="V807">
        <v>4</v>
      </c>
      <c r="W807">
        <v>1</v>
      </c>
      <c r="X807">
        <v>15</v>
      </c>
      <c r="Y807">
        <v>2</v>
      </c>
      <c r="Z807">
        <v>3</v>
      </c>
      <c r="AA807">
        <v>15</v>
      </c>
      <c r="AB807">
        <v>10</v>
      </c>
      <c r="AC807">
        <v>4</v>
      </c>
      <c r="AD807">
        <v>12</v>
      </c>
      <c r="AE807" t="str" cm="1">
        <f t="array" ref="AE807">_xlfn.IFS(G807=1,"Before College",G807=2,"College",G807=3,"Bachelor",G807=4,"Master",G807=5,"Doctor")</f>
        <v>Master</v>
      </c>
      <c r="AF807" t="str" cm="1">
        <f t="array" ref="AF807">_xlfn.IFS(J807=1,"Low",J807=2,"Medium",J807=3,"High",J807=4,"Very High")</f>
        <v>Medium</v>
      </c>
      <c r="AG807" t="str" cm="1">
        <f t="array" ref="AG807">_xlfn.IFS(L807=1,"Low",L807=2,"Medium",L807=3,"High",L807=4,"Very High")</f>
        <v>Medium</v>
      </c>
      <c r="AH807" t="str" cm="1">
        <f t="array" ref="AH807">_xlfn.IFS(M807=1,"Junior employee",M807=2,"Mid-level",M807=3,"Senior",M807=4,"Manager",M807=5,"Executive")</f>
        <v>Mid-level</v>
      </c>
      <c r="AI807" t="str" cm="1">
        <f t="array" ref="AI807">_xlfn.IFS(O807=1,"Low",O807=2,"Medium",O807=3,"High",O807=4,"Very High")</f>
        <v>High</v>
      </c>
      <c r="AJ807" t="str" cm="1">
        <f t="array" ref="AJ807">_xlfn.IFS(U807=1,"Low",U807=2,"Good",U807=3,"Excellent",U807=4,"Outstanding")</f>
        <v>Excellent</v>
      </c>
      <c r="AK807" t="str" cm="1">
        <f t="array" ref="AK807">_xlfn.IFS(V807=1,"Low",V807=2,"Medium",V807=3,"High",V807=4,"Very High")</f>
        <v>Very High</v>
      </c>
      <c r="AL807" t="str" cm="1">
        <f t="array" ref="AL807">_xlfn.IFS(Z807=1,"Bad",Z807=2,"Good",Z807=3,"Better",Z807=4,"Best")</f>
        <v>Better</v>
      </c>
      <c r="AM807" t="str" cm="1">
        <f t="array" ref="AM807">_xlfn.IFS(W807=0,"No_stock",W807=1,"Low",W807=2,"Medium",W807=3,"High")</f>
        <v>Low</v>
      </c>
      <c r="AN807" t="str">
        <f t="shared" si="12"/>
        <v>Medium</v>
      </c>
    </row>
    <row r="808" spans="1:40" x14ac:dyDescent="0.45">
      <c r="A808">
        <v>52</v>
      </c>
      <c r="B808" t="s">
        <v>37</v>
      </c>
      <c r="C808" t="s">
        <v>31</v>
      </c>
      <c r="D808">
        <v>994</v>
      </c>
      <c r="E808" t="s">
        <v>39</v>
      </c>
      <c r="F808">
        <v>7</v>
      </c>
      <c r="G808">
        <v>4</v>
      </c>
      <c r="H808" t="s">
        <v>33</v>
      </c>
      <c r="I808">
        <v>1118</v>
      </c>
      <c r="J808">
        <v>2</v>
      </c>
      <c r="K808" t="s">
        <v>40</v>
      </c>
      <c r="L808">
        <v>3</v>
      </c>
      <c r="M808">
        <v>3</v>
      </c>
      <c r="N808" t="s">
        <v>48</v>
      </c>
      <c r="O808">
        <v>2</v>
      </c>
      <c r="P808" t="s">
        <v>36</v>
      </c>
      <c r="Q808">
        <v>10445</v>
      </c>
      <c r="R808">
        <v>7</v>
      </c>
      <c r="S808" t="s">
        <v>37</v>
      </c>
      <c r="T808">
        <v>19</v>
      </c>
      <c r="U808">
        <v>3</v>
      </c>
      <c r="V808">
        <v>4</v>
      </c>
      <c r="W808">
        <v>0</v>
      </c>
      <c r="X808">
        <v>18</v>
      </c>
      <c r="Y808">
        <v>4</v>
      </c>
      <c r="Z808">
        <v>3</v>
      </c>
      <c r="AA808">
        <v>8</v>
      </c>
      <c r="AB808">
        <v>6</v>
      </c>
      <c r="AC808">
        <v>4</v>
      </c>
      <c r="AD808">
        <v>0</v>
      </c>
      <c r="AE808" t="str" cm="1">
        <f t="array" ref="AE808">_xlfn.IFS(G808=1,"Before College",G808=2,"College",G808=3,"Bachelor",G808=4,"Master",G808=5,"Doctor")</f>
        <v>Master</v>
      </c>
      <c r="AF808" t="str" cm="1">
        <f t="array" ref="AF808">_xlfn.IFS(J808=1,"Low",J808=2,"Medium",J808=3,"High",J808=4,"Very High")</f>
        <v>Medium</v>
      </c>
      <c r="AG808" t="str" cm="1">
        <f t="array" ref="AG808">_xlfn.IFS(L808=1,"Low",L808=2,"Medium",L808=3,"High",L808=4,"Very High")</f>
        <v>High</v>
      </c>
      <c r="AH808" t="str" cm="1">
        <f t="array" ref="AH808">_xlfn.IFS(M808=1,"Junior employee",M808=2,"Mid-level",M808=3,"Senior",M808=4,"Manager",M808=5,"Executive")</f>
        <v>Senior</v>
      </c>
      <c r="AI808" t="str" cm="1">
        <f t="array" ref="AI808">_xlfn.IFS(O808=1,"Low",O808=2,"Medium",O808=3,"High",O808=4,"Very High")</f>
        <v>Medium</v>
      </c>
      <c r="AJ808" t="str" cm="1">
        <f t="array" ref="AJ808">_xlfn.IFS(U808=1,"Low",U808=2,"Good",U808=3,"Excellent",U808=4,"Outstanding")</f>
        <v>Excellent</v>
      </c>
      <c r="AK808" t="str" cm="1">
        <f t="array" ref="AK808">_xlfn.IFS(V808=1,"Low",V808=2,"Medium",V808=3,"High",V808=4,"Very High")</f>
        <v>Very High</v>
      </c>
      <c r="AL808" t="str" cm="1">
        <f t="array" ref="AL808">_xlfn.IFS(Z808=1,"Bad",Z808=2,"Good",Z808=3,"Better",Z808=4,"Best")</f>
        <v>Better</v>
      </c>
      <c r="AM808" t="str" cm="1">
        <f t="array" ref="AM808">_xlfn.IFS(W808=0,"No_stock",W808=1,"Low",W808=2,"Medium",W808=3,"High")</f>
        <v>No_stock</v>
      </c>
      <c r="AN808" t="str">
        <f t="shared" si="12"/>
        <v>Medium</v>
      </c>
    </row>
    <row r="809" spans="1:40" x14ac:dyDescent="0.45">
      <c r="A809">
        <v>38</v>
      </c>
      <c r="B809" t="s">
        <v>37</v>
      </c>
      <c r="C809" t="s">
        <v>31</v>
      </c>
      <c r="D809">
        <v>770</v>
      </c>
      <c r="E809" t="s">
        <v>32</v>
      </c>
      <c r="F809">
        <v>10</v>
      </c>
      <c r="G809">
        <v>4</v>
      </c>
      <c r="H809" t="s">
        <v>53</v>
      </c>
      <c r="I809">
        <v>1119</v>
      </c>
      <c r="J809">
        <v>3</v>
      </c>
      <c r="K809" t="s">
        <v>40</v>
      </c>
      <c r="L809">
        <v>2</v>
      </c>
      <c r="M809">
        <v>3</v>
      </c>
      <c r="N809" t="s">
        <v>35</v>
      </c>
      <c r="O809">
        <v>3</v>
      </c>
      <c r="P809" t="s">
        <v>46</v>
      </c>
      <c r="Q809">
        <v>8740</v>
      </c>
      <c r="R809">
        <v>0</v>
      </c>
      <c r="S809" t="s">
        <v>30</v>
      </c>
      <c r="T809">
        <v>14</v>
      </c>
      <c r="U809">
        <v>3</v>
      </c>
      <c r="V809">
        <v>2</v>
      </c>
      <c r="W809">
        <v>2</v>
      </c>
      <c r="X809">
        <v>9</v>
      </c>
      <c r="Y809">
        <v>2</v>
      </c>
      <c r="Z809">
        <v>3</v>
      </c>
      <c r="AA809">
        <v>8</v>
      </c>
      <c r="AB809">
        <v>7</v>
      </c>
      <c r="AC809">
        <v>2</v>
      </c>
      <c r="AD809">
        <v>7</v>
      </c>
      <c r="AE809" t="str" cm="1">
        <f t="array" ref="AE809">_xlfn.IFS(G809=1,"Before College",G809=2,"College",G809=3,"Bachelor",G809=4,"Master",G809=5,"Doctor")</f>
        <v>Master</v>
      </c>
      <c r="AF809" t="str" cm="1">
        <f t="array" ref="AF809">_xlfn.IFS(J809=1,"Low",J809=2,"Medium",J809=3,"High",J809=4,"Very High")</f>
        <v>High</v>
      </c>
      <c r="AG809" t="str" cm="1">
        <f t="array" ref="AG809">_xlfn.IFS(L809=1,"Low",L809=2,"Medium",L809=3,"High",L809=4,"Very High")</f>
        <v>Medium</v>
      </c>
      <c r="AH809" t="str" cm="1">
        <f t="array" ref="AH809">_xlfn.IFS(M809=1,"Junior employee",M809=2,"Mid-level",M809=3,"Senior",M809=4,"Manager",M809=5,"Executive")</f>
        <v>Senior</v>
      </c>
      <c r="AI809" t="str" cm="1">
        <f t="array" ref="AI809">_xlfn.IFS(O809=1,"Low",O809=2,"Medium",O809=3,"High",O809=4,"Very High")</f>
        <v>High</v>
      </c>
      <c r="AJ809" t="str" cm="1">
        <f t="array" ref="AJ809">_xlfn.IFS(U809=1,"Low",U809=2,"Good",U809=3,"Excellent",U809=4,"Outstanding")</f>
        <v>Excellent</v>
      </c>
      <c r="AK809" t="str" cm="1">
        <f t="array" ref="AK809">_xlfn.IFS(V809=1,"Low",V809=2,"Medium",V809=3,"High",V809=4,"Very High")</f>
        <v>Medium</v>
      </c>
      <c r="AL809" t="str" cm="1">
        <f t="array" ref="AL809">_xlfn.IFS(Z809=1,"Bad",Z809=2,"Good",Z809=3,"Better",Z809=4,"Best")</f>
        <v>Better</v>
      </c>
      <c r="AM809" t="str" cm="1">
        <f t="array" ref="AM809">_xlfn.IFS(W809=0,"No_stock",W809=1,"Low",W809=2,"Medium",W809=3,"High")</f>
        <v>Medium</v>
      </c>
      <c r="AN809" t="str">
        <f t="shared" si="12"/>
        <v>Medium</v>
      </c>
    </row>
    <row r="810" spans="1:40" x14ac:dyDescent="0.45">
      <c r="A810">
        <v>29</v>
      </c>
      <c r="B810" t="s">
        <v>37</v>
      </c>
      <c r="C810" t="s">
        <v>31</v>
      </c>
      <c r="D810">
        <v>1107</v>
      </c>
      <c r="E810" t="s">
        <v>39</v>
      </c>
      <c r="F810">
        <v>28</v>
      </c>
      <c r="G810">
        <v>4</v>
      </c>
      <c r="H810" t="s">
        <v>33</v>
      </c>
      <c r="I810">
        <v>1120</v>
      </c>
      <c r="J810">
        <v>3</v>
      </c>
      <c r="K810" t="s">
        <v>34</v>
      </c>
      <c r="L810">
        <v>3</v>
      </c>
      <c r="M810">
        <v>1</v>
      </c>
      <c r="N810" t="s">
        <v>41</v>
      </c>
      <c r="O810">
        <v>4</v>
      </c>
      <c r="P810" t="s">
        <v>46</v>
      </c>
      <c r="Q810">
        <v>2514</v>
      </c>
      <c r="R810">
        <v>4</v>
      </c>
      <c r="S810" t="s">
        <v>37</v>
      </c>
      <c r="T810">
        <v>22</v>
      </c>
      <c r="U810">
        <v>4</v>
      </c>
      <c r="V810">
        <v>1</v>
      </c>
      <c r="W810">
        <v>1</v>
      </c>
      <c r="X810">
        <v>11</v>
      </c>
      <c r="Y810">
        <v>1</v>
      </c>
      <c r="Z810">
        <v>3</v>
      </c>
      <c r="AA810">
        <v>7</v>
      </c>
      <c r="AB810">
        <v>5</v>
      </c>
      <c r="AC810">
        <v>1</v>
      </c>
      <c r="AD810">
        <v>7</v>
      </c>
      <c r="AE810" t="str" cm="1">
        <f t="array" ref="AE810">_xlfn.IFS(G810=1,"Before College",G810=2,"College",G810=3,"Bachelor",G810=4,"Master",G810=5,"Doctor")</f>
        <v>Master</v>
      </c>
      <c r="AF810" t="str" cm="1">
        <f t="array" ref="AF810">_xlfn.IFS(J810=1,"Low",J810=2,"Medium",J810=3,"High",J810=4,"Very High")</f>
        <v>High</v>
      </c>
      <c r="AG810" t="str" cm="1">
        <f t="array" ref="AG810">_xlfn.IFS(L810=1,"Low",L810=2,"Medium",L810=3,"High",L810=4,"Very High")</f>
        <v>High</v>
      </c>
      <c r="AH810" t="str" cm="1">
        <f t="array" ref="AH810">_xlfn.IFS(M810=1,"Junior employee",M810=2,"Mid-level",M810=3,"Senior",M810=4,"Manager",M810=5,"Executive")</f>
        <v>Junior employee</v>
      </c>
      <c r="AI810" t="str" cm="1">
        <f t="array" ref="AI810">_xlfn.IFS(O810=1,"Low",O810=2,"Medium",O810=3,"High",O810=4,"Very High")</f>
        <v>Very High</v>
      </c>
      <c r="AJ810" t="str" cm="1">
        <f t="array" ref="AJ810">_xlfn.IFS(U810=1,"Low",U810=2,"Good",U810=3,"Excellent",U810=4,"Outstanding")</f>
        <v>Outstanding</v>
      </c>
      <c r="AK810" t="str" cm="1">
        <f t="array" ref="AK810">_xlfn.IFS(V810=1,"Low",V810=2,"Medium",V810=3,"High",V810=4,"Very High")</f>
        <v>Low</v>
      </c>
      <c r="AL810" t="str" cm="1">
        <f t="array" ref="AL810">_xlfn.IFS(Z810=1,"Bad",Z810=2,"Good",Z810=3,"Better",Z810=4,"Best")</f>
        <v>Better</v>
      </c>
      <c r="AM810" t="str" cm="1">
        <f t="array" ref="AM810">_xlfn.IFS(W810=0,"No_stock",W810=1,"Low",W810=2,"Medium",W810=3,"High")</f>
        <v>Low</v>
      </c>
      <c r="AN810" t="str">
        <f t="shared" si="12"/>
        <v>Far</v>
      </c>
    </row>
    <row r="811" spans="1:40" x14ac:dyDescent="0.45">
      <c r="A811">
        <v>28</v>
      </c>
      <c r="B811" t="s">
        <v>37</v>
      </c>
      <c r="C811" t="s">
        <v>31</v>
      </c>
      <c r="D811">
        <v>950</v>
      </c>
      <c r="E811" t="s">
        <v>39</v>
      </c>
      <c r="F811">
        <v>3</v>
      </c>
      <c r="G811">
        <v>3</v>
      </c>
      <c r="H811" t="s">
        <v>45</v>
      </c>
      <c r="I811">
        <v>1121</v>
      </c>
      <c r="J811">
        <v>4</v>
      </c>
      <c r="K811" t="s">
        <v>34</v>
      </c>
      <c r="L811">
        <v>3</v>
      </c>
      <c r="M811">
        <v>3</v>
      </c>
      <c r="N811" t="s">
        <v>47</v>
      </c>
      <c r="O811">
        <v>2</v>
      </c>
      <c r="P811" t="s">
        <v>46</v>
      </c>
      <c r="Q811">
        <v>7655</v>
      </c>
      <c r="R811">
        <v>0</v>
      </c>
      <c r="S811" t="s">
        <v>37</v>
      </c>
      <c r="T811">
        <v>17</v>
      </c>
      <c r="U811">
        <v>3</v>
      </c>
      <c r="V811">
        <v>2</v>
      </c>
      <c r="W811">
        <v>3</v>
      </c>
      <c r="X811">
        <v>10</v>
      </c>
      <c r="Y811">
        <v>3</v>
      </c>
      <c r="Z811">
        <v>2</v>
      </c>
      <c r="AA811">
        <v>9</v>
      </c>
      <c r="AB811">
        <v>7</v>
      </c>
      <c r="AC811">
        <v>1</v>
      </c>
      <c r="AD811">
        <v>7</v>
      </c>
      <c r="AE811" t="str" cm="1">
        <f t="array" ref="AE811">_xlfn.IFS(G811=1,"Before College",G811=2,"College",G811=3,"Bachelor",G811=4,"Master",G811=5,"Doctor")</f>
        <v>Bachelor</v>
      </c>
      <c r="AF811" t="str" cm="1">
        <f t="array" ref="AF811">_xlfn.IFS(J811=1,"Low",J811=2,"Medium",J811=3,"High",J811=4,"Very High")</f>
        <v>Very High</v>
      </c>
      <c r="AG811" t="str" cm="1">
        <f t="array" ref="AG811">_xlfn.IFS(L811=1,"Low",L811=2,"Medium",L811=3,"High",L811=4,"Very High")</f>
        <v>High</v>
      </c>
      <c r="AH811" t="str" cm="1">
        <f t="array" ref="AH811">_xlfn.IFS(M811=1,"Junior employee",M811=2,"Mid-level",M811=3,"Senior",M811=4,"Manager",M811=5,"Executive")</f>
        <v>Senior</v>
      </c>
      <c r="AI811" t="str" cm="1">
        <f t="array" ref="AI811">_xlfn.IFS(O811=1,"Low",O811=2,"Medium",O811=3,"High",O811=4,"Very High")</f>
        <v>Medium</v>
      </c>
      <c r="AJ811" t="str" cm="1">
        <f t="array" ref="AJ811">_xlfn.IFS(U811=1,"Low",U811=2,"Good",U811=3,"Excellent",U811=4,"Outstanding")</f>
        <v>Excellent</v>
      </c>
      <c r="AK811" t="str" cm="1">
        <f t="array" ref="AK811">_xlfn.IFS(V811=1,"Low",V811=2,"Medium",V811=3,"High",V811=4,"Very High")</f>
        <v>Medium</v>
      </c>
      <c r="AL811" t="str" cm="1">
        <f t="array" ref="AL811">_xlfn.IFS(Z811=1,"Bad",Z811=2,"Good",Z811=3,"Better",Z811=4,"Best")</f>
        <v>Good</v>
      </c>
      <c r="AM811" t="str" cm="1">
        <f t="array" ref="AM811">_xlfn.IFS(W811=0,"No_stock",W811=1,"Low",W811=2,"Medium",W811=3,"High")</f>
        <v>High</v>
      </c>
      <c r="AN811" t="str">
        <f t="shared" si="12"/>
        <v>Near</v>
      </c>
    </row>
    <row r="812" spans="1:40" x14ac:dyDescent="0.45">
      <c r="A812">
        <v>46</v>
      </c>
      <c r="B812" t="s">
        <v>37</v>
      </c>
      <c r="C812" t="s">
        <v>31</v>
      </c>
      <c r="D812">
        <v>406</v>
      </c>
      <c r="E812" t="s">
        <v>32</v>
      </c>
      <c r="F812">
        <v>3</v>
      </c>
      <c r="G812">
        <v>1</v>
      </c>
      <c r="H812" t="s">
        <v>53</v>
      </c>
      <c r="I812">
        <v>1124</v>
      </c>
      <c r="J812">
        <v>1</v>
      </c>
      <c r="K812" t="s">
        <v>40</v>
      </c>
      <c r="L812">
        <v>3</v>
      </c>
      <c r="M812">
        <v>4</v>
      </c>
      <c r="N812" t="s">
        <v>50</v>
      </c>
      <c r="O812">
        <v>3</v>
      </c>
      <c r="P812" t="s">
        <v>42</v>
      </c>
      <c r="Q812">
        <v>17465</v>
      </c>
      <c r="R812">
        <v>3</v>
      </c>
      <c r="S812" t="s">
        <v>37</v>
      </c>
      <c r="T812">
        <v>12</v>
      </c>
      <c r="U812">
        <v>3</v>
      </c>
      <c r="V812">
        <v>4</v>
      </c>
      <c r="W812">
        <v>1</v>
      </c>
      <c r="X812">
        <v>23</v>
      </c>
      <c r="Y812">
        <v>3</v>
      </c>
      <c r="Z812">
        <v>3</v>
      </c>
      <c r="AA812">
        <v>12</v>
      </c>
      <c r="AB812">
        <v>9</v>
      </c>
      <c r="AC812">
        <v>4</v>
      </c>
      <c r="AD812">
        <v>9</v>
      </c>
      <c r="AE812" t="str" cm="1">
        <f t="array" ref="AE812">_xlfn.IFS(G812=1,"Before College",G812=2,"College",G812=3,"Bachelor",G812=4,"Master",G812=5,"Doctor")</f>
        <v>Before College</v>
      </c>
      <c r="AF812" t="str" cm="1">
        <f t="array" ref="AF812">_xlfn.IFS(J812=1,"Low",J812=2,"Medium",J812=3,"High",J812=4,"Very High")</f>
        <v>Low</v>
      </c>
      <c r="AG812" t="str" cm="1">
        <f t="array" ref="AG812">_xlfn.IFS(L812=1,"Low",L812=2,"Medium",L812=3,"High",L812=4,"Very High")</f>
        <v>High</v>
      </c>
      <c r="AH812" t="str" cm="1">
        <f t="array" ref="AH812">_xlfn.IFS(M812=1,"Junior employee",M812=2,"Mid-level",M812=3,"Senior",M812=4,"Manager",M812=5,"Executive")</f>
        <v>Manager</v>
      </c>
      <c r="AI812" t="str" cm="1">
        <f t="array" ref="AI812">_xlfn.IFS(O812=1,"Low",O812=2,"Medium",O812=3,"High",O812=4,"Very High")</f>
        <v>High</v>
      </c>
      <c r="AJ812" t="str" cm="1">
        <f t="array" ref="AJ812">_xlfn.IFS(U812=1,"Low",U812=2,"Good",U812=3,"Excellent",U812=4,"Outstanding")</f>
        <v>Excellent</v>
      </c>
      <c r="AK812" t="str" cm="1">
        <f t="array" ref="AK812">_xlfn.IFS(V812=1,"Low",V812=2,"Medium",V812=3,"High",V812=4,"Very High")</f>
        <v>Very High</v>
      </c>
      <c r="AL812" t="str" cm="1">
        <f t="array" ref="AL812">_xlfn.IFS(Z812=1,"Bad",Z812=2,"Good",Z812=3,"Better",Z812=4,"Best")</f>
        <v>Better</v>
      </c>
      <c r="AM812" t="str" cm="1">
        <f t="array" ref="AM812">_xlfn.IFS(W812=0,"No_stock",W812=1,"Low",W812=2,"Medium",W812=3,"High")</f>
        <v>Low</v>
      </c>
      <c r="AN812" t="str">
        <f t="shared" si="12"/>
        <v>Near</v>
      </c>
    </row>
    <row r="813" spans="1:40" x14ac:dyDescent="0.45">
      <c r="A813">
        <v>38</v>
      </c>
      <c r="B813" t="s">
        <v>37</v>
      </c>
      <c r="C813" t="s">
        <v>31</v>
      </c>
      <c r="D813">
        <v>130</v>
      </c>
      <c r="E813" t="s">
        <v>32</v>
      </c>
      <c r="F813">
        <v>2</v>
      </c>
      <c r="G813">
        <v>2</v>
      </c>
      <c r="H813" t="s">
        <v>53</v>
      </c>
      <c r="I813">
        <v>1125</v>
      </c>
      <c r="J813">
        <v>4</v>
      </c>
      <c r="K813" t="s">
        <v>40</v>
      </c>
      <c r="L813">
        <v>3</v>
      </c>
      <c r="M813">
        <v>3</v>
      </c>
      <c r="N813" t="s">
        <v>35</v>
      </c>
      <c r="O813">
        <v>2</v>
      </c>
      <c r="P813" t="s">
        <v>36</v>
      </c>
      <c r="Q813">
        <v>7351</v>
      </c>
      <c r="R813">
        <v>7</v>
      </c>
      <c r="S813" t="s">
        <v>37</v>
      </c>
      <c r="T813">
        <v>16</v>
      </c>
      <c r="U813">
        <v>3</v>
      </c>
      <c r="V813">
        <v>3</v>
      </c>
      <c r="W813">
        <v>0</v>
      </c>
      <c r="X813">
        <v>10</v>
      </c>
      <c r="Y813">
        <v>2</v>
      </c>
      <c r="Z813">
        <v>3</v>
      </c>
      <c r="AA813">
        <v>1</v>
      </c>
      <c r="AB813">
        <v>0</v>
      </c>
      <c r="AC813">
        <v>0</v>
      </c>
      <c r="AD813">
        <v>0</v>
      </c>
      <c r="AE813" t="str" cm="1">
        <f t="array" ref="AE813">_xlfn.IFS(G813=1,"Before College",G813=2,"College",G813=3,"Bachelor",G813=4,"Master",G813=5,"Doctor")</f>
        <v>College</v>
      </c>
      <c r="AF813" t="str" cm="1">
        <f t="array" ref="AF813">_xlfn.IFS(J813=1,"Low",J813=2,"Medium",J813=3,"High",J813=4,"Very High")</f>
        <v>Very High</v>
      </c>
      <c r="AG813" t="str" cm="1">
        <f t="array" ref="AG813">_xlfn.IFS(L813=1,"Low",L813=2,"Medium",L813=3,"High",L813=4,"Very High")</f>
        <v>High</v>
      </c>
      <c r="AH813" t="str" cm="1">
        <f t="array" ref="AH813">_xlfn.IFS(M813=1,"Junior employee",M813=2,"Mid-level",M813=3,"Senior",M813=4,"Manager",M813=5,"Executive")</f>
        <v>Senior</v>
      </c>
      <c r="AI813" t="str" cm="1">
        <f t="array" ref="AI813">_xlfn.IFS(O813=1,"Low",O813=2,"Medium",O813=3,"High",O813=4,"Very High")</f>
        <v>Medium</v>
      </c>
      <c r="AJ813" t="str" cm="1">
        <f t="array" ref="AJ813">_xlfn.IFS(U813=1,"Low",U813=2,"Good",U813=3,"Excellent",U813=4,"Outstanding")</f>
        <v>Excellent</v>
      </c>
      <c r="AK813" t="str" cm="1">
        <f t="array" ref="AK813">_xlfn.IFS(V813=1,"Low",V813=2,"Medium",V813=3,"High",V813=4,"Very High")</f>
        <v>High</v>
      </c>
      <c r="AL813" t="str" cm="1">
        <f t="array" ref="AL813">_xlfn.IFS(Z813=1,"Bad",Z813=2,"Good",Z813=3,"Better",Z813=4,"Best")</f>
        <v>Better</v>
      </c>
      <c r="AM813" t="str" cm="1">
        <f t="array" ref="AM813">_xlfn.IFS(W813=0,"No_stock",W813=1,"Low",W813=2,"Medium",W813=3,"High")</f>
        <v>No_stock</v>
      </c>
      <c r="AN813" t="str">
        <f t="shared" si="12"/>
        <v>Near</v>
      </c>
    </row>
    <row r="814" spans="1:40" x14ac:dyDescent="0.45">
      <c r="A814">
        <v>43</v>
      </c>
      <c r="B814" t="s">
        <v>37</v>
      </c>
      <c r="C814" t="s">
        <v>38</v>
      </c>
      <c r="D814">
        <v>1082</v>
      </c>
      <c r="E814" t="s">
        <v>39</v>
      </c>
      <c r="F814">
        <v>27</v>
      </c>
      <c r="G814">
        <v>3</v>
      </c>
      <c r="H814" t="s">
        <v>33</v>
      </c>
      <c r="I814">
        <v>1126</v>
      </c>
      <c r="J814">
        <v>3</v>
      </c>
      <c r="K814" t="s">
        <v>34</v>
      </c>
      <c r="L814">
        <v>3</v>
      </c>
      <c r="M814">
        <v>3</v>
      </c>
      <c r="N814" t="s">
        <v>47</v>
      </c>
      <c r="O814">
        <v>1</v>
      </c>
      <c r="P814" t="s">
        <v>42</v>
      </c>
      <c r="Q814">
        <v>10820</v>
      </c>
      <c r="R814">
        <v>8</v>
      </c>
      <c r="S814" t="s">
        <v>37</v>
      </c>
      <c r="T814">
        <v>11</v>
      </c>
      <c r="U814">
        <v>3</v>
      </c>
      <c r="V814">
        <v>3</v>
      </c>
      <c r="W814">
        <v>1</v>
      </c>
      <c r="X814">
        <v>18</v>
      </c>
      <c r="Y814">
        <v>1</v>
      </c>
      <c r="Z814">
        <v>3</v>
      </c>
      <c r="AA814">
        <v>8</v>
      </c>
      <c r="AB814">
        <v>7</v>
      </c>
      <c r="AC814">
        <v>0</v>
      </c>
      <c r="AD814">
        <v>1</v>
      </c>
      <c r="AE814" t="str" cm="1">
        <f t="array" ref="AE814">_xlfn.IFS(G814=1,"Before College",G814=2,"College",G814=3,"Bachelor",G814=4,"Master",G814=5,"Doctor")</f>
        <v>Bachelor</v>
      </c>
      <c r="AF814" t="str" cm="1">
        <f t="array" ref="AF814">_xlfn.IFS(J814=1,"Low",J814=2,"Medium",J814=3,"High",J814=4,"Very High")</f>
        <v>High</v>
      </c>
      <c r="AG814" t="str" cm="1">
        <f t="array" ref="AG814">_xlfn.IFS(L814=1,"Low",L814=2,"Medium",L814=3,"High",L814=4,"Very High")</f>
        <v>High</v>
      </c>
      <c r="AH814" t="str" cm="1">
        <f t="array" ref="AH814">_xlfn.IFS(M814=1,"Junior employee",M814=2,"Mid-level",M814=3,"Senior",M814=4,"Manager",M814=5,"Executive")</f>
        <v>Senior</v>
      </c>
      <c r="AI814" t="str" cm="1">
        <f t="array" ref="AI814">_xlfn.IFS(O814=1,"Low",O814=2,"Medium",O814=3,"High",O814=4,"Very High")</f>
        <v>Low</v>
      </c>
      <c r="AJ814" t="str" cm="1">
        <f t="array" ref="AJ814">_xlfn.IFS(U814=1,"Low",U814=2,"Good",U814=3,"Excellent",U814=4,"Outstanding")</f>
        <v>Excellent</v>
      </c>
      <c r="AK814" t="str" cm="1">
        <f t="array" ref="AK814">_xlfn.IFS(V814=1,"Low",V814=2,"Medium",V814=3,"High",V814=4,"Very High")</f>
        <v>High</v>
      </c>
      <c r="AL814" t="str" cm="1">
        <f t="array" ref="AL814">_xlfn.IFS(Z814=1,"Bad",Z814=2,"Good",Z814=3,"Better",Z814=4,"Best")</f>
        <v>Better</v>
      </c>
      <c r="AM814" t="str" cm="1">
        <f t="array" ref="AM814">_xlfn.IFS(W814=0,"No_stock",W814=1,"Low",W814=2,"Medium",W814=3,"High")</f>
        <v>Low</v>
      </c>
      <c r="AN814" t="str">
        <f t="shared" si="12"/>
        <v>Far</v>
      </c>
    </row>
    <row r="815" spans="1:40" x14ac:dyDescent="0.45">
      <c r="A815">
        <v>39</v>
      </c>
      <c r="B815" t="s">
        <v>30</v>
      </c>
      <c r="C815" t="s">
        <v>38</v>
      </c>
      <c r="D815">
        <v>203</v>
      </c>
      <c r="E815" t="s">
        <v>39</v>
      </c>
      <c r="F815">
        <v>2</v>
      </c>
      <c r="G815">
        <v>3</v>
      </c>
      <c r="H815" t="s">
        <v>33</v>
      </c>
      <c r="I815">
        <v>1127</v>
      </c>
      <c r="J815">
        <v>1</v>
      </c>
      <c r="K815" t="s">
        <v>40</v>
      </c>
      <c r="L815">
        <v>3</v>
      </c>
      <c r="M815">
        <v>4</v>
      </c>
      <c r="N815" t="s">
        <v>48</v>
      </c>
      <c r="O815">
        <v>4</v>
      </c>
      <c r="P815" t="s">
        <v>46</v>
      </c>
      <c r="Q815">
        <v>12169</v>
      </c>
      <c r="R815">
        <v>7</v>
      </c>
      <c r="S815" t="s">
        <v>37</v>
      </c>
      <c r="T815">
        <v>11</v>
      </c>
      <c r="U815">
        <v>3</v>
      </c>
      <c r="V815">
        <v>4</v>
      </c>
      <c r="W815">
        <v>3</v>
      </c>
      <c r="X815">
        <v>21</v>
      </c>
      <c r="Y815">
        <v>4</v>
      </c>
      <c r="Z815">
        <v>3</v>
      </c>
      <c r="AA815">
        <v>18</v>
      </c>
      <c r="AB815">
        <v>7</v>
      </c>
      <c r="AC815">
        <v>11</v>
      </c>
      <c r="AD815">
        <v>5</v>
      </c>
      <c r="AE815" t="str" cm="1">
        <f t="array" ref="AE815">_xlfn.IFS(G815=1,"Before College",G815=2,"College",G815=3,"Bachelor",G815=4,"Master",G815=5,"Doctor")</f>
        <v>Bachelor</v>
      </c>
      <c r="AF815" t="str" cm="1">
        <f t="array" ref="AF815">_xlfn.IFS(J815=1,"Low",J815=2,"Medium",J815=3,"High",J815=4,"Very High")</f>
        <v>Low</v>
      </c>
      <c r="AG815" t="str" cm="1">
        <f t="array" ref="AG815">_xlfn.IFS(L815=1,"Low",L815=2,"Medium",L815=3,"High",L815=4,"Very High")</f>
        <v>High</v>
      </c>
      <c r="AH815" t="str" cm="1">
        <f t="array" ref="AH815">_xlfn.IFS(M815=1,"Junior employee",M815=2,"Mid-level",M815=3,"Senior",M815=4,"Manager",M815=5,"Executive")</f>
        <v>Manager</v>
      </c>
      <c r="AI815" t="str" cm="1">
        <f t="array" ref="AI815">_xlfn.IFS(O815=1,"Low",O815=2,"Medium",O815=3,"High",O815=4,"Very High")</f>
        <v>Very High</v>
      </c>
      <c r="AJ815" t="str" cm="1">
        <f t="array" ref="AJ815">_xlfn.IFS(U815=1,"Low",U815=2,"Good",U815=3,"Excellent",U815=4,"Outstanding")</f>
        <v>Excellent</v>
      </c>
      <c r="AK815" t="str" cm="1">
        <f t="array" ref="AK815">_xlfn.IFS(V815=1,"Low",V815=2,"Medium",V815=3,"High",V815=4,"Very High")</f>
        <v>Very High</v>
      </c>
      <c r="AL815" t="str" cm="1">
        <f t="array" ref="AL815">_xlfn.IFS(Z815=1,"Bad",Z815=2,"Good",Z815=3,"Better",Z815=4,"Best")</f>
        <v>Better</v>
      </c>
      <c r="AM815" t="str" cm="1">
        <f t="array" ref="AM815">_xlfn.IFS(W815=0,"No_stock",W815=1,"Low",W815=2,"Medium",W815=3,"High")</f>
        <v>High</v>
      </c>
      <c r="AN815" t="str">
        <f t="shared" si="12"/>
        <v>Near</v>
      </c>
    </row>
    <row r="816" spans="1:40" x14ac:dyDescent="0.45">
      <c r="A816">
        <v>40</v>
      </c>
      <c r="B816" t="s">
        <v>37</v>
      </c>
      <c r="C816" t="s">
        <v>31</v>
      </c>
      <c r="D816">
        <v>1308</v>
      </c>
      <c r="E816" t="s">
        <v>39</v>
      </c>
      <c r="F816">
        <v>14</v>
      </c>
      <c r="G816">
        <v>3</v>
      </c>
      <c r="H816" t="s">
        <v>45</v>
      </c>
      <c r="I816">
        <v>1128</v>
      </c>
      <c r="J816">
        <v>3</v>
      </c>
      <c r="K816" t="s">
        <v>40</v>
      </c>
      <c r="L816">
        <v>2</v>
      </c>
      <c r="M816">
        <v>5</v>
      </c>
      <c r="N816" t="s">
        <v>52</v>
      </c>
      <c r="O816">
        <v>3</v>
      </c>
      <c r="P816" t="s">
        <v>36</v>
      </c>
      <c r="Q816">
        <v>19626</v>
      </c>
      <c r="R816">
        <v>1</v>
      </c>
      <c r="S816" t="s">
        <v>37</v>
      </c>
      <c r="T816">
        <v>14</v>
      </c>
      <c r="U816">
        <v>3</v>
      </c>
      <c r="V816">
        <v>1</v>
      </c>
      <c r="W816">
        <v>0</v>
      </c>
      <c r="X816">
        <v>21</v>
      </c>
      <c r="Y816">
        <v>2</v>
      </c>
      <c r="Z816">
        <v>4</v>
      </c>
      <c r="AA816">
        <v>20</v>
      </c>
      <c r="AB816">
        <v>7</v>
      </c>
      <c r="AC816">
        <v>4</v>
      </c>
      <c r="AD816">
        <v>9</v>
      </c>
      <c r="AE816" t="str" cm="1">
        <f t="array" ref="AE816">_xlfn.IFS(G816=1,"Before College",G816=2,"College",G816=3,"Bachelor",G816=4,"Master",G816=5,"Doctor")</f>
        <v>Bachelor</v>
      </c>
      <c r="AF816" t="str" cm="1">
        <f t="array" ref="AF816">_xlfn.IFS(J816=1,"Low",J816=2,"Medium",J816=3,"High",J816=4,"Very High")</f>
        <v>High</v>
      </c>
      <c r="AG816" t="str" cm="1">
        <f t="array" ref="AG816">_xlfn.IFS(L816=1,"Low",L816=2,"Medium",L816=3,"High",L816=4,"Very High")</f>
        <v>Medium</v>
      </c>
      <c r="AH816" t="str" cm="1">
        <f t="array" ref="AH816">_xlfn.IFS(M816=1,"Junior employee",M816=2,"Mid-level",M816=3,"Senior",M816=4,"Manager",M816=5,"Executive")</f>
        <v>Executive</v>
      </c>
      <c r="AI816" t="str" cm="1">
        <f t="array" ref="AI816">_xlfn.IFS(O816=1,"Low",O816=2,"Medium",O816=3,"High",O816=4,"Very High")</f>
        <v>High</v>
      </c>
      <c r="AJ816" t="str" cm="1">
        <f t="array" ref="AJ816">_xlfn.IFS(U816=1,"Low",U816=2,"Good",U816=3,"Excellent",U816=4,"Outstanding")</f>
        <v>Excellent</v>
      </c>
      <c r="AK816" t="str" cm="1">
        <f t="array" ref="AK816">_xlfn.IFS(V816=1,"Low",V816=2,"Medium",V816=3,"High",V816=4,"Very High")</f>
        <v>Low</v>
      </c>
      <c r="AL816" t="str" cm="1">
        <f t="array" ref="AL816">_xlfn.IFS(Z816=1,"Bad",Z816=2,"Good",Z816=3,"Better",Z816=4,"Best")</f>
        <v>Best</v>
      </c>
      <c r="AM816" t="str" cm="1">
        <f t="array" ref="AM816">_xlfn.IFS(W816=0,"No_stock",W816=1,"Low",W816=2,"Medium",W816=3,"High")</f>
        <v>No_stock</v>
      </c>
      <c r="AN816" t="str">
        <f t="shared" si="12"/>
        <v>Medium</v>
      </c>
    </row>
    <row r="817" spans="1:40" x14ac:dyDescent="0.45">
      <c r="A817">
        <v>21</v>
      </c>
      <c r="B817" t="s">
        <v>37</v>
      </c>
      <c r="C817" t="s">
        <v>31</v>
      </c>
      <c r="D817">
        <v>984</v>
      </c>
      <c r="E817" t="s">
        <v>39</v>
      </c>
      <c r="F817">
        <v>1</v>
      </c>
      <c r="G817">
        <v>1</v>
      </c>
      <c r="H817" t="s">
        <v>54</v>
      </c>
      <c r="I817">
        <v>1131</v>
      </c>
      <c r="J817">
        <v>4</v>
      </c>
      <c r="K817" t="s">
        <v>34</v>
      </c>
      <c r="L817">
        <v>2</v>
      </c>
      <c r="M817">
        <v>1</v>
      </c>
      <c r="N817" t="s">
        <v>41</v>
      </c>
      <c r="O817">
        <v>2</v>
      </c>
      <c r="P817" t="s">
        <v>36</v>
      </c>
      <c r="Q817">
        <v>2070</v>
      </c>
      <c r="R817">
        <v>1</v>
      </c>
      <c r="S817" t="s">
        <v>30</v>
      </c>
      <c r="T817">
        <v>11</v>
      </c>
      <c r="U817">
        <v>3</v>
      </c>
      <c r="V817">
        <v>3</v>
      </c>
      <c r="W817">
        <v>0</v>
      </c>
      <c r="X817">
        <v>2</v>
      </c>
      <c r="Y817">
        <v>6</v>
      </c>
      <c r="Z817">
        <v>4</v>
      </c>
      <c r="AA817">
        <v>2</v>
      </c>
      <c r="AB817">
        <v>2</v>
      </c>
      <c r="AC817">
        <v>2</v>
      </c>
      <c r="AD817">
        <v>2</v>
      </c>
      <c r="AE817" t="str" cm="1">
        <f t="array" ref="AE817">_xlfn.IFS(G817=1,"Before College",G817=2,"College",G817=3,"Bachelor",G817=4,"Master",G817=5,"Doctor")</f>
        <v>Before College</v>
      </c>
      <c r="AF817" t="str" cm="1">
        <f t="array" ref="AF817">_xlfn.IFS(J817=1,"Low",J817=2,"Medium",J817=3,"High",J817=4,"Very High")</f>
        <v>Very High</v>
      </c>
      <c r="AG817" t="str" cm="1">
        <f t="array" ref="AG817">_xlfn.IFS(L817=1,"Low",L817=2,"Medium",L817=3,"High",L817=4,"Very High")</f>
        <v>Medium</v>
      </c>
      <c r="AH817" t="str" cm="1">
        <f t="array" ref="AH817">_xlfn.IFS(M817=1,"Junior employee",M817=2,"Mid-level",M817=3,"Senior",M817=4,"Manager",M817=5,"Executive")</f>
        <v>Junior employee</v>
      </c>
      <c r="AI817" t="str" cm="1">
        <f t="array" ref="AI817">_xlfn.IFS(O817=1,"Low",O817=2,"Medium",O817=3,"High",O817=4,"Very High")</f>
        <v>Medium</v>
      </c>
      <c r="AJ817" t="str" cm="1">
        <f t="array" ref="AJ817">_xlfn.IFS(U817=1,"Low",U817=2,"Good",U817=3,"Excellent",U817=4,"Outstanding")</f>
        <v>Excellent</v>
      </c>
      <c r="AK817" t="str" cm="1">
        <f t="array" ref="AK817">_xlfn.IFS(V817=1,"Low",V817=2,"Medium",V817=3,"High",V817=4,"Very High")</f>
        <v>High</v>
      </c>
      <c r="AL817" t="str" cm="1">
        <f t="array" ref="AL817">_xlfn.IFS(Z817=1,"Bad",Z817=2,"Good",Z817=3,"Better",Z817=4,"Best")</f>
        <v>Best</v>
      </c>
      <c r="AM817" t="str" cm="1">
        <f t="array" ref="AM817">_xlfn.IFS(W817=0,"No_stock",W817=1,"Low",W817=2,"Medium",W817=3,"High")</f>
        <v>No_stock</v>
      </c>
      <c r="AN817" t="str">
        <f t="shared" si="12"/>
        <v>Near</v>
      </c>
    </row>
    <row r="818" spans="1:40" x14ac:dyDescent="0.45">
      <c r="A818">
        <v>39</v>
      </c>
      <c r="B818" t="s">
        <v>37</v>
      </c>
      <c r="C818" t="s">
        <v>49</v>
      </c>
      <c r="D818">
        <v>439</v>
      </c>
      <c r="E818" t="s">
        <v>39</v>
      </c>
      <c r="F818">
        <v>9</v>
      </c>
      <c r="G818">
        <v>3</v>
      </c>
      <c r="H818" t="s">
        <v>33</v>
      </c>
      <c r="I818">
        <v>1132</v>
      </c>
      <c r="J818">
        <v>3</v>
      </c>
      <c r="K818" t="s">
        <v>40</v>
      </c>
      <c r="L818">
        <v>3</v>
      </c>
      <c r="M818">
        <v>2</v>
      </c>
      <c r="N818" t="s">
        <v>44</v>
      </c>
      <c r="O818">
        <v>2</v>
      </c>
      <c r="P818" t="s">
        <v>36</v>
      </c>
      <c r="Q818">
        <v>6782</v>
      </c>
      <c r="R818">
        <v>9</v>
      </c>
      <c r="S818" t="s">
        <v>37</v>
      </c>
      <c r="T818">
        <v>15</v>
      </c>
      <c r="U818">
        <v>3</v>
      </c>
      <c r="V818">
        <v>3</v>
      </c>
      <c r="W818">
        <v>0</v>
      </c>
      <c r="X818">
        <v>9</v>
      </c>
      <c r="Y818">
        <v>2</v>
      </c>
      <c r="Z818">
        <v>2</v>
      </c>
      <c r="AA818">
        <v>5</v>
      </c>
      <c r="AB818">
        <v>4</v>
      </c>
      <c r="AC818">
        <v>0</v>
      </c>
      <c r="AD818">
        <v>3</v>
      </c>
      <c r="AE818" t="str" cm="1">
        <f t="array" ref="AE818">_xlfn.IFS(G818=1,"Before College",G818=2,"College",G818=3,"Bachelor",G818=4,"Master",G818=5,"Doctor")</f>
        <v>Bachelor</v>
      </c>
      <c r="AF818" t="str" cm="1">
        <f t="array" ref="AF818">_xlfn.IFS(J818=1,"Low",J818=2,"Medium",J818=3,"High",J818=4,"Very High")</f>
        <v>High</v>
      </c>
      <c r="AG818" t="str" cm="1">
        <f t="array" ref="AG818">_xlfn.IFS(L818=1,"Low",L818=2,"Medium",L818=3,"High",L818=4,"Very High")</f>
        <v>High</v>
      </c>
      <c r="AH818" t="str" cm="1">
        <f t="array" ref="AH818">_xlfn.IFS(M818=1,"Junior employee",M818=2,"Mid-level",M818=3,"Senior",M818=4,"Manager",M818=5,"Executive")</f>
        <v>Mid-level</v>
      </c>
      <c r="AI818" t="str" cm="1">
        <f t="array" ref="AI818">_xlfn.IFS(O818=1,"Low",O818=2,"Medium",O818=3,"High",O818=4,"Very High")</f>
        <v>Medium</v>
      </c>
      <c r="AJ818" t="str" cm="1">
        <f t="array" ref="AJ818">_xlfn.IFS(U818=1,"Low",U818=2,"Good",U818=3,"Excellent",U818=4,"Outstanding")</f>
        <v>Excellent</v>
      </c>
      <c r="AK818" t="str" cm="1">
        <f t="array" ref="AK818">_xlfn.IFS(V818=1,"Low",V818=2,"Medium",V818=3,"High",V818=4,"Very High")</f>
        <v>High</v>
      </c>
      <c r="AL818" t="str" cm="1">
        <f t="array" ref="AL818">_xlfn.IFS(Z818=1,"Bad",Z818=2,"Good",Z818=3,"Better",Z818=4,"Best")</f>
        <v>Good</v>
      </c>
      <c r="AM818" t="str" cm="1">
        <f t="array" ref="AM818">_xlfn.IFS(W818=0,"No_stock",W818=1,"Low",W818=2,"Medium",W818=3,"High")</f>
        <v>No_stock</v>
      </c>
      <c r="AN818" t="str">
        <f t="shared" si="12"/>
        <v>Medium</v>
      </c>
    </row>
    <row r="819" spans="1:40" x14ac:dyDescent="0.45">
      <c r="A819">
        <v>36</v>
      </c>
      <c r="B819" t="s">
        <v>37</v>
      </c>
      <c r="C819" t="s">
        <v>49</v>
      </c>
      <c r="D819">
        <v>217</v>
      </c>
      <c r="E819" t="s">
        <v>39</v>
      </c>
      <c r="F819">
        <v>18</v>
      </c>
      <c r="G819">
        <v>4</v>
      </c>
      <c r="H819" t="s">
        <v>33</v>
      </c>
      <c r="I819">
        <v>1133</v>
      </c>
      <c r="J819">
        <v>1</v>
      </c>
      <c r="K819" t="s">
        <v>40</v>
      </c>
      <c r="L819">
        <v>3</v>
      </c>
      <c r="M819">
        <v>2</v>
      </c>
      <c r="N819" t="s">
        <v>47</v>
      </c>
      <c r="O819">
        <v>4</v>
      </c>
      <c r="P819" t="s">
        <v>36</v>
      </c>
      <c r="Q819">
        <v>7779</v>
      </c>
      <c r="R819">
        <v>2</v>
      </c>
      <c r="S819" t="s">
        <v>37</v>
      </c>
      <c r="T819">
        <v>20</v>
      </c>
      <c r="U819">
        <v>4</v>
      </c>
      <c r="V819">
        <v>1</v>
      </c>
      <c r="W819">
        <v>0</v>
      </c>
      <c r="X819">
        <v>18</v>
      </c>
      <c r="Y819">
        <v>0</v>
      </c>
      <c r="Z819">
        <v>3</v>
      </c>
      <c r="AA819">
        <v>11</v>
      </c>
      <c r="AB819">
        <v>9</v>
      </c>
      <c r="AC819">
        <v>0</v>
      </c>
      <c r="AD819">
        <v>9</v>
      </c>
      <c r="AE819" t="str" cm="1">
        <f t="array" ref="AE819">_xlfn.IFS(G819=1,"Before College",G819=2,"College",G819=3,"Bachelor",G819=4,"Master",G819=5,"Doctor")</f>
        <v>Master</v>
      </c>
      <c r="AF819" t="str" cm="1">
        <f t="array" ref="AF819">_xlfn.IFS(J819=1,"Low",J819=2,"Medium",J819=3,"High",J819=4,"Very High")</f>
        <v>Low</v>
      </c>
      <c r="AG819" t="str" cm="1">
        <f t="array" ref="AG819">_xlfn.IFS(L819=1,"Low",L819=2,"Medium",L819=3,"High",L819=4,"Very High")</f>
        <v>High</v>
      </c>
      <c r="AH819" t="str" cm="1">
        <f t="array" ref="AH819">_xlfn.IFS(M819=1,"Junior employee",M819=2,"Mid-level",M819=3,"Senior",M819=4,"Manager",M819=5,"Executive")</f>
        <v>Mid-level</v>
      </c>
      <c r="AI819" t="str" cm="1">
        <f t="array" ref="AI819">_xlfn.IFS(O819=1,"Low",O819=2,"Medium",O819=3,"High",O819=4,"Very High")</f>
        <v>Very High</v>
      </c>
      <c r="AJ819" t="str" cm="1">
        <f t="array" ref="AJ819">_xlfn.IFS(U819=1,"Low",U819=2,"Good",U819=3,"Excellent",U819=4,"Outstanding")</f>
        <v>Outstanding</v>
      </c>
      <c r="AK819" t="str" cm="1">
        <f t="array" ref="AK819">_xlfn.IFS(V819=1,"Low",V819=2,"Medium",V819=3,"High",V819=4,"Very High")</f>
        <v>Low</v>
      </c>
      <c r="AL819" t="str" cm="1">
        <f t="array" ref="AL819">_xlfn.IFS(Z819=1,"Bad",Z819=2,"Good",Z819=3,"Better",Z819=4,"Best")</f>
        <v>Better</v>
      </c>
      <c r="AM819" t="str" cm="1">
        <f t="array" ref="AM819">_xlfn.IFS(W819=0,"No_stock",W819=1,"Low",W819=2,"Medium",W819=3,"High")</f>
        <v>No_stock</v>
      </c>
      <c r="AN819" t="str">
        <f t="shared" si="12"/>
        <v>Far</v>
      </c>
    </row>
    <row r="820" spans="1:40" x14ac:dyDescent="0.45">
      <c r="A820">
        <v>31</v>
      </c>
      <c r="B820" t="s">
        <v>37</v>
      </c>
      <c r="C820" t="s">
        <v>38</v>
      </c>
      <c r="D820">
        <v>793</v>
      </c>
      <c r="E820" t="s">
        <v>32</v>
      </c>
      <c r="F820">
        <v>20</v>
      </c>
      <c r="G820">
        <v>3</v>
      </c>
      <c r="H820" t="s">
        <v>33</v>
      </c>
      <c r="I820">
        <v>1135</v>
      </c>
      <c r="J820">
        <v>3</v>
      </c>
      <c r="K820" t="s">
        <v>40</v>
      </c>
      <c r="L820">
        <v>4</v>
      </c>
      <c r="M820">
        <v>1</v>
      </c>
      <c r="N820" t="s">
        <v>51</v>
      </c>
      <c r="O820">
        <v>4</v>
      </c>
      <c r="P820" t="s">
        <v>42</v>
      </c>
      <c r="Q820">
        <v>2791</v>
      </c>
      <c r="R820">
        <v>0</v>
      </c>
      <c r="S820" t="s">
        <v>37</v>
      </c>
      <c r="T820">
        <v>12</v>
      </c>
      <c r="U820">
        <v>3</v>
      </c>
      <c r="V820">
        <v>1</v>
      </c>
      <c r="W820">
        <v>1</v>
      </c>
      <c r="X820">
        <v>3</v>
      </c>
      <c r="Y820">
        <v>4</v>
      </c>
      <c r="Z820">
        <v>3</v>
      </c>
      <c r="AA820">
        <v>2</v>
      </c>
      <c r="AB820">
        <v>2</v>
      </c>
      <c r="AC820">
        <v>2</v>
      </c>
      <c r="AD820">
        <v>2</v>
      </c>
      <c r="AE820" t="str" cm="1">
        <f t="array" ref="AE820">_xlfn.IFS(G820=1,"Before College",G820=2,"College",G820=3,"Bachelor",G820=4,"Master",G820=5,"Doctor")</f>
        <v>Bachelor</v>
      </c>
      <c r="AF820" t="str" cm="1">
        <f t="array" ref="AF820">_xlfn.IFS(J820=1,"Low",J820=2,"Medium",J820=3,"High",J820=4,"Very High")</f>
        <v>High</v>
      </c>
      <c r="AG820" t="str" cm="1">
        <f t="array" ref="AG820">_xlfn.IFS(L820=1,"Low",L820=2,"Medium",L820=3,"High",L820=4,"Very High")</f>
        <v>Very High</v>
      </c>
      <c r="AH820" t="str" cm="1">
        <f t="array" ref="AH820">_xlfn.IFS(M820=1,"Junior employee",M820=2,"Mid-level",M820=3,"Senior",M820=4,"Manager",M820=5,"Executive")</f>
        <v>Junior employee</v>
      </c>
      <c r="AI820" t="str" cm="1">
        <f t="array" ref="AI820">_xlfn.IFS(O820=1,"Low",O820=2,"Medium",O820=3,"High",O820=4,"Very High")</f>
        <v>Very High</v>
      </c>
      <c r="AJ820" t="str" cm="1">
        <f t="array" ref="AJ820">_xlfn.IFS(U820=1,"Low",U820=2,"Good",U820=3,"Excellent",U820=4,"Outstanding")</f>
        <v>Excellent</v>
      </c>
      <c r="AK820" t="str" cm="1">
        <f t="array" ref="AK820">_xlfn.IFS(V820=1,"Low",V820=2,"Medium",V820=3,"High",V820=4,"Very High")</f>
        <v>Low</v>
      </c>
      <c r="AL820" t="str" cm="1">
        <f t="array" ref="AL820">_xlfn.IFS(Z820=1,"Bad",Z820=2,"Good",Z820=3,"Better",Z820=4,"Best")</f>
        <v>Better</v>
      </c>
      <c r="AM820" t="str" cm="1">
        <f t="array" ref="AM820">_xlfn.IFS(W820=0,"No_stock",W820=1,"Low",W820=2,"Medium",W820=3,"High")</f>
        <v>Low</v>
      </c>
      <c r="AN820" t="str">
        <f t="shared" si="12"/>
        <v>Far</v>
      </c>
    </row>
    <row r="821" spans="1:40" x14ac:dyDescent="0.45">
      <c r="A821">
        <v>28</v>
      </c>
      <c r="B821" t="s">
        <v>37</v>
      </c>
      <c r="C821" t="s">
        <v>31</v>
      </c>
      <c r="D821">
        <v>1451</v>
      </c>
      <c r="E821" t="s">
        <v>39</v>
      </c>
      <c r="F821">
        <v>2</v>
      </c>
      <c r="G821">
        <v>1</v>
      </c>
      <c r="H821" t="s">
        <v>33</v>
      </c>
      <c r="I821">
        <v>1136</v>
      </c>
      <c r="J821">
        <v>1</v>
      </c>
      <c r="K821" t="s">
        <v>40</v>
      </c>
      <c r="L821">
        <v>2</v>
      </c>
      <c r="M821">
        <v>1</v>
      </c>
      <c r="N821" t="s">
        <v>41</v>
      </c>
      <c r="O821">
        <v>2</v>
      </c>
      <c r="P821" t="s">
        <v>42</v>
      </c>
      <c r="Q821">
        <v>3201</v>
      </c>
      <c r="R821">
        <v>0</v>
      </c>
      <c r="S821" t="s">
        <v>37</v>
      </c>
      <c r="T821">
        <v>17</v>
      </c>
      <c r="U821">
        <v>3</v>
      </c>
      <c r="V821">
        <v>1</v>
      </c>
      <c r="W821">
        <v>0</v>
      </c>
      <c r="X821">
        <v>6</v>
      </c>
      <c r="Y821">
        <v>2</v>
      </c>
      <c r="Z821">
        <v>1</v>
      </c>
      <c r="AA821">
        <v>5</v>
      </c>
      <c r="AB821">
        <v>3</v>
      </c>
      <c r="AC821">
        <v>0</v>
      </c>
      <c r="AD821">
        <v>4</v>
      </c>
      <c r="AE821" t="str" cm="1">
        <f t="array" ref="AE821">_xlfn.IFS(G821=1,"Before College",G821=2,"College",G821=3,"Bachelor",G821=4,"Master",G821=5,"Doctor")</f>
        <v>Before College</v>
      </c>
      <c r="AF821" t="str" cm="1">
        <f t="array" ref="AF821">_xlfn.IFS(J821=1,"Low",J821=2,"Medium",J821=3,"High",J821=4,"Very High")</f>
        <v>Low</v>
      </c>
      <c r="AG821" t="str" cm="1">
        <f t="array" ref="AG821">_xlfn.IFS(L821=1,"Low",L821=2,"Medium",L821=3,"High",L821=4,"Very High")</f>
        <v>Medium</v>
      </c>
      <c r="AH821" t="str" cm="1">
        <f t="array" ref="AH821">_xlfn.IFS(M821=1,"Junior employee",M821=2,"Mid-level",M821=3,"Senior",M821=4,"Manager",M821=5,"Executive")</f>
        <v>Junior employee</v>
      </c>
      <c r="AI821" t="str" cm="1">
        <f t="array" ref="AI821">_xlfn.IFS(O821=1,"Low",O821=2,"Medium",O821=3,"High",O821=4,"Very High")</f>
        <v>Medium</v>
      </c>
      <c r="AJ821" t="str" cm="1">
        <f t="array" ref="AJ821">_xlfn.IFS(U821=1,"Low",U821=2,"Good",U821=3,"Excellent",U821=4,"Outstanding")</f>
        <v>Excellent</v>
      </c>
      <c r="AK821" t="str" cm="1">
        <f t="array" ref="AK821">_xlfn.IFS(V821=1,"Low",V821=2,"Medium",V821=3,"High",V821=4,"Very High")</f>
        <v>Low</v>
      </c>
      <c r="AL821" t="str" cm="1">
        <f t="array" ref="AL821">_xlfn.IFS(Z821=1,"Bad",Z821=2,"Good",Z821=3,"Better",Z821=4,"Best")</f>
        <v>Bad</v>
      </c>
      <c r="AM821" t="str" cm="1">
        <f t="array" ref="AM821">_xlfn.IFS(W821=0,"No_stock",W821=1,"Low",W821=2,"Medium",W821=3,"High")</f>
        <v>No_stock</v>
      </c>
      <c r="AN821" t="str">
        <f t="shared" si="12"/>
        <v>Near</v>
      </c>
    </row>
    <row r="822" spans="1:40" x14ac:dyDescent="0.45">
      <c r="A822">
        <v>35</v>
      </c>
      <c r="B822" t="s">
        <v>37</v>
      </c>
      <c r="C822" t="s">
        <v>38</v>
      </c>
      <c r="D822">
        <v>1182</v>
      </c>
      <c r="E822" t="s">
        <v>32</v>
      </c>
      <c r="F822">
        <v>11</v>
      </c>
      <c r="G822">
        <v>2</v>
      </c>
      <c r="H822" t="s">
        <v>53</v>
      </c>
      <c r="I822">
        <v>1137</v>
      </c>
      <c r="J822">
        <v>4</v>
      </c>
      <c r="K822" t="s">
        <v>40</v>
      </c>
      <c r="L822">
        <v>3</v>
      </c>
      <c r="M822">
        <v>2</v>
      </c>
      <c r="N822" t="s">
        <v>35</v>
      </c>
      <c r="O822">
        <v>4</v>
      </c>
      <c r="P822" t="s">
        <v>46</v>
      </c>
      <c r="Q822">
        <v>4968</v>
      </c>
      <c r="R822">
        <v>1</v>
      </c>
      <c r="S822" t="s">
        <v>37</v>
      </c>
      <c r="T822">
        <v>11</v>
      </c>
      <c r="U822">
        <v>3</v>
      </c>
      <c r="V822">
        <v>4</v>
      </c>
      <c r="W822">
        <v>1</v>
      </c>
      <c r="X822">
        <v>5</v>
      </c>
      <c r="Y822">
        <v>3</v>
      </c>
      <c r="Z822">
        <v>3</v>
      </c>
      <c r="AA822">
        <v>5</v>
      </c>
      <c r="AB822">
        <v>2</v>
      </c>
      <c r="AC822">
        <v>0</v>
      </c>
      <c r="AD822">
        <v>2</v>
      </c>
      <c r="AE822" t="str" cm="1">
        <f t="array" ref="AE822">_xlfn.IFS(G822=1,"Before College",G822=2,"College",G822=3,"Bachelor",G822=4,"Master",G822=5,"Doctor")</f>
        <v>College</v>
      </c>
      <c r="AF822" t="str" cm="1">
        <f t="array" ref="AF822">_xlfn.IFS(J822=1,"Low",J822=2,"Medium",J822=3,"High",J822=4,"Very High")</f>
        <v>Very High</v>
      </c>
      <c r="AG822" t="str" cm="1">
        <f t="array" ref="AG822">_xlfn.IFS(L822=1,"Low",L822=2,"Medium",L822=3,"High",L822=4,"Very High")</f>
        <v>High</v>
      </c>
      <c r="AH822" t="str" cm="1">
        <f t="array" ref="AH822">_xlfn.IFS(M822=1,"Junior employee",M822=2,"Mid-level",M822=3,"Senior",M822=4,"Manager",M822=5,"Executive")</f>
        <v>Mid-level</v>
      </c>
      <c r="AI822" t="str" cm="1">
        <f t="array" ref="AI822">_xlfn.IFS(O822=1,"Low",O822=2,"Medium",O822=3,"High",O822=4,"Very High")</f>
        <v>Very High</v>
      </c>
      <c r="AJ822" t="str" cm="1">
        <f t="array" ref="AJ822">_xlfn.IFS(U822=1,"Low",U822=2,"Good",U822=3,"Excellent",U822=4,"Outstanding")</f>
        <v>Excellent</v>
      </c>
      <c r="AK822" t="str" cm="1">
        <f t="array" ref="AK822">_xlfn.IFS(V822=1,"Low",V822=2,"Medium",V822=3,"High",V822=4,"Very High")</f>
        <v>Very High</v>
      </c>
      <c r="AL822" t="str" cm="1">
        <f t="array" ref="AL822">_xlfn.IFS(Z822=1,"Bad",Z822=2,"Good",Z822=3,"Better",Z822=4,"Best")</f>
        <v>Better</v>
      </c>
      <c r="AM822" t="str" cm="1">
        <f t="array" ref="AM822">_xlfn.IFS(W822=0,"No_stock",W822=1,"Low",W822=2,"Medium",W822=3,"High")</f>
        <v>Low</v>
      </c>
      <c r="AN822" t="str">
        <f t="shared" si="12"/>
        <v>Medium</v>
      </c>
    </row>
    <row r="823" spans="1:40" x14ac:dyDescent="0.45">
      <c r="A823">
        <v>49</v>
      </c>
      <c r="B823" t="s">
        <v>37</v>
      </c>
      <c r="C823" t="s">
        <v>31</v>
      </c>
      <c r="D823">
        <v>174</v>
      </c>
      <c r="E823" t="s">
        <v>32</v>
      </c>
      <c r="F823">
        <v>8</v>
      </c>
      <c r="G823">
        <v>4</v>
      </c>
      <c r="H823" t="s">
        <v>54</v>
      </c>
      <c r="I823">
        <v>1138</v>
      </c>
      <c r="J823">
        <v>4</v>
      </c>
      <c r="K823" t="s">
        <v>40</v>
      </c>
      <c r="L823">
        <v>2</v>
      </c>
      <c r="M823">
        <v>4</v>
      </c>
      <c r="N823" t="s">
        <v>35</v>
      </c>
      <c r="O823">
        <v>2</v>
      </c>
      <c r="P823" t="s">
        <v>42</v>
      </c>
      <c r="Q823">
        <v>13120</v>
      </c>
      <c r="R823">
        <v>6</v>
      </c>
      <c r="S823" t="s">
        <v>37</v>
      </c>
      <c r="T823">
        <v>17</v>
      </c>
      <c r="U823">
        <v>3</v>
      </c>
      <c r="V823">
        <v>2</v>
      </c>
      <c r="W823">
        <v>1</v>
      </c>
      <c r="X823">
        <v>22</v>
      </c>
      <c r="Y823">
        <v>3</v>
      </c>
      <c r="Z823">
        <v>3</v>
      </c>
      <c r="AA823">
        <v>9</v>
      </c>
      <c r="AB823">
        <v>8</v>
      </c>
      <c r="AC823">
        <v>2</v>
      </c>
      <c r="AD823">
        <v>3</v>
      </c>
      <c r="AE823" t="str" cm="1">
        <f t="array" ref="AE823">_xlfn.IFS(G823=1,"Before College",G823=2,"College",G823=3,"Bachelor",G823=4,"Master",G823=5,"Doctor")</f>
        <v>Master</v>
      </c>
      <c r="AF823" t="str" cm="1">
        <f t="array" ref="AF823">_xlfn.IFS(J823=1,"Low",J823=2,"Medium",J823=3,"High",J823=4,"Very High")</f>
        <v>Very High</v>
      </c>
      <c r="AG823" t="str" cm="1">
        <f t="array" ref="AG823">_xlfn.IFS(L823=1,"Low",L823=2,"Medium",L823=3,"High",L823=4,"Very High")</f>
        <v>Medium</v>
      </c>
      <c r="AH823" t="str" cm="1">
        <f t="array" ref="AH823">_xlfn.IFS(M823=1,"Junior employee",M823=2,"Mid-level",M823=3,"Senior",M823=4,"Manager",M823=5,"Executive")</f>
        <v>Manager</v>
      </c>
      <c r="AI823" t="str" cm="1">
        <f t="array" ref="AI823">_xlfn.IFS(O823=1,"Low",O823=2,"Medium",O823=3,"High",O823=4,"Very High")</f>
        <v>Medium</v>
      </c>
      <c r="AJ823" t="str" cm="1">
        <f t="array" ref="AJ823">_xlfn.IFS(U823=1,"Low",U823=2,"Good",U823=3,"Excellent",U823=4,"Outstanding")</f>
        <v>Excellent</v>
      </c>
      <c r="AK823" t="str" cm="1">
        <f t="array" ref="AK823">_xlfn.IFS(V823=1,"Low",V823=2,"Medium",V823=3,"High",V823=4,"Very High")</f>
        <v>Medium</v>
      </c>
      <c r="AL823" t="str" cm="1">
        <f t="array" ref="AL823">_xlfn.IFS(Z823=1,"Bad",Z823=2,"Good",Z823=3,"Better",Z823=4,"Best")</f>
        <v>Better</v>
      </c>
      <c r="AM823" t="str" cm="1">
        <f t="array" ref="AM823">_xlfn.IFS(W823=0,"No_stock",W823=1,"Low",W823=2,"Medium",W823=3,"High")</f>
        <v>Low</v>
      </c>
      <c r="AN823" t="str">
        <f t="shared" si="12"/>
        <v>Medium</v>
      </c>
    </row>
    <row r="824" spans="1:40" x14ac:dyDescent="0.45">
      <c r="A824">
        <v>34</v>
      </c>
      <c r="B824" t="s">
        <v>37</v>
      </c>
      <c r="C824" t="s">
        <v>38</v>
      </c>
      <c r="D824">
        <v>1003</v>
      </c>
      <c r="E824" t="s">
        <v>39</v>
      </c>
      <c r="F824">
        <v>2</v>
      </c>
      <c r="G824">
        <v>2</v>
      </c>
      <c r="H824" t="s">
        <v>33</v>
      </c>
      <c r="I824">
        <v>1140</v>
      </c>
      <c r="J824">
        <v>4</v>
      </c>
      <c r="K824" t="s">
        <v>40</v>
      </c>
      <c r="L824">
        <v>3</v>
      </c>
      <c r="M824">
        <v>2</v>
      </c>
      <c r="N824" t="s">
        <v>47</v>
      </c>
      <c r="O824">
        <v>3</v>
      </c>
      <c r="P824" t="s">
        <v>36</v>
      </c>
      <c r="Q824">
        <v>4033</v>
      </c>
      <c r="R824">
        <v>2</v>
      </c>
      <c r="S824" t="s">
        <v>37</v>
      </c>
      <c r="T824">
        <v>11</v>
      </c>
      <c r="U824">
        <v>3</v>
      </c>
      <c r="V824">
        <v>4</v>
      </c>
      <c r="W824">
        <v>0</v>
      </c>
      <c r="X824">
        <v>5</v>
      </c>
      <c r="Y824">
        <v>3</v>
      </c>
      <c r="Z824">
        <v>2</v>
      </c>
      <c r="AA824">
        <v>3</v>
      </c>
      <c r="AB824">
        <v>2</v>
      </c>
      <c r="AC824">
        <v>0</v>
      </c>
      <c r="AD824">
        <v>2</v>
      </c>
      <c r="AE824" t="str" cm="1">
        <f t="array" ref="AE824">_xlfn.IFS(G824=1,"Before College",G824=2,"College",G824=3,"Bachelor",G824=4,"Master",G824=5,"Doctor")</f>
        <v>College</v>
      </c>
      <c r="AF824" t="str" cm="1">
        <f t="array" ref="AF824">_xlfn.IFS(J824=1,"Low",J824=2,"Medium",J824=3,"High",J824=4,"Very High")</f>
        <v>Very High</v>
      </c>
      <c r="AG824" t="str" cm="1">
        <f t="array" ref="AG824">_xlfn.IFS(L824=1,"Low",L824=2,"Medium",L824=3,"High",L824=4,"Very High")</f>
        <v>High</v>
      </c>
      <c r="AH824" t="str" cm="1">
        <f t="array" ref="AH824">_xlfn.IFS(M824=1,"Junior employee",M824=2,"Mid-level",M824=3,"Senior",M824=4,"Manager",M824=5,"Executive")</f>
        <v>Mid-level</v>
      </c>
      <c r="AI824" t="str" cm="1">
        <f t="array" ref="AI824">_xlfn.IFS(O824=1,"Low",O824=2,"Medium",O824=3,"High",O824=4,"Very High")</f>
        <v>High</v>
      </c>
      <c r="AJ824" t="str" cm="1">
        <f t="array" ref="AJ824">_xlfn.IFS(U824=1,"Low",U824=2,"Good",U824=3,"Excellent",U824=4,"Outstanding")</f>
        <v>Excellent</v>
      </c>
      <c r="AK824" t="str" cm="1">
        <f t="array" ref="AK824">_xlfn.IFS(V824=1,"Low",V824=2,"Medium",V824=3,"High",V824=4,"Very High")</f>
        <v>Very High</v>
      </c>
      <c r="AL824" t="str" cm="1">
        <f t="array" ref="AL824">_xlfn.IFS(Z824=1,"Bad",Z824=2,"Good",Z824=3,"Better",Z824=4,"Best")</f>
        <v>Good</v>
      </c>
      <c r="AM824" t="str" cm="1">
        <f t="array" ref="AM824">_xlfn.IFS(W824=0,"No_stock",W824=1,"Low",W824=2,"Medium",W824=3,"High")</f>
        <v>No_stock</v>
      </c>
      <c r="AN824" t="str">
        <f t="shared" si="12"/>
        <v>Near</v>
      </c>
    </row>
    <row r="825" spans="1:40" x14ac:dyDescent="0.45">
      <c r="A825">
        <v>29</v>
      </c>
      <c r="B825" t="s">
        <v>37</v>
      </c>
      <c r="C825" t="s">
        <v>38</v>
      </c>
      <c r="D825">
        <v>490</v>
      </c>
      <c r="E825" t="s">
        <v>39</v>
      </c>
      <c r="F825">
        <v>10</v>
      </c>
      <c r="G825">
        <v>3</v>
      </c>
      <c r="H825" t="s">
        <v>33</v>
      </c>
      <c r="I825">
        <v>1143</v>
      </c>
      <c r="J825">
        <v>4</v>
      </c>
      <c r="K825" t="s">
        <v>34</v>
      </c>
      <c r="L825">
        <v>3</v>
      </c>
      <c r="M825">
        <v>1</v>
      </c>
      <c r="N825" t="s">
        <v>41</v>
      </c>
      <c r="O825">
        <v>2</v>
      </c>
      <c r="P825" t="s">
        <v>46</v>
      </c>
      <c r="Q825">
        <v>3291</v>
      </c>
      <c r="R825">
        <v>0</v>
      </c>
      <c r="S825" t="s">
        <v>37</v>
      </c>
      <c r="T825">
        <v>14</v>
      </c>
      <c r="U825">
        <v>3</v>
      </c>
      <c r="V825">
        <v>4</v>
      </c>
      <c r="W825">
        <v>2</v>
      </c>
      <c r="X825">
        <v>8</v>
      </c>
      <c r="Y825">
        <v>2</v>
      </c>
      <c r="Z825">
        <v>2</v>
      </c>
      <c r="AA825">
        <v>7</v>
      </c>
      <c r="AB825">
        <v>5</v>
      </c>
      <c r="AC825">
        <v>1</v>
      </c>
      <c r="AD825">
        <v>1</v>
      </c>
      <c r="AE825" t="str" cm="1">
        <f t="array" ref="AE825">_xlfn.IFS(G825=1,"Before College",G825=2,"College",G825=3,"Bachelor",G825=4,"Master",G825=5,"Doctor")</f>
        <v>Bachelor</v>
      </c>
      <c r="AF825" t="str" cm="1">
        <f t="array" ref="AF825">_xlfn.IFS(J825=1,"Low",J825=2,"Medium",J825=3,"High",J825=4,"Very High")</f>
        <v>Very High</v>
      </c>
      <c r="AG825" t="str" cm="1">
        <f t="array" ref="AG825">_xlfn.IFS(L825=1,"Low",L825=2,"Medium",L825=3,"High",L825=4,"Very High")</f>
        <v>High</v>
      </c>
      <c r="AH825" t="str" cm="1">
        <f t="array" ref="AH825">_xlfn.IFS(M825=1,"Junior employee",M825=2,"Mid-level",M825=3,"Senior",M825=4,"Manager",M825=5,"Executive")</f>
        <v>Junior employee</v>
      </c>
      <c r="AI825" t="str" cm="1">
        <f t="array" ref="AI825">_xlfn.IFS(O825=1,"Low",O825=2,"Medium",O825=3,"High",O825=4,"Very High")</f>
        <v>Medium</v>
      </c>
      <c r="AJ825" t="str" cm="1">
        <f t="array" ref="AJ825">_xlfn.IFS(U825=1,"Low",U825=2,"Good",U825=3,"Excellent",U825=4,"Outstanding")</f>
        <v>Excellent</v>
      </c>
      <c r="AK825" t="str" cm="1">
        <f t="array" ref="AK825">_xlfn.IFS(V825=1,"Low",V825=2,"Medium",V825=3,"High",V825=4,"Very High")</f>
        <v>Very High</v>
      </c>
      <c r="AL825" t="str" cm="1">
        <f t="array" ref="AL825">_xlfn.IFS(Z825=1,"Bad",Z825=2,"Good",Z825=3,"Better",Z825=4,"Best")</f>
        <v>Good</v>
      </c>
      <c r="AM825" t="str" cm="1">
        <f t="array" ref="AM825">_xlfn.IFS(W825=0,"No_stock",W825=1,"Low",W825=2,"Medium",W825=3,"High")</f>
        <v>Medium</v>
      </c>
      <c r="AN825" t="str">
        <f t="shared" si="12"/>
        <v>Medium</v>
      </c>
    </row>
    <row r="826" spans="1:40" x14ac:dyDescent="0.45">
      <c r="A826">
        <v>42</v>
      </c>
      <c r="B826" t="s">
        <v>37</v>
      </c>
      <c r="C826" t="s">
        <v>31</v>
      </c>
      <c r="D826">
        <v>188</v>
      </c>
      <c r="E826" t="s">
        <v>39</v>
      </c>
      <c r="F826">
        <v>29</v>
      </c>
      <c r="G826">
        <v>3</v>
      </c>
      <c r="H826" t="s">
        <v>45</v>
      </c>
      <c r="I826">
        <v>1148</v>
      </c>
      <c r="J826">
        <v>2</v>
      </c>
      <c r="K826" t="s">
        <v>40</v>
      </c>
      <c r="L826">
        <v>1</v>
      </c>
      <c r="M826">
        <v>2</v>
      </c>
      <c r="N826" t="s">
        <v>44</v>
      </c>
      <c r="O826">
        <v>4</v>
      </c>
      <c r="P826" t="s">
        <v>36</v>
      </c>
      <c r="Q826">
        <v>4272</v>
      </c>
      <c r="R826">
        <v>4</v>
      </c>
      <c r="S826" t="s">
        <v>37</v>
      </c>
      <c r="T826">
        <v>19</v>
      </c>
      <c r="U826">
        <v>3</v>
      </c>
      <c r="V826">
        <v>1</v>
      </c>
      <c r="W826">
        <v>0</v>
      </c>
      <c r="X826">
        <v>16</v>
      </c>
      <c r="Y826">
        <v>3</v>
      </c>
      <c r="Z826">
        <v>3</v>
      </c>
      <c r="AA826">
        <v>1</v>
      </c>
      <c r="AB826">
        <v>0</v>
      </c>
      <c r="AC826">
        <v>0</v>
      </c>
      <c r="AD826">
        <v>0</v>
      </c>
      <c r="AE826" t="str" cm="1">
        <f t="array" ref="AE826">_xlfn.IFS(G826=1,"Before College",G826=2,"College",G826=3,"Bachelor",G826=4,"Master",G826=5,"Doctor")</f>
        <v>Bachelor</v>
      </c>
      <c r="AF826" t="str" cm="1">
        <f t="array" ref="AF826">_xlfn.IFS(J826=1,"Low",J826=2,"Medium",J826=3,"High",J826=4,"Very High")</f>
        <v>Medium</v>
      </c>
      <c r="AG826" t="str" cm="1">
        <f t="array" ref="AG826">_xlfn.IFS(L826=1,"Low",L826=2,"Medium",L826=3,"High",L826=4,"Very High")</f>
        <v>Low</v>
      </c>
      <c r="AH826" t="str" cm="1">
        <f t="array" ref="AH826">_xlfn.IFS(M826=1,"Junior employee",M826=2,"Mid-level",M826=3,"Senior",M826=4,"Manager",M826=5,"Executive")</f>
        <v>Mid-level</v>
      </c>
      <c r="AI826" t="str" cm="1">
        <f t="array" ref="AI826">_xlfn.IFS(O826=1,"Low",O826=2,"Medium",O826=3,"High",O826=4,"Very High")</f>
        <v>Very High</v>
      </c>
      <c r="AJ826" t="str" cm="1">
        <f t="array" ref="AJ826">_xlfn.IFS(U826=1,"Low",U826=2,"Good",U826=3,"Excellent",U826=4,"Outstanding")</f>
        <v>Excellent</v>
      </c>
      <c r="AK826" t="str" cm="1">
        <f t="array" ref="AK826">_xlfn.IFS(V826=1,"Low",V826=2,"Medium",V826=3,"High",V826=4,"Very High")</f>
        <v>Low</v>
      </c>
      <c r="AL826" t="str" cm="1">
        <f t="array" ref="AL826">_xlfn.IFS(Z826=1,"Bad",Z826=2,"Good",Z826=3,"Better",Z826=4,"Best")</f>
        <v>Better</v>
      </c>
      <c r="AM826" t="str" cm="1">
        <f t="array" ref="AM826">_xlfn.IFS(W826=0,"No_stock",W826=1,"Low",W826=2,"Medium",W826=3,"High")</f>
        <v>No_stock</v>
      </c>
      <c r="AN826" t="str">
        <f t="shared" si="12"/>
        <v>Far</v>
      </c>
    </row>
    <row r="827" spans="1:40" x14ac:dyDescent="0.45">
      <c r="A827">
        <v>29</v>
      </c>
      <c r="B827" t="s">
        <v>37</v>
      </c>
      <c r="C827" t="s">
        <v>31</v>
      </c>
      <c r="D827">
        <v>718</v>
      </c>
      <c r="E827" t="s">
        <v>39</v>
      </c>
      <c r="F827">
        <v>8</v>
      </c>
      <c r="G827">
        <v>1</v>
      </c>
      <c r="H827" t="s">
        <v>45</v>
      </c>
      <c r="I827">
        <v>1150</v>
      </c>
      <c r="J827">
        <v>2</v>
      </c>
      <c r="K827" t="s">
        <v>40</v>
      </c>
      <c r="L827">
        <v>2</v>
      </c>
      <c r="M827">
        <v>2</v>
      </c>
      <c r="N827" t="s">
        <v>47</v>
      </c>
      <c r="O827">
        <v>4</v>
      </c>
      <c r="P827" t="s">
        <v>42</v>
      </c>
      <c r="Q827">
        <v>5056</v>
      </c>
      <c r="R827">
        <v>1</v>
      </c>
      <c r="S827" t="s">
        <v>30</v>
      </c>
      <c r="T827">
        <v>15</v>
      </c>
      <c r="U827">
        <v>3</v>
      </c>
      <c r="V827">
        <v>3</v>
      </c>
      <c r="W827">
        <v>1</v>
      </c>
      <c r="X827">
        <v>10</v>
      </c>
      <c r="Y827">
        <v>2</v>
      </c>
      <c r="Z827">
        <v>2</v>
      </c>
      <c r="AA827">
        <v>10</v>
      </c>
      <c r="AB827">
        <v>7</v>
      </c>
      <c r="AC827">
        <v>1</v>
      </c>
      <c r="AD827">
        <v>2</v>
      </c>
      <c r="AE827" t="str" cm="1">
        <f t="array" ref="AE827">_xlfn.IFS(G827=1,"Before College",G827=2,"College",G827=3,"Bachelor",G827=4,"Master",G827=5,"Doctor")</f>
        <v>Before College</v>
      </c>
      <c r="AF827" t="str" cm="1">
        <f t="array" ref="AF827">_xlfn.IFS(J827=1,"Low",J827=2,"Medium",J827=3,"High",J827=4,"Very High")</f>
        <v>Medium</v>
      </c>
      <c r="AG827" t="str" cm="1">
        <f t="array" ref="AG827">_xlfn.IFS(L827=1,"Low",L827=2,"Medium",L827=3,"High",L827=4,"Very High")</f>
        <v>Medium</v>
      </c>
      <c r="AH827" t="str" cm="1">
        <f t="array" ref="AH827">_xlfn.IFS(M827=1,"Junior employee",M827=2,"Mid-level",M827=3,"Senior",M827=4,"Manager",M827=5,"Executive")</f>
        <v>Mid-level</v>
      </c>
      <c r="AI827" t="str" cm="1">
        <f t="array" ref="AI827">_xlfn.IFS(O827=1,"Low",O827=2,"Medium",O827=3,"High",O827=4,"Very High")</f>
        <v>Very High</v>
      </c>
      <c r="AJ827" t="str" cm="1">
        <f t="array" ref="AJ827">_xlfn.IFS(U827=1,"Low",U827=2,"Good",U827=3,"Excellent",U827=4,"Outstanding")</f>
        <v>Excellent</v>
      </c>
      <c r="AK827" t="str" cm="1">
        <f t="array" ref="AK827">_xlfn.IFS(V827=1,"Low",V827=2,"Medium",V827=3,"High",V827=4,"Very High")</f>
        <v>High</v>
      </c>
      <c r="AL827" t="str" cm="1">
        <f t="array" ref="AL827">_xlfn.IFS(Z827=1,"Bad",Z827=2,"Good",Z827=3,"Better",Z827=4,"Best")</f>
        <v>Good</v>
      </c>
      <c r="AM827" t="str" cm="1">
        <f t="array" ref="AM827">_xlfn.IFS(W827=0,"No_stock",W827=1,"Low",W827=2,"Medium",W827=3,"High")</f>
        <v>Low</v>
      </c>
      <c r="AN827" t="str">
        <f t="shared" si="12"/>
        <v>Medium</v>
      </c>
    </row>
    <row r="828" spans="1:40" x14ac:dyDescent="0.45">
      <c r="A828">
        <v>38</v>
      </c>
      <c r="B828" t="s">
        <v>37</v>
      </c>
      <c r="C828" t="s">
        <v>31</v>
      </c>
      <c r="D828">
        <v>433</v>
      </c>
      <c r="E828" t="s">
        <v>55</v>
      </c>
      <c r="F828">
        <v>1</v>
      </c>
      <c r="G828">
        <v>3</v>
      </c>
      <c r="H828" t="s">
        <v>55</v>
      </c>
      <c r="I828">
        <v>1152</v>
      </c>
      <c r="J828">
        <v>3</v>
      </c>
      <c r="K828" t="s">
        <v>40</v>
      </c>
      <c r="L828">
        <v>4</v>
      </c>
      <c r="M828">
        <v>1</v>
      </c>
      <c r="N828" t="s">
        <v>55</v>
      </c>
      <c r="O828">
        <v>3</v>
      </c>
      <c r="P828" t="s">
        <v>42</v>
      </c>
      <c r="Q828">
        <v>2844</v>
      </c>
      <c r="R828">
        <v>1</v>
      </c>
      <c r="S828" t="s">
        <v>37</v>
      </c>
      <c r="T828">
        <v>13</v>
      </c>
      <c r="U828">
        <v>3</v>
      </c>
      <c r="V828">
        <v>4</v>
      </c>
      <c r="W828">
        <v>1</v>
      </c>
      <c r="X828">
        <v>7</v>
      </c>
      <c r="Y828">
        <v>2</v>
      </c>
      <c r="Z828">
        <v>4</v>
      </c>
      <c r="AA828">
        <v>7</v>
      </c>
      <c r="AB828">
        <v>6</v>
      </c>
      <c r="AC828">
        <v>5</v>
      </c>
      <c r="AD828">
        <v>0</v>
      </c>
      <c r="AE828" t="str" cm="1">
        <f t="array" ref="AE828">_xlfn.IFS(G828=1,"Before College",G828=2,"College",G828=3,"Bachelor",G828=4,"Master",G828=5,"Doctor")</f>
        <v>Bachelor</v>
      </c>
      <c r="AF828" t="str" cm="1">
        <f t="array" ref="AF828">_xlfn.IFS(J828=1,"Low",J828=2,"Medium",J828=3,"High",J828=4,"Very High")</f>
        <v>High</v>
      </c>
      <c r="AG828" t="str" cm="1">
        <f t="array" ref="AG828">_xlfn.IFS(L828=1,"Low",L828=2,"Medium",L828=3,"High",L828=4,"Very High")</f>
        <v>Very High</v>
      </c>
      <c r="AH828" t="str" cm="1">
        <f t="array" ref="AH828">_xlfn.IFS(M828=1,"Junior employee",M828=2,"Mid-level",M828=3,"Senior",M828=4,"Manager",M828=5,"Executive")</f>
        <v>Junior employee</v>
      </c>
      <c r="AI828" t="str" cm="1">
        <f t="array" ref="AI828">_xlfn.IFS(O828=1,"Low",O828=2,"Medium",O828=3,"High",O828=4,"Very High")</f>
        <v>High</v>
      </c>
      <c r="AJ828" t="str" cm="1">
        <f t="array" ref="AJ828">_xlfn.IFS(U828=1,"Low",U828=2,"Good",U828=3,"Excellent",U828=4,"Outstanding")</f>
        <v>Excellent</v>
      </c>
      <c r="AK828" t="str" cm="1">
        <f t="array" ref="AK828">_xlfn.IFS(V828=1,"Low",V828=2,"Medium",V828=3,"High",V828=4,"Very High")</f>
        <v>Very High</v>
      </c>
      <c r="AL828" t="str" cm="1">
        <f t="array" ref="AL828">_xlfn.IFS(Z828=1,"Bad",Z828=2,"Good",Z828=3,"Better",Z828=4,"Best")</f>
        <v>Best</v>
      </c>
      <c r="AM828" t="str" cm="1">
        <f t="array" ref="AM828">_xlfn.IFS(W828=0,"No_stock",W828=1,"Low",W828=2,"Medium",W828=3,"High")</f>
        <v>Low</v>
      </c>
      <c r="AN828" t="str">
        <f t="shared" si="12"/>
        <v>Near</v>
      </c>
    </row>
    <row r="829" spans="1:40" x14ac:dyDescent="0.45">
      <c r="A829">
        <v>28</v>
      </c>
      <c r="B829" t="s">
        <v>37</v>
      </c>
      <c r="C829" t="s">
        <v>38</v>
      </c>
      <c r="D829">
        <v>773</v>
      </c>
      <c r="E829" t="s">
        <v>39</v>
      </c>
      <c r="F829">
        <v>6</v>
      </c>
      <c r="G829">
        <v>3</v>
      </c>
      <c r="H829" t="s">
        <v>33</v>
      </c>
      <c r="I829">
        <v>1154</v>
      </c>
      <c r="J829">
        <v>3</v>
      </c>
      <c r="K829" t="s">
        <v>40</v>
      </c>
      <c r="L829">
        <v>2</v>
      </c>
      <c r="M829">
        <v>1</v>
      </c>
      <c r="N829" t="s">
        <v>41</v>
      </c>
      <c r="O829">
        <v>3</v>
      </c>
      <c r="P829" t="s">
        <v>46</v>
      </c>
      <c r="Q829">
        <v>2703</v>
      </c>
      <c r="R829">
        <v>1</v>
      </c>
      <c r="S829" t="s">
        <v>30</v>
      </c>
      <c r="T829">
        <v>14</v>
      </c>
      <c r="U829">
        <v>3</v>
      </c>
      <c r="V829">
        <v>4</v>
      </c>
      <c r="W829">
        <v>1</v>
      </c>
      <c r="X829">
        <v>3</v>
      </c>
      <c r="Y829">
        <v>2</v>
      </c>
      <c r="Z829">
        <v>3</v>
      </c>
      <c r="AA829">
        <v>3</v>
      </c>
      <c r="AB829">
        <v>1</v>
      </c>
      <c r="AC829">
        <v>0</v>
      </c>
      <c r="AD829">
        <v>2</v>
      </c>
      <c r="AE829" t="str" cm="1">
        <f t="array" ref="AE829">_xlfn.IFS(G829=1,"Before College",G829=2,"College",G829=3,"Bachelor",G829=4,"Master",G829=5,"Doctor")</f>
        <v>Bachelor</v>
      </c>
      <c r="AF829" t="str" cm="1">
        <f t="array" ref="AF829">_xlfn.IFS(J829=1,"Low",J829=2,"Medium",J829=3,"High",J829=4,"Very High")</f>
        <v>High</v>
      </c>
      <c r="AG829" t="str" cm="1">
        <f t="array" ref="AG829">_xlfn.IFS(L829=1,"Low",L829=2,"Medium",L829=3,"High",L829=4,"Very High")</f>
        <v>Medium</v>
      </c>
      <c r="AH829" t="str" cm="1">
        <f t="array" ref="AH829">_xlfn.IFS(M829=1,"Junior employee",M829=2,"Mid-level",M829=3,"Senior",M829=4,"Manager",M829=5,"Executive")</f>
        <v>Junior employee</v>
      </c>
      <c r="AI829" t="str" cm="1">
        <f t="array" ref="AI829">_xlfn.IFS(O829=1,"Low",O829=2,"Medium",O829=3,"High",O829=4,"Very High")</f>
        <v>High</v>
      </c>
      <c r="AJ829" t="str" cm="1">
        <f t="array" ref="AJ829">_xlfn.IFS(U829=1,"Low",U829=2,"Good",U829=3,"Excellent",U829=4,"Outstanding")</f>
        <v>Excellent</v>
      </c>
      <c r="AK829" t="str" cm="1">
        <f t="array" ref="AK829">_xlfn.IFS(V829=1,"Low",V829=2,"Medium",V829=3,"High",V829=4,"Very High")</f>
        <v>Very High</v>
      </c>
      <c r="AL829" t="str" cm="1">
        <f t="array" ref="AL829">_xlfn.IFS(Z829=1,"Bad",Z829=2,"Good",Z829=3,"Better",Z829=4,"Best")</f>
        <v>Better</v>
      </c>
      <c r="AM829" t="str" cm="1">
        <f t="array" ref="AM829">_xlfn.IFS(W829=0,"No_stock",W829=1,"Low",W829=2,"Medium",W829=3,"High")</f>
        <v>Low</v>
      </c>
      <c r="AN829" t="str">
        <f t="shared" si="12"/>
        <v>Medium</v>
      </c>
    </row>
    <row r="830" spans="1:40" x14ac:dyDescent="0.45">
      <c r="A830">
        <v>18</v>
      </c>
      <c r="B830" t="s">
        <v>30</v>
      </c>
      <c r="C830" t="s">
        <v>49</v>
      </c>
      <c r="D830">
        <v>247</v>
      </c>
      <c r="E830" t="s">
        <v>39</v>
      </c>
      <c r="F830">
        <v>8</v>
      </c>
      <c r="G830">
        <v>1</v>
      </c>
      <c r="H830" t="s">
        <v>45</v>
      </c>
      <c r="I830">
        <v>1156</v>
      </c>
      <c r="J830">
        <v>3</v>
      </c>
      <c r="K830" t="s">
        <v>40</v>
      </c>
      <c r="L830">
        <v>3</v>
      </c>
      <c r="M830">
        <v>1</v>
      </c>
      <c r="N830" t="s">
        <v>44</v>
      </c>
      <c r="O830">
        <v>3</v>
      </c>
      <c r="P830" t="s">
        <v>36</v>
      </c>
      <c r="Q830">
        <v>1904</v>
      </c>
      <c r="R830">
        <v>1</v>
      </c>
      <c r="S830" t="s">
        <v>37</v>
      </c>
      <c r="T830">
        <v>12</v>
      </c>
      <c r="U830">
        <v>3</v>
      </c>
      <c r="V830">
        <v>4</v>
      </c>
      <c r="W830">
        <v>0</v>
      </c>
      <c r="X830">
        <v>0</v>
      </c>
      <c r="Y830">
        <v>0</v>
      </c>
      <c r="Z830">
        <v>3</v>
      </c>
      <c r="AA830">
        <v>0</v>
      </c>
      <c r="AB830">
        <v>0</v>
      </c>
      <c r="AC830">
        <v>0</v>
      </c>
      <c r="AD830">
        <v>0</v>
      </c>
      <c r="AE830" t="str" cm="1">
        <f t="array" ref="AE830">_xlfn.IFS(G830=1,"Before College",G830=2,"College",G830=3,"Bachelor",G830=4,"Master",G830=5,"Doctor")</f>
        <v>Before College</v>
      </c>
      <c r="AF830" t="str" cm="1">
        <f t="array" ref="AF830">_xlfn.IFS(J830=1,"Low",J830=2,"Medium",J830=3,"High",J830=4,"Very High")</f>
        <v>High</v>
      </c>
      <c r="AG830" t="str" cm="1">
        <f t="array" ref="AG830">_xlfn.IFS(L830=1,"Low",L830=2,"Medium",L830=3,"High",L830=4,"Very High")</f>
        <v>High</v>
      </c>
      <c r="AH830" t="str" cm="1">
        <f t="array" ref="AH830">_xlfn.IFS(M830=1,"Junior employee",M830=2,"Mid-level",M830=3,"Senior",M830=4,"Manager",M830=5,"Executive")</f>
        <v>Junior employee</v>
      </c>
      <c r="AI830" t="str" cm="1">
        <f t="array" ref="AI830">_xlfn.IFS(O830=1,"Low",O830=2,"Medium",O830=3,"High",O830=4,"Very High")</f>
        <v>High</v>
      </c>
      <c r="AJ830" t="str" cm="1">
        <f t="array" ref="AJ830">_xlfn.IFS(U830=1,"Low",U830=2,"Good",U830=3,"Excellent",U830=4,"Outstanding")</f>
        <v>Excellent</v>
      </c>
      <c r="AK830" t="str" cm="1">
        <f t="array" ref="AK830">_xlfn.IFS(V830=1,"Low",V830=2,"Medium",V830=3,"High",V830=4,"Very High")</f>
        <v>Very High</v>
      </c>
      <c r="AL830" t="str" cm="1">
        <f t="array" ref="AL830">_xlfn.IFS(Z830=1,"Bad",Z830=2,"Good",Z830=3,"Better",Z830=4,"Best")</f>
        <v>Better</v>
      </c>
      <c r="AM830" t="str" cm="1">
        <f t="array" ref="AM830">_xlfn.IFS(W830=0,"No_stock",W830=1,"Low",W830=2,"Medium",W830=3,"High")</f>
        <v>No_stock</v>
      </c>
      <c r="AN830" t="str">
        <f t="shared" si="12"/>
        <v>Medium</v>
      </c>
    </row>
    <row r="831" spans="1:40" x14ac:dyDescent="0.45">
      <c r="A831">
        <v>33</v>
      </c>
      <c r="B831" t="s">
        <v>30</v>
      </c>
      <c r="C831" t="s">
        <v>31</v>
      </c>
      <c r="D831">
        <v>603</v>
      </c>
      <c r="E831" t="s">
        <v>32</v>
      </c>
      <c r="F831">
        <v>9</v>
      </c>
      <c r="G831">
        <v>4</v>
      </c>
      <c r="H831" t="s">
        <v>53</v>
      </c>
      <c r="I831">
        <v>1157</v>
      </c>
      <c r="J831">
        <v>1</v>
      </c>
      <c r="K831" t="s">
        <v>34</v>
      </c>
      <c r="L831">
        <v>3</v>
      </c>
      <c r="M831">
        <v>2</v>
      </c>
      <c r="N831" t="s">
        <v>35</v>
      </c>
      <c r="O831">
        <v>1</v>
      </c>
      <c r="P831" t="s">
        <v>36</v>
      </c>
      <c r="Q831">
        <v>8224</v>
      </c>
      <c r="R831">
        <v>0</v>
      </c>
      <c r="S831" t="s">
        <v>30</v>
      </c>
      <c r="T831">
        <v>17</v>
      </c>
      <c r="U831">
        <v>3</v>
      </c>
      <c r="V831">
        <v>1</v>
      </c>
      <c r="W831">
        <v>0</v>
      </c>
      <c r="X831">
        <v>6</v>
      </c>
      <c r="Y831">
        <v>3</v>
      </c>
      <c r="Z831">
        <v>3</v>
      </c>
      <c r="AA831">
        <v>5</v>
      </c>
      <c r="AB831">
        <v>2</v>
      </c>
      <c r="AC831">
        <v>0</v>
      </c>
      <c r="AD831">
        <v>3</v>
      </c>
      <c r="AE831" t="str" cm="1">
        <f t="array" ref="AE831">_xlfn.IFS(G831=1,"Before College",G831=2,"College",G831=3,"Bachelor",G831=4,"Master",G831=5,"Doctor")</f>
        <v>Master</v>
      </c>
      <c r="AF831" t="str" cm="1">
        <f t="array" ref="AF831">_xlfn.IFS(J831=1,"Low",J831=2,"Medium",J831=3,"High",J831=4,"Very High")</f>
        <v>Low</v>
      </c>
      <c r="AG831" t="str" cm="1">
        <f t="array" ref="AG831">_xlfn.IFS(L831=1,"Low",L831=2,"Medium",L831=3,"High",L831=4,"Very High")</f>
        <v>High</v>
      </c>
      <c r="AH831" t="str" cm="1">
        <f t="array" ref="AH831">_xlfn.IFS(M831=1,"Junior employee",M831=2,"Mid-level",M831=3,"Senior",M831=4,"Manager",M831=5,"Executive")</f>
        <v>Mid-level</v>
      </c>
      <c r="AI831" t="str" cm="1">
        <f t="array" ref="AI831">_xlfn.IFS(O831=1,"Low",O831=2,"Medium",O831=3,"High",O831=4,"Very High")</f>
        <v>Low</v>
      </c>
      <c r="AJ831" t="str" cm="1">
        <f t="array" ref="AJ831">_xlfn.IFS(U831=1,"Low",U831=2,"Good",U831=3,"Excellent",U831=4,"Outstanding")</f>
        <v>Excellent</v>
      </c>
      <c r="AK831" t="str" cm="1">
        <f t="array" ref="AK831">_xlfn.IFS(V831=1,"Low",V831=2,"Medium",V831=3,"High",V831=4,"Very High")</f>
        <v>Low</v>
      </c>
      <c r="AL831" t="str" cm="1">
        <f t="array" ref="AL831">_xlfn.IFS(Z831=1,"Bad",Z831=2,"Good",Z831=3,"Better",Z831=4,"Best")</f>
        <v>Better</v>
      </c>
      <c r="AM831" t="str" cm="1">
        <f t="array" ref="AM831">_xlfn.IFS(W831=0,"No_stock",W831=1,"Low",W831=2,"Medium",W831=3,"High")</f>
        <v>No_stock</v>
      </c>
      <c r="AN831" t="str">
        <f t="shared" si="12"/>
        <v>Medium</v>
      </c>
    </row>
    <row r="832" spans="1:40" x14ac:dyDescent="0.45">
      <c r="A832">
        <v>41</v>
      </c>
      <c r="B832" t="s">
        <v>37</v>
      </c>
      <c r="C832" t="s">
        <v>31</v>
      </c>
      <c r="D832">
        <v>167</v>
      </c>
      <c r="E832" t="s">
        <v>39</v>
      </c>
      <c r="F832">
        <v>12</v>
      </c>
      <c r="G832">
        <v>4</v>
      </c>
      <c r="H832" t="s">
        <v>33</v>
      </c>
      <c r="I832">
        <v>1158</v>
      </c>
      <c r="J832">
        <v>2</v>
      </c>
      <c r="K832" t="s">
        <v>40</v>
      </c>
      <c r="L832">
        <v>3</v>
      </c>
      <c r="M832">
        <v>1</v>
      </c>
      <c r="N832" t="s">
        <v>44</v>
      </c>
      <c r="O832">
        <v>4</v>
      </c>
      <c r="P832" t="s">
        <v>42</v>
      </c>
      <c r="Q832">
        <v>4766</v>
      </c>
      <c r="R832">
        <v>3</v>
      </c>
      <c r="S832" t="s">
        <v>30</v>
      </c>
      <c r="T832">
        <v>11</v>
      </c>
      <c r="U832">
        <v>3</v>
      </c>
      <c r="V832">
        <v>1</v>
      </c>
      <c r="W832">
        <v>1</v>
      </c>
      <c r="X832">
        <v>6</v>
      </c>
      <c r="Y832">
        <v>4</v>
      </c>
      <c r="Z832">
        <v>3</v>
      </c>
      <c r="AA832">
        <v>1</v>
      </c>
      <c r="AB832">
        <v>0</v>
      </c>
      <c r="AC832">
        <v>0</v>
      </c>
      <c r="AD832">
        <v>0</v>
      </c>
      <c r="AE832" t="str" cm="1">
        <f t="array" ref="AE832">_xlfn.IFS(G832=1,"Before College",G832=2,"College",G832=3,"Bachelor",G832=4,"Master",G832=5,"Doctor")</f>
        <v>Master</v>
      </c>
      <c r="AF832" t="str" cm="1">
        <f t="array" ref="AF832">_xlfn.IFS(J832=1,"Low",J832=2,"Medium",J832=3,"High",J832=4,"Very High")</f>
        <v>Medium</v>
      </c>
      <c r="AG832" t="str" cm="1">
        <f t="array" ref="AG832">_xlfn.IFS(L832=1,"Low",L832=2,"Medium",L832=3,"High",L832=4,"Very High")</f>
        <v>High</v>
      </c>
      <c r="AH832" t="str" cm="1">
        <f t="array" ref="AH832">_xlfn.IFS(M832=1,"Junior employee",M832=2,"Mid-level",M832=3,"Senior",M832=4,"Manager",M832=5,"Executive")</f>
        <v>Junior employee</v>
      </c>
      <c r="AI832" t="str" cm="1">
        <f t="array" ref="AI832">_xlfn.IFS(O832=1,"Low",O832=2,"Medium",O832=3,"High",O832=4,"Very High")</f>
        <v>Very High</v>
      </c>
      <c r="AJ832" t="str" cm="1">
        <f t="array" ref="AJ832">_xlfn.IFS(U832=1,"Low",U832=2,"Good",U832=3,"Excellent",U832=4,"Outstanding")</f>
        <v>Excellent</v>
      </c>
      <c r="AK832" t="str" cm="1">
        <f t="array" ref="AK832">_xlfn.IFS(V832=1,"Low",V832=2,"Medium",V832=3,"High",V832=4,"Very High")</f>
        <v>Low</v>
      </c>
      <c r="AL832" t="str" cm="1">
        <f t="array" ref="AL832">_xlfn.IFS(Z832=1,"Bad",Z832=2,"Good",Z832=3,"Better",Z832=4,"Best")</f>
        <v>Better</v>
      </c>
      <c r="AM832" t="str" cm="1">
        <f t="array" ref="AM832">_xlfn.IFS(W832=0,"No_stock",W832=1,"Low",W832=2,"Medium",W832=3,"High")</f>
        <v>Low</v>
      </c>
      <c r="AN832" t="str">
        <f t="shared" si="12"/>
        <v>Medium</v>
      </c>
    </row>
    <row r="833" spans="1:40" x14ac:dyDescent="0.45">
      <c r="A833">
        <v>31</v>
      </c>
      <c r="B833" t="s">
        <v>30</v>
      </c>
      <c r="C833" t="s">
        <v>38</v>
      </c>
      <c r="D833">
        <v>874</v>
      </c>
      <c r="E833" t="s">
        <v>39</v>
      </c>
      <c r="F833">
        <v>15</v>
      </c>
      <c r="G833">
        <v>3</v>
      </c>
      <c r="H833" t="s">
        <v>45</v>
      </c>
      <c r="I833">
        <v>1160</v>
      </c>
      <c r="J833">
        <v>3</v>
      </c>
      <c r="K833" t="s">
        <v>40</v>
      </c>
      <c r="L833">
        <v>3</v>
      </c>
      <c r="M833">
        <v>1</v>
      </c>
      <c r="N833" t="s">
        <v>44</v>
      </c>
      <c r="O833">
        <v>3</v>
      </c>
      <c r="P833" t="s">
        <v>42</v>
      </c>
      <c r="Q833">
        <v>2610</v>
      </c>
      <c r="R833">
        <v>1</v>
      </c>
      <c r="S833" t="s">
        <v>37</v>
      </c>
      <c r="T833">
        <v>12</v>
      </c>
      <c r="U833">
        <v>3</v>
      </c>
      <c r="V833">
        <v>3</v>
      </c>
      <c r="W833">
        <v>1</v>
      </c>
      <c r="X833">
        <v>2</v>
      </c>
      <c r="Y833">
        <v>5</v>
      </c>
      <c r="Z833">
        <v>2</v>
      </c>
      <c r="AA833">
        <v>2</v>
      </c>
      <c r="AB833">
        <v>2</v>
      </c>
      <c r="AC833">
        <v>2</v>
      </c>
      <c r="AD833">
        <v>2</v>
      </c>
      <c r="AE833" t="str" cm="1">
        <f t="array" ref="AE833">_xlfn.IFS(G833=1,"Before College",G833=2,"College",G833=3,"Bachelor",G833=4,"Master",G833=5,"Doctor")</f>
        <v>Bachelor</v>
      </c>
      <c r="AF833" t="str" cm="1">
        <f t="array" ref="AF833">_xlfn.IFS(J833=1,"Low",J833=2,"Medium",J833=3,"High",J833=4,"Very High")</f>
        <v>High</v>
      </c>
      <c r="AG833" t="str" cm="1">
        <f t="array" ref="AG833">_xlfn.IFS(L833=1,"Low",L833=2,"Medium",L833=3,"High",L833=4,"Very High")</f>
        <v>High</v>
      </c>
      <c r="AH833" t="str" cm="1">
        <f t="array" ref="AH833">_xlfn.IFS(M833=1,"Junior employee",M833=2,"Mid-level",M833=3,"Senior",M833=4,"Manager",M833=5,"Executive")</f>
        <v>Junior employee</v>
      </c>
      <c r="AI833" t="str" cm="1">
        <f t="array" ref="AI833">_xlfn.IFS(O833=1,"Low",O833=2,"Medium",O833=3,"High",O833=4,"Very High")</f>
        <v>High</v>
      </c>
      <c r="AJ833" t="str" cm="1">
        <f t="array" ref="AJ833">_xlfn.IFS(U833=1,"Low",U833=2,"Good",U833=3,"Excellent",U833=4,"Outstanding")</f>
        <v>Excellent</v>
      </c>
      <c r="AK833" t="str" cm="1">
        <f t="array" ref="AK833">_xlfn.IFS(V833=1,"Low",V833=2,"Medium",V833=3,"High",V833=4,"Very High")</f>
        <v>High</v>
      </c>
      <c r="AL833" t="str" cm="1">
        <f t="array" ref="AL833">_xlfn.IFS(Z833=1,"Bad",Z833=2,"Good",Z833=3,"Better",Z833=4,"Best")</f>
        <v>Good</v>
      </c>
      <c r="AM833" t="str" cm="1">
        <f t="array" ref="AM833">_xlfn.IFS(W833=0,"No_stock",W833=1,"Low",W833=2,"Medium",W833=3,"High")</f>
        <v>Low</v>
      </c>
      <c r="AN833" t="str">
        <f t="shared" si="12"/>
        <v>Medium</v>
      </c>
    </row>
    <row r="834" spans="1:40" x14ac:dyDescent="0.45">
      <c r="A834">
        <v>37</v>
      </c>
      <c r="B834" t="s">
        <v>37</v>
      </c>
      <c r="C834" t="s">
        <v>31</v>
      </c>
      <c r="D834">
        <v>367</v>
      </c>
      <c r="E834" t="s">
        <v>39</v>
      </c>
      <c r="F834">
        <v>25</v>
      </c>
      <c r="G834">
        <v>2</v>
      </c>
      <c r="H834" t="s">
        <v>45</v>
      </c>
      <c r="I834">
        <v>1161</v>
      </c>
      <c r="J834">
        <v>3</v>
      </c>
      <c r="K834" t="s">
        <v>34</v>
      </c>
      <c r="L834">
        <v>2</v>
      </c>
      <c r="M834">
        <v>2</v>
      </c>
      <c r="N834" t="s">
        <v>48</v>
      </c>
      <c r="O834">
        <v>4</v>
      </c>
      <c r="P834" t="s">
        <v>46</v>
      </c>
      <c r="Q834">
        <v>5731</v>
      </c>
      <c r="R834">
        <v>7</v>
      </c>
      <c r="S834" t="s">
        <v>37</v>
      </c>
      <c r="T834">
        <v>13</v>
      </c>
      <c r="U834">
        <v>3</v>
      </c>
      <c r="V834">
        <v>3</v>
      </c>
      <c r="W834">
        <v>2</v>
      </c>
      <c r="X834">
        <v>9</v>
      </c>
      <c r="Y834">
        <v>2</v>
      </c>
      <c r="Z834">
        <v>3</v>
      </c>
      <c r="AA834">
        <v>6</v>
      </c>
      <c r="AB834">
        <v>2</v>
      </c>
      <c r="AC834">
        <v>1</v>
      </c>
      <c r="AD834">
        <v>3</v>
      </c>
      <c r="AE834" t="str" cm="1">
        <f t="array" ref="AE834">_xlfn.IFS(G834=1,"Before College",G834=2,"College",G834=3,"Bachelor",G834=4,"Master",G834=5,"Doctor")</f>
        <v>College</v>
      </c>
      <c r="AF834" t="str" cm="1">
        <f t="array" ref="AF834">_xlfn.IFS(J834=1,"Low",J834=2,"Medium",J834=3,"High",J834=4,"Very High")</f>
        <v>High</v>
      </c>
      <c r="AG834" t="str" cm="1">
        <f t="array" ref="AG834">_xlfn.IFS(L834=1,"Low",L834=2,"Medium",L834=3,"High",L834=4,"Very High")</f>
        <v>Medium</v>
      </c>
      <c r="AH834" t="str" cm="1">
        <f t="array" ref="AH834">_xlfn.IFS(M834=1,"Junior employee",M834=2,"Mid-level",M834=3,"Senior",M834=4,"Manager",M834=5,"Executive")</f>
        <v>Mid-level</v>
      </c>
      <c r="AI834" t="str" cm="1">
        <f t="array" ref="AI834">_xlfn.IFS(O834=1,"Low",O834=2,"Medium",O834=3,"High",O834=4,"Very High")</f>
        <v>Very High</v>
      </c>
      <c r="AJ834" t="str" cm="1">
        <f t="array" ref="AJ834">_xlfn.IFS(U834=1,"Low",U834=2,"Good",U834=3,"Excellent",U834=4,"Outstanding")</f>
        <v>Excellent</v>
      </c>
      <c r="AK834" t="str" cm="1">
        <f t="array" ref="AK834">_xlfn.IFS(V834=1,"Low",V834=2,"Medium",V834=3,"High",V834=4,"Very High")</f>
        <v>High</v>
      </c>
      <c r="AL834" t="str" cm="1">
        <f t="array" ref="AL834">_xlfn.IFS(Z834=1,"Bad",Z834=2,"Good",Z834=3,"Better",Z834=4,"Best")</f>
        <v>Better</v>
      </c>
      <c r="AM834" t="str" cm="1">
        <f t="array" ref="AM834">_xlfn.IFS(W834=0,"No_stock",W834=1,"Low",W834=2,"Medium",W834=3,"High")</f>
        <v>Medium</v>
      </c>
      <c r="AN834" t="str">
        <f t="shared" ref="AN834:AN897" si="13">IF(F834&lt;=5,"Near",IF(F834&lt;=15,"Medium","Far"))</f>
        <v>Far</v>
      </c>
    </row>
    <row r="835" spans="1:40" x14ac:dyDescent="0.45">
      <c r="A835">
        <v>27</v>
      </c>
      <c r="B835" t="s">
        <v>37</v>
      </c>
      <c r="C835" t="s">
        <v>31</v>
      </c>
      <c r="D835">
        <v>199</v>
      </c>
      <c r="E835" t="s">
        <v>39</v>
      </c>
      <c r="F835">
        <v>6</v>
      </c>
      <c r="G835">
        <v>3</v>
      </c>
      <c r="H835" t="s">
        <v>33</v>
      </c>
      <c r="I835">
        <v>1162</v>
      </c>
      <c r="J835">
        <v>4</v>
      </c>
      <c r="K835" t="s">
        <v>40</v>
      </c>
      <c r="L835">
        <v>2</v>
      </c>
      <c r="M835">
        <v>1</v>
      </c>
      <c r="N835" t="s">
        <v>41</v>
      </c>
      <c r="O835">
        <v>3</v>
      </c>
      <c r="P835" t="s">
        <v>42</v>
      </c>
      <c r="Q835">
        <v>2539</v>
      </c>
      <c r="R835">
        <v>1</v>
      </c>
      <c r="S835" t="s">
        <v>37</v>
      </c>
      <c r="T835">
        <v>13</v>
      </c>
      <c r="U835">
        <v>3</v>
      </c>
      <c r="V835">
        <v>3</v>
      </c>
      <c r="W835">
        <v>1</v>
      </c>
      <c r="X835">
        <v>4</v>
      </c>
      <c r="Y835">
        <v>0</v>
      </c>
      <c r="Z835">
        <v>3</v>
      </c>
      <c r="AA835">
        <v>4</v>
      </c>
      <c r="AB835">
        <v>2</v>
      </c>
      <c r="AC835">
        <v>2</v>
      </c>
      <c r="AD835">
        <v>2</v>
      </c>
      <c r="AE835" t="str" cm="1">
        <f t="array" ref="AE835">_xlfn.IFS(G835=1,"Before College",G835=2,"College",G835=3,"Bachelor",G835=4,"Master",G835=5,"Doctor")</f>
        <v>Bachelor</v>
      </c>
      <c r="AF835" t="str" cm="1">
        <f t="array" ref="AF835">_xlfn.IFS(J835=1,"Low",J835=2,"Medium",J835=3,"High",J835=4,"Very High")</f>
        <v>Very High</v>
      </c>
      <c r="AG835" t="str" cm="1">
        <f t="array" ref="AG835">_xlfn.IFS(L835=1,"Low",L835=2,"Medium",L835=3,"High",L835=4,"Very High")</f>
        <v>Medium</v>
      </c>
      <c r="AH835" t="str" cm="1">
        <f t="array" ref="AH835">_xlfn.IFS(M835=1,"Junior employee",M835=2,"Mid-level",M835=3,"Senior",M835=4,"Manager",M835=5,"Executive")</f>
        <v>Junior employee</v>
      </c>
      <c r="AI835" t="str" cm="1">
        <f t="array" ref="AI835">_xlfn.IFS(O835=1,"Low",O835=2,"Medium",O835=3,"High",O835=4,"Very High")</f>
        <v>High</v>
      </c>
      <c r="AJ835" t="str" cm="1">
        <f t="array" ref="AJ835">_xlfn.IFS(U835=1,"Low",U835=2,"Good",U835=3,"Excellent",U835=4,"Outstanding")</f>
        <v>Excellent</v>
      </c>
      <c r="AK835" t="str" cm="1">
        <f t="array" ref="AK835">_xlfn.IFS(V835=1,"Low",V835=2,"Medium",V835=3,"High",V835=4,"Very High")</f>
        <v>High</v>
      </c>
      <c r="AL835" t="str" cm="1">
        <f t="array" ref="AL835">_xlfn.IFS(Z835=1,"Bad",Z835=2,"Good",Z835=3,"Better",Z835=4,"Best")</f>
        <v>Better</v>
      </c>
      <c r="AM835" t="str" cm="1">
        <f t="array" ref="AM835">_xlfn.IFS(W835=0,"No_stock",W835=1,"Low",W835=2,"Medium",W835=3,"High")</f>
        <v>Low</v>
      </c>
      <c r="AN835" t="str">
        <f t="shared" si="13"/>
        <v>Medium</v>
      </c>
    </row>
    <row r="836" spans="1:40" x14ac:dyDescent="0.45">
      <c r="A836">
        <v>34</v>
      </c>
      <c r="B836" t="s">
        <v>37</v>
      </c>
      <c r="C836" t="s">
        <v>31</v>
      </c>
      <c r="D836">
        <v>1400</v>
      </c>
      <c r="E836" t="s">
        <v>32</v>
      </c>
      <c r="F836">
        <v>9</v>
      </c>
      <c r="G836">
        <v>1</v>
      </c>
      <c r="H836" t="s">
        <v>33</v>
      </c>
      <c r="I836">
        <v>1163</v>
      </c>
      <c r="J836">
        <v>2</v>
      </c>
      <c r="K836" t="s">
        <v>34</v>
      </c>
      <c r="L836">
        <v>3</v>
      </c>
      <c r="M836">
        <v>2</v>
      </c>
      <c r="N836" t="s">
        <v>35</v>
      </c>
      <c r="O836">
        <v>3</v>
      </c>
      <c r="P836" t="s">
        <v>42</v>
      </c>
      <c r="Q836">
        <v>5714</v>
      </c>
      <c r="R836">
        <v>1</v>
      </c>
      <c r="S836" t="s">
        <v>37</v>
      </c>
      <c r="T836">
        <v>20</v>
      </c>
      <c r="U836">
        <v>4</v>
      </c>
      <c r="V836">
        <v>1</v>
      </c>
      <c r="W836">
        <v>0</v>
      </c>
      <c r="X836">
        <v>6</v>
      </c>
      <c r="Y836">
        <v>3</v>
      </c>
      <c r="Z836">
        <v>2</v>
      </c>
      <c r="AA836">
        <v>6</v>
      </c>
      <c r="AB836">
        <v>5</v>
      </c>
      <c r="AC836">
        <v>1</v>
      </c>
      <c r="AD836">
        <v>3</v>
      </c>
      <c r="AE836" t="str" cm="1">
        <f t="array" ref="AE836">_xlfn.IFS(G836=1,"Before College",G836=2,"College",G836=3,"Bachelor",G836=4,"Master",G836=5,"Doctor")</f>
        <v>Before College</v>
      </c>
      <c r="AF836" t="str" cm="1">
        <f t="array" ref="AF836">_xlfn.IFS(J836=1,"Low",J836=2,"Medium",J836=3,"High",J836=4,"Very High")</f>
        <v>Medium</v>
      </c>
      <c r="AG836" t="str" cm="1">
        <f t="array" ref="AG836">_xlfn.IFS(L836=1,"Low",L836=2,"Medium",L836=3,"High",L836=4,"Very High")</f>
        <v>High</v>
      </c>
      <c r="AH836" t="str" cm="1">
        <f t="array" ref="AH836">_xlfn.IFS(M836=1,"Junior employee",M836=2,"Mid-level",M836=3,"Senior",M836=4,"Manager",M836=5,"Executive")</f>
        <v>Mid-level</v>
      </c>
      <c r="AI836" t="str" cm="1">
        <f t="array" ref="AI836">_xlfn.IFS(O836=1,"Low",O836=2,"Medium",O836=3,"High",O836=4,"Very High")</f>
        <v>High</v>
      </c>
      <c r="AJ836" t="str" cm="1">
        <f t="array" ref="AJ836">_xlfn.IFS(U836=1,"Low",U836=2,"Good",U836=3,"Excellent",U836=4,"Outstanding")</f>
        <v>Outstanding</v>
      </c>
      <c r="AK836" t="str" cm="1">
        <f t="array" ref="AK836">_xlfn.IFS(V836=1,"Low",V836=2,"Medium",V836=3,"High",V836=4,"Very High")</f>
        <v>Low</v>
      </c>
      <c r="AL836" t="str" cm="1">
        <f t="array" ref="AL836">_xlfn.IFS(Z836=1,"Bad",Z836=2,"Good",Z836=3,"Better",Z836=4,"Best")</f>
        <v>Good</v>
      </c>
      <c r="AM836" t="str" cm="1">
        <f t="array" ref="AM836">_xlfn.IFS(W836=0,"No_stock",W836=1,"Low",W836=2,"Medium",W836=3,"High")</f>
        <v>No_stock</v>
      </c>
      <c r="AN836" t="str">
        <f t="shared" si="13"/>
        <v>Medium</v>
      </c>
    </row>
    <row r="837" spans="1:40" x14ac:dyDescent="0.45">
      <c r="A837">
        <v>35</v>
      </c>
      <c r="B837" t="s">
        <v>37</v>
      </c>
      <c r="C837" t="s">
        <v>31</v>
      </c>
      <c r="D837">
        <v>528</v>
      </c>
      <c r="E837" t="s">
        <v>55</v>
      </c>
      <c r="F837">
        <v>8</v>
      </c>
      <c r="G837">
        <v>4</v>
      </c>
      <c r="H837" t="s">
        <v>54</v>
      </c>
      <c r="I837">
        <v>1164</v>
      </c>
      <c r="J837">
        <v>3</v>
      </c>
      <c r="K837" t="s">
        <v>40</v>
      </c>
      <c r="L837">
        <v>3</v>
      </c>
      <c r="M837">
        <v>1</v>
      </c>
      <c r="N837" t="s">
        <v>55</v>
      </c>
      <c r="O837">
        <v>3</v>
      </c>
      <c r="P837" t="s">
        <v>36</v>
      </c>
      <c r="Q837">
        <v>4323</v>
      </c>
      <c r="R837">
        <v>1</v>
      </c>
      <c r="S837" t="s">
        <v>37</v>
      </c>
      <c r="T837">
        <v>17</v>
      </c>
      <c r="U837">
        <v>3</v>
      </c>
      <c r="V837">
        <v>2</v>
      </c>
      <c r="W837">
        <v>0</v>
      </c>
      <c r="X837">
        <v>6</v>
      </c>
      <c r="Y837">
        <v>2</v>
      </c>
      <c r="Z837">
        <v>1</v>
      </c>
      <c r="AA837">
        <v>5</v>
      </c>
      <c r="AB837">
        <v>4</v>
      </c>
      <c r="AC837">
        <v>1</v>
      </c>
      <c r="AD837">
        <v>4</v>
      </c>
      <c r="AE837" t="str" cm="1">
        <f t="array" ref="AE837">_xlfn.IFS(G837=1,"Before College",G837=2,"College",G837=3,"Bachelor",G837=4,"Master",G837=5,"Doctor")</f>
        <v>Master</v>
      </c>
      <c r="AF837" t="str" cm="1">
        <f t="array" ref="AF837">_xlfn.IFS(J837=1,"Low",J837=2,"Medium",J837=3,"High",J837=4,"Very High")</f>
        <v>High</v>
      </c>
      <c r="AG837" t="str" cm="1">
        <f t="array" ref="AG837">_xlfn.IFS(L837=1,"Low",L837=2,"Medium",L837=3,"High",L837=4,"Very High")</f>
        <v>High</v>
      </c>
      <c r="AH837" t="str" cm="1">
        <f t="array" ref="AH837">_xlfn.IFS(M837=1,"Junior employee",M837=2,"Mid-level",M837=3,"Senior",M837=4,"Manager",M837=5,"Executive")</f>
        <v>Junior employee</v>
      </c>
      <c r="AI837" t="str" cm="1">
        <f t="array" ref="AI837">_xlfn.IFS(O837=1,"Low",O837=2,"Medium",O837=3,"High",O837=4,"Very High")</f>
        <v>High</v>
      </c>
      <c r="AJ837" t="str" cm="1">
        <f t="array" ref="AJ837">_xlfn.IFS(U837=1,"Low",U837=2,"Good",U837=3,"Excellent",U837=4,"Outstanding")</f>
        <v>Excellent</v>
      </c>
      <c r="AK837" t="str" cm="1">
        <f t="array" ref="AK837">_xlfn.IFS(V837=1,"Low",V837=2,"Medium",V837=3,"High",V837=4,"Very High")</f>
        <v>Medium</v>
      </c>
      <c r="AL837" t="str" cm="1">
        <f t="array" ref="AL837">_xlfn.IFS(Z837=1,"Bad",Z837=2,"Good",Z837=3,"Better",Z837=4,"Best")</f>
        <v>Bad</v>
      </c>
      <c r="AM837" t="str" cm="1">
        <f t="array" ref="AM837">_xlfn.IFS(W837=0,"No_stock",W837=1,"Low",W837=2,"Medium",W837=3,"High")</f>
        <v>No_stock</v>
      </c>
      <c r="AN837" t="str">
        <f t="shared" si="13"/>
        <v>Medium</v>
      </c>
    </row>
    <row r="838" spans="1:40" x14ac:dyDescent="0.45">
      <c r="A838">
        <v>29</v>
      </c>
      <c r="B838" t="s">
        <v>30</v>
      </c>
      <c r="C838" t="s">
        <v>31</v>
      </c>
      <c r="D838">
        <v>408</v>
      </c>
      <c r="E838" t="s">
        <v>32</v>
      </c>
      <c r="F838">
        <v>23</v>
      </c>
      <c r="G838">
        <v>1</v>
      </c>
      <c r="H838" t="s">
        <v>33</v>
      </c>
      <c r="I838">
        <v>1165</v>
      </c>
      <c r="J838">
        <v>4</v>
      </c>
      <c r="K838" t="s">
        <v>34</v>
      </c>
      <c r="L838">
        <v>2</v>
      </c>
      <c r="M838">
        <v>3</v>
      </c>
      <c r="N838" t="s">
        <v>35</v>
      </c>
      <c r="O838">
        <v>1</v>
      </c>
      <c r="P838" t="s">
        <v>42</v>
      </c>
      <c r="Q838">
        <v>7336</v>
      </c>
      <c r="R838">
        <v>1</v>
      </c>
      <c r="S838" t="s">
        <v>37</v>
      </c>
      <c r="T838">
        <v>13</v>
      </c>
      <c r="U838">
        <v>3</v>
      </c>
      <c r="V838">
        <v>1</v>
      </c>
      <c r="W838">
        <v>1</v>
      </c>
      <c r="X838">
        <v>11</v>
      </c>
      <c r="Y838">
        <v>3</v>
      </c>
      <c r="Z838">
        <v>1</v>
      </c>
      <c r="AA838">
        <v>11</v>
      </c>
      <c r="AB838">
        <v>8</v>
      </c>
      <c r="AC838">
        <v>3</v>
      </c>
      <c r="AD838">
        <v>10</v>
      </c>
      <c r="AE838" t="str" cm="1">
        <f t="array" ref="AE838">_xlfn.IFS(G838=1,"Before College",G838=2,"College",G838=3,"Bachelor",G838=4,"Master",G838=5,"Doctor")</f>
        <v>Before College</v>
      </c>
      <c r="AF838" t="str" cm="1">
        <f t="array" ref="AF838">_xlfn.IFS(J838=1,"Low",J838=2,"Medium",J838=3,"High",J838=4,"Very High")</f>
        <v>Very High</v>
      </c>
      <c r="AG838" t="str" cm="1">
        <f t="array" ref="AG838">_xlfn.IFS(L838=1,"Low",L838=2,"Medium",L838=3,"High",L838=4,"Very High")</f>
        <v>Medium</v>
      </c>
      <c r="AH838" t="str" cm="1">
        <f t="array" ref="AH838">_xlfn.IFS(M838=1,"Junior employee",M838=2,"Mid-level",M838=3,"Senior",M838=4,"Manager",M838=5,"Executive")</f>
        <v>Senior</v>
      </c>
      <c r="AI838" t="str" cm="1">
        <f t="array" ref="AI838">_xlfn.IFS(O838=1,"Low",O838=2,"Medium",O838=3,"High",O838=4,"Very High")</f>
        <v>Low</v>
      </c>
      <c r="AJ838" t="str" cm="1">
        <f t="array" ref="AJ838">_xlfn.IFS(U838=1,"Low",U838=2,"Good",U838=3,"Excellent",U838=4,"Outstanding")</f>
        <v>Excellent</v>
      </c>
      <c r="AK838" t="str" cm="1">
        <f t="array" ref="AK838">_xlfn.IFS(V838=1,"Low",V838=2,"Medium",V838=3,"High",V838=4,"Very High")</f>
        <v>Low</v>
      </c>
      <c r="AL838" t="str" cm="1">
        <f t="array" ref="AL838">_xlfn.IFS(Z838=1,"Bad",Z838=2,"Good",Z838=3,"Better",Z838=4,"Best")</f>
        <v>Bad</v>
      </c>
      <c r="AM838" t="str" cm="1">
        <f t="array" ref="AM838">_xlfn.IFS(W838=0,"No_stock",W838=1,"Low",W838=2,"Medium",W838=3,"High")</f>
        <v>Low</v>
      </c>
      <c r="AN838" t="str">
        <f t="shared" si="13"/>
        <v>Far</v>
      </c>
    </row>
    <row r="839" spans="1:40" x14ac:dyDescent="0.45">
      <c r="A839">
        <v>40</v>
      </c>
      <c r="B839" t="s">
        <v>37</v>
      </c>
      <c r="C839" t="s">
        <v>38</v>
      </c>
      <c r="D839">
        <v>593</v>
      </c>
      <c r="E839" t="s">
        <v>39</v>
      </c>
      <c r="F839">
        <v>9</v>
      </c>
      <c r="G839">
        <v>4</v>
      </c>
      <c r="H839" t="s">
        <v>45</v>
      </c>
      <c r="I839">
        <v>1166</v>
      </c>
      <c r="J839">
        <v>2</v>
      </c>
      <c r="K839" t="s">
        <v>34</v>
      </c>
      <c r="L839">
        <v>3</v>
      </c>
      <c r="M839">
        <v>3</v>
      </c>
      <c r="N839" t="s">
        <v>52</v>
      </c>
      <c r="O839">
        <v>3</v>
      </c>
      <c r="P839" t="s">
        <v>36</v>
      </c>
      <c r="Q839">
        <v>13499</v>
      </c>
      <c r="R839">
        <v>9</v>
      </c>
      <c r="S839" t="s">
        <v>37</v>
      </c>
      <c r="T839">
        <v>17</v>
      </c>
      <c r="U839">
        <v>3</v>
      </c>
      <c r="V839">
        <v>3</v>
      </c>
      <c r="W839">
        <v>0</v>
      </c>
      <c r="X839">
        <v>20</v>
      </c>
      <c r="Y839">
        <v>3</v>
      </c>
      <c r="Z839">
        <v>2</v>
      </c>
      <c r="AA839">
        <v>18</v>
      </c>
      <c r="AB839">
        <v>7</v>
      </c>
      <c r="AC839">
        <v>2</v>
      </c>
      <c r="AD839">
        <v>13</v>
      </c>
      <c r="AE839" t="str" cm="1">
        <f t="array" ref="AE839">_xlfn.IFS(G839=1,"Before College",G839=2,"College",G839=3,"Bachelor",G839=4,"Master",G839=5,"Doctor")</f>
        <v>Master</v>
      </c>
      <c r="AF839" t="str" cm="1">
        <f t="array" ref="AF839">_xlfn.IFS(J839=1,"Low",J839=2,"Medium",J839=3,"High",J839=4,"Very High")</f>
        <v>Medium</v>
      </c>
      <c r="AG839" t="str" cm="1">
        <f t="array" ref="AG839">_xlfn.IFS(L839=1,"Low",L839=2,"Medium",L839=3,"High",L839=4,"Very High")</f>
        <v>High</v>
      </c>
      <c r="AH839" t="str" cm="1">
        <f t="array" ref="AH839">_xlfn.IFS(M839=1,"Junior employee",M839=2,"Mid-level",M839=3,"Senior",M839=4,"Manager",M839=5,"Executive")</f>
        <v>Senior</v>
      </c>
      <c r="AI839" t="str" cm="1">
        <f t="array" ref="AI839">_xlfn.IFS(O839=1,"Low",O839=2,"Medium",O839=3,"High",O839=4,"Very High")</f>
        <v>High</v>
      </c>
      <c r="AJ839" t="str" cm="1">
        <f t="array" ref="AJ839">_xlfn.IFS(U839=1,"Low",U839=2,"Good",U839=3,"Excellent",U839=4,"Outstanding")</f>
        <v>Excellent</v>
      </c>
      <c r="AK839" t="str" cm="1">
        <f t="array" ref="AK839">_xlfn.IFS(V839=1,"Low",V839=2,"Medium",V839=3,"High",V839=4,"Very High")</f>
        <v>High</v>
      </c>
      <c r="AL839" t="str" cm="1">
        <f t="array" ref="AL839">_xlfn.IFS(Z839=1,"Bad",Z839=2,"Good",Z839=3,"Better",Z839=4,"Best")</f>
        <v>Good</v>
      </c>
      <c r="AM839" t="str" cm="1">
        <f t="array" ref="AM839">_xlfn.IFS(W839=0,"No_stock",W839=1,"Low",W839=2,"Medium",W839=3,"High")</f>
        <v>No_stock</v>
      </c>
      <c r="AN839" t="str">
        <f t="shared" si="13"/>
        <v>Medium</v>
      </c>
    </row>
    <row r="840" spans="1:40" x14ac:dyDescent="0.45">
      <c r="A840">
        <v>42</v>
      </c>
      <c r="B840" t="s">
        <v>30</v>
      </c>
      <c r="C840" t="s">
        <v>38</v>
      </c>
      <c r="D840">
        <v>481</v>
      </c>
      <c r="E840" t="s">
        <v>32</v>
      </c>
      <c r="F840">
        <v>12</v>
      </c>
      <c r="G840">
        <v>3</v>
      </c>
      <c r="H840" t="s">
        <v>33</v>
      </c>
      <c r="I840">
        <v>1167</v>
      </c>
      <c r="J840">
        <v>3</v>
      </c>
      <c r="K840" t="s">
        <v>40</v>
      </c>
      <c r="L840">
        <v>3</v>
      </c>
      <c r="M840">
        <v>4</v>
      </c>
      <c r="N840" t="s">
        <v>35</v>
      </c>
      <c r="O840">
        <v>1</v>
      </c>
      <c r="P840" t="s">
        <v>36</v>
      </c>
      <c r="Q840">
        <v>13758</v>
      </c>
      <c r="R840">
        <v>0</v>
      </c>
      <c r="S840" t="s">
        <v>30</v>
      </c>
      <c r="T840">
        <v>12</v>
      </c>
      <c r="U840">
        <v>3</v>
      </c>
      <c r="V840">
        <v>2</v>
      </c>
      <c r="W840">
        <v>0</v>
      </c>
      <c r="X840">
        <v>22</v>
      </c>
      <c r="Y840">
        <v>2</v>
      </c>
      <c r="Z840">
        <v>2</v>
      </c>
      <c r="AA840">
        <v>21</v>
      </c>
      <c r="AB840">
        <v>9</v>
      </c>
      <c r="AC840">
        <v>13</v>
      </c>
      <c r="AD840">
        <v>14</v>
      </c>
      <c r="AE840" t="str" cm="1">
        <f t="array" ref="AE840">_xlfn.IFS(G840=1,"Before College",G840=2,"College",G840=3,"Bachelor",G840=4,"Master",G840=5,"Doctor")</f>
        <v>Bachelor</v>
      </c>
      <c r="AF840" t="str" cm="1">
        <f t="array" ref="AF840">_xlfn.IFS(J840=1,"Low",J840=2,"Medium",J840=3,"High",J840=4,"Very High")</f>
        <v>High</v>
      </c>
      <c r="AG840" t="str" cm="1">
        <f t="array" ref="AG840">_xlfn.IFS(L840=1,"Low",L840=2,"Medium",L840=3,"High",L840=4,"Very High")</f>
        <v>High</v>
      </c>
      <c r="AH840" t="str" cm="1">
        <f t="array" ref="AH840">_xlfn.IFS(M840=1,"Junior employee",M840=2,"Mid-level",M840=3,"Senior",M840=4,"Manager",M840=5,"Executive")</f>
        <v>Manager</v>
      </c>
      <c r="AI840" t="str" cm="1">
        <f t="array" ref="AI840">_xlfn.IFS(O840=1,"Low",O840=2,"Medium",O840=3,"High",O840=4,"Very High")</f>
        <v>Low</v>
      </c>
      <c r="AJ840" t="str" cm="1">
        <f t="array" ref="AJ840">_xlfn.IFS(U840=1,"Low",U840=2,"Good",U840=3,"Excellent",U840=4,"Outstanding")</f>
        <v>Excellent</v>
      </c>
      <c r="AK840" t="str" cm="1">
        <f t="array" ref="AK840">_xlfn.IFS(V840=1,"Low",V840=2,"Medium",V840=3,"High",V840=4,"Very High")</f>
        <v>Medium</v>
      </c>
      <c r="AL840" t="str" cm="1">
        <f t="array" ref="AL840">_xlfn.IFS(Z840=1,"Bad",Z840=2,"Good",Z840=3,"Better",Z840=4,"Best")</f>
        <v>Good</v>
      </c>
      <c r="AM840" t="str" cm="1">
        <f t="array" ref="AM840">_xlfn.IFS(W840=0,"No_stock",W840=1,"Low",W840=2,"Medium",W840=3,"High")</f>
        <v>No_stock</v>
      </c>
      <c r="AN840" t="str">
        <f t="shared" si="13"/>
        <v>Medium</v>
      </c>
    </row>
    <row r="841" spans="1:40" x14ac:dyDescent="0.45">
      <c r="A841">
        <v>42</v>
      </c>
      <c r="B841" t="s">
        <v>37</v>
      </c>
      <c r="C841" t="s">
        <v>31</v>
      </c>
      <c r="D841">
        <v>647</v>
      </c>
      <c r="E841" t="s">
        <v>32</v>
      </c>
      <c r="F841">
        <v>4</v>
      </c>
      <c r="G841">
        <v>4</v>
      </c>
      <c r="H841" t="s">
        <v>53</v>
      </c>
      <c r="I841">
        <v>1171</v>
      </c>
      <c r="J841">
        <v>2</v>
      </c>
      <c r="K841" t="s">
        <v>40</v>
      </c>
      <c r="L841">
        <v>3</v>
      </c>
      <c r="M841">
        <v>2</v>
      </c>
      <c r="N841" t="s">
        <v>35</v>
      </c>
      <c r="O841">
        <v>1</v>
      </c>
      <c r="P841" t="s">
        <v>36</v>
      </c>
      <c r="Q841">
        <v>5155</v>
      </c>
      <c r="R841">
        <v>7</v>
      </c>
      <c r="S841" t="s">
        <v>37</v>
      </c>
      <c r="T841">
        <v>13</v>
      </c>
      <c r="U841">
        <v>3</v>
      </c>
      <c r="V841">
        <v>4</v>
      </c>
      <c r="W841">
        <v>0</v>
      </c>
      <c r="X841">
        <v>9</v>
      </c>
      <c r="Y841">
        <v>3</v>
      </c>
      <c r="Z841">
        <v>4</v>
      </c>
      <c r="AA841">
        <v>6</v>
      </c>
      <c r="AB841">
        <v>4</v>
      </c>
      <c r="AC841">
        <v>1</v>
      </c>
      <c r="AD841">
        <v>5</v>
      </c>
      <c r="AE841" t="str" cm="1">
        <f t="array" ref="AE841">_xlfn.IFS(G841=1,"Before College",G841=2,"College",G841=3,"Bachelor",G841=4,"Master",G841=5,"Doctor")</f>
        <v>Master</v>
      </c>
      <c r="AF841" t="str" cm="1">
        <f t="array" ref="AF841">_xlfn.IFS(J841=1,"Low",J841=2,"Medium",J841=3,"High",J841=4,"Very High")</f>
        <v>Medium</v>
      </c>
      <c r="AG841" t="str" cm="1">
        <f t="array" ref="AG841">_xlfn.IFS(L841=1,"Low",L841=2,"Medium",L841=3,"High",L841=4,"Very High")</f>
        <v>High</v>
      </c>
      <c r="AH841" t="str" cm="1">
        <f t="array" ref="AH841">_xlfn.IFS(M841=1,"Junior employee",M841=2,"Mid-level",M841=3,"Senior",M841=4,"Manager",M841=5,"Executive")</f>
        <v>Mid-level</v>
      </c>
      <c r="AI841" t="str" cm="1">
        <f t="array" ref="AI841">_xlfn.IFS(O841=1,"Low",O841=2,"Medium",O841=3,"High",O841=4,"Very High")</f>
        <v>Low</v>
      </c>
      <c r="AJ841" t="str" cm="1">
        <f t="array" ref="AJ841">_xlfn.IFS(U841=1,"Low",U841=2,"Good",U841=3,"Excellent",U841=4,"Outstanding")</f>
        <v>Excellent</v>
      </c>
      <c r="AK841" t="str" cm="1">
        <f t="array" ref="AK841">_xlfn.IFS(V841=1,"Low",V841=2,"Medium",V841=3,"High",V841=4,"Very High")</f>
        <v>Very High</v>
      </c>
      <c r="AL841" t="str" cm="1">
        <f t="array" ref="AL841">_xlfn.IFS(Z841=1,"Bad",Z841=2,"Good",Z841=3,"Better",Z841=4,"Best")</f>
        <v>Best</v>
      </c>
      <c r="AM841" t="str" cm="1">
        <f t="array" ref="AM841">_xlfn.IFS(W841=0,"No_stock",W841=1,"Low",W841=2,"Medium",W841=3,"High")</f>
        <v>No_stock</v>
      </c>
      <c r="AN841" t="str">
        <f t="shared" si="13"/>
        <v>Near</v>
      </c>
    </row>
    <row r="842" spans="1:40" x14ac:dyDescent="0.45">
      <c r="A842">
        <v>35</v>
      </c>
      <c r="B842" t="s">
        <v>37</v>
      </c>
      <c r="C842" t="s">
        <v>31</v>
      </c>
      <c r="D842">
        <v>982</v>
      </c>
      <c r="E842" t="s">
        <v>39</v>
      </c>
      <c r="F842">
        <v>1</v>
      </c>
      <c r="G842">
        <v>4</v>
      </c>
      <c r="H842" t="s">
        <v>45</v>
      </c>
      <c r="I842">
        <v>1172</v>
      </c>
      <c r="J842">
        <v>4</v>
      </c>
      <c r="K842" t="s">
        <v>40</v>
      </c>
      <c r="L842">
        <v>2</v>
      </c>
      <c r="M842">
        <v>1</v>
      </c>
      <c r="N842" t="s">
        <v>44</v>
      </c>
      <c r="O842">
        <v>3</v>
      </c>
      <c r="P842" t="s">
        <v>42</v>
      </c>
      <c r="Q842">
        <v>2258</v>
      </c>
      <c r="R842">
        <v>6</v>
      </c>
      <c r="S842" t="s">
        <v>37</v>
      </c>
      <c r="T842">
        <v>12</v>
      </c>
      <c r="U842">
        <v>3</v>
      </c>
      <c r="V842">
        <v>2</v>
      </c>
      <c r="W842">
        <v>1</v>
      </c>
      <c r="X842">
        <v>10</v>
      </c>
      <c r="Y842">
        <v>2</v>
      </c>
      <c r="Z842">
        <v>3</v>
      </c>
      <c r="AA842">
        <v>8</v>
      </c>
      <c r="AB842">
        <v>0</v>
      </c>
      <c r="AC842">
        <v>1</v>
      </c>
      <c r="AD842">
        <v>7</v>
      </c>
      <c r="AE842" t="str" cm="1">
        <f t="array" ref="AE842">_xlfn.IFS(G842=1,"Before College",G842=2,"College",G842=3,"Bachelor",G842=4,"Master",G842=5,"Doctor")</f>
        <v>Master</v>
      </c>
      <c r="AF842" t="str" cm="1">
        <f t="array" ref="AF842">_xlfn.IFS(J842=1,"Low",J842=2,"Medium",J842=3,"High",J842=4,"Very High")</f>
        <v>Very High</v>
      </c>
      <c r="AG842" t="str" cm="1">
        <f t="array" ref="AG842">_xlfn.IFS(L842=1,"Low",L842=2,"Medium",L842=3,"High",L842=4,"Very High")</f>
        <v>Medium</v>
      </c>
      <c r="AH842" t="str" cm="1">
        <f t="array" ref="AH842">_xlfn.IFS(M842=1,"Junior employee",M842=2,"Mid-level",M842=3,"Senior",M842=4,"Manager",M842=5,"Executive")</f>
        <v>Junior employee</v>
      </c>
      <c r="AI842" t="str" cm="1">
        <f t="array" ref="AI842">_xlfn.IFS(O842=1,"Low",O842=2,"Medium",O842=3,"High",O842=4,"Very High")</f>
        <v>High</v>
      </c>
      <c r="AJ842" t="str" cm="1">
        <f t="array" ref="AJ842">_xlfn.IFS(U842=1,"Low",U842=2,"Good",U842=3,"Excellent",U842=4,"Outstanding")</f>
        <v>Excellent</v>
      </c>
      <c r="AK842" t="str" cm="1">
        <f t="array" ref="AK842">_xlfn.IFS(V842=1,"Low",V842=2,"Medium",V842=3,"High",V842=4,"Very High")</f>
        <v>Medium</v>
      </c>
      <c r="AL842" t="str" cm="1">
        <f t="array" ref="AL842">_xlfn.IFS(Z842=1,"Bad",Z842=2,"Good",Z842=3,"Better",Z842=4,"Best")</f>
        <v>Better</v>
      </c>
      <c r="AM842" t="str" cm="1">
        <f t="array" ref="AM842">_xlfn.IFS(W842=0,"No_stock",W842=1,"Low",W842=2,"Medium",W842=3,"High")</f>
        <v>Low</v>
      </c>
      <c r="AN842" t="str">
        <f t="shared" si="13"/>
        <v>Near</v>
      </c>
    </row>
    <row r="843" spans="1:40" x14ac:dyDescent="0.45">
      <c r="A843">
        <v>24</v>
      </c>
      <c r="B843" t="s">
        <v>37</v>
      </c>
      <c r="C843" t="s">
        <v>31</v>
      </c>
      <c r="D843">
        <v>477</v>
      </c>
      <c r="E843" t="s">
        <v>39</v>
      </c>
      <c r="F843">
        <v>24</v>
      </c>
      <c r="G843">
        <v>3</v>
      </c>
      <c r="H843" t="s">
        <v>45</v>
      </c>
      <c r="I843">
        <v>1173</v>
      </c>
      <c r="J843">
        <v>4</v>
      </c>
      <c r="K843" t="s">
        <v>40</v>
      </c>
      <c r="L843">
        <v>3</v>
      </c>
      <c r="M843">
        <v>1</v>
      </c>
      <c r="N843" t="s">
        <v>44</v>
      </c>
      <c r="O843">
        <v>2</v>
      </c>
      <c r="P843" t="s">
        <v>36</v>
      </c>
      <c r="Q843">
        <v>3597</v>
      </c>
      <c r="R843">
        <v>8</v>
      </c>
      <c r="S843" t="s">
        <v>37</v>
      </c>
      <c r="T843">
        <v>22</v>
      </c>
      <c r="U843">
        <v>4</v>
      </c>
      <c r="V843">
        <v>4</v>
      </c>
      <c r="W843">
        <v>0</v>
      </c>
      <c r="X843">
        <v>6</v>
      </c>
      <c r="Y843">
        <v>2</v>
      </c>
      <c r="Z843">
        <v>3</v>
      </c>
      <c r="AA843">
        <v>4</v>
      </c>
      <c r="AB843">
        <v>3</v>
      </c>
      <c r="AC843">
        <v>1</v>
      </c>
      <c r="AD843">
        <v>2</v>
      </c>
      <c r="AE843" t="str" cm="1">
        <f t="array" ref="AE843">_xlfn.IFS(G843=1,"Before College",G843=2,"College",G843=3,"Bachelor",G843=4,"Master",G843=5,"Doctor")</f>
        <v>Bachelor</v>
      </c>
      <c r="AF843" t="str" cm="1">
        <f t="array" ref="AF843">_xlfn.IFS(J843=1,"Low",J843=2,"Medium",J843=3,"High",J843=4,"Very High")</f>
        <v>Very High</v>
      </c>
      <c r="AG843" t="str" cm="1">
        <f t="array" ref="AG843">_xlfn.IFS(L843=1,"Low",L843=2,"Medium",L843=3,"High",L843=4,"Very High")</f>
        <v>High</v>
      </c>
      <c r="AH843" t="str" cm="1">
        <f t="array" ref="AH843">_xlfn.IFS(M843=1,"Junior employee",M843=2,"Mid-level",M843=3,"Senior",M843=4,"Manager",M843=5,"Executive")</f>
        <v>Junior employee</v>
      </c>
      <c r="AI843" t="str" cm="1">
        <f t="array" ref="AI843">_xlfn.IFS(O843=1,"Low",O843=2,"Medium",O843=3,"High",O843=4,"Very High")</f>
        <v>Medium</v>
      </c>
      <c r="AJ843" t="str" cm="1">
        <f t="array" ref="AJ843">_xlfn.IFS(U843=1,"Low",U843=2,"Good",U843=3,"Excellent",U843=4,"Outstanding")</f>
        <v>Outstanding</v>
      </c>
      <c r="AK843" t="str" cm="1">
        <f t="array" ref="AK843">_xlfn.IFS(V843=1,"Low",V843=2,"Medium",V843=3,"High",V843=4,"Very High")</f>
        <v>Very High</v>
      </c>
      <c r="AL843" t="str" cm="1">
        <f t="array" ref="AL843">_xlfn.IFS(Z843=1,"Bad",Z843=2,"Good",Z843=3,"Better",Z843=4,"Best")</f>
        <v>Better</v>
      </c>
      <c r="AM843" t="str" cm="1">
        <f t="array" ref="AM843">_xlfn.IFS(W843=0,"No_stock",W843=1,"Low",W843=2,"Medium",W843=3,"High")</f>
        <v>No_stock</v>
      </c>
      <c r="AN843" t="str">
        <f t="shared" si="13"/>
        <v>Far</v>
      </c>
    </row>
    <row r="844" spans="1:40" x14ac:dyDescent="0.45">
      <c r="A844">
        <v>28</v>
      </c>
      <c r="B844" t="s">
        <v>30</v>
      </c>
      <c r="C844" t="s">
        <v>31</v>
      </c>
      <c r="D844">
        <v>1485</v>
      </c>
      <c r="E844" t="s">
        <v>39</v>
      </c>
      <c r="F844">
        <v>12</v>
      </c>
      <c r="G844">
        <v>1</v>
      </c>
      <c r="H844" t="s">
        <v>33</v>
      </c>
      <c r="I844">
        <v>1175</v>
      </c>
      <c r="J844">
        <v>3</v>
      </c>
      <c r="K844" t="s">
        <v>34</v>
      </c>
      <c r="L844">
        <v>3</v>
      </c>
      <c r="M844">
        <v>1</v>
      </c>
      <c r="N844" t="s">
        <v>44</v>
      </c>
      <c r="O844">
        <v>4</v>
      </c>
      <c r="P844" t="s">
        <v>42</v>
      </c>
      <c r="Q844">
        <v>2515</v>
      </c>
      <c r="R844">
        <v>1</v>
      </c>
      <c r="S844" t="s">
        <v>30</v>
      </c>
      <c r="T844">
        <v>11</v>
      </c>
      <c r="U844">
        <v>3</v>
      </c>
      <c r="V844">
        <v>4</v>
      </c>
      <c r="W844">
        <v>0</v>
      </c>
      <c r="X844">
        <v>1</v>
      </c>
      <c r="Y844">
        <v>4</v>
      </c>
      <c r="Z844">
        <v>2</v>
      </c>
      <c r="AA844">
        <v>1</v>
      </c>
      <c r="AB844">
        <v>1</v>
      </c>
      <c r="AC844">
        <v>0</v>
      </c>
      <c r="AD844">
        <v>0</v>
      </c>
      <c r="AE844" t="str" cm="1">
        <f t="array" ref="AE844">_xlfn.IFS(G844=1,"Before College",G844=2,"College",G844=3,"Bachelor",G844=4,"Master",G844=5,"Doctor")</f>
        <v>Before College</v>
      </c>
      <c r="AF844" t="str" cm="1">
        <f t="array" ref="AF844">_xlfn.IFS(J844=1,"Low",J844=2,"Medium",J844=3,"High",J844=4,"Very High")</f>
        <v>High</v>
      </c>
      <c r="AG844" t="str" cm="1">
        <f t="array" ref="AG844">_xlfn.IFS(L844=1,"Low",L844=2,"Medium",L844=3,"High",L844=4,"Very High")</f>
        <v>High</v>
      </c>
      <c r="AH844" t="str" cm="1">
        <f t="array" ref="AH844">_xlfn.IFS(M844=1,"Junior employee",M844=2,"Mid-level",M844=3,"Senior",M844=4,"Manager",M844=5,"Executive")</f>
        <v>Junior employee</v>
      </c>
      <c r="AI844" t="str" cm="1">
        <f t="array" ref="AI844">_xlfn.IFS(O844=1,"Low",O844=2,"Medium",O844=3,"High",O844=4,"Very High")</f>
        <v>Very High</v>
      </c>
      <c r="AJ844" t="str" cm="1">
        <f t="array" ref="AJ844">_xlfn.IFS(U844=1,"Low",U844=2,"Good",U844=3,"Excellent",U844=4,"Outstanding")</f>
        <v>Excellent</v>
      </c>
      <c r="AK844" t="str" cm="1">
        <f t="array" ref="AK844">_xlfn.IFS(V844=1,"Low",V844=2,"Medium",V844=3,"High",V844=4,"Very High")</f>
        <v>Very High</v>
      </c>
      <c r="AL844" t="str" cm="1">
        <f t="array" ref="AL844">_xlfn.IFS(Z844=1,"Bad",Z844=2,"Good",Z844=3,"Better",Z844=4,"Best")</f>
        <v>Good</v>
      </c>
      <c r="AM844" t="str" cm="1">
        <f t="array" ref="AM844">_xlfn.IFS(W844=0,"No_stock",W844=1,"Low",W844=2,"Medium",W844=3,"High")</f>
        <v>No_stock</v>
      </c>
      <c r="AN844" t="str">
        <f t="shared" si="13"/>
        <v>Medium</v>
      </c>
    </row>
    <row r="845" spans="1:40" x14ac:dyDescent="0.45">
      <c r="A845">
        <v>26</v>
      </c>
      <c r="B845" t="s">
        <v>37</v>
      </c>
      <c r="C845" t="s">
        <v>31</v>
      </c>
      <c r="D845">
        <v>1384</v>
      </c>
      <c r="E845" t="s">
        <v>39</v>
      </c>
      <c r="F845">
        <v>3</v>
      </c>
      <c r="G845">
        <v>4</v>
      </c>
      <c r="H845" t="s">
        <v>45</v>
      </c>
      <c r="I845">
        <v>1177</v>
      </c>
      <c r="J845">
        <v>1</v>
      </c>
      <c r="K845" t="s">
        <v>40</v>
      </c>
      <c r="L845">
        <v>4</v>
      </c>
      <c r="M845">
        <v>1</v>
      </c>
      <c r="N845" t="s">
        <v>44</v>
      </c>
      <c r="O845">
        <v>4</v>
      </c>
      <c r="P845" t="s">
        <v>42</v>
      </c>
      <c r="Q845">
        <v>4420</v>
      </c>
      <c r="R845">
        <v>1</v>
      </c>
      <c r="S845" t="s">
        <v>37</v>
      </c>
      <c r="T845">
        <v>22</v>
      </c>
      <c r="U845">
        <v>4</v>
      </c>
      <c r="V845">
        <v>2</v>
      </c>
      <c r="W845">
        <v>1</v>
      </c>
      <c r="X845">
        <v>8</v>
      </c>
      <c r="Y845">
        <v>2</v>
      </c>
      <c r="Z845">
        <v>3</v>
      </c>
      <c r="AA845">
        <v>8</v>
      </c>
      <c r="AB845">
        <v>7</v>
      </c>
      <c r="AC845">
        <v>0</v>
      </c>
      <c r="AD845">
        <v>7</v>
      </c>
      <c r="AE845" t="str" cm="1">
        <f t="array" ref="AE845">_xlfn.IFS(G845=1,"Before College",G845=2,"College",G845=3,"Bachelor",G845=4,"Master",G845=5,"Doctor")</f>
        <v>Master</v>
      </c>
      <c r="AF845" t="str" cm="1">
        <f t="array" ref="AF845">_xlfn.IFS(J845=1,"Low",J845=2,"Medium",J845=3,"High",J845=4,"Very High")</f>
        <v>Low</v>
      </c>
      <c r="AG845" t="str" cm="1">
        <f t="array" ref="AG845">_xlfn.IFS(L845=1,"Low",L845=2,"Medium",L845=3,"High",L845=4,"Very High")</f>
        <v>Very High</v>
      </c>
      <c r="AH845" t="str" cm="1">
        <f t="array" ref="AH845">_xlfn.IFS(M845=1,"Junior employee",M845=2,"Mid-level",M845=3,"Senior",M845=4,"Manager",M845=5,"Executive")</f>
        <v>Junior employee</v>
      </c>
      <c r="AI845" t="str" cm="1">
        <f t="array" ref="AI845">_xlfn.IFS(O845=1,"Low",O845=2,"Medium",O845=3,"High",O845=4,"Very High")</f>
        <v>Very High</v>
      </c>
      <c r="AJ845" t="str" cm="1">
        <f t="array" ref="AJ845">_xlfn.IFS(U845=1,"Low",U845=2,"Good",U845=3,"Excellent",U845=4,"Outstanding")</f>
        <v>Outstanding</v>
      </c>
      <c r="AK845" t="str" cm="1">
        <f t="array" ref="AK845">_xlfn.IFS(V845=1,"Low",V845=2,"Medium",V845=3,"High",V845=4,"Very High")</f>
        <v>Medium</v>
      </c>
      <c r="AL845" t="str" cm="1">
        <f t="array" ref="AL845">_xlfn.IFS(Z845=1,"Bad",Z845=2,"Good",Z845=3,"Better",Z845=4,"Best")</f>
        <v>Better</v>
      </c>
      <c r="AM845" t="str" cm="1">
        <f t="array" ref="AM845">_xlfn.IFS(W845=0,"No_stock",W845=1,"Low",W845=2,"Medium",W845=3,"High")</f>
        <v>Low</v>
      </c>
      <c r="AN845" t="str">
        <f t="shared" si="13"/>
        <v>Near</v>
      </c>
    </row>
    <row r="846" spans="1:40" x14ac:dyDescent="0.45">
      <c r="A846">
        <v>30</v>
      </c>
      <c r="B846" t="s">
        <v>37</v>
      </c>
      <c r="C846" t="s">
        <v>31</v>
      </c>
      <c r="D846">
        <v>852</v>
      </c>
      <c r="E846" t="s">
        <v>32</v>
      </c>
      <c r="F846">
        <v>10</v>
      </c>
      <c r="G846">
        <v>3</v>
      </c>
      <c r="H846" t="s">
        <v>53</v>
      </c>
      <c r="I846">
        <v>1179</v>
      </c>
      <c r="J846">
        <v>3</v>
      </c>
      <c r="K846" t="s">
        <v>40</v>
      </c>
      <c r="L846">
        <v>2</v>
      </c>
      <c r="M846">
        <v>2</v>
      </c>
      <c r="N846" t="s">
        <v>35</v>
      </c>
      <c r="O846">
        <v>3</v>
      </c>
      <c r="P846" t="s">
        <v>42</v>
      </c>
      <c r="Q846">
        <v>6578</v>
      </c>
      <c r="R846">
        <v>1</v>
      </c>
      <c r="S846" t="s">
        <v>37</v>
      </c>
      <c r="T846">
        <v>18</v>
      </c>
      <c r="U846">
        <v>3</v>
      </c>
      <c r="V846">
        <v>1</v>
      </c>
      <c r="W846">
        <v>1</v>
      </c>
      <c r="X846">
        <v>10</v>
      </c>
      <c r="Y846">
        <v>3</v>
      </c>
      <c r="Z846">
        <v>3</v>
      </c>
      <c r="AA846">
        <v>10</v>
      </c>
      <c r="AB846">
        <v>3</v>
      </c>
      <c r="AC846">
        <v>1</v>
      </c>
      <c r="AD846">
        <v>4</v>
      </c>
      <c r="AE846" t="str" cm="1">
        <f t="array" ref="AE846">_xlfn.IFS(G846=1,"Before College",G846=2,"College",G846=3,"Bachelor",G846=4,"Master",G846=5,"Doctor")</f>
        <v>Bachelor</v>
      </c>
      <c r="AF846" t="str" cm="1">
        <f t="array" ref="AF846">_xlfn.IFS(J846=1,"Low",J846=2,"Medium",J846=3,"High",J846=4,"Very High")</f>
        <v>High</v>
      </c>
      <c r="AG846" t="str" cm="1">
        <f t="array" ref="AG846">_xlfn.IFS(L846=1,"Low",L846=2,"Medium",L846=3,"High",L846=4,"Very High")</f>
        <v>Medium</v>
      </c>
      <c r="AH846" t="str" cm="1">
        <f t="array" ref="AH846">_xlfn.IFS(M846=1,"Junior employee",M846=2,"Mid-level",M846=3,"Senior",M846=4,"Manager",M846=5,"Executive")</f>
        <v>Mid-level</v>
      </c>
      <c r="AI846" t="str" cm="1">
        <f t="array" ref="AI846">_xlfn.IFS(O846=1,"Low",O846=2,"Medium",O846=3,"High",O846=4,"Very High")</f>
        <v>High</v>
      </c>
      <c r="AJ846" t="str" cm="1">
        <f t="array" ref="AJ846">_xlfn.IFS(U846=1,"Low",U846=2,"Good",U846=3,"Excellent",U846=4,"Outstanding")</f>
        <v>Excellent</v>
      </c>
      <c r="AK846" t="str" cm="1">
        <f t="array" ref="AK846">_xlfn.IFS(V846=1,"Low",V846=2,"Medium",V846=3,"High",V846=4,"Very High")</f>
        <v>Low</v>
      </c>
      <c r="AL846" t="str" cm="1">
        <f t="array" ref="AL846">_xlfn.IFS(Z846=1,"Bad",Z846=2,"Good",Z846=3,"Better",Z846=4,"Best")</f>
        <v>Better</v>
      </c>
      <c r="AM846" t="str" cm="1">
        <f t="array" ref="AM846">_xlfn.IFS(W846=0,"No_stock",W846=1,"Low",W846=2,"Medium",W846=3,"High")</f>
        <v>Low</v>
      </c>
      <c r="AN846" t="str">
        <f t="shared" si="13"/>
        <v>Medium</v>
      </c>
    </row>
    <row r="847" spans="1:40" x14ac:dyDescent="0.45">
      <c r="A847">
        <v>40</v>
      </c>
      <c r="B847" t="s">
        <v>37</v>
      </c>
      <c r="C847" t="s">
        <v>38</v>
      </c>
      <c r="D847">
        <v>902</v>
      </c>
      <c r="E847" t="s">
        <v>39</v>
      </c>
      <c r="F847">
        <v>26</v>
      </c>
      <c r="G847">
        <v>2</v>
      </c>
      <c r="H847" t="s">
        <v>45</v>
      </c>
      <c r="I847">
        <v>1180</v>
      </c>
      <c r="J847">
        <v>3</v>
      </c>
      <c r="K847" t="s">
        <v>34</v>
      </c>
      <c r="L847">
        <v>2</v>
      </c>
      <c r="M847">
        <v>2</v>
      </c>
      <c r="N847" t="s">
        <v>41</v>
      </c>
      <c r="O847">
        <v>4</v>
      </c>
      <c r="P847" t="s">
        <v>42</v>
      </c>
      <c r="Q847">
        <v>4422</v>
      </c>
      <c r="R847">
        <v>3</v>
      </c>
      <c r="S847" t="s">
        <v>30</v>
      </c>
      <c r="T847">
        <v>13</v>
      </c>
      <c r="U847">
        <v>3</v>
      </c>
      <c r="V847">
        <v>4</v>
      </c>
      <c r="W847">
        <v>1</v>
      </c>
      <c r="X847">
        <v>16</v>
      </c>
      <c r="Y847">
        <v>3</v>
      </c>
      <c r="Z847">
        <v>1</v>
      </c>
      <c r="AA847">
        <v>1</v>
      </c>
      <c r="AB847">
        <v>1</v>
      </c>
      <c r="AC847">
        <v>0</v>
      </c>
      <c r="AD847">
        <v>0</v>
      </c>
      <c r="AE847" t="str" cm="1">
        <f t="array" ref="AE847">_xlfn.IFS(G847=1,"Before College",G847=2,"College",G847=3,"Bachelor",G847=4,"Master",G847=5,"Doctor")</f>
        <v>College</v>
      </c>
      <c r="AF847" t="str" cm="1">
        <f t="array" ref="AF847">_xlfn.IFS(J847=1,"Low",J847=2,"Medium",J847=3,"High",J847=4,"Very High")</f>
        <v>High</v>
      </c>
      <c r="AG847" t="str" cm="1">
        <f t="array" ref="AG847">_xlfn.IFS(L847=1,"Low",L847=2,"Medium",L847=3,"High",L847=4,"Very High")</f>
        <v>Medium</v>
      </c>
      <c r="AH847" t="str" cm="1">
        <f t="array" ref="AH847">_xlfn.IFS(M847=1,"Junior employee",M847=2,"Mid-level",M847=3,"Senior",M847=4,"Manager",M847=5,"Executive")</f>
        <v>Mid-level</v>
      </c>
      <c r="AI847" t="str" cm="1">
        <f t="array" ref="AI847">_xlfn.IFS(O847=1,"Low",O847=2,"Medium",O847=3,"High",O847=4,"Very High")</f>
        <v>Very High</v>
      </c>
      <c r="AJ847" t="str" cm="1">
        <f t="array" ref="AJ847">_xlfn.IFS(U847=1,"Low",U847=2,"Good",U847=3,"Excellent",U847=4,"Outstanding")</f>
        <v>Excellent</v>
      </c>
      <c r="AK847" t="str" cm="1">
        <f t="array" ref="AK847">_xlfn.IFS(V847=1,"Low",V847=2,"Medium",V847=3,"High",V847=4,"Very High")</f>
        <v>Very High</v>
      </c>
      <c r="AL847" t="str" cm="1">
        <f t="array" ref="AL847">_xlfn.IFS(Z847=1,"Bad",Z847=2,"Good",Z847=3,"Better",Z847=4,"Best")</f>
        <v>Bad</v>
      </c>
      <c r="AM847" t="str" cm="1">
        <f t="array" ref="AM847">_xlfn.IFS(W847=0,"No_stock",W847=1,"Low",W847=2,"Medium",W847=3,"High")</f>
        <v>Low</v>
      </c>
      <c r="AN847" t="str">
        <f t="shared" si="13"/>
        <v>Far</v>
      </c>
    </row>
    <row r="848" spans="1:40" x14ac:dyDescent="0.45">
      <c r="A848">
        <v>35</v>
      </c>
      <c r="B848" t="s">
        <v>37</v>
      </c>
      <c r="C848" t="s">
        <v>31</v>
      </c>
      <c r="D848">
        <v>819</v>
      </c>
      <c r="E848" t="s">
        <v>39</v>
      </c>
      <c r="F848">
        <v>2</v>
      </c>
      <c r="G848">
        <v>3</v>
      </c>
      <c r="H848" t="s">
        <v>33</v>
      </c>
      <c r="I848">
        <v>1182</v>
      </c>
      <c r="J848">
        <v>3</v>
      </c>
      <c r="K848" t="s">
        <v>40</v>
      </c>
      <c r="L848">
        <v>2</v>
      </c>
      <c r="M848">
        <v>3</v>
      </c>
      <c r="N848" t="s">
        <v>47</v>
      </c>
      <c r="O848">
        <v>2</v>
      </c>
      <c r="P848" t="s">
        <v>46</v>
      </c>
      <c r="Q848">
        <v>10274</v>
      </c>
      <c r="R848">
        <v>2</v>
      </c>
      <c r="S848" t="s">
        <v>37</v>
      </c>
      <c r="T848">
        <v>18</v>
      </c>
      <c r="U848">
        <v>3</v>
      </c>
      <c r="V848">
        <v>2</v>
      </c>
      <c r="W848">
        <v>1</v>
      </c>
      <c r="X848">
        <v>15</v>
      </c>
      <c r="Y848">
        <v>2</v>
      </c>
      <c r="Z848">
        <v>4</v>
      </c>
      <c r="AA848">
        <v>7</v>
      </c>
      <c r="AB848">
        <v>7</v>
      </c>
      <c r="AC848">
        <v>6</v>
      </c>
      <c r="AD848">
        <v>4</v>
      </c>
      <c r="AE848" t="str" cm="1">
        <f t="array" ref="AE848">_xlfn.IFS(G848=1,"Before College",G848=2,"College",G848=3,"Bachelor",G848=4,"Master",G848=5,"Doctor")</f>
        <v>Bachelor</v>
      </c>
      <c r="AF848" t="str" cm="1">
        <f t="array" ref="AF848">_xlfn.IFS(J848=1,"Low",J848=2,"Medium",J848=3,"High",J848=4,"Very High")</f>
        <v>High</v>
      </c>
      <c r="AG848" t="str" cm="1">
        <f t="array" ref="AG848">_xlfn.IFS(L848=1,"Low",L848=2,"Medium",L848=3,"High",L848=4,"Very High")</f>
        <v>Medium</v>
      </c>
      <c r="AH848" t="str" cm="1">
        <f t="array" ref="AH848">_xlfn.IFS(M848=1,"Junior employee",M848=2,"Mid-level",M848=3,"Senior",M848=4,"Manager",M848=5,"Executive")</f>
        <v>Senior</v>
      </c>
      <c r="AI848" t="str" cm="1">
        <f t="array" ref="AI848">_xlfn.IFS(O848=1,"Low",O848=2,"Medium",O848=3,"High",O848=4,"Very High")</f>
        <v>Medium</v>
      </c>
      <c r="AJ848" t="str" cm="1">
        <f t="array" ref="AJ848">_xlfn.IFS(U848=1,"Low",U848=2,"Good",U848=3,"Excellent",U848=4,"Outstanding")</f>
        <v>Excellent</v>
      </c>
      <c r="AK848" t="str" cm="1">
        <f t="array" ref="AK848">_xlfn.IFS(V848=1,"Low",V848=2,"Medium",V848=3,"High",V848=4,"Very High")</f>
        <v>Medium</v>
      </c>
      <c r="AL848" t="str" cm="1">
        <f t="array" ref="AL848">_xlfn.IFS(Z848=1,"Bad",Z848=2,"Good",Z848=3,"Better",Z848=4,"Best")</f>
        <v>Best</v>
      </c>
      <c r="AM848" t="str" cm="1">
        <f t="array" ref="AM848">_xlfn.IFS(W848=0,"No_stock",W848=1,"Low",W848=2,"Medium",W848=3,"High")</f>
        <v>Low</v>
      </c>
      <c r="AN848" t="str">
        <f t="shared" si="13"/>
        <v>Near</v>
      </c>
    </row>
    <row r="849" spans="1:40" x14ac:dyDescent="0.45">
      <c r="A849">
        <v>34</v>
      </c>
      <c r="B849" t="s">
        <v>37</v>
      </c>
      <c r="C849" t="s">
        <v>38</v>
      </c>
      <c r="D849">
        <v>669</v>
      </c>
      <c r="E849" t="s">
        <v>39</v>
      </c>
      <c r="F849">
        <v>1</v>
      </c>
      <c r="G849">
        <v>3</v>
      </c>
      <c r="H849" t="s">
        <v>45</v>
      </c>
      <c r="I849">
        <v>1184</v>
      </c>
      <c r="J849">
        <v>4</v>
      </c>
      <c r="K849" t="s">
        <v>40</v>
      </c>
      <c r="L849">
        <v>2</v>
      </c>
      <c r="M849">
        <v>2</v>
      </c>
      <c r="N849" t="s">
        <v>48</v>
      </c>
      <c r="O849">
        <v>1</v>
      </c>
      <c r="P849" t="s">
        <v>36</v>
      </c>
      <c r="Q849">
        <v>5343</v>
      </c>
      <c r="R849">
        <v>0</v>
      </c>
      <c r="S849" t="s">
        <v>37</v>
      </c>
      <c r="T849">
        <v>20</v>
      </c>
      <c r="U849">
        <v>4</v>
      </c>
      <c r="V849">
        <v>3</v>
      </c>
      <c r="W849">
        <v>0</v>
      </c>
      <c r="X849">
        <v>14</v>
      </c>
      <c r="Y849">
        <v>3</v>
      </c>
      <c r="Z849">
        <v>3</v>
      </c>
      <c r="AA849">
        <v>13</v>
      </c>
      <c r="AB849">
        <v>9</v>
      </c>
      <c r="AC849">
        <v>4</v>
      </c>
      <c r="AD849">
        <v>9</v>
      </c>
      <c r="AE849" t="str" cm="1">
        <f t="array" ref="AE849">_xlfn.IFS(G849=1,"Before College",G849=2,"College",G849=3,"Bachelor",G849=4,"Master",G849=5,"Doctor")</f>
        <v>Bachelor</v>
      </c>
      <c r="AF849" t="str" cm="1">
        <f t="array" ref="AF849">_xlfn.IFS(J849=1,"Low",J849=2,"Medium",J849=3,"High",J849=4,"Very High")</f>
        <v>Very High</v>
      </c>
      <c r="AG849" t="str" cm="1">
        <f t="array" ref="AG849">_xlfn.IFS(L849=1,"Low",L849=2,"Medium",L849=3,"High",L849=4,"Very High")</f>
        <v>Medium</v>
      </c>
      <c r="AH849" t="str" cm="1">
        <f t="array" ref="AH849">_xlfn.IFS(M849=1,"Junior employee",M849=2,"Mid-level",M849=3,"Senior",M849=4,"Manager",M849=5,"Executive")</f>
        <v>Mid-level</v>
      </c>
      <c r="AI849" t="str" cm="1">
        <f t="array" ref="AI849">_xlfn.IFS(O849=1,"Low",O849=2,"Medium",O849=3,"High",O849=4,"Very High")</f>
        <v>Low</v>
      </c>
      <c r="AJ849" t="str" cm="1">
        <f t="array" ref="AJ849">_xlfn.IFS(U849=1,"Low",U849=2,"Good",U849=3,"Excellent",U849=4,"Outstanding")</f>
        <v>Outstanding</v>
      </c>
      <c r="AK849" t="str" cm="1">
        <f t="array" ref="AK849">_xlfn.IFS(V849=1,"Low",V849=2,"Medium",V849=3,"High",V849=4,"Very High")</f>
        <v>High</v>
      </c>
      <c r="AL849" t="str" cm="1">
        <f t="array" ref="AL849">_xlfn.IFS(Z849=1,"Bad",Z849=2,"Good",Z849=3,"Better",Z849=4,"Best")</f>
        <v>Better</v>
      </c>
      <c r="AM849" t="str" cm="1">
        <f t="array" ref="AM849">_xlfn.IFS(W849=0,"No_stock",W849=1,"Low",W849=2,"Medium",W849=3,"High")</f>
        <v>No_stock</v>
      </c>
      <c r="AN849" t="str">
        <f t="shared" si="13"/>
        <v>Near</v>
      </c>
    </row>
    <row r="850" spans="1:40" x14ac:dyDescent="0.45">
      <c r="A850">
        <v>35</v>
      </c>
      <c r="B850" t="s">
        <v>37</v>
      </c>
      <c r="C850" t="s">
        <v>38</v>
      </c>
      <c r="D850">
        <v>636</v>
      </c>
      <c r="E850" t="s">
        <v>39</v>
      </c>
      <c r="F850">
        <v>4</v>
      </c>
      <c r="G850">
        <v>4</v>
      </c>
      <c r="H850" t="s">
        <v>43</v>
      </c>
      <c r="I850">
        <v>1185</v>
      </c>
      <c r="J850">
        <v>4</v>
      </c>
      <c r="K850" t="s">
        <v>40</v>
      </c>
      <c r="L850">
        <v>2</v>
      </c>
      <c r="M850">
        <v>1</v>
      </c>
      <c r="N850" t="s">
        <v>44</v>
      </c>
      <c r="O850">
        <v>4</v>
      </c>
      <c r="P850" t="s">
        <v>42</v>
      </c>
      <c r="Q850">
        <v>2376</v>
      </c>
      <c r="R850">
        <v>1</v>
      </c>
      <c r="S850" t="s">
        <v>37</v>
      </c>
      <c r="T850">
        <v>13</v>
      </c>
      <c r="U850">
        <v>3</v>
      </c>
      <c r="V850">
        <v>2</v>
      </c>
      <c r="W850">
        <v>1</v>
      </c>
      <c r="X850">
        <v>2</v>
      </c>
      <c r="Y850">
        <v>2</v>
      </c>
      <c r="Z850">
        <v>4</v>
      </c>
      <c r="AA850">
        <v>2</v>
      </c>
      <c r="AB850">
        <v>2</v>
      </c>
      <c r="AC850">
        <v>2</v>
      </c>
      <c r="AD850">
        <v>2</v>
      </c>
      <c r="AE850" t="str" cm="1">
        <f t="array" ref="AE850">_xlfn.IFS(G850=1,"Before College",G850=2,"College",G850=3,"Bachelor",G850=4,"Master",G850=5,"Doctor")</f>
        <v>Master</v>
      </c>
      <c r="AF850" t="str" cm="1">
        <f t="array" ref="AF850">_xlfn.IFS(J850=1,"Low",J850=2,"Medium",J850=3,"High",J850=4,"Very High")</f>
        <v>Very High</v>
      </c>
      <c r="AG850" t="str" cm="1">
        <f t="array" ref="AG850">_xlfn.IFS(L850=1,"Low",L850=2,"Medium",L850=3,"High",L850=4,"Very High")</f>
        <v>Medium</v>
      </c>
      <c r="AH850" t="str" cm="1">
        <f t="array" ref="AH850">_xlfn.IFS(M850=1,"Junior employee",M850=2,"Mid-level",M850=3,"Senior",M850=4,"Manager",M850=5,"Executive")</f>
        <v>Junior employee</v>
      </c>
      <c r="AI850" t="str" cm="1">
        <f t="array" ref="AI850">_xlfn.IFS(O850=1,"Low",O850=2,"Medium",O850=3,"High",O850=4,"Very High")</f>
        <v>Very High</v>
      </c>
      <c r="AJ850" t="str" cm="1">
        <f t="array" ref="AJ850">_xlfn.IFS(U850=1,"Low",U850=2,"Good",U850=3,"Excellent",U850=4,"Outstanding")</f>
        <v>Excellent</v>
      </c>
      <c r="AK850" t="str" cm="1">
        <f t="array" ref="AK850">_xlfn.IFS(V850=1,"Low",V850=2,"Medium",V850=3,"High",V850=4,"Very High")</f>
        <v>Medium</v>
      </c>
      <c r="AL850" t="str" cm="1">
        <f t="array" ref="AL850">_xlfn.IFS(Z850=1,"Bad",Z850=2,"Good",Z850=3,"Better",Z850=4,"Best")</f>
        <v>Best</v>
      </c>
      <c r="AM850" t="str" cm="1">
        <f t="array" ref="AM850">_xlfn.IFS(W850=0,"No_stock",W850=1,"Low",W850=2,"Medium",W850=3,"High")</f>
        <v>Low</v>
      </c>
      <c r="AN850" t="str">
        <f t="shared" si="13"/>
        <v>Near</v>
      </c>
    </row>
    <row r="851" spans="1:40" x14ac:dyDescent="0.45">
      <c r="A851">
        <v>43</v>
      </c>
      <c r="B851" t="s">
        <v>30</v>
      </c>
      <c r="C851" t="s">
        <v>31</v>
      </c>
      <c r="D851">
        <v>1372</v>
      </c>
      <c r="E851" t="s">
        <v>32</v>
      </c>
      <c r="F851">
        <v>9</v>
      </c>
      <c r="G851">
        <v>3</v>
      </c>
      <c r="H851" t="s">
        <v>53</v>
      </c>
      <c r="I851">
        <v>1188</v>
      </c>
      <c r="J851">
        <v>1</v>
      </c>
      <c r="K851" t="s">
        <v>34</v>
      </c>
      <c r="L851">
        <v>1</v>
      </c>
      <c r="M851">
        <v>2</v>
      </c>
      <c r="N851" t="s">
        <v>35</v>
      </c>
      <c r="O851">
        <v>3</v>
      </c>
      <c r="P851" t="s">
        <v>36</v>
      </c>
      <c r="Q851">
        <v>5346</v>
      </c>
      <c r="R851">
        <v>8</v>
      </c>
      <c r="S851" t="s">
        <v>37</v>
      </c>
      <c r="T851">
        <v>13</v>
      </c>
      <c r="U851">
        <v>3</v>
      </c>
      <c r="V851">
        <v>2</v>
      </c>
      <c r="W851">
        <v>0</v>
      </c>
      <c r="X851">
        <v>7</v>
      </c>
      <c r="Y851">
        <v>2</v>
      </c>
      <c r="Z851">
        <v>2</v>
      </c>
      <c r="AA851">
        <v>4</v>
      </c>
      <c r="AB851">
        <v>3</v>
      </c>
      <c r="AC851">
        <v>1</v>
      </c>
      <c r="AD851">
        <v>3</v>
      </c>
      <c r="AE851" t="str" cm="1">
        <f t="array" ref="AE851">_xlfn.IFS(G851=1,"Before College",G851=2,"College",G851=3,"Bachelor",G851=4,"Master",G851=5,"Doctor")</f>
        <v>Bachelor</v>
      </c>
      <c r="AF851" t="str" cm="1">
        <f t="array" ref="AF851">_xlfn.IFS(J851=1,"Low",J851=2,"Medium",J851=3,"High",J851=4,"Very High")</f>
        <v>Low</v>
      </c>
      <c r="AG851" t="str" cm="1">
        <f t="array" ref="AG851">_xlfn.IFS(L851=1,"Low",L851=2,"Medium",L851=3,"High",L851=4,"Very High")</f>
        <v>Low</v>
      </c>
      <c r="AH851" t="str" cm="1">
        <f t="array" ref="AH851">_xlfn.IFS(M851=1,"Junior employee",M851=2,"Mid-level",M851=3,"Senior",M851=4,"Manager",M851=5,"Executive")</f>
        <v>Mid-level</v>
      </c>
      <c r="AI851" t="str" cm="1">
        <f t="array" ref="AI851">_xlfn.IFS(O851=1,"Low",O851=2,"Medium",O851=3,"High",O851=4,"Very High")</f>
        <v>High</v>
      </c>
      <c r="AJ851" t="str" cm="1">
        <f t="array" ref="AJ851">_xlfn.IFS(U851=1,"Low",U851=2,"Good",U851=3,"Excellent",U851=4,"Outstanding")</f>
        <v>Excellent</v>
      </c>
      <c r="AK851" t="str" cm="1">
        <f t="array" ref="AK851">_xlfn.IFS(V851=1,"Low",V851=2,"Medium",V851=3,"High",V851=4,"Very High")</f>
        <v>Medium</v>
      </c>
      <c r="AL851" t="str" cm="1">
        <f t="array" ref="AL851">_xlfn.IFS(Z851=1,"Bad",Z851=2,"Good",Z851=3,"Better",Z851=4,"Best")</f>
        <v>Good</v>
      </c>
      <c r="AM851" t="str" cm="1">
        <f t="array" ref="AM851">_xlfn.IFS(W851=0,"No_stock",W851=1,"Low",W851=2,"Medium",W851=3,"High")</f>
        <v>No_stock</v>
      </c>
      <c r="AN851" t="str">
        <f t="shared" si="13"/>
        <v>Medium</v>
      </c>
    </row>
    <row r="852" spans="1:40" x14ac:dyDescent="0.45">
      <c r="A852">
        <v>32</v>
      </c>
      <c r="B852" t="s">
        <v>37</v>
      </c>
      <c r="C852" t="s">
        <v>49</v>
      </c>
      <c r="D852">
        <v>862</v>
      </c>
      <c r="E852" t="s">
        <v>32</v>
      </c>
      <c r="F852">
        <v>2</v>
      </c>
      <c r="G852">
        <v>1</v>
      </c>
      <c r="H852" t="s">
        <v>33</v>
      </c>
      <c r="I852">
        <v>1190</v>
      </c>
      <c r="J852">
        <v>3</v>
      </c>
      <c r="K852" t="s">
        <v>34</v>
      </c>
      <c r="L852">
        <v>3</v>
      </c>
      <c r="M852">
        <v>1</v>
      </c>
      <c r="N852" t="s">
        <v>51</v>
      </c>
      <c r="O852">
        <v>1</v>
      </c>
      <c r="P852" t="s">
        <v>46</v>
      </c>
      <c r="Q852">
        <v>2827</v>
      </c>
      <c r="R852">
        <v>1</v>
      </c>
      <c r="S852" t="s">
        <v>37</v>
      </c>
      <c r="T852">
        <v>12</v>
      </c>
      <c r="U852">
        <v>3</v>
      </c>
      <c r="V852">
        <v>3</v>
      </c>
      <c r="W852">
        <v>3</v>
      </c>
      <c r="X852">
        <v>1</v>
      </c>
      <c r="Y852">
        <v>3</v>
      </c>
      <c r="Z852">
        <v>3</v>
      </c>
      <c r="AA852">
        <v>1</v>
      </c>
      <c r="AB852">
        <v>0</v>
      </c>
      <c r="AC852">
        <v>0</v>
      </c>
      <c r="AD852">
        <v>0</v>
      </c>
      <c r="AE852" t="str" cm="1">
        <f t="array" ref="AE852">_xlfn.IFS(G852=1,"Before College",G852=2,"College",G852=3,"Bachelor",G852=4,"Master",G852=5,"Doctor")</f>
        <v>Before College</v>
      </c>
      <c r="AF852" t="str" cm="1">
        <f t="array" ref="AF852">_xlfn.IFS(J852=1,"Low",J852=2,"Medium",J852=3,"High",J852=4,"Very High")</f>
        <v>High</v>
      </c>
      <c r="AG852" t="str" cm="1">
        <f t="array" ref="AG852">_xlfn.IFS(L852=1,"Low",L852=2,"Medium",L852=3,"High",L852=4,"Very High")</f>
        <v>High</v>
      </c>
      <c r="AH852" t="str" cm="1">
        <f t="array" ref="AH852">_xlfn.IFS(M852=1,"Junior employee",M852=2,"Mid-level",M852=3,"Senior",M852=4,"Manager",M852=5,"Executive")</f>
        <v>Junior employee</v>
      </c>
      <c r="AI852" t="str" cm="1">
        <f t="array" ref="AI852">_xlfn.IFS(O852=1,"Low",O852=2,"Medium",O852=3,"High",O852=4,"Very High")</f>
        <v>Low</v>
      </c>
      <c r="AJ852" t="str" cm="1">
        <f t="array" ref="AJ852">_xlfn.IFS(U852=1,"Low",U852=2,"Good",U852=3,"Excellent",U852=4,"Outstanding")</f>
        <v>Excellent</v>
      </c>
      <c r="AK852" t="str" cm="1">
        <f t="array" ref="AK852">_xlfn.IFS(V852=1,"Low",V852=2,"Medium",V852=3,"High",V852=4,"Very High")</f>
        <v>High</v>
      </c>
      <c r="AL852" t="str" cm="1">
        <f t="array" ref="AL852">_xlfn.IFS(Z852=1,"Bad",Z852=2,"Good",Z852=3,"Better",Z852=4,"Best")</f>
        <v>Better</v>
      </c>
      <c r="AM852" t="str" cm="1">
        <f t="array" ref="AM852">_xlfn.IFS(W852=0,"No_stock",W852=1,"Low",W852=2,"Medium",W852=3,"High")</f>
        <v>High</v>
      </c>
      <c r="AN852" t="str">
        <f t="shared" si="13"/>
        <v>Near</v>
      </c>
    </row>
    <row r="853" spans="1:40" x14ac:dyDescent="0.45">
      <c r="A853">
        <v>56</v>
      </c>
      <c r="B853" t="s">
        <v>37</v>
      </c>
      <c r="C853" t="s">
        <v>31</v>
      </c>
      <c r="D853">
        <v>718</v>
      </c>
      <c r="E853" t="s">
        <v>39</v>
      </c>
      <c r="F853">
        <v>4</v>
      </c>
      <c r="G853">
        <v>4</v>
      </c>
      <c r="H853" t="s">
        <v>54</v>
      </c>
      <c r="I853">
        <v>1191</v>
      </c>
      <c r="J853">
        <v>4</v>
      </c>
      <c r="K853" t="s">
        <v>34</v>
      </c>
      <c r="L853">
        <v>3</v>
      </c>
      <c r="M853">
        <v>5</v>
      </c>
      <c r="N853" t="s">
        <v>50</v>
      </c>
      <c r="O853">
        <v>1</v>
      </c>
      <c r="P853" t="s">
        <v>46</v>
      </c>
      <c r="Q853">
        <v>19943</v>
      </c>
      <c r="R853">
        <v>4</v>
      </c>
      <c r="S853" t="s">
        <v>37</v>
      </c>
      <c r="T853">
        <v>13</v>
      </c>
      <c r="U853">
        <v>3</v>
      </c>
      <c r="V853">
        <v>4</v>
      </c>
      <c r="W853">
        <v>1</v>
      </c>
      <c r="X853">
        <v>28</v>
      </c>
      <c r="Y853">
        <v>2</v>
      </c>
      <c r="Z853">
        <v>3</v>
      </c>
      <c r="AA853">
        <v>5</v>
      </c>
      <c r="AB853">
        <v>2</v>
      </c>
      <c r="AC853">
        <v>4</v>
      </c>
      <c r="AD853">
        <v>2</v>
      </c>
      <c r="AE853" t="str" cm="1">
        <f t="array" ref="AE853">_xlfn.IFS(G853=1,"Before College",G853=2,"College",G853=3,"Bachelor",G853=4,"Master",G853=5,"Doctor")</f>
        <v>Master</v>
      </c>
      <c r="AF853" t="str" cm="1">
        <f t="array" ref="AF853">_xlfn.IFS(J853=1,"Low",J853=2,"Medium",J853=3,"High",J853=4,"Very High")</f>
        <v>Very High</v>
      </c>
      <c r="AG853" t="str" cm="1">
        <f t="array" ref="AG853">_xlfn.IFS(L853=1,"Low",L853=2,"Medium",L853=3,"High",L853=4,"Very High")</f>
        <v>High</v>
      </c>
      <c r="AH853" t="str" cm="1">
        <f t="array" ref="AH853">_xlfn.IFS(M853=1,"Junior employee",M853=2,"Mid-level",M853=3,"Senior",M853=4,"Manager",M853=5,"Executive")</f>
        <v>Executive</v>
      </c>
      <c r="AI853" t="str" cm="1">
        <f t="array" ref="AI853">_xlfn.IFS(O853=1,"Low",O853=2,"Medium",O853=3,"High",O853=4,"Very High")</f>
        <v>Low</v>
      </c>
      <c r="AJ853" t="str" cm="1">
        <f t="array" ref="AJ853">_xlfn.IFS(U853=1,"Low",U853=2,"Good",U853=3,"Excellent",U853=4,"Outstanding")</f>
        <v>Excellent</v>
      </c>
      <c r="AK853" t="str" cm="1">
        <f t="array" ref="AK853">_xlfn.IFS(V853=1,"Low",V853=2,"Medium",V853=3,"High",V853=4,"Very High")</f>
        <v>Very High</v>
      </c>
      <c r="AL853" t="str" cm="1">
        <f t="array" ref="AL853">_xlfn.IFS(Z853=1,"Bad",Z853=2,"Good",Z853=3,"Better",Z853=4,"Best")</f>
        <v>Better</v>
      </c>
      <c r="AM853" t="str" cm="1">
        <f t="array" ref="AM853">_xlfn.IFS(W853=0,"No_stock",W853=1,"Low",W853=2,"Medium",W853=3,"High")</f>
        <v>Low</v>
      </c>
      <c r="AN853" t="str">
        <f t="shared" si="13"/>
        <v>Near</v>
      </c>
    </row>
    <row r="854" spans="1:40" x14ac:dyDescent="0.45">
      <c r="A854">
        <v>29</v>
      </c>
      <c r="B854" t="s">
        <v>37</v>
      </c>
      <c r="C854" t="s">
        <v>31</v>
      </c>
      <c r="D854">
        <v>1401</v>
      </c>
      <c r="E854" t="s">
        <v>39</v>
      </c>
      <c r="F854">
        <v>6</v>
      </c>
      <c r="G854">
        <v>1</v>
      </c>
      <c r="H854" t="s">
        <v>45</v>
      </c>
      <c r="I854">
        <v>1192</v>
      </c>
      <c r="J854">
        <v>2</v>
      </c>
      <c r="K854" t="s">
        <v>34</v>
      </c>
      <c r="L854">
        <v>3</v>
      </c>
      <c r="M854">
        <v>1</v>
      </c>
      <c r="N854" t="s">
        <v>44</v>
      </c>
      <c r="O854">
        <v>4</v>
      </c>
      <c r="P854" t="s">
        <v>42</v>
      </c>
      <c r="Q854">
        <v>3131</v>
      </c>
      <c r="R854">
        <v>1</v>
      </c>
      <c r="S854" t="s">
        <v>37</v>
      </c>
      <c r="T854">
        <v>13</v>
      </c>
      <c r="U854">
        <v>3</v>
      </c>
      <c r="V854">
        <v>1</v>
      </c>
      <c r="W854">
        <v>1</v>
      </c>
      <c r="X854">
        <v>10</v>
      </c>
      <c r="Y854">
        <v>5</v>
      </c>
      <c r="Z854">
        <v>3</v>
      </c>
      <c r="AA854">
        <v>10</v>
      </c>
      <c r="AB854">
        <v>8</v>
      </c>
      <c r="AC854">
        <v>0</v>
      </c>
      <c r="AD854">
        <v>8</v>
      </c>
      <c r="AE854" t="str" cm="1">
        <f t="array" ref="AE854">_xlfn.IFS(G854=1,"Before College",G854=2,"College",G854=3,"Bachelor",G854=4,"Master",G854=5,"Doctor")</f>
        <v>Before College</v>
      </c>
      <c r="AF854" t="str" cm="1">
        <f t="array" ref="AF854">_xlfn.IFS(J854=1,"Low",J854=2,"Medium",J854=3,"High",J854=4,"Very High")</f>
        <v>Medium</v>
      </c>
      <c r="AG854" t="str" cm="1">
        <f t="array" ref="AG854">_xlfn.IFS(L854=1,"Low",L854=2,"Medium",L854=3,"High",L854=4,"Very High")</f>
        <v>High</v>
      </c>
      <c r="AH854" t="str" cm="1">
        <f t="array" ref="AH854">_xlfn.IFS(M854=1,"Junior employee",M854=2,"Mid-level",M854=3,"Senior",M854=4,"Manager",M854=5,"Executive")</f>
        <v>Junior employee</v>
      </c>
      <c r="AI854" t="str" cm="1">
        <f t="array" ref="AI854">_xlfn.IFS(O854=1,"Low",O854=2,"Medium",O854=3,"High",O854=4,"Very High")</f>
        <v>Very High</v>
      </c>
      <c r="AJ854" t="str" cm="1">
        <f t="array" ref="AJ854">_xlfn.IFS(U854=1,"Low",U854=2,"Good",U854=3,"Excellent",U854=4,"Outstanding")</f>
        <v>Excellent</v>
      </c>
      <c r="AK854" t="str" cm="1">
        <f t="array" ref="AK854">_xlfn.IFS(V854=1,"Low",V854=2,"Medium",V854=3,"High",V854=4,"Very High")</f>
        <v>Low</v>
      </c>
      <c r="AL854" t="str" cm="1">
        <f t="array" ref="AL854">_xlfn.IFS(Z854=1,"Bad",Z854=2,"Good",Z854=3,"Better",Z854=4,"Best")</f>
        <v>Better</v>
      </c>
      <c r="AM854" t="str" cm="1">
        <f t="array" ref="AM854">_xlfn.IFS(W854=0,"No_stock",W854=1,"Low",W854=2,"Medium",W854=3,"High")</f>
        <v>Low</v>
      </c>
      <c r="AN854" t="str">
        <f t="shared" si="13"/>
        <v>Medium</v>
      </c>
    </row>
    <row r="855" spans="1:40" x14ac:dyDescent="0.45">
      <c r="A855">
        <v>19</v>
      </c>
      <c r="B855" t="s">
        <v>37</v>
      </c>
      <c r="C855" t="s">
        <v>31</v>
      </c>
      <c r="D855">
        <v>645</v>
      </c>
      <c r="E855" t="s">
        <v>39</v>
      </c>
      <c r="F855">
        <v>9</v>
      </c>
      <c r="G855">
        <v>2</v>
      </c>
      <c r="H855" t="s">
        <v>33</v>
      </c>
      <c r="I855">
        <v>1193</v>
      </c>
      <c r="J855">
        <v>3</v>
      </c>
      <c r="K855" t="s">
        <v>40</v>
      </c>
      <c r="L855">
        <v>3</v>
      </c>
      <c r="M855">
        <v>1</v>
      </c>
      <c r="N855" t="s">
        <v>41</v>
      </c>
      <c r="O855">
        <v>1</v>
      </c>
      <c r="P855" t="s">
        <v>36</v>
      </c>
      <c r="Q855">
        <v>2552</v>
      </c>
      <c r="R855">
        <v>1</v>
      </c>
      <c r="S855" t="s">
        <v>37</v>
      </c>
      <c r="T855">
        <v>25</v>
      </c>
      <c r="U855">
        <v>4</v>
      </c>
      <c r="V855">
        <v>3</v>
      </c>
      <c r="W855">
        <v>0</v>
      </c>
      <c r="X855">
        <v>1</v>
      </c>
      <c r="Y855">
        <v>4</v>
      </c>
      <c r="Z855">
        <v>3</v>
      </c>
      <c r="AA855">
        <v>1</v>
      </c>
      <c r="AB855">
        <v>1</v>
      </c>
      <c r="AC855">
        <v>0</v>
      </c>
      <c r="AD855">
        <v>0</v>
      </c>
      <c r="AE855" t="str" cm="1">
        <f t="array" ref="AE855">_xlfn.IFS(G855=1,"Before College",G855=2,"College",G855=3,"Bachelor",G855=4,"Master",G855=5,"Doctor")</f>
        <v>College</v>
      </c>
      <c r="AF855" t="str" cm="1">
        <f t="array" ref="AF855">_xlfn.IFS(J855=1,"Low",J855=2,"Medium",J855=3,"High",J855=4,"Very High")</f>
        <v>High</v>
      </c>
      <c r="AG855" t="str" cm="1">
        <f t="array" ref="AG855">_xlfn.IFS(L855=1,"Low",L855=2,"Medium",L855=3,"High",L855=4,"Very High")</f>
        <v>High</v>
      </c>
      <c r="AH855" t="str" cm="1">
        <f t="array" ref="AH855">_xlfn.IFS(M855=1,"Junior employee",M855=2,"Mid-level",M855=3,"Senior",M855=4,"Manager",M855=5,"Executive")</f>
        <v>Junior employee</v>
      </c>
      <c r="AI855" t="str" cm="1">
        <f t="array" ref="AI855">_xlfn.IFS(O855=1,"Low",O855=2,"Medium",O855=3,"High",O855=4,"Very High")</f>
        <v>Low</v>
      </c>
      <c r="AJ855" t="str" cm="1">
        <f t="array" ref="AJ855">_xlfn.IFS(U855=1,"Low",U855=2,"Good",U855=3,"Excellent",U855=4,"Outstanding")</f>
        <v>Outstanding</v>
      </c>
      <c r="AK855" t="str" cm="1">
        <f t="array" ref="AK855">_xlfn.IFS(V855=1,"Low",V855=2,"Medium",V855=3,"High",V855=4,"Very High")</f>
        <v>High</v>
      </c>
      <c r="AL855" t="str" cm="1">
        <f t="array" ref="AL855">_xlfn.IFS(Z855=1,"Bad",Z855=2,"Good",Z855=3,"Better",Z855=4,"Best")</f>
        <v>Better</v>
      </c>
      <c r="AM855" t="str" cm="1">
        <f t="array" ref="AM855">_xlfn.IFS(W855=0,"No_stock",W855=1,"Low",W855=2,"Medium",W855=3,"High")</f>
        <v>No_stock</v>
      </c>
      <c r="AN855" t="str">
        <f t="shared" si="13"/>
        <v>Medium</v>
      </c>
    </row>
    <row r="856" spans="1:40" x14ac:dyDescent="0.45">
      <c r="A856">
        <v>45</v>
      </c>
      <c r="B856" t="s">
        <v>37</v>
      </c>
      <c r="C856" t="s">
        <v>31</v>
      </c>
      <c r="D856">
        <v>1457</v>
      </c>
      <c r="E856" t="s">
        <v>39</v>
      </c>
      <c r="F856">
        <v>7</v>
      </c>
      <c r="G856">
        <v>3</v>
      </c>
      <c r="H856" t="s">
        <v>45</v>
      </c>
      <c r="I856">
        <v>1195</v>
      </c>
      <c r="J856">
        <v>1</v>
      </c>
      <c r="K856" t="s">
        <v>34</v>
      </c>
      <c r="L856">
        <v>3</v>
      </c>
      <c r="M856">
        <v>1</v>
      </c>
      <c r="N856" t="s">
        <v>41</v>
      </c>
      <c r="O856">
        <v>3</v>
      </c>
      <c r="P856" t="s">
        <v>42</v>
      </c>
      <c r="Q856">
        <v>4477</v>
      </c>
      <c r="R856">
        <v>4</v>
      </c>
      <c r="S856" t="s">
        <v>30</v>
      </c>
      <c r="T856">
        <v>19</v>
      </c>
      <c r="U856">
        <v>3</v>
      </c>
      <c r="V856">
        <v>3</v>
      </c>
      <c r="W856">
        <v>1</v>
      </c>
      <c r="X856">
        <v>7</v>
      </c>
      <c r="Y856">
        <v>2</v>
      </c>
      <c r="Z856">
        <v>2</v>
      </c>
      <c r="AA856">
        <v>3</v>
      </c>
      <c r="AB856">
        <v>2</v>
      </c>
      <c r="AC856">
        <v>0</v>
      </c>
      <c r="AD856">
        <v>2</v>
      </c>
      <c r="AE856" t="str" cm="1">
        <f t="array" ref="AE856">_xlfn.IFS(G856=1,"Before College",G856=2,"College",G856=3,"Bachelor",G856=4,"Master",G856=5,"Doctor")</f>
        <v>Bachelor</v>
      </c>
      <c r="AF856" t="str" cm="1">
        <f t="array" ref="AF856">_xlfn.IFS(J856=1,"Low",J856=2,"Medium",J856=3,"High",J856=4,"Very High")</f>
        <v>Low</v>
      </c>
      <c r="AG856" t="str" cm="1">
        <f t="array" ref="AG856">_xlfn.IFS(L856=1,"Low",L856=2,"Medium",L856=3,"High",L856=4,"Very High")</f>
        <v>High</v>
      </c>
      <c r="AH856" t="str" cm="1">
        <f t="array" ref="AH856">_xlfn.IFS(M856=1,"Junior employee",M856=2,"Mid-level",M856=3,"Senior",M856=4,"Manager",M856=5,"Executive")</f>
        <v>Junior employee</v>
      </c>
      <c r="AI856" t="str" cm="1">
        <f t="array" ref="AI856">_xlfn.IFS(O856=1,"Low",O856=2,"Medium",O856=3,"High",O856=4,"Very High")</f>
        <v>High</v>
      </c>
      <c r="AJ856" t="str" cm="1">
        <f t="array" ref="AJ856">_xlfn.IFS(U856=1,"Low",U856=2,"Good",U856=3,"Excellent",U856=4,"Outstanding")</f>
        <v>Excellent</v>
      </c>
      <c r="AK856" t="str" cm="1">
        <f t="array" ref="AK856">_xlfn.IFS(V856=1,"Low",V856=2,"Medium",V856=3,"High",V856=4,"Very High")</f>
        <v>High</v>
      </c>
      <c r="AL856" t="str" cm="1">
        <f t="array" ref="AL856">_xlfn.IFS(Z856=1,"Bad",Z856=2,"Good",Z856=3,"Better",Z856=4,"Best")</f>
        <v>Good</v>
      </c>
      <c r="AM856" t="str" cm="1">
        <f t="array" ref="AM856">_xlfn.IFS(W856=0,"No_stock",W856=1,"Low",W856=2,"Medium",W856=3,"High")</f>
        <v>Low</v>
      </c>
      <c r="AN856" t="str">
        <f t="shared" si="13"/>
        <v>Medium</v>
      </c>
    </row>
    <row r="857" spans="1:40" x14ac:dyDescent="0.45">
      <c r="A857">
        <v>37</v>
      </c>
      <c r="B857" t="s">
        <v>37</v>
      </c>
      <c r="C857" t="s">
        <v>31</v>
      </c>
      <c r="D857">
        <v>977</v>
      </c>
      <c r="E857" t="s">
        <v>39</v>
      </c>
      <c r="F857">
        <v>1</v>
      </c>
      <c r="G857">
        <v>3</v>
      </c>
      <c r="H857" t="s">
        <v>33</v>
      </c>
      <c r="I857">
        <v>1196</v>
      </c>
      <c r="J857">
        <v>4</v>
      </c>
      <c r="K857" t="s">
        <v>34</v>
      </c>
      <c r="L857">
        <v>2</v>
      </c>
      <c r="M857">
        <v>2</v>
      </c>
      <c r="N857" t="s">
        <v>47</v>
      </c>
      <c r="O857">
        <v>4</v>
      </c>
      <c r="P857" t="s">
        <v>42</v>
      </c>
      <c r="Q857">
        <v>6474</v>
      </c>
      <c r="R857">
        <v>1</v>
      </c>
      <c r="S857" t="s">
        <v>37</v>
      </c>
      <c r="T857">
        <v>13</v>
      </c>
      <c r="U857">
        <v>3</v>
      </c>
      <c r="V857">
        <v>2</v>
      </c>
      <c r="W857">
        <v>1</v>
      </c>
      <c r="X857">
        <v>14</v>
      </c>
      <c r="Y857">
        <v>2</v>
      </c>
      <c r="Z857">
        <v>2</v>
      </c>
      <c r="AA857">
        <v>14</v>
      </c>
      <c r="AB857">
        <v>8</v>
      </c>
      <c r="AC857">
        <v>3</v>
      </c>
      <c r="AD857">
        <v>11</v>
      </c>
      <c r="AE857" t="str" cm="1">
        <f t="array" ref="AE857">_xlfn.IFS(G857=1,"Before College",G857=2,"College",G857=3,"Bachelor",G857=4,"Master",G857=5,"Doctor")</f>
        <v>Bachelor</v>
      </c>
      <c r="AF857" t="str" cm="1">
        <f t="array" ref="AF857">_xlfn.IFS(J857=1,"Low",J857=2,"Medium",J857=3,"High",J857=4,"Very High")</f>
        <v>Very High</v>
      </c>
      <c r="AG857" t="str" cm="1">
        <f t="array" ref="AG857">_xlfn.IFS(L857=1,"Low",L857=2,"Medium",L857=3,"High",L857=4,"Very High")</f>
        <v>Medium</v>
      </c>
      <c r="AH857" t="str" cm="1">
        <f t="array" ref="AH857">_xlfn.IFS(M857=1,"Junior employee",M857=2,"Mid-level",M857=3,"Senior",M857=4,"Manager",M857=5,"Executive")</f>
        <v>Mid-level</v>
      </c>
      <c r="AI857" t="str" cm="1">
        <f t="array" ref="AI857">_xlfn.IFS(O857=1,"Low",O857=2,"Medium",O857=3,"High",O857=4,"Very High")</f>
        <v>Very High</v>
      </c>
      <c r="AJ857" t="str" cm="1">
        <f t="array" ref="AJ857">_xlfn.IFS(U857=1,"Low",U857=2,"Good",U857=3,"Excellent",U857=4,"Outstanding")</f>
        <v>Excellent</v>
      </c>
      <c r="AK857" t="str" cm="1">
        <f t="array" ref="AK857">_xlfn.IFS(V857=1,"Low",V857=2,"Medium",V857=3,"High",V857=4,"Very High")</f>
        <v>Medium</v>
      </c>
      <c r="AL857" t="str" cm="1">
        <f t="array" ref="AL857">_xlfn.IFS(Z857=1,"Bad",Z857=2,"Good",Z857=3,"Better",Z857=4,"Best")</f>
        <v>Good</v>
      </c>
      <c r="AM857" t="str" cm="1">
        <f t="array" ref="AM857">_xlfn.IFS(W857=0,"No_stock",W857=1,"Low",W857=2,"Medium",W857=3,"High")</f>
        <v>Low</v>
      </c>
      <c r="AN857" t="str">
        <f t="shared" si="13"/>
        <v>Near</v>
      </c>
    </row>
    <row r="858" spans="1:40" x14ac:dyDescent="0.45">
      <c r="A858">
        <v>20</v>
      </c>
      <c r="B858" t="s">
        <v>37</v>
      </c>
      <c r="C858" t="s">
        <v>31</v>
      </c>
      <c r="D858">
        <v>805</v>
      </c>
      <c r="E858" t="s">
        <v>39</v>
      </c>
      <c r="F858">
        <v>3</v>
      </c>
      <c r="G858">
        <v>3</v>
      </c>
      <c r="H858" t="s">
        <v>33</v>
      </c>
      <c r="I858">
        <v>1198</v>
      </c>
      <c r="J858">
        <v>1</v>
      </c>
      <c r="K858" t="s">
        <v>40</v>
      </c>
      <c r="L858">
        <v>2</v>
      </c>
      <c r="M858">
        <v>1</v>
      </c>
      <c r="N858" t="s">
        <v>44</v>
      </c>
      <c r="O858">
        <v>3</v>
      </c>
      <c r="P858" t="s">
        <v>36</v>
      </c>
      <c r="Q858">
        <v>3033</v>
      </c>
      <c r="R858">
        <v>1</v>
      </c>
      <c r="S858" t="s">
        <v>37</v>
      </c>
      <c r="T858">
        <v>12</v>
      </c>
      <c r="U858">
        <v>3</v>
      </c>
      <c r="V858">
        <v>1</v>
      </c>
      <c r="W858">
        <v>0</v>
      </c>
      <c r="X858">
        <v>2</v>
      </c>
      <c r="Y858">
        <v>2</v>
      </c>
      <c r="Z858">
        <v>2</v>
      </c>
      <c r="AA858">
        <v>2</v>
      </c>
      <c r="AB858">
        <v>2</v>
      </c>
      <c r="AC858">
        <v>1</v>
      </c>
      <c r="AD858">
        <v>2</v>
      </c>
      <c r="AE858" t="str" cm="1">
        <f t="array" ref="AE858">_xlfn.IFS(G858=1,"Before College",G858=2,"College",G858=3,"Bachelor",G858=4,"Master",G858=5,"Doctor")</f>
        <v>Bachelor</v>
      </c>
      <c r="AF858" t="str" cm="1">
        <f t="array" ref="AF858">_xlfn.IFS(J858=1,"Low",J858=2,"Medium",J858=3,"High",J858=4,"Very High")</f>
        <v>Low</v>
      </c>
      <c r="AG858" t="str" cm="1">
        <f t="array" ref="AG858">_xlfn.IFS(L858=1,"Low",L858=2,"Medium",L858=3,"High",L858=4,"Very High")</f>
        <v>Medium</v>
      </c>
      <c r="AH858" t="str" cm="1">
        <f t="array" ref="AH858">_xlfn.IFS(M858=1,"Junior employee",M858=2,"Mid-level",M858=3,"Senior",M858=4,"Manager",M858=5,"Executive")</f>
        <v>Junior employee</v>
      </c>
      <c r="AI858" t="str" cm="1">
        <f t="array" ref="AI858">_xlfn.IFS(O858=1,"Low",O858=2,"Medium",O858=3,"High",O858=4,"Very High")</f>
        <v>High</v>
      </c>
      <c r="AJ858" t="str" cm="1">
        <f t="array" ref="AJ858">_xlfn.IFS(U858=1,"Low",U858=2,"Good",U858=3,"Excellent",U858=4,"Outstanding")</f>
        <v>Excellent</v>
      </c>
      <c r="AK858" t="str" cm="1">
        <f t="array" ref="AK858">_xlfn.IFS(V858=1,"Low",V858=2,"Medium",V858=3,"High",V858=4,"Very High")</f>
        <v>Low</v>
      </c>
      <c r="AL858" t="str" cm="1">
        <f t="array" ref="AL858">_xlfn.IFS(Z858=1,"Bad",Z858=2,"Good",Z858=3,"Better",Z858=4,"Best")</f>
        <v>Good</v>
      </c>
      <c r="AM858" t="str" cm="1">
        <f t="array" ref="AM858">_xlfn.IFS(W858=0,"No_stock",W858=1,"Low",W858=2,"Medium",W858=3,"High")</f>
        <v>No_stock</v>
      </c>
      <c r="AN858" t="str">
        <f t="shared" si="13"/>
        <v>Near</v>
      </c>
    </row>
    <row r="859" spans="1:40" x14ac:dyDescent="0.45">
      <c r="A859">
        <v>44</v>
      </c>
      <c r="B859" t="s">
        <v>30</v>
      </c>
      <c r="C859" t="s">
        <v>31</v>
      </c>
      <c r="D859">
        <v>1097</v>
      </c>
      <c r="E859" t="s">
        <v>39</v>
      </c>
      <c r="F859">
        <v>10</v>
      </c>
      <c r="G859">
        <v>4</v>
      </c>
      <c r="H859" t="s">
        <v>33</v>
      </c>
      <c r="I859">
        <v>1200</v>
      </c>
      <c r="J859">
        <v>3</v>
      </c>
      <c r="K859" t="s">
        <v>40</v>
      </c>
      <c r="L859">
        <v>3</v>
      </c>
      <c r="M859">
        <v>1</v>
      </c>
      <c r="N859" t="s">
        <v>41</v>
      </c>
      <c r="O859">
        <v>3</v>
      </c>
      <c r="P859" t="s">
        <v>36</v>
      </c>
      <c r="Q859">
        <v>2936</v>
      </c>
      <c r="R859">
        <v>1</v>
      </c>
      <c r="S859" t="s">
        <v>30</v>
      </c>
      <c r="T859">
        <v>11</v>
      </c>
      <c r="U859">
        <v>3</v>
      </c>
      <c r="V859">
        <v>3</v>
      </c>
      <c r="W859">
        <v>0</v>
      </c>
      <c r="X859">
        <v>6</v>
      </c>
      <c r="Y859">
        <v>4</v>
      </c>
      <c r="Z859">
        <v>3</v>
      </c>
      <c r="AA859">
        <v>6</v>
      </c>
      <c r="AB859">
        <v>4</v>
      </c>
      <c r="AC859">
        <v>0</v>
      </c>
      <c r="AD859">
        <v>2</v>
      </c>
      <c r="AE859" t="str" cm="1">
        <f t="array" ref="AE859">_xlfn.IFS(G859=1,"Before College",G859=2,"College",G859=3,"Bachelor",G859=4,"Master",G859=5,"Doctor")</f>
        <v>Master</v>
      </c>
      <c r="AF859" t="str" cm="1">
        <f t="array" ref="AF859">_xlfn.IFS(J859=1,"Low",J859=2,"Medium",J859=3,"High",J859=4,"Very High")</f>
        <v>High</v>
      </c>
      <c r="AG859" t="str" cm="1">
        <f t="array" ref="AG859">_xlfn.IFS(L859=1,"Low",L859=2,"Medium",L859=3,"High",L859=4,"Very High")</f>
        <v>High</v>
      </c>
      <c r="AH859" t="str" cm="1">
        <f t="array" ref="AH859">_xlfn.IFS(M859=1,"Junior employee",M859=2,"Mid-level",M859=3,"Senior",M859=4,"Manager",M859=5,"Executive")</f>
        <v>Junior employee</v>
      </c>
      <c r="AI859" t="str" cm="1">
        <f t="array" ref="AI859">_xlfn.IFS(O859=1,"Low",O859=2,"Medium",O859=3,"High",O859=4,"Very High")</f>
        <v>High</v>
      </c>
      <c r="AJ859" t="str" cm="1">
        <f t="array" ref="AJ859">_xlfn.IFS(U859=1,"Low",U859=2,"Good",U859=3,"Excellent",U859=4,"Outstanding")</f>
        <v>Excellent</v>
      </c>
      <c r="AK859" t="str" cm="1">
        <f t="array" ref="AK859">_xlfn.IFS(V859=1,"Low",V859=2,"Medium",V859=3,"High",V859=4,"Very High")</f>
        <v>High</v>
      </c>
      <c r="AL859" t="str" cm="1">
        <f t="array" ref="AL859">_xlfn.IFS(Z859=1,"Bad",Z859=2,"Good",Z859=3,"Better",Z859=4,"Best")</f>
        <v>Better</v>
      </c>
      <c r="AM859" t="str" cm="1">
        <f t="array" ref="AM859">_xlfn.IFS(W859=0,"No_stock",W859=1,"Low",W859=2,"Medium",W859=3,"High")</f>
        <v>No_stock</v>
      </c>
      <c r="AN859" t="str">
        <f t="shared" si="13"/>
        <v>Medium</v>
      </c>
    </row>
    <row r="860" spans="1:40" x14ac:dyDescent="0.45">
      <c r="A860">
        <v>53</v>
      </c>
      <c r="B860" t="s">
        <v>37</v>
      </c>
      <c r="C860" t="s">
        <v>31</v>
      </c>
      <c r="D860">
        <v>1223</v>
      </c>
      <c r="E860" t="s">
        <v>39</v>
      </c>
      <c r="F860">
        <v>7</v>
      </c>
      <c r="G860">
        <v>2</v>
      </c>
      <c r="H860" t="s">
        <v>45</v>
      </c>
      <c r="I860">
        <v>1201</v>
      </c>
      <c r="J860">
        <v>4</v>
      </c>
      <c r="K860" t="s">
        <v>34</v>
      </c>
      <c r="L860">
        <v>3</v>
      </c>
      <c r="M860">
        <v>5</v>
      </c>
      <c r="N860" t="s">
        <v>50</v>
      </c>
      <c r="O860">
        <v>3</v>
      </c>
      <c r="P860" t="s">
        <v>46</v>
      </c>
      <c r="Q860">
        <v>18606</v>
      </c>
      <c r="R860">
        <v>3</v>
      </c>
      <c r="S860" t="s">
        <v>37</v>
      </c>
      <c r="T860">
        <v>18</v>
      </c>
      <c r="U860">
        <v>3</v>
      </c>
      <c r="V860">
        <v>2</v>
      </c>
      <c r="W860">
        <v>1</v>
      </c>
      <c r="X860">
        <v>26</v>
      </c>
      <c r="Y860">
        <v>6</v>
      </c>
      <c r="Z860">
        <v>3</v>
      </c>
      <c r="AA860">
        <v>7</v>
      </c>
      <c r="AB860">
        <v>7</v>
      </c>
      <c r="AC860">
        <v>4</v>
      </c>
      <c r="AD860">
        <v>7</v>
      </c>
      <c r="AE860" t="str" cm="1">
        <f t="array" ref="AE860">_xlfn.IFS(G860=1,"Before College",G860=2,"College",G860=3,"Bachelor",G860=4,"Master",G860=5,"Doctor")</f>
        <v>College</v>
      </c>
      <c r="AF860" t="str" cm="1">
        <f t="array" ref="AF860">_xlfn.IFS(J860=1,"Low",J860=2,"Medium",J860=3,"High",J860=4,"Very High")</f>
        <v>Very High</v>
      </c>
      <c r="AG860" t="str" cm="1">
        <f t="array" ref="AG860">_xlfn.IFS(L860=1,"Low",L860=2,"Medium",L860=3,"High",L860=4,"Very High")</f>
        <v>High</v>
      </c>
      <c r="AH860" t="str" cm="1">
        <f t="array" ref="AH860">_xlfn.IFS(M860=1,"Junior employee",M860=2,"Mid-level",M860=3,"Senior",M860=4,"Manager",M860=5,"Executive")</f>
        <v>Executive</v>
      </c>
      <c r="AI860" t="str" cm="1">
        <f t="array" ref="AI860">_xlfn.IFS(O860=1,"Low",O860=2,"Medium",O860=3,"High",O860=4,"Very High")</f>
        <v>High</v>
      </c>
      <c r="AJ860" t="str" cm="1">
        <f t="array" ref="AJ860">_xlfn.IFS(U860=1,"Low",U860=2,"Good",U860=3,"Excellent",U860=4,"Outstanding")</f>
        <v>Excellent</v>
      </c>
      <c r="AK860" t="str" cm="1">
        <f t="array" ref="AK860">_xlfn.IFS(V860=1,"Low",V860=2,"Medium",V860=3,"High",V860=4,"Very High")</f>
        <v>Medium</v>
      </c>
      <c r="AL860" t="str" cm="1">
        <f t="array" ref="AL860">_xlfn.IFS(Z860=1,"Bad",Z860=2,"Good",Z860=3,"Better",Z860=4,"Best")</f>
        <v>Better</v>
      </c>
      <c r="AM860" t="str" cm="1">
        <f t="array" ref="AM860">_xlfn.IFS(W860=0,"No_stock",W860=1,"Low",W860=2,"Medium",W860=3,"High")</f>
        <v>Low</v>
      </c>
      <c r="AN860" t="str">
        <f t="shared" si="13"/>
        <v>Medium</v>
      </c>
    </row>
    <row r="861" spans="1:40" x14ac:dyDescent="0.45">
      <c r="A861">
        <v>29</v>
      </c>
      <c r="B861" t="s">
        <v>37</v>
      </c>
      <c r="C861" t="s">
        <v>31</v>
      </c>
      <c r="D861">
        <v>942</v>
      </c>
      <c r="E861" t="s">
        <v>39</v>
      </c>
      <c r="F861">
        <v>15</v>
      </c>
      <c r="G861">
        <v>1</v>
      </c>
      <c r="H861" t="s">
        <v>33</v>
      </c>
      <c r="I861">
        <v>1202</v>
      </c>
      <c r="J861">
        <v>2</v>
      </c>
      <c r="K861" t="s">
        <v>34</v>
      </c>
      <c r="L861">
        <v>1</v>
      </c>
      <c r="M861">
        <v>1</v>
      </c>
      <c r="N861" t="s">
        <v>41</v>
      </c>
      <c r="O861">
        <v>4</v>
      </c>
      <c r="P861" t="s">
        <v>42</v>
      </c>
      <c r="Q861">
        <v>2168</v>
      </c>
      <c r="R861">
        <v>0</v>
      </c>
      <c r="S861" t="s">
        <v>30</v>
      </c>
      <c r="T861">
        <v>18</v>
      </c>
      <c r="U861">
        <v>3</v>
      </c>
      <c r="V861">
        <v>1</v>
      </c>
      <c r="W861">
        <v>1</v>
      </c>
      <c r="X861">
        <v>6</v>
      </c>
      <c r="Y861">
        <v>2</v>
      </c>
      <c r="Z861">
        <v>2</v>
      </c>
      <c r="AA861">
        <v>5</v>
      </c>
      <c r="AB861">
        <v>4</v>
      </c>
      <c r="AC861">
        <v>1</v>
      </c>
      <c r="AD861">
        <v>3</v>
      </c>
      <c r="AE861" t="str" cm="1">
        <f t="array" ref="AE861">_xlfn.IFS(G861=1,"Before College",G861=2,"College",G861=3,"Bachelor",G861=4,"Master",G861=5,"Doctor")</f>
        <v>Before College</v>
      </c>
      <c r="AF861" t="str" cm="1">
        <f t="array" ref="AF861">_xlfn.IFS(J861=1,"Low",J861=2,"Medium",J861=3,"High",J861=4,"Very High")</f>
        <v>Medium</v>
      </c>
      <c r="AG861" t="str" cm="1">
        <f t="array" ref="AG861">_xlfn.IFS(L861=1,"Low",L861=2,"Medium",L861=3,"High",L861=4,"Very High")</f>
        <v>Low</v>
      </c>
      <c r="AH861" t="str" cm="1">
        <f t="array" ref="AH861">_xlfn.IFS(M861=1,"Junior employee",M861=2,"Mid-level",M861=3,"Senior",M861=4,"Manager",M861=5,"Executive")</f>
        <v>Junior employee</v>
      </c>
      <c r="AI861" t="str" cm="1">
        <f t="array" ref="AI861">_xlfn.IFS(O861=1,"Low",O861=2,"Medium",O861=3,"High",O861=4,"Very High")</f>
        <v>Very High</v>
      </c>
      <c r="AJ861" t="str" cm="1">
        <f t="array" ref="AJ861">_xlfn.IFS(U861=1,"Low",U861=2,"Good",U861=3,"Excellent",U861=4,"Outstanding")</f>
        <v>Excellent</v>
      </c>
      <c r="AK861" t="str" cm="1">
        <f t="array" ref="AK861">_xlfn.IFS(V861=1,"Low",V861=2,"Medium",V861=3,"High",V861=4,"Very High")</f>
        <v>Low</v>
      </c>
      <c r="AL861" t="str" cm="1">
        <f t="array" ref="AL861">_xlfn.IFS(Z861=1,"Bad",Z861=2,"Good",Z861=3,"Better",Z861=4,"Best")</f>
        <v>Good</v>
      </c>
      <c r="AM861" t="str" cm="1">
        <f t="array" ref="AM861">_xlfn.IFS(W861=0,"No_stock",W861=1,"Low",W861=2,"Medium",W861=3,"High")</f>
        <v>Low</v>
      </c>
      <c r="AN861" t="str">
        <f t="shared" si="13"/>
        <v>Medium</v>
      </c>
    </row>
    <row r="862" spans="1:40" x14ac:dyDescent="0.45">
      <c r="A862">
        <v>22</v>
      </c>
      <c r="B862" t="s">
        <v>30</v>
      </c>
      <c r="C862" t="s">
        <v>38</v>
      </c>
      <c r="D862">
        <v>1256</v>
      </c>
      <c r="E862" t="s">
        <v>39</v>
      </c>
      <c r="F862">
        <v>3</v>
      </c>
      <c r="G862">
        <v>4</v>
      </c>
      <c r="H862" t="s">
        <v>33</v>
      </c>
      <c r="I862">
        <v>1203</v>
      </c>
      <c r="J862">
        <v>3</v>
      </c>
      <c r="K862" t="s">
        <v>40</v>
      </c>
      <c r="L862">
        <v>2</v>
      </c>
      <c r="M862">
        <v>1</v>
      </c>
      <c r="N862" t="s">
        <v>41</v>
      </c>
      <c r="O862">
        <v>4</v>
      </c>
      <c r="P862" t="s">
        <v>42</v>
      </c>
      <c r="Q862">
        <v>2853</v>
      </c>
      <c r="R862">
        <v>0</v>
      </c>
      <c r="S862" t="s">
        <v>30</v>
      </c>
      <c r="T862">
        <v>11</v>
      </c>
      <c r="U862">
        <v>3</v>
      </c>
      <c r="V862">
        <v>2</v>
      </c>
      <c r="W862">
        <v>1</v>
      </c>
      <c r="X862">
        <v>1</v>
      </c>
      <c r="Y862">
        <v>5</v>
      </c>
      <c r="Z862">
        <v>3</v>
      </c>
      <c r="AA862">
        <v>0</v>
      </c>
      <c r="AB862">
        <v>0</v>
      </c>
      <c r="AC862">
        <v>0</v>
      </c>
      <c r="AD862">
        <v>0</v>
      </c>
      <c r="AE862" t="str" cm="1">
        <f t="array" ref="AE862">_xlfn.IFS(G862=1,"Before College",G862=2,"College",G862=3,"Bachelor",G862=4,"Master",G862=5,"Doctor")</f>
        <v>Master</v>
      </c>
      <c r="AF862" t="str" cm="1">
        <f t="array" ref="AF862">_xlfn.IFS(J862=1,"Low",J862=2,"Medium",J862=3,"High",J862=4,"Very High")</f>
        <v>High</v>
      </c>
      <c r="AG862" t="str" cm="1">
        <f t="array" ref="AG862">_xlfn.IFS(L862=1,"Low",L862=2,"Medium",L862=3,"High",L862=4,"Very High")</f>
        <v>Medium</v>
      </c>
      <c r="AH862" t="str" cm="1">
        <f t="array" ref="AH862">_xlfn.IFS(M862=1,"Junior employee",M862=2,"Mid-level",M862=3,"Senior",M862=4,"Manager",M862=5,"Executive")</f>
        <v>Junior employee</v>
      </c>
      <c r="AI862" t="str" cm="1">
        <f t="array" ref="AI862">_xlfn.IFS(O862=1,"Low",O862=2,"Medium",O862=3,"High",O862=4,"Very High")</f>
        <v>Very High</v>
      </c>
      <c r="AJ862" t="str" cm="1">
        <f t="array" ref="AJ862">_xlfn.IFS(U862=1,"Low",U862=2,"Good",U862=3,"Excellent",U862=4,"Outstanding")</f>
        <v>Excellent</v>
      </c>
      <c r="AK862" t="str" cm="1">
        <f t="array" ref="AK862">_xlfn.IFS(V862=1,"Low",V862=2,"Medium",V862=3,"High",V862=4,"Very High")</f>
        <v>Medium</v>
      </c>
      <c r="AL862" t="str" cm="1">
        <f t="array" ref="AL862">_xlfn.IFS(Z862=1,"Bad",Z862=2,"Good",Z862=3,"Better",Z862=4,"Best")</f>
        <v>Better</v>
      </c>
      <c r="AM862" t="str" cm="1">
        <f t="array" ref="AM862">_xlfn.IFS(W862=0,"No_stock",W862=1,"Low",W862=2,"Medium",W862=3,"High")</f>
        <v>Low</v>
      </c>
      <c r="AN862" t="str">
        <f t="shared" si="13"/>
        <v>Near</v>
      </c>
    </row>
    <row r="863" spans="1:40" x14ac:dyDescent="0.45">
      <c r="A863">
        <v>46</v>
      </c>
      <c r="B863" t="s">
        <v>37</v>
      </c>
      <c r="C863" t="s">
        <v>31</v>
      </c>
      <c r="D863">
        <v>1402</v>
      </c>
      <c r="E863" t="s">
        <v>32</v>
      </c>
      <c r="F863">
        <v>2</v>
      </c>
      <c r="G863">
        <v>3</v>
      </c>
      <c r="H863" t="s">
        <v>53</v>
      </c>
      <c r="I863">
        <v>1204</v>
      </c>
      <c r="J863">
        <v>3</v>
      </c>
      <c r="K863" t="s">
        <v>34</v>
      </c>
      <c r="L863">
        <v>3</v>
      </c>
      <c r="M863">
        <v>4</v>
      </c>
      <c r="N863" t="s">
        <v>50</v>
      </c>
      <c r="O863">
        <v>1</v>
      </c>
      <c r="P863" t="s">
        <v>42</v>
      </c>
      <c r="Q863">
        <v>17048</v>
      </c>
      <c r="R863">
        <v>8</v>
      </c>
      <c r="S863" t="s">
        <v>37</v>
      </c>
      <c r="T863">
        <v>23</v>
      </c>
      <c r="U863">
        <v>4</v>
      </c>
      <c r="V863">
        <v>1</v>
      </c>
      <c r="W863">
        <v>0</v>
      </c>
      <c r="X863">
        <v>28</v>
      </c>
      <c r="Y863">
        <v>2</v>
      </c>
      <c r="Z863">
        <v>3</v>
      </c>
      <c r="AA863">
        <v>26</v>
      </c>
      <c r="AB863">
        <v>15</v>
      </c>
      <c r="AC863">
        <v>15</v>
      </c>
      <c r="AD863">
        <v>9</v>
      </c>
      <c r="AE863" t="str" cm="1">
        <f t="array" ref="AE863">_xlfn.IFS(G863=1,"Before College",G863=2,"College",G863=3,"Bachelor",G863=4,"Master",G863=5,"Doctor")</f>
        <v>Bachelor</v>
      </c>
      <c r="AF863" t="str" cm="1">
        <f t="array" ref="AF863">_xlfn.IFS(J863=1,"Low",J863=2,"Medium",J863=3,"High",J863=4,"Very High")</f>
        <v>High</v>
      </c>
      <c r="AG863" t="str" cm="1">
        <f t="array" ref="AG863">_xlfn.IFS(L863=1,"Low",L863=2,"Medium",L863=3,"High",L863=4,"Very High")</f>
        <v>High</v>
      </c>
      <c r="AH863" t="str" cm="1">
        <f t="array" ref="AH863">_xlfn.IFS(M863=1,"Junior employee",M863=2,"Mid-level",M863=3,"Senior",M863=4,"Manager",M863=5,"Executive")</f>
        <v>Manager</v>
      </c>
      <c r="AI863" t="str" cm="1">
        <f t="array" ref="AI863">_xlfn.IFS(O863=1,"Low",O863=2,"Medium",O863=3,"High",O863=4,"Very High")</f>
        <v>Low</v>
      </c>
      <c r="AJ863" t="str" cm="1">
        <f t="array" ref="AJ863">_xlfn.IFS(U863=1,"Low",U863=2,"Good",U863=3,"Excellent",U863=4,"Outstanding")</f>
        <v>Outstanding</v>
      </c>
      <c r="AK863" t="str" cm="1">
        <f t="array" ref="AK863">_xlfn.IFS(V863=1,"Low",V863=2,"Medium",V863=3,"High",V863=4,"Very High")</f>
        <v>Low</v>
      </c>
      <c r="AL863" t="str" cm="1">
        <f t="array" ref="AL863">_xlfn.IFS(Z863=1,"Bad",Z863=2,"Good",Z863=3,"Better",Z863=4,"Best")</f>
        <v>Better</v>
      </c>
      <c r="AM863" t="str" cm="1">
        <f t="array" ref="AM863">_xlfn.IFS(W863=0,"No_stock",W863=1,"Low",W863=2,"Medium",W863=3,"High")</f>
        <v>No_stock</v>
      </c>
      <c r="AN863" t="str">
        <f t="shared" si="13"/>
        <v>Near</v>
      </c>
    </row>
    <row r="864" spans="1:40" x14ac:dyDescent="0.45">
      <c r="A864">
        <v>44</v>
      </c>
      <c r="B864" t="s">
        <v>37</v>
      </c>
      <c r="C864" t="s">
        <v>49</v>
      </c>
      <c r="D864">
        <v>111</v>
      </c>
      <c r="E864" t="s">
        <v>39</v>
      </c>
      <c r="F864">
        <v>17</v>
      </c>
      <c r="G864">
        <v>3</v>
      </c>
      <c r="H864" t="s">
        <v>33</v>
      </c>
      <c r="I864">
        <v>1206</v>
      </c>
      <c r="J864">
        <v>4</v>
      </c>
      <c r="K864" t="s">
        <v>40</v>
      </c>
      <c r="L864">
        <v>1</v>
      </c>
      <c r="M864">
        <v>1</v>
      </c>
      <c r="N864" t="s">
        <v>41</v>
      </c>
      <c r="O864">
        <v>3</v>
      </c>
      <c r="P864" t="s">
        <v>36</v>
      </c>
      <c r="Q864">
        <v>2290</v>
      </c>
      <c r="R864">
        <v>2</v>
      </c>
      <c r="S864" t="s">
        <v>37</v>
      </c>
      <c r="T864">
        <v>13</v>
      </c>
      <c r="U864">
        <v>3</v>
      </c>
      <c r="V864">
        <v>4</v>
      </c>
      <c r="W864">
        <v>0</v>
      </c>
      <c r="X864">
        <v>6</v>
      </c>
      <c r="Y864">
        <v>3</v>
      </c>
      <c r="Z864">
        <v>3</v>
      </c>
      <c r="AA864">
        <v>0</v>
      </c>
      <c r="AB864">
        <v>0</v>
      </c>
      <c r="AC864">
        <v>0</v>
      </c>
      <c r="AD864">
        <v>0</v>
      </c>
      <c r="AE864" t="str" cm="1">
        <f t="array" ref="AE864">_xlfn.IFS(G864=1,"Before College",G864=2,"College",G864=3,"Bachelor",G864=4,"Master",G864=5,"Doctor")</f>
        <v>Bachelor</v>
      </c>
      <c r="AF864" t="str" cm="1">
        <f t="array" ref="AF864">_xlfn.IFS(J864=1,"Low",J864=2,"Medium",J864=3,"High",J864=4,"Very High")</f>
        <v>Very High</v>
      </c>
      <c r="AG864" t="str" cm="1">
        <f t="array" ref="AG864">_xlfn.IFS(L864=1,"Low",L864=2,"Medium",L864=3,"High",L864=4,"Very High")</f>
        <v>Low</v>
      </c>
      <c r="AH864" t="str" cm="1">
        <f t="array" ref="AH864">_xlfn.IFS(M864=1,"Junior employee",M864=2,"Mid-level",M864=3,"Senior",M864=4,"Manager",M864=5,"Executive")</f>
        <v>Junior employee</v>
      </c>
      <c r="AI864" t="str" cm="1">
        <f t="array" ref="AI864">_xlfn.IFS(O864=1,"Low",O864=2,"Medium",O864=3,"High",O864=4,"Very High")</f>
        <v>High</v>
      </c>
      <c r="AJ864" t="str" cm="1">
        <f t="array" ref="AJ864">_xlfn.IFS(U864=1,"Low",U864=2,"Good",U864=3,"Excellent",U864=4,"Outstanding")</f>
        <v>Excellent</v>
      </c>
      <c r="AK864" t="str" cm="1">
        <f t="array" ref="AK864">_xlfn.IFS(V864=1,"Low",V864=2,"Medium",V864=3,"High",V864=4,"Very High")</f>
        <v>Very High</v>
      </c>
      <c r="AL864" t="str" cm="1">
        <f t="array" ref="AL864">_xlfn.IFS(Z864=1,"Bad",Z864=2,"Good",Z864=3,"Better",Z864=4,"Best")</f>
        <v>Better</v>
      </c>
      <c r="AM864" t="str" cm="1">
        <f t="array" ref="AM864">_xlfn.IFS(W864=0,"No_stock",W864=1,"Low",W864=2,"Medium",W864=3,"High")</f>
        <v>No_stock</v>
      </c>
      <c r="AN864" t="str">
        <f t="shared" si="13"/>
        <v>Far</v>
      </c>
    </row>
    <row r="865" spans="1:40" x14ac:dyDescent="0.45">
      <c r="A865">
        <v>33</v>
      </c>
      <c r="B865" t="s">
        <v>37</v>
      </c>
      <c r="C865" t="s">
        <v>31</v>
      </c>
      <c r="D865">
        <v>147</v>
      </c>
      <c r="E865" t="s">
        <v>55</v>
      </c>
      <c r="F865">
        <v>2</v>
      </c>
      <c r="G865">
        <v>3</v>
      </c>
      <c r="H865" t="s">
        <v>55</v>
      </c>
      <c r="I865">
        <v>1207</v>
      </c>
      <c r="J865">
        <v>2</v>
      </c>
      <c r="K865" t="s">
        <v>40</v>
      </c>
      <c r="L865">
        <v>3</v>
      </c>
      <c r="M865">
        <v>1</v>
      </c>
      <c r="N865" t="s">
        <v>55</v>
      </c>
      <c r="O865">
        <v>3</v>
      </c>
      <c r="P865" t="s">
        <v>42</v>
      </c>
      <c r="Q865">
        <v>3600</v>
      </c>
      <c r="R865">
        <v>1</v>
      </c>
      <c r="S865" t="s">
        <v>37</v>
      </c>
      <c r="T865">
        <v>13</v>
      </c>
      <c r="U865">
        <v>3</v>
      </c>
      <c r="V865">
        <v>4</v>
      </c>
      <c r="W865">
        <v>1</v>
      </c>
      <c r="X865">
        <v>5</v>
      </c>
      <c r="Y865">
        <v>2</v>
      </c>
      <c r="Z865">
        <v>3</v>
      </c>
      <c r="AA865">
        <v>5</v>
      </c>
      <c r="AB865">
        <v>4</v>
      </c>
      <c r="AC865">
        <v>1</v>
      </c>
      <c r="AD865">
        <v>4</v>
      </c>
      <c r="AE865" t="str" cm="1">
        <f t="array" ref="AE865">_xlfn.IFS(G865=1,"Before College",G865=2,"College",G865=3,"Bachelor",G865=4,"Master",G865=5,"Doctor")</f>
        <v>Bachelor</v>
      </c>
      <c r="AF865" t="str" cm="1">
        <f t="array" ref="AF865">_xlfn.IFS(J865=1,"Low",J865=2,"Medium",J865=3,"High",J865=4,"Very High")</f>
        <v>Medium</v>
      </c>
      <c r="AG865" t="str" cm="1">
        <f t="array" ref="AG865">_xlfn.IFS(L865=1,"Low",L865=2,"Medium",L865=3,"High",L865=4,"Very High")</f>
        <v>High</v>
      </c>
      <c r="AH865" t="str" cm="1">
        <f t="array" ref="AH865">_xlfn.IFS(M865=1,"Junior employee",M865=2,"Mid-level",M865=3,"Senior",M865=4,"Manager",M865=5,"Executive")</f>
        <v>Junior employee</v>
      </c>
      <c r="AI865" t="str" cm="1">
        <f t="array" ref="AI865">_xlfn.IFS(O865=1,"Low",O865=2,"Medium",O865=3,"High",O865=4,"Very High")</f>
        <v>High</v>
      </c>
      <c r="AJ865" t="str" cm="1">
        <f t="array" ref="AJ865">_xlfn.IFS(U865=1,"Low",U865=2,"Good",U865=3,"Excellent",U865=4,"Outstanding")</f>
        <v>Excellent</v>
      </c>
      <c r="AK865" t="str" cm="1">
        <f t="array" ref="AK865">_xlfn.IFS(V865=1,"Low",V865=2,"Medium",V865=3,"High",V865=4,"Very High")</f>
        <v>Very High</v>
      </c>
      <c r="AL865" t="str" cm="1">
        <f t="array" ref="AL865">_xlfn.IFS(Z865=1,"Bad",Z865=2,"Good",Z865=3,"Better",Z865=4,"Best")</f>
        <v>Better</v>
      </c>
      <c r="AM865" t="str" cm="1">
        <f t="array" ref="AM865">_xlfn.IFS(W865=0,"No_stock",W865=1,"Low",W865=2,"Medium",W865=3,"High")</f>
        <v>Low</v>
      </c>
      <c r="AN865" t="str">
        <f t="shared" si="13"/>
        <v>Near</v>
      </c>
    </row>
    <row r="866" spans="1:40" x14ac:dyDescent="0.45">
      <c r="A866">
        <v>41</v>
      </c>
      <c r="B866" t="s">
        <v>30</v>
      </c>
      <c r="C866" t="s">
        <v>49</v>
      </c>
      <c r="D866">
        <v>906</v>
      </c>
      <c r="E866" t="s">
        <v>39</v>
      </c>
      <c r="F866">
        <v>5</v>
      </c>
      <c r="G866">
        <v>2</v>
      </c>
      <c r="H866" t="s">
        <v>33</v>
      </c>
      <c r="I866">
        <v>1210</v>
      </c>
      <c r="J866">
        <v>1</v>
      </c>
      <c r="K866" t="s">
        <v>40</v>
      </c>
      <c r="L866">
        <v>2</v>
      </c>
      <c r="M866">
        <v>1</v>
      </c>
      <c r="N866" t="s">
        <v>41</v>
      </c>
      <c r="O866">
        <v>1</v>
      </c>
      <c r="P866" t="s">
        <v>46</v>
      </c>
      <c r="Q866">
        <v>2107</v>
      </c>
      <c r="R866">
        <v>6</v>
      </c>
      <c r="S866" t="s">
        <v>37</v>
      </c>
      <c r="T866">
        <v>17</v>
      </c>
      <c r="U866">
        <v>3</v>
      </c>
      <c r="V866">
        <v>1</v>
      </c>
      <c r="W866">
        <v>1</v>
      </c>
      <c r="X866">
        <v>5</v>
      </c>
      <c r="Y866">
        <v>2</v>
      </c>
      <c r="Z866">
        <v>1</v>
      </c>
      <c r="AA866">
        <v>1</v>
      </c>
      <c r="AB866">
        <v>0</v>
      </c>
      <c r="AC866">
        <v>0</v>
      </c>
      <c r="AD866">
        <v>0</v>
      </c>
      <c r="AE866" t="str" cm="1">
        <f t="array" ref="AE866">_xlfn.IFS(G866=1,"Before College",G866=2,"College",G866=3,"Bachelor",G866=4,"Master",G866=5,"Doctor")</f>
        <v>College</v>
      </c>
      <c r="AF866" t="str" cm="1">
        <f t="array" ref="AF866">_xlfn.IFS(J866=1,"Low",J866=2,"Medium",J866=3,"High",J866=4,"Very High")</f>
        <v>Low</v>
      </c>
      <c r="AG866" t="str" cm="1">
        <f t="array" ref="AG866">_xlfn.IFS(L866=1,"Low",L866=2,"Medium",L866=3,"High",L866=4,"Very High")</f>
        <v>Medium</v>
      </c>
      <c r="AH866" t="str" cm="1">
        <f t="array" ref="AH866">_xlfn.IFS(M866=1,"Junior employee",M866=2,"Mid-level",M866=3,"Senior",M866=4,"Manager",M866=5,"Executive")</f>
        <v>Junior employee</v>
      </c>
      <c r="AI866" t="str" cm="1">
        <f t="array" ref="AI866">_xlfn.IFS(O866=1,"Low",O866=2,"Medium",O866=3,"High",O866=4,"Very High")</f>
        <v>Low</v>
      </c>
      <c r="AJ866" t="str" cm="1">
        <f t="array" ref="AJ866">_xlfn.IFS(U866=1,"Low",U866=2,"Good",U866=3,"Excellent",U866=4,"Outstanding")</f>
        <v>Excellent</v>
      </c>
      <c r="AK866" t="str" cm="1">
        <f t="array" ref="AK866">_xlfn.IFS(V866=1,"Low",V866=2,"Medium",V866=3,"High",V866=4,"Very High")</f>
        <v>Low</v>
      </c>
      <c r="AL866" t="str" cm="1">
        <f t="array" ref="AL866">_xlfn.IFS(Z866=1,"Bad",Z866=2,"Good",Z866=3,"Better",Z866=4,"Best")</f>
        <v>Bad</v>
      </c>
      <c r="AM866" t="str" cm="1">
        <f t="array" ref="AM866">_xlfn.IFS(W866=0,"No_stock",W866=1,"Low",W866=2,"Medium",W866=3,"High")</f>
        <v>Low</v>
      </c>
      <c r="AN866" t="str">
        <f t="shared" si="13"/>
        <v>Near</v>
      </c>
    </row>
    <row r="867" spans="1:40" x14ac:dyDescent="0.45">
      <c r="A867">
        <v>30</v>
      </c>
      <c r="B867" t="s">
        <v>37</v>
      </c>
      <c r="C867" t="s">
        <v>31</v>
      </c>
      <c r="D867">
        <v>1329</v>
      </c>
      <c r="E867" t="s">
        <v>32</v>
      </c>
      <c r="F867">
        <v>29</v>
      </c>
      <c r="G867">
        <v>4</v>
      </c>
      <c r="H867" t="s">
        <v>33</v>
      </c>
      <c r="I867">
        <v>1211</v>
      </c>
      <c r="J867">
        <v>3</v>
      </c>
      <c r="K867" t="s">
        <v>40</v>
      </c>
      <c r="L867">
        <v>3</v>
      </c>
      <c r="M867">
        <v>2</v>
      </c>
      <c r="N867" t="s">
        <v>35</v>
      </c>
      <c r="O867">
        <v>1</v>
      </c>
      <c r="P867" t="s">
        <v>46</v>
      </c>
      <c r="Q867">
        <v>4115</v>
      </c>
      <c r="R867">
        <v>8</v>
      </c>
      <c r="S867" t="s">
        <v>37</v>
      </c>
      <c r="T867">
        <v>19</v>
      </c>
      <c r="U867">
        <v>3</v>
      </c>
      <c r="V867">
        <v>3</v>
      </c>
      <c r="W867">
        <v>3</v>
      </c>
      <c r="X867">
        <v>8</v>
      </c>
      <c r="Y867">
        <v>3</v>
      </c>
      <c r="Z867">
        <v>3</v>
      </c>
      <c r="AA867">
        <v>4</v>
      </c>
      <c r="AB867">
        <v>3</v>
      </c>
      <c r="AC867">
        <v>0</v>
      </c>
      <c r="AD867">
        <v>3</v>
      </c>
      <c r="AE867" t="str" cm="1">
        <f t="array" ref="AE867">_xlfn.IFS(G867=1,"Before College",G867=2,"College",G867=3,"Bachelor",G867=4,"Master",G867=5,"Doctor")</f>
        <v>Master</v>
      </c>
      <c r="AF867" t="str" cm="1">
        <f t="array" ref="AF867">_xlfn.IFS(J867=1,"Low",J867=2,"Medium",J867=3,"High",J867=4,"Very High")</f>
        <v>High</v>
      </c>
      <c r="AG867" t="str" cm="1">
        <f t="array" ref="AG867">_xlfn.IFS(L867=1,"Low",L867=2,"Medium",L867=3,"High",L867=4,"Very High")</f>
        <v>High</v>
      </c>
      <c r="AH867" t="str" cm="1">
        <f t="array" ref="AH867">_xlfn.IFS(M867=1,"Junior employee",M867=2,"Mid-level",M867=3,"Senior",M867=4,"Manager",M867=5,"Executive")</f>
        <v>Mid-level</v>
      </c>
      <c r="AI867" t="str" cm="1">
        <f t="array" ref="AI867">_xlfn.IFS(O867=1,"Low",O867=2,"Medium",O867=3,"High",O867=4,"Very High")</f>
        <v>Low</v>
      </c>
      <c r="AJ867" t="str" cm="1">
        <f t="array" ref="AJ867">_xlfn.IFS(U867=1,"Low",U867=2,"Good",U867=3,"Excellent",U867=4,"Outstanding")</f>
        <v>Excellent</v>
      </c>
      <c r="AK867" t="str" cm="1">
        <f t="array" ref="AK867">_xlfn.IFS(V867=1,"Low",V867=2,"Medium",V867=3,"High",V867=4,"Very High")</f>
        <v>High</v>
      </c>
      <c r="AL867" t="str" cm="1">
        <f t="array" ref="AL867">_xlfn.IFS(Z867=1,"Bad",Z867=2,"Good",Z867=3,"Better",Z867=4,"Best")</f>
        <v>Better</v>
      </c>
      <c r="AM867" t="str" cm="1">
        <f t="array" ref="AM867">_xlfn.IFS(W867=0,"No_stock",W867=1,"Low",W867=2,"Medium",W867=3,"High")</f>
        <v>High</v>
      </c>
      <c r="AN867" t="str">
        <f t="shared" si="13"/>
        <v>Far</v>
      </c>
    </row>
    <row r="868" spans="1:40" x14ac:dyDescent="0.45">
      <c r="A868">
        <v>40</v>
      </c>
      <c r="B868" t="s">
        <v>37</v>
      </c>
      <c r="C868" t="s">
        <v>38</v>
      </c>
      <c r="D868">
        <v>1184</v>
      </c>
      <c r="E868" t="s">
        <v>32</v>
      </c>
      <c r="F868">
        <v>2</v>
      </c>
      <c r="G868">
        <v>4</v>
      </c>
      <c r="H868" t="s">
        <v>45</v>
      </c>
      <c r="I868">
        <v>1212</v>
      </c>
      <c r="J868">
        <v>2</v>
      </c>
      <c r="K868" t="s">
        <v>40</v>
      </c>
      <c r="L868">
        <v>3</v>
      </c>
      <c r="M868">
        <v>2</v>
      </c>
      <c r="N868" t="s">
        <v>35</v>
      </c>
      <c r="O868">
        <v>2</v>
      </c>
      <c r="P868" t="s">
        <v>42</v>
      </c>
      <c r="Q868">
        <v>4327</v>
      </c>
      <c r="R868">
        <v>5</v>
      </c>
      <c r="S868" t="s">
        <v>37</v>
      </c>
      <c r="T868">
        <v>12</v>
      </c>
      <c r="U868">
        <v>3</v>
      </c>
      <c r="V868">
        <v>4</v>
      </c>
      <c r="W868">
        <v>3</v>
      </c>
      <c r="X868">
        <v>5</v>
      </c>
      <c r="Y868">
        <v>2</v>
      </c>
      <c r="Z868">
        <v>3</v>
      </c>
      <c r="AA868">
        <v>0</v>
      </c>
      <c r="AB868">
        <v>0</v>
      </c>
      <c r="AC868">
        <v>0</v>
      </c>
      <c r="AD868">
        <v>0</v>
      </c>
      <c r="AE868" t="str" cm="1">
        <f t="array" ref="AE868">_xlfn.IFS(G868=1,"Before College",G868=2,"College",G868=3,"Bachelor",G868=4,"Master",G868=5,"Doctor")</f>
        <v>Master</v>
      </c>
      <c r="AF868" t="str" cm="1">
        <f t="array" ref="AF868">_xlfn.IFS(J868=1,"Low",J868=2,"Medium",J868=3,"High",J868=4,"Very High")</f>
        <v>Medium</v>
      </c>
      <c r="AG868" t="str" cm="1">
        <f t="array" ref="AG868">_xlfn.IFS(L868=1,"Low",L868=2,"Medium",L868=3,"High",L868=4,"Very High")</f>
        <v>High</v>
      </c>
      <c r="AH868" t="str" cm="1">
        <f t="array" ref="AH868">_xlfn.IFS(M868=1,"Junior employee",M868=2,"Mid-level",M868=3,"Senior",M868=4,"Manager",M868=5,"Executive")</f>
        <v>Mid-level</v>
      </c>
      <c r="AI868" t="str" cm="1">
        <f t="array" ref="AI868">_xlfn.IFS(O868=1,"Low",O868=2,"Medium",O868=3,"High",O868=4,"Very High")</f>
        <v>Medium</v>
      </c>
      <c r="AJ868" t="str" cm="1">
        <f t="array" ref="AJ868">_xlfn.IFS(U868=1,"Low",U868=2,"Good",U868=3,"Excellent",U868=4,"Outstanding")</f>
        <v>Excellent</v>
      </c>
      <c r="AK868" t="str" cm="1">
        <f t="array" ref="AK868">_xlfn.IFS(V868=1,"Low",V868=2,"Medium",V868=3,"High",V868=4,"Very High")</f>
        <v>Very High</v>
      </c>
      <c r="AL868" t="str" cm="1">
        <f t="array" ref="AL868">_xlfn.IFS(Z868=1,"Bad",Z868=2,"Good",Z868=3,"Better",Z868=4,"Best")</f>
        <v>Better</v>
      </c>
      <c r="AM868" t="str" cm="1">
        <f t="array" ref="AM868">_xlfn.IFS(W868=0,"No_stock",W868=1,"Low",W868=2,"Medium",W868=3,"High")</f>
        <v>High</v>
      </c>
      <c r="AN868" t="str">
        <f t="shared" si="13"/>
        <v>Near</v>
      </c>
    </row>
    <row r="869" spans="1:40" x14ac:dyDescent="0.45">
      <c r="A869">
        <v>50</v>
      </c>
      <c r="B869" t="s">
        <v>37</v>
      </c>
      <c r="C869" t="s">
        <v>38</v>
      </c>
      <c r="D869">
        <v>1421</v>
      </c>
      <c r="E869" t="s">
        <v>39</v>
      </c>
      <c r="F869">
        <v>2</v>
      </c>
      <c r="G869">
        <v>3</v>
      </c>
      <c r="H869" t="s">
        <v>45</v>
      </c>
      <c r="I869">
        <v>1215</v>
      </c>
      <c r="J869">
        <v>4</v>
      </c>
      <c r="K869" t="s">
        <v>34</v>
      </c>
      <c r="L869">
        <v>3</v>
      </c>
      <c r="M869">
        <v>4</v>
      </c>
      <c r="N869" t="s">
        <v>50</v>
      </c>
      <c r="O869">
        <v>1</v>
      </c>
      <c r="P869" t="s">
        <v>42</v>
      </c>
      <c r="Q869">
        <v>17856</v>
      </c>
      <c r="R869">
        <v>2</v>
      </c>
      <c r="S869" t="s">
        <v>37</v>
      </c>
      <c r="T869">
        <v>22</v>
      </c>
      <c r="U869">
        <v>4</v>
      </c>
      <c r="V869">
        <v>3</v>
      </c>
      <c r="W869">
        <v>1</v>
      </c>
      <c r="X869">
        <v>32</v>
      </c>
      <c r="Y869">
        <v>3</v>
      </c>
      <c r="Z869">
        <v>3</v>
      </c>
      <c r="AA869">
        <v>2</v>
      </c>
      <c r="AB869">
        <v>2</v>
      </c>
      <c r="AC869">
        <v>2</v>
      </c>
      <c r="AD869">
        <v>2</v>
      </c>
      <c r="AE869" t="str" cm="1">
        <f t="array" ref="AE869">_xlfn.IFS(G869=1,"Before College",G869=2,"College",G869=3,"Bachelor",G869=4,"Master",G869=5,"Doctor")</f>
        <v>Bachelor</v>
      </c>
      <c r="AF869" t="str" cm="1">
        <f t="array" ref="AF869">_xlfn.IFS(J869=1,"Low",J869=2,"Medium",J869=3,"High",J869=4,"Very High")</f>
        <v>Very High</v>
      </c>
      <c r="AG869" t="str" cm="1">
        <f t="array" ref="AG869">_xlfn.IFS(L869=1,"Low",L869=2,"Medium",L869=3,"High",L869=4,"Very High")</f>
        <v>High</v>
      </c>
      <c r="AH869" t="str" cm="1">
        <f t="array" ref="AH869">_xlfn.IFS(M869=1,"Junior employee",M869=2,"Mid-level",M869=3,"Senior",M869=4,"Manager",M869=5,"Executive")</f>
        <v>Manager</v>
      </c>
      <c r="AI869" t="str" cm="1">
        <f t="array" ref="AI869">_xlfn.IFS(O869=1,"Low",O869=2,"Medium",O869=3,"High",O869=4,"Very High")</f>
        <v>Low</v>
      </c>
      <c r="AJ869" t="str" cm="1">
        <f t="array" ref="AJ869">_xlfn.IFS(U869=1,"Low",U869=2,"Good",U869=3,"Excellent",U869=4,"Outstanding")</f>
        <v>Outstanding</v>
      </c>
      <c r="AK869" t="str" cm="1">
        <f t="array" ref="AK869">_xlfn.IFS(V869=1,"Low",V869=2,"Medium",V869=3,"High",V869=4,"Very High")</f>
        <v>High</v>
      </c>
      <c r="AL869" t="str" cm="1">
        <f t="array" ref="AL869">_xlfn.IFS(Z869=1,"Bad",Z869=2,"Good",Z869=3,"Better",Z869=4,"Best")</f>
        <v>Better</v>
      </c>
      <c r="AM869" t="str" cm="1">
        <f t="array" ref="AM869">_xlfn.IFS(W869=0,"No_stock",W869=1,"Low",W869=2,"Medium",W869=3,"High")</f>
        <v>Low</v>
      </c>
      <c r="AN869" t="str">
        <f t="shared" si="13"/>
        <v>Near</v>
      </c>
    </row>
    <row r="870" spans="1:40" x14ac:dyDescent="0.45">
      <c r="A870">
        <v>28</v>
      </c>
      <c r="B870" t="s">
        <v>37</v>
      </c>
      <c r="C870" t="s">
        <v>31</v>
      </c>
      <c r="D870">
        <v>1179</v>
      </c>
      <c r="E870" t="s">
        <v>39</v>
      </c>
      <c r="F870">
        <v>19</v>
      </c>
      <c r="G870">
        <v>4</v>
      </c>
      <c r="H870" t="s">
        <v>45</v>
      </c>
      <c r="I870">
        <v>1216</v>
      </c>
      <c r="J870">
        <v>4</v>
      </c>
      <c r="K870" t="s">
        <v>40</v>
      </c>
      <c r="L870">
        <v>2</v>
      </c>
      <c r="M870">
        <v>1</v>
      </c>
      <c r="N870" t="s">
        <v>44</v>
      </c>
      <c r="O870">
        <v>1</v>
      </c>
      <c r="P870" t="s">
        <v>42</v>
      </c>
      <c r="Q870">
        <v>3196</v>
      </c>
      <c r="R870">
        <v>1</v>
      </c>
      <c r="S870" t="s">
        <v>37</v>
      </c>
      <c r="T870">
        <v>12</v>
      </c>
      <c r="U870">
        <v>3</v>
      </c>
      <c r="V870">
        <v>3</v>
      </c>
      <c r="W870">
        <v>3</v>
      </c>
      <c r="X870">
        <v>6</v>
      </c>
      <c r="Y870">
        <v>2</v>
      </c>
      <c r="Z870">
        <v>3</v>
      </c>
      <c r="AA870">
        <v>6</v>
      </c>
      <c r="AB870">
        <v>5</v>
      </c>
      <c r="AC870">
        <v>3</v>
      </c>
      <c r="AD870">
        <v>3</v>
      </c>
      <c r="AE870" t="str" cm="1">
        <f t="array" ref="AE870">_xlfn.IFS(G870=1,"Before College",G870=2,"College",G870=3,"Bachelor",G870=4,"Master",G870=5,"Doctor")</f>
        <v>Master</v>
      </c>
      <c r="AF870" t="str" cm="1">
        <f t="array" ref="AF870">_xlfn.IFS(J870=1,"Low",J870=2,"Medium",J870=3,"High",J870=4,"Very High")</f>
        <v>Very High</v>
      </c>
      <c r="AG870" t="str" cm="1">
        <f t="array" ref="AG870">_xlfn.IFS(L870=1,"Low",L870=2,"Medium",L870=3,"High",L870=4,"Very High")</f>
        <v>Medium</v>
      </c>
      <c r="AH870" t="str" cm="1">
        <f t="array" ref="AH870">_xlfn.IFS(M870=1,"Junior employee",M870=2,"Mid-level",M870=3,"Senior",M870=4,"Manager",M870=5,"Executive")</f>
        <v>Junior employee</v>
      </c>
      <c r="AI870" t="str" cm="1">
        <f t="array" ref="AI870">_xlfn.IFS(O870=1,"Low",O870=2,"Medium",O870=3,"High",O870=4,"Very High")</f>
        <v>Low</v>
      </c>
      <c r="AJ870" t="str" cm="1">
        <f t="array" ref="AJ870">_xlfn.IFS(U870=1,"Low",U870=2,"Good",U870=3,"Excellent",U870=4,"Outstanding")</f>
        <v>Excellent</v>
      </c>
      <c r="AK870" t="str" cm="1">
        <f t="array" ref="AK870">_xlfn.IFS(V870=1,"Low",V870=2,"Medium",V870=3,"High",V870=4,"Very High")</f>
        <v>High</v>
      </c>
      <c r="AL870" t="str" cm="1">
        <f t="array" ref="AL870">_xlfn.IFS(Z870=1,"Bad",Z870=2,"Good",Z870=3,"Better",Z870=4,"Best")</f>
        <v>Better</v>
      </c>
      <c r="AM870" t="str" cm="1">
        <f t="array" ref="AM870">_xlfn.IFS(W870=0,"No_stock",W870=1,"Low",W870=2,"Medium",W870=3,"High")</f>
        <v>High</v>
      </c>
      <c r="AN870" t="str">
        <f t="shared" si="13"/>
        <v>Far</v>
      </c>
    </row>
    <row r="871" spans="1:40" x14ac:dyDescent="0.45">
      <c r="A871">
        <v>46</v>
      </c>
      <c r="B871" t="s">
        <v>37</v>
      </c>
      <c r="C871" t="s">
        <v>31</v>
      </c>
      <c r="D871">
        <v>1450</v>
      </c>
      <c r="E871" t="s">
        <v>39</v>
      </c>
      <c r="F871">
        <v>15</v>
      </c>
      <c r="G871">
        <v>2</v>
      </c>
      <c r="H871" t="s">
        <v>33</v>
      </c>
      <c r="I871">
        <v>1217</v>
      </c>
      <c r="J871">
        <v>4</v>
      </c>
      <c r="K871" t="s">
        <v>40</v>
      </c>
      <c r="L871">
        <v>3</v>
      </c>
      <c r="M871">
        <v>5</v>
      </c>
      <c r="N871" t="s">
        <v>52</v>
      </c>
      <c r="O871">
        <v>2</v>
      </c>
      <c r="P871" t="s">
        <v>42</v>
      </c>
      <c r="Q871">
        <v>19081</v>
      </c>
      <c r="R871">
        <v>5</v>
      </c>
      <c r="S871" t="s">
        <v>37</v>
      </c>
      <c r="T871">
        <v>11</v>
      </c>
      <c r="U871">
        <v>3</v>
      </c>
      <c r="V871">
        <v>1</v>
      </c>
      <c r="W871">
        <v>1</v>
      </c>
      <c r="X871">
        <v>25</v>
      </c>
      <c r="Y871">
        <v>2</v>
      </c>
      <c r="Z871">
        <v>3</v>
      </c>
      <c r="AA871">
        <v>4</v>
      </c>
      <c r="AB871">
        <v>2</v>
      </c>
      <c r="AC871">
        <v>0</v>
      </c>
      <c r="AD871">
        <v>3</v>
      </c>
      <c r="AE871" t="str" cm="1">
        <f t="array" ref="AE871">_xlfn.IFS(G871=1,"Before College",G871=2,"College",G871=3,"Bachelor",G871=4,"Master",G871=5,"Doctor")</f>
        <v>College</v>
      </c>
      <c r="AF871" t="str" cm="1">
        <f t="array" ref="AF871">_xlfn.IFS(J871=1,"Low",J871=2,"Medium",J871=3,"High",J871=4,"Very High")</f>
        <v>Very High</v>
      </c>
      <c r="AG871" t="str" cm="1">
        <f t="array" ref="AG871">_xlfn.IFS(L871=1,"Low",L871=2,"Medium",L871=3,"High",L871=4,"Very High")</f>
        <v>High</v>
      </c>
      <c r="AH871" t="str" cm="1">
        <f t="array" ref="AH871">_xlfn.IFS(M871=1,"Junior employee",M871=2,"Mid-level",M871=3,"Senior",M871=4,"Manager",M871=5,"Executive")</f>
        <v>Executive</v>
      </c>
      <c r="AI871" t="str" cm="1">
        <f t="array" ref="AI871">_xlfn.IFS(O871=1,"Low",O871=2,"Medium",O871=3,"High",O871=4,"Very High")</f>
        <v>Medium</v>
      </c>
      <c r="AJ871" t="str" cm="1">
        <f t="array" ref="AJ871">_xlfn.IFS(U871=1,"Low",U871=2,"Good",U871=3,"Excellent",U871=4,"Outstanding")</f>
        <v>Excellent</v>
      </c>
      <c r="AK871" t="str" cm="1">
        <f t="array" ref="AK871">_xlfn.IFS(V871=1,"Low",V871=2,"Medium",V871=3,"High",V871=4,"Very High")</f>
        <v>Low</v>
      </c>
      <c r="AL871" t="str" cm="1">
        <f t="array" ref="AL871">_xlfn.IFS(Z871=1,"Bad",Z871=2,"Good",Z871=3,"Better",Z871=4,"Best")</f>
        <v>Better</v>
      </c>
      <c r="AM871" t="str" cm="1">
        <f t="array" ref="AM871">_xlfn.IFS(W871=0,"No_stock",W871=1,"Low",W871=2,"Medium",W871=3,"High")</f>
        <v>Low</v>
      </c>
      <c r="AN871" t="str">
        <f t="shared" si="13"/>
        <v>Medium</v>
      </c>
    </row>
    <row r="872" spans="1:40" x14ac:dyDescent="0.45">
      <c r="A872">
        <v>35</v>
      </c>
      <c r="B872" t="s">
        <v>37</v>
      </c>
      <c r="C872" t="s">
        <v>31</v>
      </c>
      <c r="D872">
        <v>1361</v>
      </c>
      <c r="E872" t="s">
        <v>32</v>
      </c>
      <c r="F872">
        <v>17</v>
      </c>
      <c r="G872">
        <v>4</v>
      </c>
      <c r="H872" t="s">
        <v>33</v>
      </c>
      <c r="I872">
        <v>1218</v>
      </c>
      <c r="J872">
        <v>3</v>
      </c>
      <c r="K872" t="s">
        <v>40</v>
      </c>
      <c r="L872">
        <v>3</v>
      </c>
      <c r="M872">
        <v>2</v>
      </c>
      <c r="N872" t="s">
        <v>35</v>
      </c>
      <c r="O872">
        <v>1</v>
      </c>
      <c r="P872" t="s">
        <v>42</v>
      </c>
      <c r="Q872">
        <v>8966</v>
      </c>
      <c r="R872">
        <v>3</v>
      </c>
      <c r="S872" t="s">
        <v>30</v>
      </c>
      <c r="T872">
        <v>15</v>
      </c>
      <c r="U872">
        <v>3</v>
      </c>
      <c r="V872">
        <v>4</v>
      </c>
      <c r="W872">
        <v>3</v>
      </c>
      <c r="X872">
        <v>15</v>
      </c>
      <c r="Y872">
        <v>2</v>
      </c>
      <c r="Z872">
        <v>3</v>
      </c>
      <c r="AA872">
        <v>7</v>
      </c>
      <c r="AB872">
        <v>7</v>
      </c>
      <c r="AC872">
        <v>1</v>
      </c>
      <c r="AD872">
        <v>7</v>
      </c>
      <c r="AE872" t="str" cm="1">
        <f t="array" ref="AE872">_xlfn.IFS(G872=1,"Before College",G872=2,"College",G872=3,"Bachelor",G872=4,"Master",G872=5,"Doctor")</f>
        <v>Master</v>
      </c>
      <c r="AF872" t="str" cm="1">
        <f t="array" ref="AF872">_xlfn.IFS(J872=1,"Low",J872=2,"Medium",J872=3,"High",J872=4,"Very High")</f>
        <v>High</v>
      </c>
      <c r="AG872" t="str" cm="1">
        <f t="array" ref="AG872">_xlfn.IFS(L872=1,"Low",L872=2,"Medium",L872=3,"High",L872=4,"Very High")</f>
        <v>High</v>
      </c>
      <c r="AH872" t="str" cm="1">
        <f t="array" ref="AH872">_xlfn.IFS(M872=1,"Junior employee",M872=2,"Mid-level",M872=3,"Senior",M872=4,"Manager",M872=5,"Executive")</f>
        <v>Mid-level</v>
      </c>
      <c r="AI872" t="str" cm="1">
        <f t="array" ref="AI872">_xlfn.IFS(O872=1,"Low",O872=2,"Medium",O872=3,"High",O872=4,"Very High")</f>
        <v>Low</v>
      </c>
      <c r="AJ872" t="str" cm="1">
        <f t="array" ref="AJ872">_xlfn.IFS(U872=1,"Low",U872=2,"Good",U872=3,"Excellent",U872=4,"Outstanding")</f>
        <v>Excellent</v>
      </c>
      <c r="AK872" t="str" cm="1">
        <f t="array" ref="AK872">_xlfn.IFS(V872=1,"Low",V872=2,"Medium",V872=3,"High",V872=4,"Very High")</f>
        <v>Very High</v>
      </c>
      <c r="AL872" t="str" cm="1">
        <f t="array" ref="AL872">_xlfn.IFS(Z872=1,"Bad",Z872=2,"Good",Z872=3,"Better",Z872=4,"Best")</f>
        <v>Better</v>
      </c>
      <c r="AM872" t="str" cm="1">
        <f t="array" ref="AM872">_xlfn.IFS(W872=0,"No_stock",W872=1,"Low",W872=2,"Medium",W872=3,"High")</f>
        <v>High</v>
      </c>
      <c r="AN872" t="str">
        <f t="shared" si="13"/>
        <v>Far</v>
      </c>
    </row>
    <row r="873" spans="1:40" x14ac:dyDescent="0.45">
      <c r="A873">
        <v>24</v>
      </c>
      <c r="B873" t="s">
        <v>30</v>
      </c>
      <c r="C873" t="s">
        <v>31</v>
      </c>
      <c r="D873">
        <v>984</v>
      </c>
      <c r="E873" t="s">
        <v>39</v>
      </c>
      <c r="F873">
        <v>17</v>
      </c>
      <c r="G873">
        <v>2</v>
      </c>
      <c r="H873" t="s">
        <v>33</v>
      </c>
      <c r="I873">
        <v>1219</v>
      </c>
      <c r="J873">
        <v>4</v>
      </c>
      <c r="K873" t="s">
        <v>34</v>
      </c>
      <c r="L873">
        <v>3</v>
      </c>
      <c r="M873">
        <v>1</v>
      </c>
      <c r="N873" t="s">
        <v>44</v>
      </c>
      <c r="O873">
        <v>2</v>
      </c>
      <c r="P873" t="s">
        <v>42</v>
      </c>
      <c r="Q873">
        <v>2210</v>
      </c>
      <c r="R873">
        <v>1</v>
      </c>
      <c r="S873" t="s">
        <v>37</v>
      </c>
      <c r="T873">
        <v>13</v>
      </c>
      <c r="U873">
        <v>3</v>
      </c>
      <c r="V873">
        <v>1</v>
      </c>
      <c r="W873">
        <v>1</v>
      </c>
      <c r="X873">
        <v>1</v>
      </c>
      <c r="Y873">
        <v>3</v>
      </c>
      <c r="Z873">
        <v>1</v>
      </c>
      <c r="AA873">
        <v>1</v>
      </c>
      <c r="AB873">
        <v>0</v>
      </c>
      <c r="AC873">
        <v>0</v>
      </c>
      <c r="AD873">
        <v>0</v>
      </c>
      <c r="AE873" t="str" cm="1">
        <f t="array" ref="AE873">_xlfn.IFS(G873=1,"Before College",G873=2,"College",G873=3,"Bachelor",G873=4,"Master",G873=5,"Doctor")</f>
        <v>College</v>
      </c>
      <c r="AF873" t="str" cm="1">
        <f t="array" ref="AF873">_xlfn.IFS(J873=1,"Low",J873=2,"Medium",J873=3,"High",J873=4,"Very High")</f>
        <v>Very High</v>
      </c>
      <c r="AG873" t="str" cm="1">
        <f t="array" ref="AG873">_xlfn.IFS(L873=1,"Low",L873=2,"Medium",L873=3,"High",L873=4,"Very High")</f>
        <v>High</v>
      </c>
      <c r="AH873" t="str" cm="1">
        <f t="array" ref="AH873">_xlfn.IFS(M873=1,"Junior employee",M873=2,"Mid-level",M873=3,"Senior",M873=4,"Manager",M873=5,"Executive")</f>
        <v>Junior employee</v>
      </c>
      <c r="AI873" t="str" cm="1">
        <f t="array" ref="AI873">_xlfn.IFS(O873=1,"Low",O873=2,"Medium",O873=3,"High",O873=4,"Very High")</f>
        <v>Medium</v>
      </c>
      <c r="AJ873" t="str" cm="1">
        <f t="array" ref="AJ873">_xlfn.IFS(U873=1,"Low",U873=2,"Good",U873=3,"Excellent",U873=4,"Outstanding")</f>
        <v>Excellent</v>
      </c>
      <c r="AK873" t="str" cm="1">
        <f t="array" ref="AK873">_xlfn.IFS(V873=1,"Low",V873=2,"Medium",V873=3,"High",V873=4,"Very High")</f>
        <v>Low</v>
      </c>
      <c r="AL873" t="str" cm="1">
        <f t="array" ref="AL873">_xlfn.IFS(Z873=1,"Bad",Z873=2,"Good",Z873=3,"Better",Z873=4,"Best")</f>
        <v>Bad</v>
      </c>
      <c r="AM873" t="str" cm="1">
        <f t="array" ref="AM873">_xlfn.IFS(W873=0,"No_stock",W873=1,"Low",W873=2,"Medium",W873=3,"High")</f>
        <v>Low</v>
      </c>
      <c r="AN873" t="str">
        <f t="shared" si="13"/>
        <v>Far</v>
      </c>
    </row>
    <row r="874" spans="1:40" x14ac:dyDescent="0.45">
      <c r="A874">
        <v>33</v>
      </c>
      <c r="B874" t="s">
        <v>37</v>
      </c>
      <c r="C874" t="s">
        <v>38</v>
      </c>
      <c r="D874">
        <v>1146</v>
      </c>
      <c r="E874" t="s">
        <v>32</v>
      </c>
      <c r="F874">
        <v>25</v>
      </c>
      <c r="G874">
        <v>3</v>
      </c>
      <c r="H874" t="s">
        <v>45</v>
      </c>
      <c r="I874">
        <v>1220</v>
      </c>
      <c r="J874">
        <v>2</v>
      </c>
      <c r="K874" t="s">
        <v>34</v>
      </c>
      <c r="L874">
        <v>3</v>
      </c>
      <c r="M874">
        <v>2</v>
      </c>
      <c r="N874" t="s">
        <v>35</v>
      </c>
      <c r="O874">
        <v>3</v>
      </c>
      <c r="P874" t="s">
        <v>42</v>
      </c>
      <c r="Q874">
        <v>4539</v>
      </c>
      <c r="R874">
        <v>1</v>
      </c>
      <c r="S874" t="s">
        <v>37</v>
      </c>
      <c r="T874">
        <v>12</v>
      </c>
      <c r="U874">
        <v>3</v>
      </c>
      <c r="V874">
        <v>1</v>
      </c>
      <c r="W874">
        <v>1</v>
      </c>
      <c r="X874">
        <v>10</v>
      </c>
      <c r="Y874">
        <v>3</v>
      </c>
      <c r="Z874">
        <v>2</v>
      </c>
      <c r="AA874">
        <v>10</v>
      </c>
      <c r="AB874">
        <v>7</v>
      </c>
      <c r="AC874">
        <v>0</v>
      </c>
      <c r="AD874">
        <v>1</v>
      </c>
      <c r="AE874" t="str" cm="1">
        <f t="array" ref="AE874">_xlfn.IFS(G874=1,"Before College",G874=2,"College",G874=3,"Bachelor",G874=4,"Master",G874=5,"Doctor")</f>
        <v>Bachelor</v>
      </c>
      <c r="AF874" t="str" cm="1">
        <f t="array" ref="AF874">_xlfn.IFS(J874=1,"Low",J874=2,"Medium",J874=3,"High",J874=4,"Very High")</f>
        <v>Medium</v>
      </c>
      <c r="AG874" t="str" cm="1">
        <f t="array" ref="AG874">_xlfn.IFS(L874=1,"Low",L874=2,"Medium",L874=3,"High",L874=4,"Very High")</f>
        <v>High</v>
      </c>
      <c r="AH874" t="str" cm="1">
        <f t="array" ref="AH874">_xlfn.IFS(M874=1,"Junior employee",M874=2,"Mid-level",M874=3,"Senior",M874=4,"Manager",M874=5,"Executive")</f>
        <v>Mid-level</v>
      </c>
      <c r="AI874" t="str" cm="1">
        <f t="array" ref="AI874">_xlfn.IFS(O874=1,"Low",O874=2,"Medium",O874=3,"High",O874=4,"Very High")</f>
        <v>High</v>
      </c>
      <c r="AJ874" t="str" cm="1">
        <f t="array" ref="AJ874">_xlfn.IFS(U874=1,"Low",U874=2,"Good",U874=3,"Excellent",U874=4,"Outstanding")</f>
        <v>Excellent</v>
      </c>
      <c r="AK874" t="str" cm="1">
        <f t="array" ref="AK874">_xlfn.IFS(V874=1,"Low",V874=2,"Medium",V874=3,"High",V874=4,"Very High")</f>
        <v>Low</v>
      </c>
      <c r="AL874" t="str" cm="1">
        <f t="array" ref="AL874">_xlfn.IFS(Z874=1,"Bad",Z874=2,"Good",Z874=3,"Better",Z874=4,"Best")</f>
        <v>Good</v>
      </c>
      <c r="AM874" t="str" cm="1">
        <f t="array" ref="AM874">_xlfn.IFS(W874=0,"No_stock",W874=1,"Low",W874=2,"Medium",W874=3,"High")</f>
        <v>Low</v>
      </c>
      <c r="AN874" t="str">
        <f t="shared" si="13"/>
        <v>Far</v>
      </c>
    </row>
    <row r="875" spans="1:40" x14ac:dyDescent="0.45">
      <c r="A875">
        <v>36</v>
      </c>
      <c r="B875" t="s">
        <v>37</v>
      </c>
      <c r="C875" t="s">
        <v>31</v>
      </c>
      <c r="D875">
        <v>917</v>
      </c>
      <c r="E875" t="s">
        <v>39</v>
      </c>
      <c r="F875">
        <v>6</v>
      </c>
      <c r="G875">
        <v>4</v>
      </c>
      <c r="H875" t="s">
        <v>33</v>
      </c>
      <c r="I875">
        <v>1221</v>
      </c>
      <c r="J875">
        <v>3</v>
      </c>
      <c r="K875" t="s">
        <v>40</v>
      </c>
      <c r="L875">
        <v>1</v>
      </c>
      <c r="M875">
        <v>1</v>
      </c>
      <c r="N875" t="s">
        <v>44</v>
      </c>
      <c r="O875">
        <v>3</v>
      </c>
      <c r="P875" t="s">
        <v>46</v>
      </c>
      <c r="Q875">
        <v>2741</v>
      </c>
      <c r="R875">
        <v>1</v>
      </c>
      <c r="S875" t="s">
        <v>37</v>
      </c>
      <c r="T875">
        <v>14</v>
      </c>
      <c r="U875">
        <v>3</v>
      </c>
      <c r="V875">
        <v>3</v>
      </c>
      <c r="W875">
        <v>1</v>
      </c>
      <c r="X875">
        <v>7</v>
      </c>
      <c r="Y875">
        <v>4</v>
      </c>
      <c r="Z875">
        <v>3</v>
      </c>
      <c r="AA875">
        <v>7</v>
      </c>
      <c r="AB875">
        <v>7</v>
      </c>
      <c r="AC875">
        <v>1</v>
      </c>
      <c r="AD875">
        <v>7</v>
      </c>
      <c r="AE875" t="str" cm="1">
        <f t="array" ref="AE875">_xlfn.IFS(G875=1,"Before College",G875=2,"College",G875=3,"Bachelor",G875=4,"Master",G875=5,"Doctor")</f>
        <v>Master</v>
      </c>
      <c r="AF875" t="str" cm="1">
        <f t="array" ref="AF875">_xlfn.IFS(J875=1,"Low",J875=2,"Medium",J875=3,"High",J875=4,"Very High")</f>
        <v>High</v>
      </c>
      <c r="AG875" t="str" cm="1">
        <f t="array" ref="AG875">_xlfn.IFS(L875=1,"Low",L875=2,"Medium",L875=3,"High",L875=4,"Very High")</f>
        <v>Low</v>
      </c>
      <c r="AH875" t="str" cm="1">
        <f t="array" ref="AH875">_xlfn.IFS(M875=1,"Junior employee",M875=2,"Mid-level",M875=3,"Senior",M875=4,"Manager",M875=5,"Executive")</f>
        <v>Junior employee</v>
      </c>
      <c r="AI875" t="str" cm="1">
        <f t="array" ref="AI875">_xlfn.IFS(O875=1,"Low",O875=2,"Medium",O875=3,"High",O875=4,"Very High")</f>
        <v>High</v>
      </c>
      <c r="AJ875" t="str" cm="1">
        <f t="array" ref="AJ875">_xlfn.IFS(U875=1,"Low",U875=2,"Good",U875=3,"Excellent",U875=4,"Outstanding")</f>
        <v>Excellent</v>
      </c>
      <c r="AK875" t="str" cm="1">
        <f t="array" ref="AK875">_xlfn.IFS(V875=1,"Low",V875=2,"Medium",V875=3,"High",V875=4,"Very High")</f>
        <v>High</v>
      </c>
      <c r="AL875" t="str" cm="1">
        <f t="array" ref="AL875">_xlfn.IFS(Z875=1,"Bad",Z875=2,"Good",Z875=3,"Better",Z875=4,"Best")</f>
        <v>Better</v>
      </c>
      <c r="AM875" t="str" cm="1">
        <f t="array" ref="AM875">_xlfn.IFS(W875=0,"No_stock",W875=1,"Low",W875=2,"Medium",W875=3,"High")</f>
        <v>Low</v>
      </c>
      <c r="AN875" t="str">
        <f t="shared" si="13"/>
        <v>Medium</v>
      </c>
    </row>
    <row r="876" spans="1:40" x14ac:dyDescent="0.45">
      <c r="A876">
        <v>30</v>
      </c>
      <c r="B876" t="s">
        <v>37</v>
      </c>
      <c r="C876" t="s">
        <v>31</v>
      </c>
      <c r="D876">
        <v>853</v>
      </c>
      <c r="E876" t="s">
        <v>39</v>
      </c>
      <c r="F876">
        <v>7</v>
      </c>
      <c r="G876">
        <v>4</v>
      </c>
      <c r="H876" t="s">
        <v>33</v>
      </c>
      <c r="I876">
        <v>1224</v>
      </c>
      <c r="J876">
        <v>3</v>
      </c>
      <c r="K876" t="s">
        <v>40</v>
      </c>
      <c r="L876">
        <v>3</v>
      </c>
      <c r="M876">
        <v>2</v>
      </c>
      <c r="N876" t="s">
        <v>44</v>
      </c>
      <c r="O876">
        <v>3</v>
      </c>
      <c r="P876" t="s">
        <v>46</v>
      </c>
      <c r="Q876">
        <v>3491</v>
      </c>
      <c r="R876">
        <v>1</v>
      </c>
      <c r="S876" t="s">
        <v>37</v>
      </c>
      <c r="T876">
        <v>13</v>
      </c>
      <c r="U876">
        <v>3</v>
      </c>
      <c r="V876">
        <v>1</v>
      </c>
      <c r="W876">
        <v>3</v>
      </c>
      <c r="X876">
        <v>10</v>
      </c>
      <c r="Y876">
        <v>4</v>
      </c>
      <c r="Z876">
        <v>2</v>
      </c>
      <c r="AA876">
        <v>10</v>
      </c>
      <c r="AB876">
        <v>7</v>
      </c>
      <c r="AC876">
        <v>8</v>
      </c>
      <c r="AD876">
        <v>9</v>
      </c>
      <c r="AE876" t="str" cm="1">
        <f t="array" ref="AE876">_xlfn.IFS(G876=1,"Before College",G876=2,"College",G876=3,"Bachelor",G876=4,"Master",G876=5,"Doctor")</f>
        <v>Master</v>
      </c>
      <c r="AF876" t="str" cm="1">
        <f t="array" ref="AF876">_xlfn.IFS(J876=1,"Low",J876=2,"Medium",J876=3,"High",J876=4,"Very High")</f>
        <v>High</v>
      </c>
      <c r="AG876" t="str" cm="1">
        <f t="array" ref="AG876">_xlfn.IFS(L876=1,"Low",L876=2,"Medium",L876=3,"High",L876=4,"Very High")</f>
        <v>High</v>
      </c>
      <c r="AH876" t="str" cm="1">
        <f t="array" ref="AH876">_xlfn.IFS(M876=1,"Junior employee",M876=2,"Mid-level",M876=3,"Senior",M876=4,"Manager",M876=5,"Executive")</f>
        <v>Mid-level</v>
      </c>
      <c r="AI876" t="str" cm="1">
        <f t="array" ref="AI876">_xlfn.IFS(O876=1,"Low",O876=2,"Medium",O876=3,"High",O876=4,"Very High")</f>
        <v>High</v>
      </c>
      <c r="AJ876" t="str" cm="1">
        <f t="array" ref="AJ876">_xlfn.IFS(U876=1,"Low",U876=2,"Good",U876=3,"Excellent",U876=4,"Outstanding")</f>
        <v>Excellent</v>
      </c>
      <c r="AK876" t="str" cm="1">
        <f t="array" ref="AK876">_xlfn.IFS(V876=1,"Low",V876=2,"Medium",V876=3,"High",V876=4,"Very High")</f>
        <v>Low</v>
      </c>
      <c r="AL876" t="str" cm="1">
        <f t="array" ref="AL876">_xlfn.IFS(Z876=1,"Bad",Z876=2,"Good",Z876=3,"Better",Z876=4,"Best")</f>
        <v>Good</v>
      </c>
      <c r="AM876" t="str" cm="1">
        <f t="array" ref="AM876">_xlfn.IFS(W876=0,"No_stock",W876=1,"Low",W876=2,"Medium",W876=3,"High")</f>
        <v>High</v>
      </c>
      <c r="AN876" t="str">
        <f t="shared" si="13"/>
        <v>Medium</v>
      </c>
    </row>
    <row r="877" spans="1:40" x14ac:dyDescent="0.45">
      <c r="A877">
        <v>44</v>
      </c>
      <c r="B877" t="s">
        <v>37</v>
      </c>
      <c r="C877" t="s">
        <v>31</v>
      </c>
      <c r="D877">
        <v>200</v>
      </c>
      <c r="E877" t="s">
        <v>39</v>
      </c>
      <c r="F877">
        <v>29</v>
      </c>
      <c r="G877">
        <v>4</v>
      </c>
      <c r="H877" t="s">
        <v>43</v>
      </c>
      <c r="I877">
        <v>1225</v>
      </c>
      <c r="J877">
        <v>4</v>
      </c>
      <c r="K877" t="s">
        <v>40</v>
      </c>
      <c r="L877">
        <v>3</v>
      </c>
      <c r="M877">
        <v>2</v>
      </c>
      <c r="N877" t="s">
        <v>41</v>
      </c>
      <c r="O877">
        <v>4</v>
      </c>
      <c r="P877" t="s">
        <v>36</v>
      </c>
      <c r="Q877">
        <v>4541</v>
      </c>
      <c r="R877">
        <v>1</v>
      </c>
      <c r="S877" t="s">
        <v>37</v>
      </c>
      <c r="T877">
        <v>25</v>
      </c>
      <c r="U877">
        <v>4</v>
      </c>
      <c r="V877">
        <v>2</v>
      </c>
      <c r="W877">
        <v>0</v>
      </c>
      <c r="X877">
        <v>20</v>
      </c>
      <c r="Y877">
        <v>3</v>
      </c>
      <c r="Z877">
        <v>3</v>
      </c>
      <c r="AA877">
        <v>20</v>
      </c>
      <c r="AB877">
        <v>11</v>
      </c>
      <c r="AC877">
        <v>13</v>
      </c>
      <c r="AD877">
        <v>17</v>
      </c>
      <c r="AE877" t="str" cm="1">
        <f t="array" ref="AE877">_xlfn.IFS(G877=1,"Before College",G877=2,"College",G877=3,"Bachelor",G877=4,"Master",G877=5,"Doctor")</f>
        <v>Master</v>
      </c>
      <c r="AF877" t="str" cm="1">
        <f t="array" ref="AF877">_xlfn.IFS(J877=1,"Low",J877=2,"Medium",J877=3,"High",J877=4,"Very High")</f>
        <v>Very High</v>
      </c>
      <c r="AG877" t="str" cm="1">
        <f t="array" ref="AG877">_xlfn.IFS(L877=1,"Low",L877=2,"Medium",L877=3,"High",L877=4,"Very High")</f>
        <v>High</v>
      </c>
      <c r="AH877" t="str" cm="1">
        <f t="array" ref="AH877">_xlfn.IFS(M877=1,"Junior employee",M877=2,"Mid-level",M877=3,"Senior",M877=4,"Manager",M877=5,"Executive")</f>
        <v>Mid-level</v>
      </c>
      <c r="AI877" t="str" cm="1">
        <f t="array" ref="AI877">_xlfn.IFS(O877=1,"Low",O877=2,"Medium",O877=3,"High",O877=4,"Very High")</f>
        <v>Very High</v>
      </c>
      <c r="AJ877" t="str" cm="1">
        <f t="array" ref="AJ877">_xlfn.IFS(U877=1,"Low",U877=2,"Good",U877=3,"Excellent",U877=4,"Outstanding")</f>
        <v>Outstanding</v>
      </c>
      <c r="AK877" t="str" cm="1">
        <f t="array" ref="AK877">_xlfn.IFS(V877=1,"Low",V877=2,"Medium",V877=3,"High",V877=4,"Very High")</f>
        <v>Medium</v>
      </c>
      <c r="AL877" t="str" cm="1">
        <f t="array" ref="AL877">_xlfn.IFS(Z877=1,"Bad",Z877=2,"Good",Z877=3,"Better",Z877=4,"Best")</f>
        <v>Better</v>
      </c>
      <c r="AM877" t="str" cm="1">
        <f t="array" ref="AM877">_xlfn.IFS(W877=0,"No_stock",W877=1,"Low",W877=2,"Medium",W877=3,"High")</f>
        <v>No_stock</v>
      </c>
      <c r="AN877" t="str">
        <f t="shared" si="13"/>
        <v>Far</v>
      </c>
    </row>
    <row r="878" spans="1:40" x14ac:dyDescent="0.45">
      <c r="A878">
        <v>20</v>
      </c>
      <c r="B878" t="s">
        <v>37</v>
      </c>
      <c r="C878" t="s">
        <v>31</v>
      </c>
      <c r="D878">
        <v>654</v>
      </c>
      <c r="E878" t="s">
        <v>32</v>
      </c>
      <c r="F878">
        <v>21</v>
      </c>
      <c r="G878">
        <v>3</v>
      </c>
      <c r="H878" t="s">
        <v>53</v>
      </c>
      <c r="I878">
        <v>1226</v>
      </c>
      <c r="J878">
        <v>3</v>
      </c>
      <c r="K878" t="s">
        <v>40</v>
      </c>
      <c r="L878">
        <v>4</v>
      </c>
      <c r="M878">
        <v>1</v>
      </c>
      <c r="N878" t="s">
        <v>51</v>
      </c>
      <c r="O878">
        <v>4</v>
      </c>
      <c r="P878" t="s">
        <v>36</v>
      </c>
      <c r="Q878">
        <v>2678</v>
      </c>
      <c r="R878">
        <v>1</v>
      </c>
      <c r="S878" t="s">
        <v>37</v>
      </c>
      <c r="T878">
        <v>17</v>
      </c>
      <c r="U878">
        <v>3</v>
      </c>
      <c r="V878">
        <v>4</v>
      </c>
      <c r="W878">
        <v>0</v>
      </c>
      <c r="X878">
        <v>2</v>
      </c>
      <c r="Y878">
        <v>2</v>
      </c>
      <c r="Z878">
        <v>3</v>
      </c>
      <c r="AA878">
        <v>2</v>
      </c>
      <c r="AB878">
        <v>1</v>
      </c>
      <c r="AC878">
        <v>2</v>
      </c>
      <c r="AD878">
        <v>2</v>
      </c>
      <c r="AE878" t="str" cm="1">
        <f t="array" ref="AE878">_xlfn.IFS(G878=1,"Before College",G878=2,"College",G878=3,"Bachelor",G878=4,"Master",G878=5,"Doctor")</f>
        <v>Bachelor</v>
      </c>
      <c r="AF878" t="str" cm="1">
        <f t="array" ref="AF878">_xlfn.IFS(J878=1,"Low",J878=2,"Medium",J878=3,"High",J878=4,"Very High")</f>
        <v>High</v>
      </c>
      <c r="AG878" t="str" cm="1">
        <f t="array" ref="AG878">_xlfn.IFS(L878=1,"Low",L878=2,"Medium",L878=3,"High",L878=4,"Very High")</f>
        <v>Very High</v>
      </c>
      <c r="AH878" t="str" cm="1">
        <f t="array" ref="AH878">_xlfn.IFS(M878=1,"Junior employee",M878=2,"Mid-level",M878=3,"Senior",M878=4,"Manager",M878=5,"Executive")</f>
        <v>Junior employee</v>
      </c>
      <c r="AI878" t="str" cm="1">
        <f t="array" ref="AI878">_xlfn.IFS(O878=1,"Low",O878=2,"Medium",O878=3,"High",O878=4,"Very High")</f>
        <v>Very High</v>
      </c>
      <c r="AJ878" t="str" cm="1">
        <f t="array" ref="AJ878">_xlfn.IFS(U878=1,"Low",U878=2,"Good",U878=3,"Excellent",U878=4,"Outstanding")</f>
        <v>Excellent</v>
      </c>
      <c r="AK878" t="str" cm="1">
        <f t="array" ref="AK878">_xlfn.IFS(V878=1,"Low",V878=2,"Medium",V878=3,"High",V878=4,"Very High")</f>
        <v>Very High</v>
      </c>
      <c r="AL878" t="str" cm="1">
        <f t="array" ref="AL878">_xlfn.IFS(Z878=1,"Bad",Z878=2,"Good",Z878=3,"Better",Z878=4,"Best")</f>
        <v>Better</v>
      </c>
      <c r="AM878" t="str" cm="1">
        <f t="array" ref="AM878">_xlfn.IFS(W878=0,"No_stock",W878=1,"Low",W878=2,"Medium",W878=3,"High")</f>
        <v>No_stock</v>
      </c>
      <c r="AN878" t="str">
        <f t="shared" si="13"/>
        <v>Far</v>
      </c>
    </row>
    <row r="879" spans="1:40" x14ac:dyDescent="0.45">
      <c r="A879">
        <v>46</v>
      </c>
      <c r="B879" t="s">
        <v>37</v>
      </c>
      <c r="C879" t="s">
        <v>31</v>
      </c>
      <c r="D879">
        <v>150</v>
      </c>
      <c r="E879" t="s">
        <v>39</v>
      </c>
      <c r="F879">
        <v>2</v>
      </c>
      <c r="G879">
        <v>4</v>
      </c>
      <c r="H879" t="s">
        <v>54</v>
      </c>
      <c r="I879">
        <v>1228</v>
      </c>
      <c r="J879">
        <v>4</v>
      </c>
      <c r="K879" t="s">
        <v>40</v>
      </c>
      <c r="L879">
        <v>3</v>
      </c>
      <c r="M879">
        <v>2</v>
      </c>
      <c r="N879" t="s">
        <v>47</v>
      </c>
      <c r="O879">
        <v>4</v>
      </c>
      <c r="P879" t="s">
        <v>46</v>
      </c>
      <c r="Q879">
        <v>7379</v>
      </c>
      <c r="R879">
        <v>2</v>
      </c>
      <c r="S879" t="s">
        <v>37</v>
      </c>
      <c r="T879">
        <v>11</v>
      </c>
      <c r="U879">
        <v>3</v>
      </c>
      <c r="V879">
        <v>3</v>
      </c>
      <c r="W879">
        <v>1</v>
      </c>
      <c r="X879">
        <v>12</v>
      </c>
      <c r="Y879">
        <v>3</v>
      </c>
      <c r="Z879">
        <v>2</v>
      </c>
      <c r="AA879">
        <v>6</v>
      </c>
      <c r="AB879">
        <v>3</v>
      </c>
      <c r="AC879">
        <v>1</v>
      </c>
      <c r="AD879">
        <v>4</v>
      </c>
      <c r="AE879" t="str" cm="1">
        <f t="array" ref="AE879">_xlfn.IFS(G879=1,"Before College",G879=2,"College",G879=3,"Bachelor",G879=4,"Master",G879=5,"Doctor")</f>
        <v>Master</v>
      </c>
      <c r="AF879" t="str" cm="1">
        <f t="array" ref="AF879">_xlfn.IFS(J879=1,"Low",J879=2,"Medium",J879=3,"High",J879=4,"Very High")</f>
        <v>Very High</v>
      </c>
      <c r="AG879" t="str" cm="1">
        <f t="array" ref="AG879">_xlfn.IFS(L879=1,"Low",L879=2,"Medium",L879=3,"High",L879=4,"Very High")</f>
        <v>High</v>
      </c>
      <c r="AH879" t="str" cm="1">
        <f t="array" ref="AH879">_xlfn.IFS(M879=1,"Junior employee",M879=2,"Mid-level",M879=3,"Senior",M879=4,"Manager",M879=5,"Executive")</f>
        <v>Mid-level</v>
      </c>
      <c r="AI879" t="str" cm="1">
        <f t="array" ref="AI879">_xlfn.IFS(O879=1,"Low",O879=2,"Medium",O879=3,"High",O879=4,"Very High")</f>
        <v>Very High</v>
      </c>
      <c r="AJ879" t="str" cm="1">
        <f t="array" ref="AJ879">_xlfn.IFS(U879=1,"Low",U879=2,"Good",U879=3,"Excellent",U879=4,"Outstanding")</f>
        <v>Excellent</v>
      </c>
      <c r="AK879" t="str" cm="1">
        <f t="array" ref="AK879">_xlfn.IFS(V879=1,"Low",V879=2,"Medium",V879=3,"High",V879=4,"Very High")</f>
        <v>High</v>
      </c>
      <c r="AL879" t="str" cm="1">
        <f t="array" ref="AL879">_xlfn.IFS(Z879=1,"Bad",Z879=2,"Good",Z879=3,"Better",Z879=4,"Best")</f>
        <v>Good</v>
      </c>
      <c r="AM879" t="str" cm="1">
        <f t="array" ref="AM879">_xlfn.IFS(W879=0,"No_stock",W879=1,"Low",W879=2,"Medium",W879=3,"High")</f>
        <v>Low</v>
      </c>
      <c r="AN879" t="str">
        <f t="shared" si="13"/>
        <v>Near</v>
      </c>
    </row>
    <row r="880" spans="1:40" x14ac:dyDescent="0.45">
      <c r="A880">
        <v>42</v>
      </c>
      <c r="B880" t="s">
        <v>37</v>
      </c>
      <c r="C880" t="s">
        <v>49</v>
      </c>
      <c r="D880">
        <v>179</v>
      </c>
      <c r="E880" t="s">
        <v>55</v>
      </c>
      <c r="F880">
        <v>2</v>
      </c>
      <c r="G880">
        <v>5</v>
      </c>
      <c r="H880" t="s">
        <v>45</v>
      </c>
      <c r="I880">
        <v>1231</v>
      </c>
      <c r="J880">
        <v>4</v>
      </c>
      <c r="K880" t="s">
        <v>40</v>
      </c>
      <c r="L880">
        <v>4</v>
      </c>
      <c r="M880">
        <v>2</v>
      </c>
      <c r="N880" t="s">
        <v>55</v>
      </c>
      <c r="O880">
        <v>1</v>
      </c>
      <c r="P880" t="s">
        <v>42</v>
      </c>
      <c r="Q880">
        <v>6272</v>
      </c>
      <c r="R880">
        <v>7</v>
      </c>
      <c r="S880" t="s">
        <v>37</v>
      </c>
      <c r="T880">
        <v>16</v>
      </c>
      <c r="U880">
        <v>3</v>
      </c>
      <c r="V880">
        <v>1</v>
      </c>
      <c r="W880">
        <v>1</v>
      </c>
      <c r="X880">
        <v>10</v>
      </c>
      <c r="Y880">
        <v>3</v>
      </c>
      <c r="Z880">
        <v>4</v>
      </c>
      <c r="AA880">
        <v>4</v>
      </c>
      <c r="AB880">
        <v>3</v>
      </c>
      <c r="AC880">
        <v>0</v>
      </c>
      <c r="AD880">
        <v>3</v>
      </c>
      <c r="AE880" t="str" cm="1">
        <f t="array" ref="AE880">_xlfn.IFS(G880=1,"Before College",G880=2,"College",G880=3,"Bachelor",G880=4,"Master",G880=5,"Doctor")</f>
        <v>Doctor</v>
      </c>
      <c r="AF880" t="str" cm="1">
        <f t="array" ref="AF880">_xlfn.IFS(J880=1,"Low",J880=2,"Medium",J880=3,"High",J880=4,"Very High")</f>
        <v>Very High</v>
      </c>
      <c r="AG880" t="str" cm="1">
        <f t="array" ref="AG880">_xlfn.IFS(L880=1,"Low",L880=2,"Medium",L880=3,"High",L880=4,"Very High")</f>
        <v>Very High</v>
      </c>
      <c r="AH880" t="str" cm="1">
        <f t="array" ref="AH880">_xlfn.IFS(M880=1,"Junior employee",M880=2,"Mid-level",M880=3,"Senior",M880=4,"Manager",M880=5,"Executive")</f>
        <v>Mid-level</v>
      </c>
      <c r="AI880" t="str" cm="1">
        <f t="array" ref="AI880">_xlfn.IFS(O880=1,"Low",O880=2,"Medium",O880=3,"High",O880=4,"Very High")</f>
        <v>Low</v>
      </c>
      <c r="AJ880" t="str" cm="1">
        <f t="array" ref="AJ880">_xlfn.IFS(U880=1,"Low",U880=2,"Good",U880=3,"Excellent",U880=4,"Outstanding")</f>
        <v>Excellent</v>
      </c>
      <c r="AK880" t="str" cm="1">
        <f t="array" ref="AK880">_xlfn.IFS(V880=1,"Low",V880=2,"Medium",V880=3,"High",V880=4,"Very High")</f>
        <v>Low</v>
      </c>
      <c r="AL880" t="str" cm="1">
        <f t="array" ref="AL880">_xlfn.IFS(Z880=1,"Bad",Z880=2,"Good",Z880=3,"Better",Z880=4,"Best")</f>
        <v>Best</v>
      </c>
      <c r="AM880" t="str" cm="1">
        <f t="array" ref="AM880">_xlfn.IFS(W880=0,"No_stock",W880=1,"Low",W880=2,"Medium",W880=3,"High")</f>
        <v>Low</v>
      </c>
      <c r="AN880" t="str">
        <f t="shared" si="13"/>
        <v>Near</v>
      </c>
    </row>
    <row r="881" spans="1:40" x14ac:dyDescent="0.45">
      <c r="A881">
        <v>60</v>
      </c>
      <c r="B881" t="s">
        <v>37</v>
      </c>
      <c r="C881" t="s">
        <v>31</v>
      </c>
      <c r="D881">
        <v>696</v>
      </c>
      <c r="E881" t="s">
        <v>32</v>
      </c>
      <c r="F881">
        <v>7</v>
      </c>
      <c r="G881">
        <v>4</v>
      </c>
      <c r="H881" t="s">
        <v>53</v>
      </c>
      <c r="I881">
        <v>1233</v>
      </c>
      <c r="J881">
        <v>2</v>
      </c>
      <c r="K881" t="s">
        <v>40</v>
      </c>
      <c r="L881">
        <v>4</v>
      </c>
      <c r="M881">
        <v>2</v>
      </c>
      <c r="N881" t="s">
        <v>35</v>
      </c>
      <c r="O881">
        <v>4</v>
      </c>
      <c r="P881" t="s">
        <v>46</v>
      </c>
      <c r="Q881">
        <v>5220</v>
      </c>
      <c r="R881">
        <v>0</v>
      </c>
      <c r="S881" t="s">
        <v>30</v>
      </c>
      <c r="T881">
        <v>18</v>
      </c>
      <c r="U881">
        <v>3</v>
      </c>
      <c r="V881">
        <v>2</v>
      </c>
      <c r="W881">
        <v>1</v>
      </c>
      <c r="X881">
        <v>12</v>
      </c>
      <c r="Y881">
        <v>3</v>
      </c>
      <c r="Z881">
        <v>3</v>
      </c>
      <c r="AA881">
        <v>11</v>
      </c>
      <c r="AB881">
        <v>7</v>
      </c>
      <c r="AC881">
        <v>1</v>
      </c>
      <c r="AD881">
        <v>9</v>
      </c>
      <c r="AE881" t="str" cm="1">
        <f t="array" ref="AE881">_xlfn.IFS(G881=1,"Before College",G881=2,"College",G881=3,"Bachelor",G881=4,"Master",G881=5,"Doctor")</f>
        <v>Master</v>
      </c>
      <c r="AF881" t="str" cm="1">
        <f t="array" ref="AF881">_xlfn.IFS(J881=1,"Low",J881=2,"Medium",J881=3,"High",J881=4,"Very High")</f>
        <v>Medium</v>
      </c>
      <c r="AG881" t="str" cm="1">
        <f t="array" ref="AG881">_xlfn.IFS(L881=1,"Low",L881=2,"Medium",L881=3,"High",L881=4,"Very High")</f>
        <v>Very High</v>
      </c>
      <c r="AH881" t="str" cm="1">
        <f t="array" ref="AH881">_xlfn.IFS(M881=1,"Junior employee",M881=2,"Mid-level",M881=3,"Senior",M881=4,"Manager",M881=5,"Executive")</f>
        <v>Mid-level</v>
      </c>
      <c r="AI881" t="str" cm="1">
        <f t="array" ref="AI881">_xlfn.IFS(O881=1,"Low",O881=2,"Medium",O881=3,"High",O881=4,"Very High")</f>
        <v>Very High</v>
      </c>
      <c r="AJ881" t="str" cm="1">
        <f t="array" ref="AJ881">_xlfn.IFS(U881=1,"Low",U881=2,"Good",U881=3,"Excellent",U881=4,"Outstanding")</f>
        <v>Excellent</v>
      </c>
      <c r="AK881" t="str" cm="1">
        <f t="array" ref="AK881">_xlfn.IFS(V881=1,"Low",V881=2,"Medium",V881=3,"High",V881=4,"Very High")</f>
        <v>Medium</v>
      </c>
      <c r="AL881" t="str" cm="1">
        <f t="array" ref="AL881">_xlfn.IFS(Z881=1,"Bad",Z881=2,"Good",Z881=3,"Better",Z881=4,"Best")</f>
        <v>Better</v>
      </c>
      <c r="AM881" t="str" cm="1">
        <f t="array" ref="AM881">_xlfn.IFS(W881=0,"No_stock",W881=1,"Low",W881=2,"Medium",W881=3,"High")</f>
        <v>Low</v>
      </c>
      <c r="AN881" t="str">
        <f t="shared" si="13"/>
        <v>Medium</v>
      </c>
    </row>
    <row r="882" spans="1:40" x14ac:dyDescent="0.45">
      <c r="A882">
        <v>32</v>
      </c>
      <c r="B882" t="s">
        <v>37</v>
      </c>
      <c r="C882" t="s">
        <v>38</v>
      </c>
      <c r="D882">
        <v>116</v>
      </c>
      <c r="E882" t="s">
        <v>39</v>
      </c>
      <c r="F882">
        <v>13</v>
      </c>
      <c r="G882">
        <v>3</v>
      </c>
      <c r="H882" t="s">
        <v>43</v>
      </c>
      <c r="I882">
        <v>1234</v>
      </c>
      <c r="J882">
        <v>3</v>
      </c>
      <c r="K882" t="s">
        <v>34</v>
      </c>
      <c r="L882">
        <v>2</v>
      </c>
      <c r="M882">
        <v>1</v>
      </c>
      <c r="N882" t="s">
        <v>44</v>
      </c>
      <c r="O882">
        <v>2</v>
      </c>
      <c r="P882" t="s">
        <v>42</v>
      </c>
      <c r="Q882">
        <v>2743</v>
      </c>
      <c r="R882">
        <v>1</v>
      </c>
      <c r="S882" t="s">
        <v>37</v>
      </c>
      <c r="T882">
        <v>20</v>
      </c>
      <c r="U882">
        <v>4</v>
      </c>
      <c r="V882">
        <v>3</v>
      </c>
      <c r="W882">
        <v>1</v>
      </c>
      <c r="X882">
        <v>2</v>
      </c>
      <c r="Y882">
        <v>2</v>
      </c>
      <c r="Z882">
        <v>3</v>
      </c>
      <c r="AA882">
        <v>2</v>
      </c>
      <c r="AB882">
        <v>2</v>
      </c>
      <c r="AC882">
        <v>2</v>
      </c>
      <c r="AD882">
        <v>2</v>
      </c>
      <c r="AE882" t="str" cm="1">
        <f t="array" ref="AE882">_xlfn.IFS(G882=1,"Before College",G882=2,"College",G882=3,"Bachelor",G882=4,"Master",G882=5,"Doctor")</f>
        <v>Bachelor</v>
      </c>
      <c r="AF882" t="str" cm="1">
        <f t="array" ref="AF882">_xlfn.IFS(J882=1,"Low",J882=2,"Medium",J882=3,"High",J882=4,"Very High")</f>
        <v>High</v>
      </c>
      <c r="AG882" t="str" cm="1">
        <f t="array" ref="AG882">_xlfn.IFS(L882=1,"Low",L882=2,"Medium",L882=3,"High",L882=4,"Very High")</f>
        <v>Medium</v>
      </c>
      <c r="AH882" t="str" cm="1">
        <f t="array" ref="AH882">_xlfn.IFS(M882=1,"Junior employee",M882=2,"Mid-level",M882=3,"Senior",M882=4,"Manager",M882=5,"Executive")</f>
        <v>Junior employee</v>
      </c>
      <c r="AI882" t="str" cm="1">
        <f t="array" ref="AI882">_xlfn.IFS(O882=1,"Low",O882=2,"Medium",O882=3,"High",O882=4,"Very High")</f>
        <v>Medium</v>
      </c>
      <c r="AJ882" t="str" cm="1">
        <f t="array" ref="AJ882">_xlfn.IFS(U882=1,"Low",U882=2,"Good",U882=3,"Excellent",U882=4,"Outstanding")</f>
        <v>Outstanding</v>
      </c>
      <c r="AK882" t="str" cm="1">
        <f t="array" ref="AK882">_xlfn.IFS(V882=1,"Low",V882=2,"Medium",V882=3,"High",V882=4,"Very High")</f>
        <v>High</v>
      </c>
      <c r="AL882" t="str" cm="1">
        <f t="array" ref="AL882">_xlfn.IFS(Z882=1,"Bad",Z882=2,"Good",Z882=3,"Better",Z882=4,"Best")</f>
        <v>Better</v>
      </c>
      <c r="AM882" t="str" cm="1">
        <f t="array" ref="AM882">_xlfn.IFS(W882=0,"No_stock",W882=1,"Low",W882=2,"Medium",W882=3,"High")</f>
        <v>Low</v>
      </c>
      <c r="AN882" t="str">
        <f t="shared" si="13"/>
        <v>Medium</v>
      </c>
    </row>
    <row r="883" spans="1:40" x14ac:dyDescent="0.45">
      <c r="A883">
        <v>32</v>
      </c>
      <c r="B883" t="s">
        <v>37</v>
      </c>
      <c r="C883" t="s">
        <v>38</v>
      </c>
      <c r="D883">
        <v>1316</v>
      </c>
      <c r="E883" t="s">
        <v>39</v>
      </c>
      <c r="F883">
        <v>2</v>
      </c>
      <c r="G883">
        <v>2</v>
      </c>
      <c r="H883" t="s">
        <v>33</v>
      </c>
      <c r="I883">
        <v>1235</v>
      </c>
      <c r="J883">
        <v>4</v>
      </c>
      <c r="K883" t="s">
        <v>34</v>
      </c>
      <c r="L883">
        <v>3</v>
      </c>
      <c r="M883">
        <v>2</v>
      </c>
      <c r="N883" t="s">
        <v>41</v>
      </c>
      <c r="O883">
        <v>3</v>
      </c>
      <c r="P883" t="s">
        <v>36</v>
      </c>
      <c r="Q883">
        <v>4998</v>
      </c>
      <c r="R883">
        <v>4</v>
      </c>
      <c r="S883" t="s">
        <v>30</v>
      </c>
      <c r="T883">
        <v>14</v>
      </c>
      <c r="U883">
        <v>3</v>
      </c>
      <c r="V883">
        <v>4</v>
      </c>
      <c r="W883">
        <v>0</v>
      </c>
      <c r="X883">
        <v>10</v>
      </c>
      <c r="Y883">
        <v>2</v>
      </c>
      <c r="Z883">
        <v>3</v>
      </c>
      <c r="AA883">
        <v>8</v>
      </c>
      <c r="AB883">
        <v>7</v>
      </c>
      <c r="AC883">
        <v>0</v>
      </c>
      <c r="AD883">
        <v>7</v>
      </c>
      <c r="AE883" t="str" cm="1">
        <f t="array" ref="AE883">_xlfn.IFS(G883=1,"Before College",G883=2,"College",G883=3,"Bachelor",G883=4,"Master",G883=5,"Doctor")</f>
        <v>College</v>
      </c>
      <c r="AF883" t="str" cm="1">
        <f t="array" ref="AF883">_xlfn.IFS(J883=1,"Low",J883=2,"Medium",J883=3,"High",J883=4,"Very High")</f>
        <v>Very High</v>
      </c>
      <c r="AG883" t="str" cm="1">
        <f t="array" ref="AG883">_xlfn.IFS(L883=1,"Low",L883=2,"Medium",L883=3,"High",L883=4,"Very High")</f>
        <v>High</v>
      </c>
      <c r="AH883" t="str" cm="1">
        <f t="array" ref="AH883">_xlfn.IFS(M883=1,"Junior employee",M883=2,"Mid-level",M883=3,"Senior",M883=4,"Manager",M883=5,"Executive")</f>
        <v>Mid-level</v>
      </c>
      <c r="AI883" t="str" cm="1">
        <f t="array" ref="AI883">_xlfn.IFS(O883=1,"Low",O883=2,"Medium",O883=3,"High",O883=4,"Very High")</f>
        <v>High</v>
      </c>
      <c r="AJ883" t="str" cm="1">
        <f t="array" ref="AJ883">_xlfn.IFS(U883=1,"Low",U883=2,"Good",U883=3,"Excellent",U883=4,"Outstanding")</f>
        <v>Excellent</v>
      </c>
      <c r="AK883" t="str" cm="1">
        <f t="array" ref="AK883">_xlfn.IFS(V883=1,"Low",V883=2,"Medium",V883=3,"High",V883=4,"Very High")</f>
        <v>Very High</v>
      </c>
      <c r="AL883" t="str" cm="1">
        <f t="array" ref="AL883">_xlfn.IFS(Z883=1,"Bad",Z883=2,"Good",Z883=3,"Better",Z883=4,"Best")</f>
        <v>Better</v>
      </c>
      <c r="AM883" t="str" cm="1">
        <f t="array" ref="AM883">_xlfn.IFS(W883=0,"No_stock",W883=1,"Low",W883=2,"Medium",W883=3,"High")</f>
        <v>No_stock</v>
      </c>
      <c r="AN883" t="str">
        <f t="shared" si="13"/>
        <v>Near</v>
      </c>
    </row>
    <row r="884" spans="1:40" x14ac:dyDescent="0.45">
      <c r="A884">
        <v>36</v>
      </c>
      <c r="B884" t="s">
        <v>37</v>
      </c>
      <c r="C884" t="s">
        <v>31</v>
      </c>
      <c r="D884">
        <v>363</v>
      </c>
      <c r="E884" t="s">
        <v>39</v>
      </c>
      <c r="F884">
        <v>1</v>
      </c>
      <c r="G884">
        <v>3</v>
      </c>
      <c r="H884" t="s">
        <v>54</v>
      </c>
      <c r="I884">
        <v>1237</v>
      </c>
      <c r="J884">
        <v>3</v>
      </c>
      <c r="K884" t="s">
        <v>34</v>
      </c>
      <c r="L884">
        <v>1</v>
      </c>
      <c r="M884">
        <v>3</v>
      </c>
      <c r="N884" t="s">
        <v>47</v>
      </c>
      <c r="O884">
        <v>1</v>
      </c>
      <c r="P884" t="s">
        <v>46</v>
      </c>
      <c r="Q884">
        <v>10252</v>
      </c>
      <c r="R884">
        <v>2</v>
      </c>
      <c r="S884" t="s">
        <v>30</v>
      </c>
      <c r="T884">
        <v>21</v>
      </c>
      <c r="U884">
        <v>4</v>
      </c>
      <c r="V884">
        <v>3</v>
      </c>
      <c r="W884">
        <v>1</v>
      </c>
      <c r="X884">
        <v>17</v>
      </c>
      <c r="Y884">
        <v>2</v>
      </c>
      <c r="Z884">
        <v>3</v>
      </c>
      <c r="AA884">
        <v>7</v>
      </c>
      <c r="AB884">
        <v>7</v>
      </c>
      <c r="AC884">
        <v>7</v>
      </c>
      <c r="AD884">
        <v>7</v>
      </c>
      <c r="AE884" t="str" cm="1">
        <f t="array" ref="AE884">_xlfn.IFS(G884=1,"Before College",G884=2,"College",G884=3,"Bachelor",G884=4,"Master",G884=5,"Doctor")</f>
        <v>Bachelor</v>
      </c>
      <c r="AF884" t="str" cm="1">
        <f t="array" ref="AF884">_xlfn.IFS(J884=1,"Low",J884=2,"Medium",J884=3,"High",J884=4,"Very High")</f>
        <v>High</v>
      </c>
      <c r="AG884" t="str" cm="1">
        <f t="array" ref="AG884">_xlfn.IFS(L884=1,"Low",L884=2,"Medium",L884=3,"High",L884=4,"Very High")</f>
        <v>Low</v>
      </c>
      <c r="AH884" t="str" cm="1">
        <f t="array" ref="AH884">_xlfn.IFS(M884=1,"Junior employee",M884=2,"Mid-level",M884=3,"Senior",M884=4,"Manager",M884=5,"Executive")</f>
        <v>Senior</v>
      </c>
      <c r="AI884" t="str" cm="1">
        <f t="array" ref="AI884">_xlfn.IFS(O884=1,"Low",O884=2,"Medium",O884=3,"High",O884=4,"Very High")</f>
        <v>Low</v>
      </c>
      <c r="AJ884" t="str" cm="1">
        <f t="array" ref="AJ884">_xlfn.IFS(U884=1,"Low",U884=2,"Good",U884=3,"Excellent",U884=4,"Outstanding")</f>
        <v>Outstanding</v>
      </c>
      <c r="AK884" t="str" cm="1">
        <f t="array" ref="AK884">_xlfn.IFS(V884=1,"Low",V884=2,"Medium",V884=3,"High",V884=4,"Very High")</f>
        <v>High</v>
      </c>
      <c r="AL884" t="str" cm="1">
        <f t="array" ref="AL884">_xlfn.IFS(Z884=1,"Bad",Z884=2,"Good",Z884=3,"Better",Z884=4,"Best")</f>
        <v>Better</v>
      </c>
      <c r="AM884" t="str" cm="1">
        <f t="array" ref="AM884">_xlfn.IFS(W884=0,"No_stock",W884=1,"Low",W884=2,"Medium",W884=3,"High")</f>
        <v>Low</v>
      </c>
      <c r="AN884" t="str">
        <f t="shared" si="13"/>
        <v>Near</v>
      </c>
    </row>
    <row r="885" spans="1:40" x14ac:dyDescent="0.45">
      <c r="A885">
        <v>33</v>
      </c>
      <c r="B885" t="s">
        <v>37</v>
      </c>
      <c r="C885" t="s">
        <v>31</v>
      </c>
      <c r="D885">
        <v>117</v>
      </c>
      <c r="E885" t="s">
        <v>39</v>
      </c>
      <c r="F885">
        <v>9</v>
      </c>
      <c r="G885">
        <v>3</v>
      </c>
      <c r="H885" t="s">
        <v>45</v>
      </c>
      <c r="I885">
        <v>1238</v>
      </c>
      <c r="J885">
        <v>1</v>
      </c>
      <c r="K885" t="s">
        <v>40</v>
      </c>
      <c r="L885">
        <v>3</v>
      </c>
      <c r="M885">
        <v>1</v>
      </c>
      <c r="N885" t="s">
        <v>41</v>
      </c>
      <c r="O885">
        <v>4</v>
      </c>
      <c r="P885" t="s">
        <v>42</v>
      </c>
      <c r="Q885">
        <v>2781</v>
      </c>
      <c r="R885">
        <v>0</v>
      </c>
      <c r="S885" t="s">
        <v>37</v>
      </c>
      <c r="T885">
        <v>13</v>
      </c>
      <c r="U885">
        <v>3</v>
      </c>
      <c r="V885">
        <v>2</v>
      </c>
      <c r="W885">
        <v>1</v>
      </c>
      <c r="X885">
        <v>15</v>
      </c>
      <c r="Y885">
        <v>5</v>
      </c>
      <c r="Z885">
        <v>3</v>
      </c>
      <c r="AA885">
        <v>14</v>
      </c>
      <c r="AB885">
        <v>10</v>
      </c>
      <c r="AC885">
        <v>4</v>
      </c>
      <c r="AD885">
        <v>10</v>
      </c>
      <c r="AE885" t="str" cm="1">
        <f t="array" ref="AE885">_xlfn.IFS(G885=1,"Before College",G885=2,"College",G885=3,"Bachelor",G885=4,"Master",G885=5,"Doctor")</f>
        <v>Bachelor</v>
      </c>
      <c r="AF885" t="str" cm="1">
        <f t="array" ref="AF885">_xlfn.IFS(J885=1,"Low",J885=2,"Medium",J885=3,"High",J885=4,"Very High")</f>
        <v>Low</v>
      </c>
      <c r="AG885" t="str" cm="1">
        <f t="array" ref="AG885">_xlfn.IFS(L885=1,"Low",L885=2,"Medium",L885=3,"High",L885=4,"Very High")</f>
        <v>High</v>
      </c>
      <c r="AH885" t="str" cm="1">
        <f t="array" ref="AH885">_xlfn.IFS(M885=1,"Junior employee",M885=2,"Mid-level",M885=3,"Senior",M885=4,"Manager",M885=5,"Executive")</f>
        <v>Junior employee</v>
      </c>
      <c r="AI885" t="str" cm="1">
        <f t="array" ref="AI885">_xlfn.IFS(O885=1,"Low",O885=2,"Medium",O885=3,"High",O885=4,"Very High")</f>
        <v>Very High</v>
      </c>
      <c r="AJ885" t="str" cm="1">
        <f t="array" ref="AJ885">_xlfn.IFS(U885=1,"Low",U885=2,"Good",U885=3,"Excellent",U885=4,"Outstanding")</f>
        <v>Excellent</v>
      </c>
      <c r="AK885" t="str" cm="1">
        <f t="array" ref="AK885">_xlfn.IFS(V885=1,"Low",V885=2,"Medium",V885=3,"High",V885=4,"Very High")</f>
        <v>Medium</v>
      </c>
      <c r="AL885" t="str" cm="1">
        <f t="array" ref="AL885">_xlfn.IFS(Z885=1,"Bad",Z885=2,"Good",Z885=3,"Better",Z885=4,"Best")</f>
        <v>Better</v>
      </c>
      <c r="AM885" t="str" cm="1">
        <f t="array" ref="AM885">_xlfn.IFS(W885=0,"No_stock",W885=1,"Low",W885=2,"Medium",W885=3,"High")</f>
        <v>Low</v>
      </c>
      <c r="AN885" t="str">
        <f t="shared" si="13"/>
        <v>Medium</v>
      </c>
    </row>
    <row r="886" spans="1:40" x14ac:dyDescent="0.45">
      <c r="A886">
        <v>40</v>
      </c>
      <c r="B886" t="s">
        <v>37</v>
      </c>
      <c r="C886" t="s">
        <v>31</v>
      </c>
      <c r="D886">
        <v>107</v>
      </c>
      <c r="E886" t="s">
        <v>32</v>
      </c>
      <c r="F886">
        <v>10</v>
      </c>
      <c r="G886">
        <v>3</v>
      </c>
      <c r="H886" t="s">
        <v>54</v>
      </c>
      <c r="I886">
        <v>1239</v>
      </c>
      <c r="J886">
        <v>2</v>
      </c>
      <c r="K886" t="s">
        <v>34</v>
      </c>
      <c r="L886">
        <v>2</v>
      </c>
      <c r="M886">
        <v>2</v>
      </c>
      <c r="N886" t="s">
        <v>35</v>
      </c>
      <c r="O886">
        <v>2</v>
      </c>
      <c r="P886" t="s">
        <v>46</v>
      </c>
      <c r="Q886">
        <v>6852</v>
      </c>
      <c r="R886">
        <v>7</v>
      </c>
      <c r="S886" t="s">
        <v>37</v>
      </c>
      <c r="T886">
        <v>12</v>
      </c>
      <c r="U886">
        <v>3</v>
      </c>
      <c r="V886">
        <v>2</v>
      </c>
      <c r="W886">
        <v>1</v>
      </c>
      <c r="X886">
        <v>7</v>
      </c>
      <c r="Y886">
        <v>2</v>
      </c>
      <c r="Z886">
        <v>4</v>
      </c>
      <c r="AA886">
        <v>5</v>
      </c>
      <c r="AB886">
        <v>1</v>
      </c>
      <c r="AC886">
        <v>1</v>
      </c>
      <c r="AD886">
        <v>3</v>
      </c>
      <c r="AE886" t="str" cm="1">
        <f t="array" ref="AE886">_xlfn.IFS(G886=1,"Before College",G886=2,"College",G886=3,"Bachelor",G886=4,"Master",G886=5,"Doctor")</f>
        <v>Bachelor</v>
      </c>
      <c r="AF886" t="str" cm="1">
        <f t="array" ref="AF886">_xlfn.IFS(J886=1,"Low",J886=2,"Medium",J886=3,"High",J886=4,"Very High")</f>
        <v>Medium</v>
      </c>
      <c r="AG886" t="str" cm="1">
        <f t="array" ref="AG886">_xlfn.IFS(L886=1,"Low",L886=2,"Medium",L886=3,"High",L886=4,"Very High")</f>
        <v>Medium</v>
      </c>
      <c r="AH886" t="str" cm="1">
        <f t="array" ref="AH886">_xlfn.IFS(M886=1,"Junior employee",M886=2,"Mid-level",M886=3,"Senior",M886=4,"Manager",M886=5,"Executive")</f>
        <v>Mid-level</v>
      </c>
      <c r="AI886" t="str" cm="1">
        <f t="array" ref="AI886">_xlfn.IFS(O886=1,"Low",O886=2,"Medium",O886=3,"High",O886=4,"Very High")</f>
        <v>Medium</v>
      </c>
      <c r="AJ886" t="str" cm="1">
        <f t="array" ref="AJ886">_xlfn.IFS(U886=1,"Low",U886=2,"Good",U886=3,"Excellent",U886=4,"Outstanding")</f>
        <v>Excellent</v>
      </c>
      <c r="AK886" t="str" cm="1">
        <f t="array" ref="AK886">_xlfn.IFS(V886=1,"Low",V886=2,"Medium",V886=3,"High",V886=4,"Very High")</f>
        <v>Medium</v>
      </c>
      <c r="AL886" t="str" cm="1">
        <f t="array" ref="AL886">_xlfn.IFS(Z886=1,"Bad",Z886=2,"Good",Z886=3,"Better",Z886=4,"Best")</f>
        <v>Best</v>
      </c>
      <c r="AM886" t="str" cm="1">
        <f t="array" ref="AM886">_xlfn.IFS(W886=0,"No_stock",W886=1,"Low",W886=2,"Medium",W886=3,"High")</f>
        <v>Low</v>
      </c>
      <c r="AN886" t="str">
        <f t="shared" si="13"/>
        <v>Medium</v>
      </c>
    </row>
    <row r="887" spans="1:40" x14ac:dyDescent="0.45">
      <c r="A887">
        <v>25</v>
      </c>
      <c r="B887" t="s">
        <v>37</v>
      </c>
      <c r="C887" t="s">
        <v>31</v>
      </c>
      <c r="D887">
        <v>1356</v>
      </c>
      <c r="E887" t="s">
        <v>32</v>
      </c>
      <c r="F887">
        <v>10</v>
      </c>
      <c r="G887">
        <v>4</v>
      </c>
      <c r="H887" t="s">
        <v>33</v>
      </c>
      <c r="I887">
        <v>1240</v>
      </c>
      <c r="J887">
        <v>3</v>
      </c>
      <c r="K887" t="s">
        <v>40</v>
      </c>
      <c r="L887">
        <v>3</v>
      </c>
      <c r="M887">
        <v>2</v>
      </c>
      <c r="N887" t="s">
        <v>35</v>
      </c>
      <c r="O887">
        <v>4</v>
      </c>
      <c r="P887" t="s">
        <v>36</v>
      </c>
      <c r="Q887">
        <v>4950</v>
      </c>
      <c r="R887">
        <v>0</v>
      </c>
      <c r="S887" t="s">
        <v>37</v>
      </c>
      <c r="T887">
        <v>14</v>
      </c>
      <c r="U887">
        <v>3</v>
      </c>
      <c r="V887">
        <v>2</v>
      </c>
      <c r="W887">
        <v>0</v>
      </c>
      <c r="X887">
        <v>5</v>
      </c>
      <c r="Y887">
        <v>4</v>
      </c>
      <c r="Z887">
        <v>3</v>
      </c>
      <c r="AA887">
        <v>4</v>
      </c>
      <c r="AB887">
        <v>3</v>
      </c>
      <c r="AC887">
        <v>1</v>
      </c>
      <c r="AD887">
        <v>1</v>
      </c>
      <c r="AE887" t="str" cm="1">
        <f t="array" ref="AE887">_xlfn.IFS(G887=1,"Before College",G887=2,"College",G887=3,"Bachelor",G887=4,"Master",G887=5,"Doctor")</f>
        <v>Master</v>
      </c>
      <c r="AF887" t="str" cm="1">
        <f t="array" ref="AF887">_xlfn.IFS(J887=1,"Low",J887=2,"Medium",J887=3,"High",J887=4,"Very High")</f>
        <v>High</v>
      </c>
      <c r="AG887" t="str" cm="1">
        <f t="array" ref="AG887">_xlfn.IFS(L887=1,"Low",L887=2,"Medium",L887=3,"High",L887=4,"Very High")</f>
        <v>High</v>
      </c>
      <c r="AH887" t="str" cm="1">
        <f t="array" ref="AH887">_xlfn.IFS(M887=1,"Junior employee",M887=2,"Mid-level",M887=3,"Senior",M887=4,"Manager",M887=5,"Executive")</f>
        <v>Mid-level</v>
      </c>
      <c r="AI887" t="str" cm="1">
        <f t="array" ref="AI887">_xlfn.IFS(O887=1,"Low",O887=2,"Medium",O887=3,"High",O887=4,"Very High")</f>
        <v>Very High</v>
      </c>
      <c r="AJ887" t="str" cm="1">
        <f t="array" ref="AJ887">_xlfn.IFS(U887=1,"Low",U887=2,"Good",U887=3,"Excellent",U887=4,"Outstanding")</f>
        <v>Excellent</v>
      </c>
      <c r="AK887" t="str" cm="1">
        <f t="array" ref="AK887">_xlfn.IFS(V887=1,"Low",V887=2,"Medium",V887=3,"High",V887=4,"Very High")</f>
        <v>Medium</v>
      </c>
      <c r="AL887" t="str" cm="1">
        <f t="array" ref="AL887">_xlfn.IFS(Z887=1,"Bad",Z887=2,"Good",Z887=3,"Better",Z887=4,"Best")</f>
        <v>Better</v>
      </c>
      <c r="AM887" t="str" cm="1">
        <f t="array" ref="AM887">_xlfn.IFS(W887=0,"No_stock",W887=1,"Low",W887=2,"Medium",W887=3,"High")</f>
        <v>No_stock</v>
      </c>
      <c r="AN887" t="str">
        <f t="shared" si="13"/>
        <v>Medium</v>
      </c>
    </row>
    <row r="888" spans="1:40" x14ac:dyDescent="0.45">
      <c r="A888">
        <v>30</v>
      </c>
      <c r="B888" t="s">
        <v>37</v>
      </c>
      <c r="C888" t="s">
        <v>31</v>
      </c>
      <c r="D888">
        <v>1465</v>
      </c>
      <c r="E888" t="s">
        <v>39</v>
      </c>
      <c r="F888">
        <v>1</v>
      </c>
      <c r="G888">
        <v>3</v>
      </c>
      <c r="H888" t="s">
        <v>45</v>
      </c>
      <c r="I888">
        <v>1241</v>
      </c>
      <c r="J888">
        <v>4</v>
      </c>
      <c r="K888" t="s">
        <v>40</v>
      </c>
      <c r="L888">
        <v>3</v>
      </c>
      <c r="M888">
        <v>1</v>
      </c>
      <c r="N888" t="s">
        <v>41</v>
      </c>
      <c r="O888">
        <v>2</v>
      </c>
      <c r="P888" t="s">
        <v>42</v>
      </c>
      <c r="Q888">
        <v>3579</v>
      </c>
      <c r="R888">
        <v>0</v>
      </c>
      <c r="S888" t="s">
        <v>30</v>
      </c>
      <c r="T888">
        <v>21</v>
      </c>
      <c r="U888">
        <v>4</v>
      </c>
      <c r="V888">
        <v>1</v>
      </c>
      <c r="W888">
        <v>1</v>
      </c>
      <c r="X888">
        <v>12</v>
      </c>
      <c r="Y888">
        <v>2</v>
      </c>
      <c r="Z888">
        <v>3</v>
      </c>
      <c r="AA888">
        <v>11</v>
      </c>
      <c r="AB888">
        <v>9</v>
      </c>
      <c r="AC888">
        <v>5</v>
      </c>
      <c r="AD888">
        <v>7</v>
      </c>
      <c r="AE888" t="str" cm="1">
        <f t="array" ref="AE888">_xlfn.IFS(G888=1,"Before College",G888=2,"College",G888=3,"Bachelor",G888=4,"Master",G888=5,"Doctor")</f>
        <v>Bachelor</v>
      </c>
      <c r="AF888" t="str" cm="1">
        <f t="array" ref="AF888">_xlfn.IFS(J888=1,"Low",J888=2,"Medium",J888=3,"High",J888=4,"Very High")</f>
        <v>Very High</v>
      </c>
      <c r="AG888" t="str" cm="1">
        <f t="array" ref="AG888">_xlfn.IFS(L888=1,"Low",L888=2,"Medium",L888=3,"High",L888=4,"Very High")</f>
        <v>High</v>
      </c>
      <c r="AH888" t="str" cm="1">
        <f t="array" ref="AH888">_xlfn.IFS(M888=1,"Junior employee",M888=2,"Mid-level",M888=3,"Senior",M888=4,"Manager",M888=5,"Executive")</f>
        <v>Junior employee</v>
      </c>
      <c r="AI888" t="str" cm="1">
        <f t="array" ref="AI888">_xlfn.IFS(O888=1,"Low",O888=2,"Medium",O888=3,"High",O888=4,"Very High")</f>
        <v>Medium</v>
      </c>
      <c r="AJ888" t="str" cm="1">
        <f t="array" ref="AJ888">_xlfn.IFS(U888=1,"Low",U888=2,"Good",U888=3,"Excellent",U888=4,"Outstanding")</f>
        <v>Outstanding</v>
      </c>
      <c r="AK888" t="str" cm="1">
        <f t="array" ref="AK888">_xlfn.IFS(V888=1,"Low",V888=2,"Medium",V888=3,"High",V888=4,"Very High")</f>
        <v>Low</v>
      </c>
      <c r="AL888" t="str" cm="1">
        <f t="array" ref="AL888">_xlfn.IFS(Z888=1,"Bad",Z888=2,"Good",Z888=3,"Better",Z888=4,"Best")</f>
        <v>Better</v>
      </c>
      <c r="AM888" t="str" cm="1">
        <f t="array" ref="AM888">_xlfn.IFS(W888=0,"No_stock",W888=1,"Low",W888=2,"Medium",W888=3,"High")</f>
        <v>Low</v>
      </c>
      <c r="AN888" t="str">
        <f t="shared" si="13"/>
        <v>Near</v>
      </c>
    </row>
    <row r="889" spans="1:40" x14ac:dyDescent="0.45">
      <c r="A889">
        <v>42</v>
      </c>
      <c r="B889" t="s">
        <v>37</v>
      </c>
      <c r="C889" t="s">
        <v>38</v>
      </c>
      <c r="D889">
        <v>458</v>
      </c>
      <c r="E889" t="s">
        <v>39</v>
      </c>
      <c r="F889">
        <v>26</v>
      </c>
      <c r="G889">
        <v>5</v>
      </c>
      <c r="H889" t="s">
        <v>45</v>
      </c>
      <c r="I889">
        <v>1242</v>
      </c>
      <c r="J889">
        <v>1</v>
      </c>
      <c r="K889" t="s">
        <v>34</v>
      </c>
      <c r="L889">
        <v>3</v>
      </c>
      <c r="M889">
        <v>3</v>
      </c>
      <c r="N889" t="s">
        <v>52</v>
      </c>
      <c r="O889">
        <v>1</v>
      </c>
      <c r="P889" t="s">
        <v>42</v>
      </c>
      <c r="Q889">
        <v>13191</v>
      </c>
      <c r="R889">
        <v>3</v>
      </c>
      <c r="S889" t="s">
        <v>30</v>
      </c>
      <c r="T889">
        <v>17</v>
      </c>
      <c r="U889">
        <v>3</v>
      </c>
      <c r="V889">
        <v>3</v>
      </c>
      <c r="W889">
        <v>0</v>
      </c>
      <c r="X889">
        <v>20</v>
      </c>
      <c r="Y889">
        <v>6</v>
      </c>
      <c r="Z889">
        <v>3</v>
      </c>
      <c r="AA889">
        <v>1</v>
      </c>
      <c r="AB889">
        <v>0</v>
      </c>
      <c r="AC889">
        <v>0</v>
      </c>
      <c r="AD889">
        <v>0</v>
      </c>
      <c r="AE889" t="str" cm="1">
        <f t="array" ref="AE889">_xlfn.IFS(G889=1,"Before College",G889=2,"College",G889=3,"Bachelor",G889=4,"Master",G889=5,"Doctor")</f>
        <v>Doctor</v>
      </c>
      <c r="AF889" t="str" cm="1">
        <f t="array" ref="AF889">_xlfn.IFS(J889=1,"Low",J889=2,"Medium",J889=3,"High",J889=4,"Very High")</f>
        <v>Low</v>
      </c>
      <c r="AG889" t="str" cm="1">
        <f t="array" ref="AG889">_xlfn.IFS(L889=1,"Low",L889=2,"Medium",L889=3,"High",L889=4,"Very High")</f>
        <v>High</v>
      </c>
      <c r="AH889" t="str" cm="1">
        <f t="array" ref="AH889">_xlfn.IFS(M889=1,"Junior employee",M889=2,"Mid-level",M889=3,"Senior",M889=4,"Manager",M889=5,"Executive")</f>
        <v>Senior</v>
      </c>
      <c r="AI889" t="str" cm="1">
        <f t="array" ref="AI889">_xlfn.IFS(O889=1,"Low",O889=2,"Medium",O889=3,"High",O889=4,"Very High")</f>
        <v>Low</v>
      </c>
      <c r="AJ889" t="str" cm="1">
        <f t="array" ref="AJ889">_xlfn.IFS(U889=1,"Low",U889=2,"Good",U889=3,"Excellent",U889=4,"Outstanding")</f>
        <v>Excellent</v>
      </c>
      <c r="AK889" t="str" cm="1">
        <f t="array" ref="AK889">_xlfn.IFS(V889=1,"Low",V889=2,"Medium",V889=3,"High",V889=4,"Very High")</f>
        <v>High</v>
      </c>
      <c r="AL889" t="str" cm="1">
        <f t="array" ref="AL889">_xlfn.IFS(Z889=1,"Bad",Z889=2,"Good",Z889=3,"Better",Z889=4,"Best")</f>
        <v>Better</v>
      </c>
      <c r="AM889" t="str" cm="1">
        <f t="array" ref="AM889">_xlfn.IFS(W889=0,"No_stock",W889=1,"Low",W889=2,"Medium",W889=3,"High")</f>
        <v>No_stock</v>
      </c>
      <c r="AN889" t="str">
        <f t="shared" si="13"/>
        <v>Far</v>
      </c>
    </row>
    <row r="890" spans="1:40" x14ac:dyDescent="0.45">
      <c r="A890">
        <v>35</v>
      </c>
      <c r="B890" t="s">
        <v>37</v>
      </c>
      <c r="C890" t="s">
        <v>49</v>
      </c>
      <c r="D890">
        <v>1212</v>
      </c>
      <c r="E890" t="s">
        <v>32</v>
      </c>
      <c r="F890">
        <v>8</v>
      </c>
      <c r="G890">
        <v>2</v>
      </c>
      <c r="H890" t="s">
        <v>53</v>
      </c>
      <c r="I890">
        <v>1243</v>
      </c>
      <c r="J890">
        <v>3</v>
      </c>
      <c r="K890" t="s">
        <v>34</v>
      </c>
      <c r="L890">
        <v>2</v>
      </c>
      <c r="M890">
        <v>3</v>
      </c>
      <c r="N890" t="s">
        <v>35</v>
      </c>
      <c r="O890">
        <v>4</v>
      </c>
      <c r="P890" t="s">
        <v>42</v>
      </c>
      <c r="Q890">
        <v>10377</v>
      </c>
      <c r="R890">
        <v>4</v>
      </c>
      <c r="S890" t="s">
        <v>30</v>
      </c>
      <c r="T890">
        <v>11</v>
      </c>
      <c r="U890">
        <v>3</v>
      </c>
      <c r="V890">
        <v>2</v>
      </c>
      <c r="W890">
        <v>1</v>
      </c>
      <c r="X890">
        <v>16</v>
      </c>
      <c r="Y890">
        <v>6</v>
      </c>
      <c r="Z890">
        <v>2</v>
      </c>
      <c r="AA890">
        <v>13</v>
      </c>
      <c r="AB890">
        <v>2</v>
      </c>
      <c r="AC890">
        <v>4</v>
      </c>
      <c r="AD890">
        <v>12</v>
      </c>
      <c r="AE890" t="str" cm="1">
        <f t="array" ref="AE890">_xlfn.IFS(G890=1,"Before College",G890=2,"College",G890=3,"Bachelor",G890=4,"Master",G890=5,"Doctor")</f>
        <v>College</v>
      </c>
      <c r="AF890" t="str" cm="1">
        <f t="array" ref="AF890">_xlfn.IFS(J890=1,"Low",J890=2,"Medium",J890=3,"High",J890=4,"Very High")</f>
        <v>High</v>
      </c>
      <c r="AG890" t="str" cm="1">
        <f t="array" ref="AG890">_xlfn.IFS(L890=1,"Low",L890=2,"Medium",L890=3,"High",L890=4,"Very High")</f>
        <v>Medium</v>
      </c>
      <c r="AH890" t="str" cm="1">
        <f t="array" ref="AH890">_xlfn.IFS(M890=1,"Junior employee",M890=2,"Mid-level",M890=3,"Senior",M890=4,"Manager",M890=5,"Executive")</f>
        <v>Senior</v>
      </c>
      <c r="AI890" t="str" cm="1">
        <f t="array" ref="AI890">_xlfn.IFS(O890=1,"Low",O890=2,"Medium",O890=3,"High",O890=4,"Very High")</f>
        <v>Very High</v>
      </c>
      <c r="AJ890" t="str" cm="1">
        <f t="array" ref="AJ890">_xlfn.IFS(U890=1,"Low",U890=2,"Good",U890=3,"Excellent",U890=4,"Outstanding")</f>
        <v>Excellent</v>
      </c>
      <c r="AK890" t="str" cm="1">
        <f t="array" ref="AK890">_xlfn.IFS(V890=1,"Low",V890=2,"Medium",V890=3,"High",V890=4,"Very High")</f>
        <v>Medium</v>
      </c>
      <c r="AL890" t="str" cm="1">
        <f t="array" ref="AL890">_xlfn.IFS(Z890=1,"Bad",Z890=2,"Good",Z890=3,"Better",Z890=4,"Best")</f>
        <v>Good</v>
      </c>
      <c r="AM890" t="str" cm="1">
        <f t="array" ref="AM890">_xlfn.IFS(W890=0,"No_stock",W890=1,"Low",W890=2,"Medium",W890=3,"High")</f>
        <v>Low</v>
      </c>
      <c r="AN890" t="str">
        <f t="shared" si="13"/>
        <v>Medium</v>
      </c>
    </row>
    <row r="891" spans="1:40" x14ac:dyDescent="0.45">
      <c r="A891">
        <v>27</v>
      </c>
      <c r="B891" t="s">
        <v>37</v>
      </c>
      <c r="C891" t="s">
        <v>31</v>
      </c>
      <c r="D891">
        <v>1103</v>
      </c>
      <c r="E891" t="s">
        <v>39</v>
      </c>
      <c r="F891">
        <v>14</v>
      </c>
      <c r="G891">
        <v>3</v>
      </c>
      <c r="H891" t="s">
        <v>33</v>
      </c>
      <c r="I891">
        <v>1244</v>
      </c>
      <c r="J891">
        <v>1</v>
      </c>
      <c r="K891" t="s">
        <v>40</v>
      </c>
      <c r="L891">
        <v>3</v>
      </c>
      <c r="M891">
        <v>1</v>
      </c>
      <c r="N891" t="s">
        <v>41</v>
      </c>
      <c r="O891">
        <v>1</v>
      </c>
      <c r="P891" t="s">
        <v>42</v>
      </c>
      <c r="Q891">
        <v>2235</v>
      </c>
      <c r="R891">
        <v>1</v>
      </c>
      <c r="S891" t="s">
        <v>30</v>
      </c>
      <c r="T891">
        <v>14</v>
      </c>
      <c r="U891">
        <v>3</v>
      </c>
      <c r="V891">
        <v>4</v>
      </c>
      <c r="W891">
        <v>2</v>
      </c>
      <c r="X891">
        <v>9</v>
      </c>
      <c r="Y891">
        <v>3</v>
      </c>
      <c r="Z891">
        <v>2</v>
      </c>
      <c r="AA891">
        <v>9</v>
      </c>
      <c r="AB891">
        <v>7</v>
      </c>
      <c r="AC891">
        <v>6</v>
      </c>
      <c r="AD891">
        <v>8</v>
      </c>
      <c r="AE891" t="str" cm="1">
        <f t="array" ref="AE891">_xlfn.IFS(G891=1,"Before College",G891=2,"College",G891=3,"Bachelor",G891=4,"Master",G891=5,"Doctor")</f>
        <v>Bachelor</v>
      </c>
      <c r="AF891" t="str" cm="1">
        <f t="array" ref="AF891">_xlfn.IFS(J891=1,"Low",J891=2,"Medium",J891=3,"High",J891=4,"Very High")</f>
        <v>Low</v>
      </c>
      <c r="AG891" t="str" cm="1">
        <f t="array" ref="AG891">_xlfn.IFS(L891=1,"Low",L891=2,"Medium",L891=3,"High",L891=4,"Very High")</f>
        <v>High</v>
      </c>
      <c r="AH891" t="str" cm="1">
        <f t="array" ref="AH891">_xlfn.IFS(M891=1,"Junior employee",M891=2,"Mid-level",M891=3,"Senior",M891=4,"Manager",M891=5,"Executive")</f>
        <v>Junior employee</v>
      </c>
      <c r="AI891" t="str" cm="1">
        <f t="array" ref="AI891">_xlfn.IFS(O891=1,"Low",O891=2,"Medium",O891=3,"High",O891=4,"Very High")</f>
        <v>Low</v>
      </c>
      <c r="AJ891" t="str" cm="1">
        <f t="array" ref="AJ891">_xlfn.IFS(U891=1,"Low",U891=2,"Good",U891=3,"Excellent",U891=4,"Outstanding")</f>
        <v>Excellent</v>
      </c>
      <c r="AK891" t="str" cm="1">
        <f t="array" ref="AK891">_xlfn.IFS(V891=1,"Low",V891=2,"Medium",V891=3,"High",V891=4,"Very High")</f>
        <v>Very High</v>
      </c>
      <c r="AL891" t="str" cm="1">
        <f t="array" ref="AL891">_xlfn.IFS(Z891=1,"Bad",Z891=2,"Good",Z891=3,"Better",Z891=4,"Best")</f>
        <v>Good</v>
      </c>
      <c r="AM891" t="str" cm="1">
        <f t="array" ref="AM891">_xlfn.IFS(W891=0,"No_stock",W891=1,"Low",W891=2,"Medium",W891=3,"High")</f>
        <v>Medium</v>
      </c>
      <c r="AN891" t="str">
        <f t="shared" si="13"/>
        <v>Medium</v>
      </c>
    </row>
    <row r="892" spans="1:40" x14ac:dyDescent="0.45">
      <c r="A892">
        <v>54</v>
      </c>
      <c r="B892" t="s">
        <v>37</v>
      </c>
      <c r="C892" t="s">
        <v>38</v>
      </c>
      <c r="D892">
        <v>966</v>
      </c>
      <c r="E892" t="s">
        <v>39</v>
      </c>
      <c r="F892">
        <v>1</v>
      </c>
      <c r="G892">
        <v>4</v>
      </c>
      <c r="H892" t="s">
        <v>33</v>
      </c>
      <c r="I892">
        <v>1245</v>
      </c>
      <c r="J892">
        <v>4</v>
      </c>
      <c r="K892" t="s">
        <v>34</v>
      </c>
      <c r="L892">
        <v>3</v>
      </c>
      <c r="M892">
        <v>3</v>
      </c>
      <c r="N892" t="s">
        <v>47</v>
      </c>
      <c r="O892">
        <v>3</v>
      </c>
      <c r="P892" t="s">
        <v>46</v>
      </c>
      <c r="Q892">
        <v>10502</v>
      </c>
      <c r="R892">
        <v>7</v>
      </c>
      <c r="S892" t="s">
        <v>37</v>
      </c>
      <c r="T892">
        <v>17</v>
      </c>
      <c r="U892">
        <v>3</v>
      </c>
      <c r="V892">
        <v>1</v>
      </c>
      <c r="W892">
        <v>1</v>
      </c>
      <c r="X892">
        <v>33</v>
      </c>
      <c r="Y892">
        <v>2</v>
      </c>
      <c r="Z892">
        <v>1</v>
      </c>
      <c r="AA892">
        <v>5</v>
      </c>
      <c r="AB892">
        <v>4</v>
      </c>
      <c r="AC892">
        <v>1</v>
      </c>
      <c r="AD892">
        <v>4</v>
      </c>
      <c r="AE892" t="str" cm="1">
        <f t="array" ref="AE892">_xlfn.IFS(G892=1,"Before College",G892=2,"College",G892=3,"Bachelor",G892=4,"Master",G892=5,"Doctor")</f>
        <v>Master</v>
      </c>
      <c r="AF892" t="str" cm="1">
        <f t="array" ref="AF892">_xlfn.IFS(J892=1,"Low",J892=2,"Medium",J892=3,"High",J892=4,"Very High")</f>
        <v>Very High</v>
      </c>
      <c r="AG892" t="str" cm="1">
        <f t="array" ref="AG892">_xlfn.IFS(L892=1,"Low",L892=2,"Medium",L892=3,"High",L892=4,"Very High")</f>
        <v>High</v>
      </c>
      <c r="AH892" t="str" cm="1">
        <f t="array" ref="AH892">_xlfn.IFS(M892=1,"Junior employee",M892=2,"Mid-level",M892=3,"Senior",M892=4,"Manager",M892=5,"Executive")</f>
        <v>Senior</v>
      </c>
      <c r="AI892" t="str" cm="1">
        <f t="array" ref="AI892">_xlfn.IFS(O892=1,"Low",O892=2,"Medium",O892=3,"High",O892=4,"Very High")</f>
        <v>High</v>
      </c>
      <c r="AJ892" t="str" cm="1">
        <f t="array" ref="AJ892">_xlfn.IFS(U892=1,"Low",U892=2,"Good",U892=3,"Excellent",U892=4,"Outstanding")</f>
        <v>Excellent</v>
      </c>
      <c r="AK892" t="str" cm="1">
        <f t="array" ref="AK892">_xlfn.IFS(V892=1,"Low",V892=2,"Medium",V892=3,"High",V892=4,"Very High")</f>
        <v>Low</v>
      </c>
      <c r="AL892" t="str" cm="1">
        <f t="array" ref="AL892">_xlfn.IFS(Z892=1,"Bad",Z892=2,"Good",Z892=3,"Better",Z892=4,"Best")</f>
        <v>Bad</v>
      </c>
      <c r="AM892" t="str" cm="1">
        <f t="array" ref="AM892">_xlfn.IFS(W892=0,"No_stock",W892=1,"Low",W892=2,"Medium",W892=3,"High")</f>
        <v>Low</v>
      </c>
      <c r="AN892" t="str">
        <f t="shared" si="13"/>
        <v>Near</v>
      </c>
    </row>
    <row r="893" spans="1:40" x14ac:dyDescent="0.45">
      <c r="A893">
        <v>44</v>
      </c>
      <c r="B893" t="s">
        <v>37</v>
      </c>
      <c r="C893" t="s">
        <v>31</v>
      </c>
      <c r="D893">
        <v>1117</v>
      </c>
      <c r="E893" t="s">
        <v>39</v>
      </c>
      <c r="F893">
        <v>2</v>
      </c>
      <c r="G893">
        <v>1</v>
      </c>
      <c r="H893" t="s">
        <v>33</v>
      </c>
      <c r="I893">
        <v>1246</v>
      </c>
      <c r="J893">
        <v>1</v>
      </c>
      <c r="K893" t="s">
        <v>34</v>
      </c>
      <c r="L893">
        <v>4</v>
      </c>
      <c r="M893">
        <v>1</v>
      </c>
      <c r="N893" t="s">
        <v>41</v>
      </c>
      <c r="O893">
        <v>4</v>
      </c>
      <c r="P893" t="s">
        <v>42</v>
      </c>
      <c r="Q893">
        <v>2011</v>
      </c>
      <c r="R893">
        <v>1</v>
      </c>
      <c r="S893" t="s">
        <v>37</v>
      </c>
      <c r="T893">
        <v>13</v>
      </c>
      <c r="U893">
        <v>3</v>
      </c>
      <c r="V893">
        <v>4</v>
      </c>
      <c r="W893">
        <v>1</v>
      </c>
      <c r="X893">
        <v>10</v>
      </c>
      <c r="Y893">
        <v>5</v>
      </c>
      <c r="Z893">
        <v>3</v>
      </c>
      <c r="AA893">
        <v>10</v>
      </c>
      <c r="AB893">
        <v>5</v>
      </c>
      <c r="AC893">
        <v>7</v>
      </c>
      <c r="AD893">
        <v>7</v>
      </c>
      <c r="AE893" t="str" cm="1">
        <f t="array" ref="AE893">_xlfn.IFS(G893=1,"Before College",G893=2,"College",G893=3,"Bachelor",G893=4,"Master",G893=5,"Doctor")</f>
        <v>Before College</v>
      </c>
      <c r="AF893" t="str" cm="1">
        <f t="array" ref="AF893">_xlfn.IFS(J893=1,"Low",J893=2,"Medium",J893=3,"High",J893=4,"Very High")</f>
        <v>Low</v>
      </c>
      <c r="AG893" t="str" cm="1">
        <f t="array" ref="AG893">_xlfn.IFS(L893=1,"Low",L893=2,"Medium",L893=3,"High",L893=4,"Very High")</f>
        <v>Very High</v>
      </c>
      <c r="AH893" t="str" cm="1">
        <f t="array" ref="AH893">_xlfn.IFS(M893=1,"Junior employee",M893=2,"Mid-level",M893=3,"Senior",M893=4,"Manager",M893=5,"Executive")</f>
        <v>Junior employee</v>
      </c>
      <c r="AI893" t="str" cm="1">
        <f t="array" ref="AI893">_xlfn.IFS(O893=1,"Low",O893=2,"Medium",O893=3,"High",O893=4,"Very High")</f>
        <v>Very High</v>
      </c>
      <c r="AJ893" t="str" cm="1">
        <f t="array" ref="AJ893">_xlfn.IFS(U893=1,"Low",U893=2,"Good",U893=3,"Excellent",U893=4,"Outstanding")</f>
        <v>Excellent</v>
      </c>
      <c r="AK893" t="str" cm="1">
        <f t="array" ref="AK893">_xlfn.IFS(V893=1,"Low",V893=2,"Medium",V893=3,"High",V893=4,"Very High")</f>
        <v>Very High</v>
      </c>
      <c r="AL893" t="str" cm="1">
        <f t="array" ref="AL893">_xlfn.IFS(Z893=1,"Bad",Z893=2,"Good",Z893=3,"Better",Z893=4,"Best")</f>
        <v>Better</v>
      </c>
      <c r="AM893" t="str" cm="1">
        <f t="array" ref="AM893">_xlfn.IFS(W893=0,"No_stock",W893=1,"Low",W893=2,"Medium",W893=3,"High")</f>
        <v>Low</v>
      </c>
      <c r="AN893" t="str">
        <f t="shared" si="13"/>
        <v>Near</v>
      </c>
    </row>
    <row r="894" spans="1:40" x14ac:dyDescent="0.45">
      <c r="A894">
        <v>19</v>
      </c>
      <c r="B894" t="s">
        <v>30</v>
      </c>
      <c r="C894" t="s">
        <v>49</v>
      </c>
      <c r="D894">
        <v>504</v>
      </c>
      <c r="E894" t="s">
        <v>39</v>
      </c>
      <c r="F894">
        <v>10</v>
      </c>
      <c r="G894">
        <v>3</v>
      </c>
      <c r="H894" t="s">
        <v>45</v>
      </c>
      <c r="I894">
        <v>1248</v>
      </c>
      <c r="J894">
        <v>1</v>
      </c>
      <c r="K894" t="s">
        <v>34</v>
      </c>
      <c r="L894">
        <v>2</v>
      </c>
      <c r="M894">
        <v>1</v>
      </c>
      <c r="N894" t="s">
        <v>41</v>
      </c>
      <c r="O894">
        <v>2</v>
      </c>
      <c r="P894" t="s">
        <v>36</v>
      </c>
      <c r="Q894">
        <v>1859</v>
      </c>
      <c r="R894">
        <v>1</v>
      </c>
      <c r="S894" t="s">
        <v>30</v>
      </c>
      <c r="T894">
        <v>25</v>
      </c>
      <c r="U894">
        <v>4</v>
      </c>
      <c r="V894">
        <v>2</v>
      </c>
      <c r="W894">
        <v>0</v>
      </c>
      <c r="X894">
        <v>1</v>
      </c>
      <c r="Y894">
        <v>2</v>
      </c>
      <c r="Z894">
        <v>4</v>
      </c>
      <c r="AA894">
        <v>1</v>
      </c>
      <c r="AB894">
        <v>1</v>
      </c>
      <c r="AC894">
        <v>0</v>
      </c>
      <c r="AD894">
        <v>0</v>
      </c>
      <c r="AE894" t="str" cm="1">
        <f t="array" ref="AE894">_xlfn.IFS(G894=1,"Before College",G894=2,"College",G894=3,"Bachelor",G894=4,"Master",G894=5,"Doctor")</f>
        <v>Bachelor</v>
      </c>
      <c r="AF894" t="str" cm="1">
        <f t="array" ref="AF894">_xlfn.IFS(J894=1,"Low",J894=2,"Medium",J894=3,"High",J894=4,"Very High")</f>
        <v>Low</v>
      </c>
      <c r="AG894" t="str" cm="1">
        <f t="array" ref="AG894">_xlfn.IFS(L894=1,"Low",L894=2,"Medium",L894=3,"High",L894=4,"Very High")</f>
        <v>Medium</v>
      </c>
      <c r="AH894" t="str" cm="1">
        <f t="array" ref="AH894">_xlfn.IFS(M894=1,"Junior employee",M894=2,"Mid-level",M894=3,"Senior",M894=4,"Manager",M894=5,"Executive")</f>
        <v>Junior employee</v>
      </c>
      <c r="AI894" t="str" cm="1">
        <f t="array" ref="AI894">_xlfn.IFS(O894=1,"Low",O894=2,"Medium",O894=3,"High",O894=4,"Very High")</f>
        <v>Medium</v>
      </c>
      <c r="AJ894" t="str" cm="1">
        <f t="array" ref="AJ894">_xlfn.IFS(U894=1,"Low",U894=2,"Good",U894=3,"Excellent",U894=4,"Outstanding")</f>
        <v>Outstanding</v>
      </c>
      <c r="AK894" t="str" cm="1">
        <f t="array" ref="AK894">_xlfn.IFS(V894=1,"Low",V894=2,"Medium",V894=3,"High",V894=4,"Very High")</f>
        <v>Medium</v>
      </c>
      <c r="AL894" t="str" cm="1">
        <f t="array" ref="AL894">_xlfn.IFS(Z894=1,"Bad",Z894=2,"Good",Z894=3,"Better",Z894=4,"Best")</f>
        <v>Best</v>
      </c>
      <c r="AM894" t="str" cm="1">
        <f t="array" ref="AM894">_xlfn.IFS(W894=0,"No_stock",W894=1,"Low",W894=2,"Medium",W894=3,"High")</f>
        <v>No_stock</v>
      </c>
      <c r="AN894" t="str">
        <f t="shared" si="13"/>
        <v>Medium</v>
      </c>
    </row>
    <row r="895" spans="1:40" x14ac:dyDescent="0.45">
      <c r="A895">
        <v>29</v>
      </c>
      <c r="B895" t="s">
        <v>37</v>
      </c>
      <c r="C895" t="s">
        <v>31</v>
      </c>
      <c r="D895">
        <v>1010</v>
      </c>
      <c r="E895" t="s">
        <v>39</v>
      </c>
      <c r="F895">
        <v>1</v>
      </c>
      <c r="G895">
        <v>3</v>
      </c>
      <c r="H895" t="s">
        <v>33</v>
      </c>
      <c r="I895">
        <v>1249</v>
      </c>
      <c r="J895">
        <v>1</v>
      </c>
      <c r="K895" t="s">
        <v>34</v>
      </c>
      <c r="L895">
        <v>3</v>
      </c>
      <c r="M895">
        <v>1</v>
      </c>
      <c r="N895" t="s">
        <v>41</v>
      </c>
      <c r="O895">
        <v>4</v>
      </c>
      <c r="P895" t="s">
        <v>46</v>
      </c>
      <c r="Q895">
        <v>3760</v>
      </c>
      <c r="R895">
        <v>1</v>
      </c>
      <c r="S895" t="s">
        <v>37</v>
      </c>
      <c r="T895">
        <v>15</v>
      </c>
      <c r="U895">
        <v>3</v>
      </c>
      <c r="V895">
        <v>1</v>
      </c>
      <c r="W895">
        <v>3</v>
      </c>
      <c r="X895">
        <v>3</v>
      </c>
      <c r="Y895">
        <v>5</v>
      </c>
      <c r="Z895">
        <v>3</v>
      </c>
      <c r="AA895">
        <v>3</v>
      </c>
      <c r="AB895">
        <v>2</v>
      </c>
      <c r="AC895">
        <v>1</v>
      </c>
      <c r="AD895">
        <v>2</v>
      </c>
      <c r="AE895" t="str" cm="1">
        <f t="array" ref="AE895">_xlfn.IFS(G895=1,"Before College",G895=2,"College",G895=3,"Bachelor",G895=4,"Master",G895=5,"Doctor")</f>
        <v>Bachelor</v>
      </c>
      <c r="AF895" t="str" cm="1">
        <f t="array" ref="AF895">_xlfn.IFS(J895=1,"Low",J895=2,"Medium",J895=3,"High",J895=4,"Very High")</f>
        <v>Low</v>
      </c>
      <c r="AG895" t="str" cm="1">
        <f t="array" ref="AG895">_xlfn.IFS(L895=1,"Low",L895=2,"Medium",L895=3,"High",L895=4,"Very High")</f>
        <v>High</v>
      </c>
      <c r="AH895" t="str" cm="1">
        <f t="array" ref="AH895">_xlfn.IFS(M895=1,"Junior employee",M895=2,"Mid-level",M895=3,"Senior",M895=4,"Manager",M895=5,"Executive")</f>
        <v>Junior employee</v>
      </c>
      <c r="AI895" t="str" cm="1">
        <f t="array" ref="AI895">_xlfn.IFS(O895=1,"Low",O895=2,"Medium",O895=3,"High",O895=4,"Very High")</f>
        <v>Very High</v>
      </c>
      <c r="AJ895" t="str" cm="1">
        <f t="array" ref="AJ895">_xlfn.IFS(U895=1,"Low",U895=2,"Good",U895=3,"Excellent",U895=4,"Outstanding")</f>
        <v>Excellent</v>
      </c>
      <c r="AK895" t="str" cm="1">
        <f t="array" ref="AK895">_xlfn.IFS(V895=1,"Low",V895=2,"Medium",V895=3,"High",V895=4,"Very High")</f>
        <v>Low</v>
      </c>
      <c r="AL895" t="str" cm="1">
        <f t="array" ref="AL895">_xlfn.IFS(Z895=1,"Bad",Z895=2,"Good",Z895=3,"Better",Z895=4,"Best")</f>
        <v>Better</v>
      </c>
      <c r="AM895" t="str" cm="1">
        <f t="array" ref="AM895">_xlfn.IFS(W895=0,"No_stock",W895=1,"Low",W895=2,"Medium",W895=3,"High")</f>
        <v>High</v>
      </c>
      <c r="AN895" t="str">
        <f t="shared" si="13"/>
        <v>Near</v>
      </c>
    </row>
    <row r="896" spans="1:40" x14ac:dyDescent="0.45">
      <c r="A896">
        <v>54</v>
      </c>
      <c r="B896" t="s">
        <v>37</v>
      </c>
      <c r="C896" t="s">
        <v>31</v>
      </c>
      <c r="D896">
        <v>685</v>
      </c>
      <c r="E896" t="s">
        <v>39</v>
      </c>
      <c r="F896">
        <v>3</v>
      </c>
      <c r="G896">
        <v>3</v>
      </c>
      <c r="H896" t="s">
        <v>33</v>
      </c>
      <c r="I896">
        <v>1250</v>
      </c>
      <c r="J896">
        <v>4</v>
      </c>
      <c r="K896" t="s">
        <v>40</v>
      </c>
      <c r="L896">
        <v>3</v>
      </c>
      <c r="M896">
        <v>4</v>
      </c>
      <c r="N896" t="s">
        <v>52</v>
      </c>
      <c r="O896">
        <v>4</v>
      </c>
      <c r="P896" t="s">
        <v>42</v>
      </c>
      <c r="Q896">
        <v>17779</v>
      </c>
      <c r="R896">
        <v>3</v>
      </c>
      <c r="S896" t="s">
        <v>37</v>
      </c>
      <c r="T896">
        <v>14</v>
      </c>
      <c r="U896">
        <v>3</v>
      </c>
      <c r="V896">
        <v>1</v>
      </c>
      <c r="W896">
        <v>0</v>
      </c>
      <c r="X896">
        <v>36</v>
      </c>
      <c r="Y896">
        <v>2</v>
      </c>
      <c r="Z896">
        <v>3</v>
      </c>
      <c r="AA896">
        <v>10</v>
      </c>
      <c r="AB896">
        <v>9</v>
      </c>
      <c r="AC896">
        <v>0</v>
      </c>
      <c r="AD896">
        <v>9</v>
      </c>
      <c r="AE896" t="str" cm="1">
        <f t="array" ref="AE896">_xlfn.IFS(G896=1,"Before College",G896=2,"College",G896=3,"Bachelor",G896=4,"Master",G896=5,"Doctor")</f>
        <v>Bachelor</v>
      </c>
      <c r="AF896" t="str" cm="1">
        <f t="array" ref="AF896">_xlfn.IFS(J896=1,"Low",J896=2,"Medium",J896=3,"High",J896=4,"Very High")</f>
        <v>Very High</v>
      </c>
      <c r="AG896" t="str" cm="1">
        <f t="array" ref="AG896">_xlfn.IFS(L896=1,"Low",L896=2,"Medium",L896=3,"High",L896=4,"Very High")</f>
        <v>High</v>
      </c>
      <c r="AH896" t="str" cm="1">
        <f t="array" ref="AH896">_xlfn.IFS(M896=1,"Junior employee",M896=2,"Mid-level",M896=3,"Senior",M896=4,"Manager",M896=5,"Executive")</f>
        <v>Manager</v>
      </c>
      <c r="AI896" t="str" cm="1">
        <f t="array" ref="AI896">_xlfn.IFS(O896=1,"Low",O896=2,"Medium",O896=3,"High",O896=4,"Very High")</f>
        <v>Very High</v>
      </c>
      <c r="AJ896" t="str" cm="1">
        <f t="array" ref="AJ896">_xlfn.IFS(U896=1,"Low",U896=2,"Good",U896=3,"Excellent",U896=4,"Outstanding")</f>
        <v>Excellent</v>
      </c>
      <c r="AK896" t="str" cm="1">
        <f t="array" ref="AK896">_xlfn.IFS(V896=1,"Low",V896=2,"Medium",V896=3,"High",V896=4,"Very High")</f>
        <v>Low</v>
      </c>
      <c r="AL896" t="str" cm="1">
        <f t="array" ref="AL896">_xlfn.IFS(Z896=1,"Bad",Z896=2,"Good",Z896=3,"Better",Z896=4,"Best")</f>
        <v>Better</v>
      </c>
      <c r="AM896" t="str" cm="1">
        <f t="array" ref="AM896">_xlfn.IFS(W896=0,"No_stock",W896=1,"Low",W896=2,"Medium",W896=3,"High")</f>
        <v>No_stock</v>
      </c>
      <c r="AN896" t="str">
        <f t="shared" si="13"/>
        <v>Near</v>
      </c>
    </row>
    <row r="897" spans="1:40" x14ac:dyDescent="0.45">
      <c r="A897">
        <v>31</v>
      </c>
      <c r="B897" t="s">
        <v>37</v>
      </c>
      <c r="C897" t="s">
        <v>31</v>
      </c>
      <c r="D897">
        <v>1332</v>
      </c>
      <c r="E897" t="s">
        <v>39</v>
      </c>
      <c r="F897">
        <v>11</v>
      </c>
      <c r="G897">
        <v>2</v>
      </c>
      <c r="H897" t="s">
        <v>45</v>
      </c>
      <c r="I897">
        <v>1251</v>
      </c>
      <c r="J897">
        <v>3</v>
      </c>
      <c r="K897" t="s">
        <v>40</v>
      </c>
      <c r="L897">
        <v>3</v>
      </c>
      <c r="M897">
        <v>2</v>
      </c>
      <c r="N897" t="s">
        <v>48</v>
      </c>
      <c r="O897">
        <v>1</v>
      </c>
      <c r="P897" t="s">
        <v>42</v>
      </c>
      <c r="Q897">
        <v>6833</v>
      </c>
      <c r="R897">
        <v>1</v>
      </c>
      <c r="S897" t="s">
        <v>30</v>
      </c>
      <c r="T897">
        <v>12</v>
      </c>
      <c r="U897">
        <v>3</v>
      </c>
      <c r="V897">
        <v>4</v>
      </c>
      <c r="W897">
        <v>0</v>
      </c>
      <c r="X897">
        <v>6</v>
      </c>
      <c r="Y897">
        <v>2</v>
      </c>
      <c r="Z897">
        <v>2</v>
      </c>
      <c r="AA897">
        <v>6</v>
      </c>
      <c r="AB897">
        <v>5</v>
      </c>
      <c r="AC897">
        <v>0</v>
      </c>
      <c r="AD897">
        <v>1</v>
      </c>
      <c r="AE897" t="str" cm="1">
        <f t="array" ref="AE897">_xlfn.IFS(G897=1,"Before College",G897=2,"College",G897=3,"Bachelor",G897=4,"Master",G897=5,"Doctor")</f>
        <v>College</v>
      </c>
      <c r="AF897" t="str" cm="1">
        <f t="array" ref="AF897">_xlfn.IFS(J897=1,"Low",J897=2,"Medium",J897=3,"High",J897=4,"Very High")</f>
        <v>High</v>
      </c>
      <c r="AG897" t="str" cm="1">
        <f t="array" ref="AG897">_xlfn.IFS(L897=1,"Low",L897=2,"Medium",L897=3,"High",L897=4,"Very High")</f>
        <v>High</v>
      </c>
      <c r="AH897" t="str" cm="1">
        <f t="array" ref="AH897">_xlfn.IFS(M897=1,"Junior employee",M897=2,"Mid-level",M897=3,"Senior",M897=4,"Manager",M897=5,"Executive")</f>
        <v>Mid-level</v>
      </c>
      <c r="AI897" t="str" cm="1">
        <f t="array" ref="AI897">_xlfn.IFS(O897=1,"Low",O897=2,"Medium",O897=3,"High",O897=4,"Very High")</f>
        <v>Low</v>
      </c>
      <c r="AJ897" t="str" cm="1">
        <f t="array" ref="AJ897">_xlfn.IFS(U897=1,"Low",U897=2,"Good",U897=3,"Excellent",U897=4,"Outstanding")</f>
        <v>Excellent</v>
      </c>
      <c r="AK897" t="str" cm="1">
        <f t="array" ref="AK897">_xlfn.IFS(V897=1,"Low",V897=2,"Medium",V897=3,"High",V897=4,"Very High")</f>
        <v>Very High</v>
      </c>
      <c r="AL897" t="str" cm="1">
        <f t="array" ref="AL897">_xlfn.IFS(Z897=1,"Bad",Z897=2,"Good",Z897=3,"Better",Z897=4,"Best")</f>
        <v>Good</v>
      </c>
      <c r="AM897" t="str" cm="1">
        <f t="array" ref="AM897">_xlfn.IFS(W897=0,"No_stock",W897=1,"Low",W897=2,"Medium",W897=3,"High")</f>
        <v>No_stock</v>
      </c>
      <c r="AN897" t="str">
        <f t="shared" si="13"/>
        <v>Medium</v>
      </c>
    </row>
    <row r="898" spans="1:40" x14ac:dyDescent="0.45">
      <c r="A898">
        <v>31</v>
      </c>
      <c r="B898" t="s">
        <v>37</v>
      </c>
      <c r="C898" t="s">
        <v>31</v>
      </c>
      <c r="D898">
        <v>1062</v>
      </c>
      <c r="E898" t="s">
        <v>39</v>
      </c>
      <c r="F898">
        <v>24</v>
      </c>
      <c r="G898">
        <v>3</v>
      </c>
      <c r="H898" t="s">
        <v>45</v>
      </c>
      <c r="I898">
        <v>1252</v>
      </c>
      <c r="J898">
        <v>3</v>
      </c>
      <c r="K898" t="s">
        <v>34</v>
      </c>
      <c r="L898">
        <v>2</v>
      </c>
      <c r="M898">
        <v>2</v>
      </c>
      <c r="N898" t="s">
        <v>48</v>
      </c>
      <c r="O898">
        <v>1</v>
      </c>
      <c r="P898" t="s">
        <v>36</v>
      </c>
      <c r="Q898">
        <v>6812</v>
      </c>
      <c r="R898">
        <v>1</v>
      </c>
      <c r="S898" t="s">
        <v>37</v>
      </c>
      <c r="T898">
        <v>19</v>
      </c>
      <c r="U898">
        <v>3</v>
      </c>
      <c r="V898">
        <v>2</v>
      </c>
      <c r="W898">
        <v>0</v>
      </c>
      <c r="X898">
        <v>10</v>
      </c>
      <c r="Y898">
        <v>2</v>
      </c>
      <c r="Z898">
        <v>3</v>
      </c>
      <c r="AA898">
        <v>10</v>
      </c>
      <c r="AB898">
        <v>9</v>
      </c>
      <c r="AC898">
        <v>1</v>
      </c>
      <c r="AD898">
        <v>8</v>
      </c>
      <c r="AE898" t="str" cm="1">
        <f t="array" ref="AE898">_xlfn.IFS(G898=1,"Before College",G898=2,"College",G898=3,"Bachelor",G898=4,"Master",G898=5,"Doctor")</f>
        <v>Bachelor</v>
      </c>
      <c r="AF898" t="str" cm="1">
        <f t="array" ref="AF898">_xlfn.IFS(J898=1,"Low",J898=2,"Medium",J898=3,"High",J898=4,"Very High")</f>
        <v>High</v>
      </c>
      <c r="AG898" t="str" cm="1">
        <f t="array" ref="AG898">_xlfn.IFS(L898=1,"Low",L898=2,"Medium",L898=3,"High",L898=4,"Very High")</f>
        <v>Medium</v>
      </c>
      <c r="AH898" t="str" cm="1">
        <f t="array" ref="AH898">_xlfn.IFS(M898=1,"Junior employee",M898=2,"Mid-level",M898=3,"Senior",M898=4,"Manager",M898=5,"Executive")</f>
        <v>Mid-level</v>
      </c>
      <c r="AI898" t="str" cm="1">
        <f t="array" ref="AI898">_xlfn.IFS(O898=1,"Low",O898=2,"Medium",O898=3,"High",O898=4,"Very High")</f>
        <v>Low</v>
      </c>
      <c r="AJ898" t="str" cm="1">
        <f t="array" ref="AJ898">_xlfn.IFS(U898=1,"Low",U898=2,"Good",U898=3,"Excellent",U898=4,"Outstanding")</f>
        <v>Excellent</v>
      </c>
      <c r="AK898" t="str" cm="1">
        <f t="array" ref="AK898">_xlfn.IFS(V898=1,"Low",V898=2,"Medium",V898=3,"High",V898=4,"Very High")</f>
        <v>Medium</v>
      </c>
      <c r="AL898" t="str" cm="1">
        <f t="array" ref="AL898">_xlfn.IFS(Z898=1,"Bad",Z898=2,"Good",Z898=3,"Better",Z898=4,"Best")</f>
        <v>Better</v>
      </c>
      <c r="AM898" t="str" cm="1">
        <f t="array" ref="AM898">_xlfn.IFS(W898=0,"No_stock",W898=1,"Low",W898=2,"Medium",W898=3,"High")</f>
        <v>No_stock</v>
      </c>
      <c r="AN898" t="str">
        <f t="shared" ref="AN898:AN961" si="14">IF(F898&lt;=5,"Near",IF(F898&lt;=15,"Medium","Far"))</f>
        <v>Far</v>
      </c>
    </row>
    <row r="899" spans="1:40" x14ac:dyDescent="0.45">
      <c r="A899">
        <v>59</v>
      </c>
      <c r="B899" t="s">
        <v>37</v>
      </c>
      <c r="C899" t="s">
        <v>31</v>
      </c>
      <c r="D899">
        <v>326</v>
      </c>
      <c r="E899" t="s">
        <v>32</v>
      </c>
      <c r="F899">
        <v>3</v>
      </c>
      <c r="G899">
        <v>3</v>
      </c>
      <c r="H899" t="s">
        <v>33</v>
      </c>
      <c r="I899">
        <v>1254</v>
      </c>
      <c r="J899">
        <v>3</v>
      </c>
      <c r="K899" t="s">
        <v>34</v>
      </c>
      <c r="L899">
        <v>2</v>
      </c>
      <c r="M899">
        <v>2</v>
      </c>
      <c r="N899" t="s">
        <v>35</v>
      </c>
      <c r="O899">
        <v>4</v>
      </c>
      <c r="P899" t="s">
        <v>36</v>
      </c>
      <c r="Q899">
        <v>5171</v>
      </c>
      <c r="R899">
        <v>5</v>
      </c>
      <c r="S899" t="s">
        <v>37</v>
      </c>
      <c r="T899">
        <v>17</v>
      </c>
      <c r="U899">
        <v>3</v>
      </c>
      <c r="V899">
        <v>4</v>
      </c>
      <c r="W899">
        <v>0</v>
      </c>
      <c r="X899">
        <v>13</v>
      </c>
      <c r="Y899">
        <v>2</v>
      </c>
      <c r="Z899">
        <v>3</v>
      </c>
      <c r="AA899">
        <v>6</v>
      </c>
      <c r="AB899">
        <v>1</v>
      </c>
      <c r="AC899">
        <v>0</v>
      </c>
      <c r="AD899">
        <v>5</v>
      </c>
      <c r="AE899" t="str" cm="1">
        <f t="array" ref="AE899">_xlfn.IFS(G899=1,"Before College",G899=2,"College",G899=3,"Bachelor",G899=4,"Master",G899=5,"Doctor")</f>
        <v>Bachelor</v>
      </c>
      <c r="AF899" t="str" cm="1">
        <f t="array" ref="AF899">_xlfn.IFS(J899=1,"Low",J899=2,"Medium",J899=3,"High",J899=4,"Very High")</f>
        <v>High</v>
      </c>
      <c r="AG899" t="str" cm="1">
        <f t="array" ref="AG899">_xlfn.IFS(L899=1,"Low",L899=2,"Medium",L899=3,"High",L899=4,"Very High")</f>
        <v>Medium</v>
      </c>
      <c r="AH899" t="str" cm="1">
        <f t="array" ref="AH899">_xlfn.IFS(M899=1,"Junior employee",M899=2,"Mid-level",M899=3,"Senior",M899=4,"Manager",M899=5,"Executive")</f>
        <v>Mid-level</v>
      </c>
      <c r="AI899" t="str" cm="1">
        <f t="array" ref="AI899">_xlfn.IFS(O899=1,"Low",O899=2,"Medium",O899=3,"High",O899=4,"Very High")</f>
        <v>Very High</v>
      </c>
      <c r="AJ899" t="str" cm="1">
        <f t="array" ref="AJ899">_xlfn.IFS(U899=1,"Low",U899=2,"Good",U899=3,"Excellent",U899=4,"Outstanding")</f>
        <v>Excellent</v>
      </c>
      <c r="AK899" t="str" cm="1">
        <f t="array" ref="AK899">_xlfn.IFS(V899=1,"Low",V899=2,"Medium",V899=3,"High",V899=4,"Very High")</f>
        <v>Very High</v>
      </c>
      <c r="AL899" t="str" cm="1">
        <f t="array" ref="AL899">_xlfn.IFS(Z899=1,"Bad",Z899=2,"Good",Z899=3,"Better",Z899=4,"Best")</f>
        <v>Better</v>
      </c>
      <c r="AM899" t="str" cm="1">
        <f t="array" ref="AM899">_xlfn.IFS(W899=0,"No_stock",W899=1,"Low",W899=2,"Medium",W899=3,"High")</f>
        <v>No_stock</v>
      </c>
      <c r="AN899" t="str">
        <f t="shared" si="14"/>
        <v>Near</v>
      </c>
    </row>
    <row r="900" spans="1:40" x14ac:dyDescent="0.45">
      <c r="A900">
        <v>43</v>
      </c>
      <c r="B900" t="s">
        <v>37</v>
      </c>
      <c r="C900" t="s">
        <v>31</v>
      </c>
      <c r="D900">
        <v>920</v>
      </c>
      <c r="E900" t="s">
        <v>39</v>
      </c>
      <c r="F900">
        <v>3</v>
      </c>
      <c r="G900">
        <v>3</v>
      </c>
      <c r="H900" t="s">
        <v>33</v>
      </c>
      <c r="I900">
        <v>1255</v>
      </c>
      <c r="J900">
        <v>3</v>
      </c>
      <c r="K900" t="s">
        <v>40</v>
      </c>
      <c r="L900">
        <v>1</v>
      </c>
      <c r="M900">
        <v>5</v>
      </c>
      <c r="N900" t="s">
        <v>52</v>
      </c>
      <c r="O900">
        <v>4</v>
      </c>
      <c r="P900" t="s">
        <v>42</v>
      </c>
      <c r="Q900">
        <v>19740</v>
      </c>
      <c r="R900">
        <v>3</v>
      </c>
      <c r="S900" t="s">
        <v>37</v>
      </c>
      <c r="T900">
        <v>14</v>
      </c>
      <c r="U900">
        <v>3</v>
      </c>
      <c r="V900">
        <v>2</v>
      </c>
      <c r="W900">
        <v>1</v>
      </c>
      <c r="X900">
        <v>25</v>
      </c>
      <c r="Y900">
        <v>2</v>
      </c>
      <c r="Z900">
        <v>3</v>
      </c>
      <c r="AA900">
        <v>8</v>
      </c>
      <c r="AB900">
        <v>7</v>
      </c>
      <c r="AC900">
        <v>0</v>
      </c>
      <c r="AD900">
        <v>7</v>
      </c>
      <c r="AE900" t="str" cm="1">
        <f t="array" ref="AE900">_xlfn.IFS(G900=1,"Before College",G900=2,"College",G900=3,"Bachelor",G900=4,"Master",G900=5,"Doctor")</f>
        <v>Bachelor</v>
      </c>
      <c r="AF900" t="str" cm="1">
        <f t="array" ref="AF900">_xlfn.IFS(J900=1,"Low",J900=2,"Medium",J900=3,"High",J900=4,"Very High")</f>
        <v>High</v>
      </c>
      <c r="AG900" t="str" cm="1">
        <f t="array" ref="AG900">_xlfn.IFS(L900=1,"Low",L900=2,"Medium",L900=3,"High",L900=4,"Very High")</f>
        <v>Low</v>
      </c>
      <c r="AH900" t="str" cm="1">
        <f t="array" ref="AH900">_xlfn.IFS(M900=1,"Junior employee",M900=2,"Mid-level",M900=3,"Senior",M900=4,"Manager",M900=5,"Executive")</f>
        <v>Executive</v>
      </c>
      <c r="AI900" t="str" cm="1">
        <f t="array" ref="AI900">_xlfn.IFS(O900=1,"Low",O900=2,"Medium",O900=3,"High",O900=4,"Very High")</f>
        <v>Very High</v>
      </c>
      <c r="AJ900" t="str" cm="1">
        <f t="array" ref="AJ900">_xlfn.IFS(U900=1,"Low",U900=2,"Good",U900=3,"Excellent",U900=4,"Outstanding")</f>
        <v>Excellent</v>
      </c>
      <c r="AK900" t="str" cm="1">
        <f t="array" ref="AK900">_xlfn.IFS(V900=1,"Low",V900=2,"Medium",V900=3,"High",V900=4,"Very High")</f>
        <v>Medium</v>
      </c>
      <c r="AL900" t="str" cm="1">
        <f t="array" ref="AL900">_xlfn.IFS(Z900=1,"Bad",Z900=2,"Good",Z900=3,"Better",Z900=4,"Best")</f>
        <v>Better</v>
      </c>
      <c r="AM900" t="str" cm="1">
        <f t="array" ref="AM900">_xlfn.IFS(W900=0,"No_stock",W900=1,"Low",W900=2,"Medium",W900=3,"High")</f>
        <v>Low</v>
      </c>
      <c r="AN900" t="str">
        <f t="shared" si="14"/>
        <v>Near</v>
      </c>
    </row>
    <row r="901" spans="1:40" x14ac:dyDescent="0.45">
      <c r="A901">
        <v>49</v>
      </c>
      <c r="B901" t="s">
        <v>37</v>
      </c>
      <c r="C901" t="s">
        <v>31</v>
      </c>
      <c r="D901">
        <v>1098</v>
      </c>
      <c r="E901" t="s">
        <v>39</v>
      </c>
      <c r="F901">
        <v>4</v>
      </c>
      <c r="G901">
        <v>2</v>
      </c>
      <c r="H901" t="s">
        <v>45</v>
      </c>
      <c r="I901">
        <v>1256</v>
      </c>
      <c r="J901">
        <v>1</v>
      </c>
      <c r="K901" t="s">
        <v>40</v>
      </c>
      <c r="L901">
        <v>2</v>
      </c>
      <c r="M901">
        <v>5</v>
      </c>
      <c r="N901" t="s">
        <v>50</v>
      </c>
      <c r="O901">
        <v>3</v>
      </c>
      <c r="P901" t="s">
        <v>42</v>
      </c>
      <c r="Q901">
        <v>18711</v>
      </c>
      <c r="R901">
        <v>2</v>
      </c>
      <c r="S901" t="s">
        <v>37</v>
      </c>
      <c r="T901">
        <v>13</v>
      </c>
      <c r="U901">
        <v>3</v>
      </c>
      <c r="V901">
        <v>3</v>
      </c>
      <c r="W901">
        <v>1</v>
      </c>
      <c r="X901">
        <v>23</v>
      </c>
      <c r="Y901">
        <v>2</v>
      </c>
      <c r="Z901">
        <v>4</v>
      </c>
      <c r="AA901">
        <v>1</v>
      </c>
      <c r="AB901">
        <v>0</v>
      </c>
      <c r="AC901">
        <v>0</v>
      </c>
      <c r="AD901">
        <v>0</v>
      </c>
      <c r="AE901" t="str" cm="1">
        <f t="array" ref="AE901">_xlfn.IFS(G901=1,"Before College",G901=2,"College",G901=3,"Bachelor",G901=4,"Master",G901=5,"Doctor")</f>
        <v>College</v>
      </c>
      <c r="AF901" t="str" cm="1">
        <f t="array" ref="AF901">_xlfn.IFS(J901=1,"Low",J901=2,"Medium",J901=3,"High",J901=4,"Very High")</f>
        <v>Low</v>
      </c>
      <c r="AG901" t="str" cm="1">
        <f t="array" ref="AG901">_xlfn.IFS(L901=1,"Low",L901=2,"Medium",L901=3,"High",L901=4,"Very High")</f>
        <v>Medium</v>
      </c>
      <c r="AH901" t="str" cm="1">
        <f t="array" ref="AH901">_xlfn.IFS(M901=1,"Junior employee",M901=2,"Mid-level",M901=3,"Senior",M901=4,"Manager",M901=5,"Executive")</f>
        <v>Executive</v>
      </c>
      <c r="AI901" t="str" cm="1">
        <f t="array" ref="AI901">_xlfn.IFS(O901=1,"Low",O901=2,"Medium",O901=3,"High",O901=4,"Very High")</f>
        <v>High</v>
      </c>
      <c r="AJ901" t="str" cm="1">
        <f t="array" ref="AJ901">_xlfn.IFS(U901=1,"Low",U901=2,"Good",U901=3,"Excellent",U901=4,"Outstanding")</f>
        <v>Excellent</v>
      </c>
      <c r="AK901" t="str" cm="1">
        <f t="array" ref="AK901">_xlfn.IFS(V901=1,"Low",V901=2,"Medium",V901=3,"High",V901=4,"Very High")</f>
        <v>High</v>
      </c>
      <c r="AL901" t="str" cm="1">
        <f t="array" ref="AL901">_xlfn.IFS(Z901=1,"Bad",Z901=2,"Good",Z901=3,"Better",Z901=4,"Best")</f>
        <v>Best</v>
      </c>
      <c r="AM901" t="str" cm="1">
        <f t="array" ref="AM901">_xlfn.IFS(W901=0,"No_stock",W901=1,"Low",W901=2,"Medium",W901=3,"High")</f>
        <v>Low</v>
      </c>
      <c r="AN901" t="str">
        <f t="shared" si="14"/>
        <v>Near</v>
      </c>
    </row>
    <row r="902" spans="1:40" x14ac:dyDescent="0.45">
      <c r="A902">
        <v>36</v>
      </c>
      <c r="B902" t="s">
        <v>37</v>
      </c>
      <c r="C902" t="s">
        <v>38</v>
      </c>
      <c r="D902">
        <v>469</v>
      </c>
      <c r="E902" t="s">
        <v>39</v>
      </c>
      <c r="F902">
        <v>3</v>
      </c>
      <c r="G902">
        <v>3</v>
      </c>
      <c r="H902" t="s">
        <v>54</v>
      </c>
      <c r="I902">
        <v>1257</v>
      </c>
      <c r="J902">
        <v>3</v>
      </c>
      <c r="K902" t="s">
        <v>40</v>
      </c>
      <c r="L902">
        <v>3</v>
      </c>
      <c r="M902">
        <v>1</v>
      </c>
      <c r="N902" t="s">
        <v>41</v>
      </c>
      <c r="O902">
        <v>2</v>
      </c>
      <c r="P902" t="s">
        <v>42</v>
      </c>
      <c r="Q902">
        <v>3692</v>
      </c>
      <c r="R902">
        <v>1</v>
      </c>
      <c r="S902" t="s">
        <v>37</v>
      </c>
      <c r="T902">
        <v>12</v>
      </c>
      <c r="U902">
        <v>3</v>
      </c>
      <c r="V902">
        <v>3</v>
      </c>
      <c r="W902">
        <v>0</v>
      </c>
      <c r="X902">
        <v>12</v>
      </c>
      <c r="Y902">
        <v>2</v>
      </c>
      <c r="Z902">
        <v>2</v>
      </c>
      <c r="AA902">
        <v>11</v>
      </c>
      <c r="AB902">
        <v>10</v>
      </c>
      <c r="AC902">
        <v>0</v>
      </c>
      <c r="AD902">
        <v>7</v>
      </c>
      <c r="AE902" t="str" cm="1">
        <f t="array" ref="AE902">_xlfn.IFS(G902=1,"Before College",G902=2,"College",G902=3,"Bachelor",G902=4,"Master",G902=5,"Doctor")</f>
        <v>Bachelor</v>
      </c>
      <c r="AF902" t="str" cm="1">
        <f t="array" ref="AF902">_xlfn.IFS(J902=1,"Low",J902=2,"Medium",J902=3,"High",J902=4,"Very High")</f>
        <v>High</v>
      </c>
      <c r="AG902" t="str" cm="1">
        <f t="array" ref="AG902">_xlfn.IFS(L902=1,"Low",L902=2,"Medium",L902=3,"High",L902=4,"Very High")</f>
        <v>High</v>
      </c>
      <c r="AH902" t="str" cm="1">
        <f t="array" ref="AH902">_xlfn.IFS(M902=1,"Junior employee",M902=2,"Mid-level",M902=3,"Senior",M902=4,"Manager",M902=5,"Executive")</f>
        <v>Junior employee</v>
      </c>
      <c r="AI902" t="str" cm="1">
        <f t="array" ref="AI902">_xlfn.IFS(O902=1,"Low",O902=2,"Medium",O902=3,"High",O902=4,"Very High")</f>
        <v>Medium</v>
      </c>
      <c r="AJ902" t="str" cm="1">
        <f t="array" ref="AJ902">_xlfn.IFS(U902=1,"Low",U902=2,"Good",U902=3,"Excellent",U902=4,"Outstanding")</f>
        <v>Excellent</v>
      </c>
      <c r="AK902" t="str" cm="1">
        <f t="array" ref="AK902">_xlfn.IFS(V902=1,"Low",V902=2,"Medium",V902=3,"High",V902=4,"Very High")</f>
        <v>High</v>
      </c>
      <c r="AL902" t="str" cm="1">
        <f t="array" ref="AL902">_xlfn.IFS(Z902=1,"Bad",Z902=2,"Good",Z902=3,"Better",Z902=4,"Best")</f>
        <v>Good</v>
      </c>
      <c r="AM902" t="str" cm="1">
        <f t="array" ref="AM902">_xlfn.IFS(W902=0,"No_stock",W902=1,"Low",W902=2,"Medium",W902=3,"High")</f>
        <v>No_stock</v>
      </c>
      <c r="AN902" t="str">
        <f t="shared" si="14"/>
        <v>Near</v>
      </c>
    </row>
    <row r="903" spans="1:40" x14ac:dyDescent="0.45">
      <c r="A903">
        <v>48</v>
      </c>
      <c r="B903" t="s">
        <v>37</v>
      </c>
      <c r="C903" t="s">
        <v>31</v>
      </c>
      <c r="D903">
        <v>969</v>
      </c>
      <c r="E903" t="s">
        <v>39</v>
      </c>
      <c r="F903">
        <v>2</v>
      </c>
      <c r="G903">
        <v>2</v>
      </c>
      <c r="H903" t="s">
        <v>54</v>
      </c>
      <c r="I903">
        <v>1258</v>
      </c>
      <c r="J903">
        <v>4</v>
      </c>
      <c r="K903" t="s">
        <v>40</v>
      </c>
      <c r="L903">
        <v>4</v>
      </c>
      <c r="M903">
        <v>1</v>
      </c>
      <c r="N903" t="s">
        <v>44</v>
      </c>
      <c r="O903">
        <v>2</v>
      </c>
      <c r="P903" t="s">
        <v>36</v>
      </c>
      <c r="Q903">
        <v>2559</v>
      </c>
      <c r="R903">
        <v>5</v>
      </c>
      <c r="S903" t="s">
        <v>37</v>
      </c>
      <c r="T903">
        <v>11</v>
      </c>
      <c r="U903">
        <v>3</v>
      </c>
      <c r="V903">
        <v>3</v>
      </c>
      <c r="W903">
        <v>0</v>
      </c>
      <c r="X903">
        <v>7</v>
      </c>
      <c r="Y903">
        <v>4</v>
      </c>
      <c r="Z903">
        <v>2</v>
      </c>
      <c r="AA903">
        <v>1</v>
      </c>
      <c r="AB903">
        <v>0</v>
      </c>
      <c r="AC903">
        <v>0</v>
      </c>
      <c r="AD903">
        <v>0</v>
      </c>
      <c r="AE903" t="str" cm="1">
        <f t="array" ref="AE903">_xlfn.IFS(G903=1,"Before College",G903=2,"College",G903=3,"Bachelor",G903=4,"Master",G903=5,"Doctor")</f>
        <v>College</v>
      </c>
      <c r="AF903" t="str" cm="1">
        <f t="array" ref="AF903">_xlfn.IFS(J903=1,"Low",J903=2,"Medium",J903=3,"High",J903=4,"Very High")</f>
        <v>Very High</v>
      </c>
      <c r="AG903" t="str" cm="1">
        <f t="array" ref="AG903">_xlfn.IFS(L903=1,"Low",L903=2,"Medium",L903=3,"High",L903=4,"Very High")</f>
        <v>Very High</v>
      </c>
      <c r="AH903" t="str" cm="1">
        <f t="array" ref="AH903">_xlfn.IFS(M903=1,"Junior employee",M903=2,"Mid-level",M903=3,"Senior",M903=4,"Manager",M903=5,"Executive")</f>
        <v>Junior employee</v>
      </c>
      <c r="AI903" t="str" cm="1">
        <f t="array" ref="AI903">_xlfn.IFS(O903=1,"Low",O903=2,"Medium",O903=3,"High",O903=4,"Very High")</f>
        <v>Medium</v>
      </c>
      <c r="AJ903" t="str" cm="1">
        <f t="array" ref="AJ903">_xlfn.IFS(U903=1,"Low",U903=2,"Good",U903=3,"Excellent",U903=4,"Outstanding")</f>
        <v>Excellent</v>
      </c>
      <c r="AK903" t="str" cm="1">
        <f t="array" ref="AK903">_xlfn.IFS(V903=1,"Low",V903=2,"Medium",V903=3,"High",V903=4,"Very High")</f>
        <v>High</v>
      </c>
      <c r="AL903" t="str" cm="1">
        <f t="array" ref="AL903">_xlfn.IFS(Z903=1,"Bad",Z903=2,"Good",Z903=3,"Better",Z903=4,"Best")</f>
        <v>Good</v>
      </c>
      <c r="AM903" t="str" cm="1">
        <f t="array" ref="AM903">_xlfn.IFS(W903=0,"No_stock",W903=1,"Low",W903=2,"Medium",W903=3,"High")</f>
        <v>No_stock</v>
      </c>
      <c r="AN903" t="str">
        <f t="shared" si="14"/>
        <v>Near</v>
      </c>
    </row>
    <row r="904" spans="1:40" x14ac:dyDescent="0.45">
      <c r="A904">
        <v>27</v>
      </c>
      <c r="B904" t="s">
        <v>37</v>
      </c>
      <c r="C904" t="s">
        <v>31</v>
      </c>
      <c r="D904">
        <v>1167</v>
      </c>
      <c r="E904" t="s">
        <v>39</v>
      </c>
      <c r="F904">
        <v>4</v>
      </c>
      <c r="G904">
        <v>2</v>
      </c>
      <c r="H904" t="s">
        <v>33</v>
      </c>
      <c r="I904">
        <v>1259</v>
      </c>
      <c r="J904">
        <v>1</v>
      </c>
      <c r="K904" t="s">
        <v>40</v>
      </c>
      <c r="L904">
        <v>3</v>
      </c>
      <c r="M904">
        <v>1</v>
      </c>
      <c r="N904" t="s">
        <v>41</v>
      </c>
      <c r="O904">
        <v>3</v>
      </c>
      <c r="P904" t="s">
        <v>46</v>
      </c>
      <c r="Q904">
        <v>2517</v>
      </c>
      <c r="R904">
        <v>1</v>
      </c>
      <c r="S904" t="s">
        <v>37</v>
      </c>
      <c r="T904">
        <v>11</v>
      </c>
      <c r="U904">
        <v>3</v>
      </c>
      <c r="V904">
        <v>2</v>
      </c>
      <c r="W904">
        <v>3</v>
      </c>
      <c r="X904">
        <v>5</v>
      </c>
      <c r="Y904">
        <v>2</v>
      </c>
      <c r="Z904">
        <v>3</v>
      </c>
      <c r="AA904">
        <v>5</v>
      </c>
      <c r="AB904">
        <v>3</v>
      </c>
      <c r="AC904">
        <v>0</v>
      </c>
      <c r="AD904">
        <v>3</v>
      </c>
      <c r="AE904" t="str" cm="1">
        <f t="array" ref="AE904">_xlfn.IFS(G904=1,"Before College",G904=2,"College",G904=3,"Bachelor",G904=4,"Master",G904=5,"Doctor")</f>
        <v>College</v>
      </c>
      <c r="AF904" t="str" cm="1">
        <f t="array" ref="AF904">_xlfn.IFS(J904=1,"Low",J904=2,"Medium",J904=3,"High",J904=4,"Very High")</f>
        <v>Low</v>
      </c>
      <c r="AG904" t="str" cm="1">
        <f t="array" ref="AG904">_xlfn.IFS(L904=1,"Low",L904=2,"Medium",L904=3,"High",L904=4,"Very High")</f>
        <v>High</v>
      </c>
      <c r="AH904" t="str" cm="1">
        <f t="array" ref="AH904">_xlfn.IFS(M904=1,"Junior employee",M904=2,"Mid-level",M904=3,"Senior",M904=4,"Manager",M904=5,"Executive")</f>
        <v>Junior employee</v>
      </c>
      <c r="AI904" t="str" cm="1">
        <f t="array" ref="AI904">_xlfn.IFS(O904=1,"Low",O904=2,"Medium",O904=3,"High",O904=4,"Very High")</f>
        <v>High</v>
      </c>
      <c r="AJ904" t="str" cm="1">
        <f t="array" ref="AJ904">_xlfn.IFS(U904=1,"Low",U904=2,"Good",U904=3,"Excellent",U904=4,"Outstanding")</f>
        <v>Excellent</v>
      </c>
      <c r="AK904" t="str" cm="1">
        <f t="array" ref="AK904">_xlfn.IFS(V904=1,"Low",V904=2,"Medium",V904=3,"High",V904=4,"Very High")</f>
        <v>Medium</v>
      </c>
      <c r="AL904" t="str" cm="1">
        <f t="array" ref="AL904">_xlfn.IFS(Z904=1,"Bad",Z904=2,"Good",Z904=3,"Better",Z904=4,"Best")</f>
        <v>Better</v>
      </c>
      <c r="AM904" t="str" cm="1">
        <f t="array" ref="AM904">_xlfn.IFS(W904=0,"No_stock",W904=1,"Low",W904=2,"Medium",W904=3,"High")</f>
        <v>High</v>
      </c>
      <c r="AN904" t="str">
        <f t="shared" si="14"/>
        <v>Near</v>
      </c>
    </row>
    <row r="905" spans="1:40" x14ac:dyDescent="0.45">
      <c r="A905">
        <v>29</v>
      </c>
      <c r="B905" t="s">
        <v>37</v>
      </c>
      <c r="C905" t="s">
        <v>31</v>
      </c>
      <c r="D905">
        <v>1329</v>
      </c>
      <c r="E905" t="s">
        <v>39</v>
      </c>
      <c r="F905">
        <v>7</v>
      </c>
      <c r="G905">
        <v>3</v>
      </c>
      <c r="H905" t="s">
        <v>33</v>
      </c>
      <c r="I905">
        <v>1260</v>
      </c>
      <c r="J905">
        <v>3</v>
      </c>
      <c r="K905" t="s">
        <v>40</v>
      </c>
      <c r="L905">
        <v>3</v>
      </c>
      <c r="M905">
        <v>2</v>
      </c>
      <c r="N905" t="s">
        <v>48</v>
      </c>
      <c r="O905">
        <v>4</v>
      </c>
      <c r="P905" t="s">
        <v>46</v>
      </c>
      <c r="Q905">
        <v>6623</v>
      </c>
      <c r="R905">
        <v>1</v>
      </c>
      <c r="S905" t="s">
        <v>30</v>
      </c>
      <c r="T905">
        <v>11</v>
      </c>
      <c r="U905">
        <v>3</v>
      </c>
      <c r="V905">
        <v>2</v>
      </c>
      <c r="W905">
        <v>2</v>
      </c>
      <c r="X905">
        <v>6</v>
      </c>
      <c r="Y905">
        <v>2</v>
      </c>
      <c r="Z905">
        <v>3</v>
      </c>
      <c r="AA905">
        <v>6</v>
      </c>
      <c r="AB905">
        <v>0</v>
      </c>
      <c r="AC905">
        <v>1</v>
      </c>
      <c r="AD905">
        <v>0</v>
      </c>
      <c r="AE905" t="str" cm="1">
        <f t="array" ref="AE905">_xlfn.IFS(G905=1,"Before College",G905=2,"College",G905=3,"Bachelor",G905=4,"Master",G905=5,"Doctor")</f>
        <v>Bachelor</v>
      </c>
      <c r="AF905" t="str" cm="1">
        <f t="array" ref="AF905">_xlfn.IFS(J905=1,"Low",J905=2,"Medium",J905=3,"High",J905=4,"Very High")</f>
        <v>High</v>
      </c>
      <c r="AG905" t="str" cm="1">
        <f t="array" ref="AG905">_xlfn.IFS(L905=1,"Low",L905=2,"Medium",L905=3,"High",L905=4,"Very High")</f>
        <v>High</v>
      </c>
      <c r="AH905" t="str" cm="1">
        <f t="array" ref="AH905">_xlfn.IFS(M905=1,"Junior employee",M905=2,"Mid-level",M905=3,"Senior",M905=4,"Manager",M905=5,"Executive")</f>
        <v>Mid-level</v>
      </c>
      <c r="AI905" t="str" cm="1">
        <f t="array" ref="AI905">_xlfn.IFS(O905=1,"Low",O905=2,"Medium",O905=3,"High",O905=4,"Very High")</f>
        <v>Very High</v>
      </c>
      <c r="AJ905" t="str" cm="1">
        <f t="array" ref="AJ905">_xlfn.IFS(U905=1,"Low",U905=2,"Good",U905=3,"Excellent",U905=4,"Outstanding")</f>
        <v>Excellent</v>
      </c>
      <c r="AK905" t="str" cm="1">
        <f t="array" ref="AK905">_xlfn.IFS(V905=1,"Low",V905=2,"Medium",V905=3,"High",V905=4,"Very High")</f>
        <v>Medium</v>
      </c>
      <c r="AL905" t="str" cm="1">
        <f t="array" ref="AL905">_xlfn.IFS(Z905=1,"Bad",Z905=2,"Good",Z905=3,"Better",Z905=4,"Best")</f>
        <v>Better</v>
      </c>
      <c r="AM905" t="str" cm="1">
        <f t="array" ref="AM905">_xlfn.IFS(W905=0,"No_stock",W905=1,"Low",W905=2,"Medium",W905=3,"High")</f>
        <v>Medium</v>
      </c>
      <c r="AN905" t="str">
        <f t="shared" si="14"/>
        <v>Medium</v>
      </c>
    </row>
    <row r="906" spans="1:40" x14ac:dyDescent="0.45">
      <c r="A906">
        <v>48</v>
      </c>
      <c r="B906" t="s">
        <v>37</v>
      </c>
      <c r="C906" t="s">
        <v>31</v>
      </c>
      <c r="D906">
        <v>715</v>
      </c>
      <c r="E906" t="s">
        <v>39</v>
      </c>
      <c r="F906">
        <v>1</v>
      </c>
      <c r="G906">
        <v>3</v>
      </c>
      <c r="H906" t="s">
        <v>33</v>
      </c>
      <c r="I906">
        <v>1263</v>
      </c>
      <c r="J906">
        <v>4</v>
      </c>
      <c r="K906" t="s">
        <v>40</v>
      </c>
      <c r="L906">
        <v>2</v>
      </c>
      <c r="M906">
        <v>5</v>
      </c>
      <c r="N906" t="s">
        <v>52</v>
      </c>
      <c r="O906">
        <v>4</v>
      </c>
      <c r="P906" t="s">
        <v>36</v>
      </c>
      <c r="Q906">
        <v>18265</v>
      </c>
      <c r="R906">
        <v>6</v>
      </c>
      <c r="S906" t="s">
        <v>37</v>
      </c>
      <c r="T906">
        <v>12</v>
      </c>
      <c r="U906">
        <v>3</v>
      </c>
      <c r="V906">
        <v>3</v>
      </c>
      <c r="W906">
        <v>0</v>
      </c>
      <c r="X906">
        <v>25</v>
      </c>
      <c r="Y906">
        <v>3</v>
      </c>
      <c r="Z906">
        <v>4</v>
      </c>
      <c r="AA906">
        <v>1</v>
      </c>
      <c r="AB906">
        <v>0</v>
      </c>
      <c r="AC906">
        <v>0</v>
      </c>
      <c r="AD906">
        <v>0</v>
      </c>
      <c r="AE906" t="str" cm="1">
        <f t="array" ref="AE906">_xlfn.IFS(G906=1,"Before College",G906=2,"College",G906=3,"Bachelor",G906=4,"Master",G906=5,"Doctor")</f>
        <v>Bachelor</v>
      </c>
      <c r="AF906" t="str" cm="1">
        <f t="array" ref="AF906">_xlfn.IFS(J906=1,"Low",J906=2,"Medium",J906=3,"High",J906=4,"Very High")</f>
        <v>Very High</v>
      </c>
      <c r="AG906" t="str" cm="1">
        <f t="array" ref="AG906">_xlfn.IFS(L906=1,"Low",L906=2,"Medium",L906=3,"High",L906=4,"Very High")</f>
        <v>Medium</v>
      </c>
      <c r="AH906" t="str" cm="1">
        <f t="array" ref="AH906">_xlfn.IFS(M906=1,"Junior employee",M906=2,"Mid-level",M906=3,"Senior",M906=4,"Manager",M906=5,"Executive")</f>
        <v>Executive</v>
      </c>
      <c r="AI906" t="str" cm="1">
        <f t="array" ref="AI906">_xlfn.IFS(O906=1,"Low",O906=2,"Medium",O906=3,"High",O906=4,"Very High")</f>
        <v>Very High</v>
      </c>
      <c r="AJ906" t="str" cm="1">
        <f t="array" ref="AJ906">_xlfn.IFS(U906=1,"Low",U906=2,"Good",U906=3,"Excellent",U906=4,"Outstanding")</f>
        <v>Excellent</v>
      </c>
      <c r="AK906" t="str" cm="1">
        <f t="array" ref="AK906">_xlfn.IFS(V906=1,"Low",V906=2,"Medium",V906=3,"High",V906=4,"Very High")</f>
        <v>High</v>
      </c>
      <c r="AL906" t="str" cm="1">
        <f t="array" ref="AL906">_xlfn.IFS(Z906=1,"Bad",Z906=2,"Good",Z906=3,"Better",Z906=4,"Best")</f>
        <v>Best</v>
      </c>
      <c r="AM906" t="str" cm="1">
        <f t="array" ref="AM906">_xlfn.IFS(W906=0,"No_stock",W906=1,"Low",W906=2,"Medium",W906=3,"High")</f>
        <v>No_stock</v>
      </c>
      <c r="AN906" t="str">
        <f t="shared" si="14"/>
        <v>Near</v>
      </c>
    </row>
    <row r="907" spans="1:40" x14ac:dyDescent="0.45">
      <c r="A907">
        <v>29</v>
      </c>
      <c r="B907" t="s">
        <v>37</v>
      </c>
      <c r="C907" t="s">
        <v>31</v>
      </c>
      <c r="D907">
        <v>694</v>
      </c>
      <c r="E907" t="s">
        <v>39</v>
      </c>
      <c r="F907">
        <v>1</v>
      </c>
      <c r="G907">
        <v>3</v>
      </c>
      <c r="H907" t="s">
        <v>33</v>
      </c>
      <c r="I907">
        <v>1264</v>
      </c>
      <c r="J907">
        <v>4</v>
      </c>
      <c r="K907" t="s">
        <v>34</v>
      </c>
      <c r="L907">
        <v>2</v>
      </c>
      <c r="M907">
        <v>4</v>
      </c>
      <c r="N907" t="s">
        <v>52</v>
      </c>
      <c r="O907">
        <v>4</v>
      </c>
      <c r="P907" t="s">
        <v>46</v>
      </c>
      <c r="Q907">
        <v>16124</v>
      </c>
      <c r="R907">
        <v>3</v>
      </c>
      <c r="S907" t="s">
        <v>37</v>
      </c>
      <c r="T907">
        <v>14</v>
      </c>
      <c r="U907">
        <v>3</v>
      </c>
      <c r="V907">
        <v>2</v>
      </c>
      <c r="W907">
        <v>2</v>
      </c>
      <c r="X907">
        <v>9</v>
      </c>
      <c r="Y907">
        <v>2</v>
      </c>
      <c r="Z907">
        <v>2</v>
      </c>
      <c r="AA907">
        <v>7</v>
      </c>
      <c r="AB907">
        <v>7</v>
      </c>
      <c r="AC907">
        <v>1</v>
      </c>
      <c r="AD907">
        <v>7</v>
      </c>
      <c r="AE907" t="str" cm="1">
        <f t="array" ref="AE907">_xlfn.IFS(G907=1,"Before College",G907=2,"College",G907=3,"Bachelor",G907=4,"Master",G907=5,"Doctor")</f>
        <v>Bachelor</v>
      </c>
      <c r="AF907" t="str" cm="1">
        <f t="array" ref="AF907">_xlfn.IFS(J907=1,"Low",J907=2,"Medium",J907=3,"High",J907=4,"Very High")</f>
        <v>Very High</v>
      </c>
      <c r="AG907" t="str" cm="1">
        <f t="array" ref="AG907">_xlfn.IFS(L907=1,"Low",L907=2,"Medium",L907=3,"High",L907=4,"Very High")</f>
        <v>Medium</v>
      </c>
      <c r="AH907" t="str" cm="1">
        <f t="array" ref="AH907">_xlfn.IFS(M907=1,"Junior employee",M907=2,"Mid-level",M907=3,"Senior",M907=4,"Manager",M907=5,"Executive")</f>
        <v>Manager</v>
      </c>
      <c r="AI907" t="str" cm="1">
        <f t="array" ref="AI907">_xlfn.IFS(O907=1,"Low",O907=2,"Medium",O907=3,"High",O907=4,"Very High")</f>
        <v>Very High</v>
      </c>
      <c r="AJ907" t="str" cm="1">
        <f t="array" ref="AJ907">_xlfn.IFS(U907=1,"Low",U907=2,"Good",U907=3,"Excellent",U907=4,"Outstanding")</f>
        <v>Excellent</v>
      </c>
      <c r="AK907" t="str" cm="1">
        <f t="array" ref="AK907">_xlfn.IFS(V907=1,"Low",V907=2,"Medium",V907=3,"High",V907=4,"Very High")</f>
        <v>Medium</v>
      </c>
      <c r="AL907" t="str" cm="1">
        <f t="array" ref="AL907">_xlfn.IFS(Z907=1,"Bad",Z907=2,"Good",Z907=3,"Better",Z907=4,"Best")</f>
        <v>Good</v>
      </c>
      <c r="AM907" t="str" cm="1">
        <f t="array" ref="AM907">_xlfn.IFS(W907=0,"No_stock",W907=1,"Low",W907=2,"Medium",W907=3,"High")</f>
        <v>Medium</v>
      </c>
      <c r="AN907" t="str">
        <f t="shared" si="14"/>
        <v>Near</v>
      </c>
    </row>
    <row r="908" spans="1:40" x14ac:dyDescent="0.45">
      <c r="A908">
        <v>34</v>
      </c>
      <c r="B908" t="s">
        <v>37</v>
      </c>
      <c r="C908" t="s">
        <v>31</v>
      </c>
      <c r="D908">
        <v>1320</v>
      </c>
      <c r="E908" t="s">
        <v>39</v>
      </c>
      <c r="F908">
        <v>20</v>
      </c>
      <c r="G908">
        <v>3</v>
      </c>
      <c r="H908" t="s">
        <v>54</v>
      </c>
      <c r="I908">
        <v>1265</v>
      </c>
      <c r="J908">
        <v>3</v>
      </c>
      <c r="K908" t="s">
        <v>34</v>
      </c>
      <c r="L908">
        <v>4</v>
      </c>
      <c r="M908">
        <v>1</v>
      </c>
      <c r="N908" t="s">
        <v>41</v>
      </c>
      <c r="O908">
        <v>3</v>
      </c>
      <c r="P908" t="s">
        <v>42</v>
      </c>
      <c r="Q908">
        <v>2585</v>
      </c>
      <c r="R908">
        <v>0</v>
      </c>
      <c r="S908" t="s">
        <v>37</v>
      </c>
      <c r="T908">
        <v>17</v>
      </c>
      <c r="U908">
        <v>3</v>
      </c>
      <c r="V908">
        <v>4</v>
      </c>
      <c r="W908">
        <v>0</v>
      </c>
      <c r="X908">
        <v>2</v>
      </c>
      <c r="Y908">
        <v>5</v>
      </c>
      <c r="Z908">
        <v>2</v>
      </c>
      <c r="AA908">
        <v>1</v>
      </c>
      <c r="AB908">
        <v>0</v>
      </c>
      <c r="AC908">
        <v>0</v>
      </c>
      <c r="AD908">
        <v>0</v>
      </c>
      <c r="AE908" t="str" cm="1">
        <f t="array" ref="AE908">_xlfn.IFS(G908=1,"Before College",G908=2,"College",G908=3,"Bachelor",G908=4,"Master",G908=5,"Doctor")</f>
        <v>Bachelor</v>
      </c>
      <c r="AF908" t="str" cm="1">
        <f t="array" ref="AF908">_xlfn.IFS(J908=1,"Low",J908=2,"Medium",J908=3,"High",J908=4,"Very High")</f>
        <v>High</v>
      </c>
      <c r="AG908" t="str" cm="1">
        <f t="array" ref="AG908">_xlfn.IFS(L908=1,"Low",L908=2,"Medium",L908=3,"High",L908=4,"Very High")</f>
        <v>Very High</v>
      </c>
      <c r="AH908" t="str" cm="1">
        <f t="array" ref="AH908">_xlfn.IFS(M908=1,"Junior employee",M908=2,"Mid-level",M908=3,"Senior",M908=4,"Manager",M908=5,"Executive")</f>
        <v>Junior employee</v>
      </c>
      <c r="AI908" t="str" cm="1">
        <f t="array" ref="AI908">_xlfn.IFS(O908=1,"Low",O908=2,"Medium",O908=3,"High",O908=4,"Very High")</f>
        <v>High</v>
      </c>
      <c r="AJ908" t="str" cm="1">
        <f t="array" ref="AJ908">_xlfn.IFS(U908=1,"Low",U908=2,"Good",U908=3,"Excellent",U908=4,"Outstanding")</f>
        <v>Excellent</v>
      </c>
      <c r="AK908" t="str" cm="1">
        <f t="array" ref="AK908">_xlfn.IFS(V908=1,"Low",V908=2,"Medium",V908=3,"High",V908=4,"Very High")</f>
        <v>Very High</v>
      </c>
      <c r="AL908" t="str" cm="1">
        <f t="array" ref="AL908">_xlfn.IFS(Z908=1,"Bad",Z908=2,"Good",Z908=3,"Better",Z908=4,"Best")</f>
        <v>Good</v>
      </c>
      <c r="AM908" t="str" cm="1">
        <f t="array" ref="AM908">_xlfn.IFS(W908=0,"No_stock",W908=1,"Low",W908=2,"Medium",W908=3,"High")</f>
        <v>No_stock</v>
      </c>
      <c r="AN908" t="str">
        <f t="shared" si="14"/>
        <v>Far</v>
      </c>
    </row>
    <row r="909" spans="1:40" x14ac:dyDescent="0.45">
      <c r="A909">
        <v>44</v>
      </c>
      <c r="B909" t="s">
        <v>37</v>
      </c>
      <c r="C909" t="s">
        <v>31</v>
      </c>
      <c r="D909">
        <v>1099</v>
      </c>
      <c r="E909" t="s">
        <v>32</v>
      </c>
      <c r="F909">
        <v>5</v>
      </c>
      <c r="G909">
        <v>3</v>
      </c>
      <c r="H909" t="s">
        <v>53</v>
      </c>
      <c r="I909">
        <v>1267</v>
      </c>
      <c r="J909">
        <v>2</v>
      </c>
      <c r="K909" t="s">
        <v>40</v>
      </c>
      <c r="L909">
        <v>3</v>
      </c>
      <c r="M909">
        <v>5</v>
      </c>
      <c r="N909" t="s">
        <v>50</v>
      </c>
      <c r="O909">
        <v>2</v>
      </c>
      <c r="P909" t="s">
        <v>42</v>
      </c>
      <c r="Q909">
        <v>18213</v>
      </c>
      <c r="R909">
        <v>7</v>
      </c>
      <c r="S909" t="s">
        <v>37</v>
      </c>
      <c r="T909">
        <v>11</v>
      </c>
      <c r="U909">
        <v>3</v>
      </c>
      <c r="V909">
        <v>3</v>
      </c>
      <c r="W909">
        <v>1</v>
      </c>
      <c r="X909">
        <v>26</v>
      </c>
      <c r="Y909">
        <v>5</v>
      </c>
      <c r="Z909">
        <v>3</v>
      </c>
      <c r="AA909">
        <v>22</v>
      </c>
      <c r="AB909">
        <v>9</v>
      </c>
      <c r="AC909">
        <v>3</v>
      </c>
      <c r="AD909">
        <v>10</v>
      </c>
      <c r="AE909" t="str" cm="1">
        <f t="array" ref="AE909">_xlfn.IFS(G909=1,"Before College",G909=2,"College",G909=3,"Bachelor",G909=4,"Master",G909=5,"Doctor")</f>
        <v>Bachelor</v>
      </c>
      <c r="AF909" t="str" cm="1">
        <f t="array" ref="AF909">_xlfn.IFS(J909=1,"Low",J909=2,"Medium",J909=3,"High",J909=4,"Very High")</f>
        <v>Medium</v>
      </c>
      <c r="AG909" t="str" cm="1">
        <f t="array" ref="AG909">_xlfn.IFS(L909=1,"Low",L909=2,"Medium",L909=3,"High",L909=4,"Very High")</f>
        <v>High</v>
      </c>
      <c r="AH909" t="str" cm="1">
        <f t="array" ref="AH909">_xlfn.IFS(M909=1,"Junior employee",M909=2,"Mid-level",M909=3,"Senior",M909=4,"Manager",M909=5,"Executive")</f>
        <v>Executive</v>
      </c>
      <c r="AI909" t="str" cm="1">
        <f t="array" ref="AI909">_xlfn.IFS(O909=1,"Low",O909=2,"Medium",O909=3,"High",O909=4,"Very High")</f>
        <v>Medium</v>
      </c>
      <c r="AJ909" t="str" cm="1">
        <f t="array" ref="AJ909">_xlfn.IFS(U909=1,"Low",U909=2,"Good",U909=3,"Excellent",U909=4,"Outstanding")</f>
        <v>Excellent</v>
      </c>
      <c r="AK909" t="str" cm="1">
        <f t="array" ref="AK909">_xlfn.IFS(V909=1,"Low",V909=2,"Medium",V909=3,"High",V909=4,"Very High")</f>
        <v>High</v>
      </c>
      <c r="AL909" t="str" cm="1">
        <f t="array" ref="AL909">_xlfn.IFS(Z909=1,"Bad",Z909=2,"Good",Z909=3,"Better",Z909=4,"Best")</f>
        <v>Better</v>
      </c>
      <c r="AM909" t="str" cm="1">
        <f t="array" ref="AM909">_xlfn.IFS(W909=0,"No_stock",W909=1,"Low",W909=2,"Medium",W909=3,"High")</f>
        <v>Low</v>
      </c>
      <c r="AN909" t="str">
        <f t="shared" si="14"/>
        <v>Near</v>
      </c>
    </row>
    <row r="910" spans="1:40" x14ac:dyDescent="0.45">
      <c r="A910">
        <v>33</v>
      </c>
      <c r="B910" t="s">
        <v>37</v>
      </c>
      <c r="C910" t="s">
        <v>31</v>
      </c>
      <c r="D910">
        <v>536</v>
      </c>
      <c r="E910" t="s">
        <v>32</v>
      </c>
      <c r="F910">
        <v>10</v>
      </c>
      <c r="G910">
        <v>5</v>
      </c>
      <c r="H910" t="s">
        <v>53</v>
      </c>
      <c r="I910">
        <v>1268</v>
      </c>
      <c r="J910">
        <v>4</v>
      </c>
      <c r="K910" t="s">
        <v>40</v>
      </c>
      <c r="L910">
        <v>4</v>
      </c>
      <c r="M910">
        <v>3</v>
      </c>
      <c r="N910" t="s">
        <v>35</v>
      </c>
      <c r="O910">
        <v>3</v>
      </c>
      <c r="P910" t="s">
        <v>46</v>
      </c>
      <c r="Q910">
        <v>8380</v>
      </c>
      <c r="R910">
        <v>0</v>
      </c>
      <c r="S910" t="s">
        <v>30</v>
      </c>
      <c r="T910">
        <v>14</v>
      </c>
      <c r="U910">
        <v>3</v>
      </c>
      <c r="V910">
        <v>4</v>
      </c>
      <c r="W910">
        <v>2</v>
      </c>
      <c r="X910">
        <v>10</v>
      </c>
      <c r="Y910">
        <v>3</v>
      </c>
      <c r="Z910">
        <v>3</v>
      </c>
      <c r="AA910">
        <v>9</v>
      </c>
      <c r="AB910">
        <v>8</v>
      </c>
      <c r="AC910">
        <v>0</v>
      </c>
      <c r="AD910">
        <v>8</v>
      </c>
      <c r="AE910" t="str" cm="1">
        <f t="array" ref="AE910">_xlfn.IFS(G910=1,"Before College",G910=2,"College",G910=3,"Bachelor",G910=4,"Master",G910=5,"Doctor")</f>
        <v>Doctor</v>
      </c>
      <c r="AF910" t="str" cm="1">
        <f t="array" ref="AF910">_xlfn.IFS(J910=1,"Low",J910=2,"Medium",J910=3,"High",J910=4,"Very High")</f>
        <v>Very High</v>
      </c>
      <c r="AG910" t="str" cm="1">
        <f t="array" ref="AG910">_xlfn.IFS(L910=1,"Low",L910=2,"Medium",L910=3,"High",L910=4,"Very High")</f>
        <v>Very High</v>
      </c>
      <c r="AH910" t="str" cm="1">
        <f t="array" ref="AH910">_xlfn.IFS(M910=1,"Junior employee",M910=2,"Mid-level",M910=3,"Senior",M910=4,"Manager",M910=5,"Executive")</f>
        <v>Senior</v>
      </c>
      <c r="AI910" t="str" cm="1">
        <f t="array" ref="AI910">_xlfn.IFS(O910=1,"Low",O910=2,"Medium",O910=3,"High",O910=4,"Very High")</f>
        <v>High</v>
      </c>
      <c r="AJ910" t="str" cm="1">
        <f t="array" ref="AJ910">_xlfn.IFS(U910=1,"Low",U910=2,"Good",U910=3,"Excellent",U910=4,"Outstanding")</f>
        <v>Excellent</v>
      </c>
      <c r="AK910" t="str" cm="1">
        <f t="array" ref="AK910">_xlfn.IFS(V910=1,"Low",V910=2,"Medium",V910=3,"High",V910=4,"Very High")</f>
        <v>Very High</v>
      </c>
      <c r="AL910" t="str" cm="1">
        <f t="array" ref="AL910">_xlfn.IFS(Z910=1,"Bad",Z910=2,"Good",Z910=3,"Better",Z910=4,"Best")</f>
        <v>Better</v>
      </c>
      <c r="AM910" t="str" cm="1">
        <f t="array" ref="AM910">_xlfn.IFS(W910=0,"No_stock",W910=1,"Low",W910=2,"Medium",W910=3,"High")</f>
        <v>Medium</v>
      </c>
      <c r="AN910" t="str">
        <f t="shared" si="14"/>
        <v>Medium</v>
      </c>
    </row>
    <row r="911" spans="1:40" x14ac:dyDescent="0.45">
      <c r="A911">
        <v>19</v>
      </c>
      <c r="B911" t="s">
        <v>37</v>
      </c>
      <c r="C911" t="s">
        <v>31</v>
      </c>
      <c r="D911">
        <v>265</v>
      </c>
      <c r="E911" t="s">
        <v>39</v>
      </c>
      <c r="F911">
        <v>25</v>
      </c>
      <c r="G911">
        <v>3</v>
      </c>
      <c r="H911" t="s">
        <v>33</v>
      </c>
      <c r="I911">
        <v>1269</v>
      </c>
      <c r="J911">
        <v>2</v>
      </c>
      <c r="K911" t="s">
        <v>34</v>
      </c>
      <c r="L911">
        <v>4</v>
      </c>
      <c r="M911">
        <v>1</v>
      </c>
      <c r="N911" t="s">
        <v>41</v>
      </c>
      <c r="O911">
        <v>4</v>
      </c>
      <c r="P911" t="s">
        <v>36</v>
      </c>
      <c r="Q911">
        <v>2994</v>
      </c>
      <c r="R911">
        <v>1</v>
      </c>
      <c r="S911" t="s">
        <v>30</v>
      </c>
      <c r="T911">
        <v>12</v>
      </c>
      <c r="U911">
        <v>3</v>
      </c>
      <c r="V911">
        <v>4</v>
      </c>
      <c r="W911">
        <v>0</v>
      </c>
      <c r="X911">
        <v>1</v>
      </c>
      <c r="Y911">
        <v>2</v>
      </c>
      <c r="Z911">
        <v>3</v>
      </c>
      <c r="AA911">
        <v>1</v>
      </c>
      <c r="AB911">
        <v>0</v>
      </c>
      <c r="AC911">
        <v>0</v>
      </c>
      <c r="AD911">
        <v>1</v>
      </c>
      <c r="AE911" t="str" cm="1">
        <f t="array" ref="AE911">_xlfn.IFS(G911=1,"Before College",G911=2,"College",G911=3,"Bachelor",G911=4,"Master",G911=5,"Doctor")</f>
        <v>Bachelor</v>
      </c>
      <c r="AF911" t="str" cm="1">
        <f t="array" ref="AF911">_xlfn.IFS(J911=1,"Low",J911=2,"Medium",J911=3,"High",J911=4,"Very High")</f>
        <v>Medium</v>
      </c>
      <c r="AG911" t="str" cm="1">
        <f t="array" ref="AG911">_xlfn.IFS(L911=1,"Low",L911=2,"Medium",L911=3,"High",L911=4,"Very High")</f>
        <v>Very High</v>
      </c>
      <c r="AH911" t="str" cm="1">
        <f t="array" ref="AH911">_xlfn.IFS(M911=1,"Junior employee",M911=2,"Mid-level",M911=3,"Senior",M911=4,"Manager",M911=5,"Executive")</f>
        <v>Junior employee</v>
      </c>
      <c r="AI911" t="str" cm="1">
        <f t="array" ref="AI911">_xlfn.IFS(O911=1,"Low",O911=2,"Medium",O911=3,"High",O911=4,"Very High")</f>
        <v>Very High</v>
      </c>
      <c r="AJ911" t="str" cm="1">
        <f t="array" ref="AJ911">_xlfn.IFS(U911=1,"Low",U911=2,"Good",U911=3,"Excellent",U911=4,"Outstanding")</f>
        <v>Excellent</v>
      </c>
      <c r="AK911" t="str" cm="1">
        <f t="array" ref="AK911">_xlfn.IFS(V911=1,"Low",V911=2,"Medium",V911=3,"High",V911=4,"Very High")</f>
        <v>Very High</v>
      </c>
      <c r="AL911" t="str" cm="1">
        <f t="array" ref="AL911">_xlfn.IFS(Z911=1,"Bad",Z911=2,"Good",Z911=3,"Better",Z911=4,"Best")</f>
        <v>Better</v>
      </c>
      <c r="AM911" t="str" cm="1">
        <f t="array" ref="AM911">_xlfn.IFS(W911=0,"No_stock",W911=1,"Low",W911=2,"Medium",W911=3,"High")</f>
        <v>No_stock</v>
      </c>
      <c r="AN911" t="str">
        <f t="shared" si="14"/>
        <v>Far</v>
      </c>
    </row>
    <row r="912" spans="1:40" x14ac:dyDescent="0.45">
      <c r="A912">
        <v>23</v>
      </c>
      <c r="B912" t="s">
        <v>37</v>
      </c>
      <c r="C912" t="s">
        <v>31</v>
      </c>
      <c r="D912">
        <v>373</v>
      </c>
      <c r="E912" t="s">
        <v>39</v>
      </c>
      <c r="F912">
        <v>1</v>
      </c>
      <c r="G912">
        <v>2</v>
      </c>
      <c r="H912" t="s">
        <v>33</v>
      </c>
      <c r="I912">
        <v>1270</v>
      </c>
      <c r="J912">
        <v>4</v>
      </c>
      <c r="K912" t="s">
        <v>40</v>
      </c>
      <c r="L912">
        <v>3</v>
      </c>
      <c r="M912">
        <v>1</v>
      </c>
      <c r="N912" t="s">
        <v>41</v>
      </c>
      <c r="O912">
        <v>3</v>
      </c>
      <c r="P912" t="s">
        <v>42</v>
      </c>
      <c r="Q912">
        <v>1223</v>
      </c>
      <c r="R912">
        <v>1</v>
      </c>
      <c r="S912" t="s">
        <v>37</v>
      </c>
      <c r="T912">
        <v>22</v>
      </c>
      <c r="U912">
        <v>4</v>
      </c>
      <c r="V912">
        <v>4</v>
      </c>
      <c r="W912">
        <v>1</v>
      </c>
      <c r="X912">
        <v>1</v>
      </c>
      <c r="Y912">
        <v>2</v>
      </c>
      <c r="Z912">
        <v>3</v>
      </c>
      <c r="AA912">
        <v>1</v>
      </c>
      <c r="AB912">
        <v>0</v>
      </c>
      <c r="AC912">
        <v>0</v>
      </c>
      <c r="AD912">
        <v>1</v>
      </c>
      <c r="AE912" t="str" cm="1">
        <f t="array" ref="AE912">_xlfn.IFS(G912=1,"Before College",G912=2,"College",G912=3,"Bachelor",G912=4,"Master",G912=5,"Doctor")</f>
        <v>College</v>
      </c>
      <c r="AF912" t="str" cm="1">
        <f t="array" ref="AF912">_xlfn.IFS(J912=1,"Low",J912=2,"Medium",J912=3,"High",J912=4,"Very High")</f>
        <v>Very High</v>
      </c>
      <c r="AG912" t="str" cm="1">
        <f t="array" ref="AG912">_xlfn.IFS(L912=1,"Low",L912=2,"Medium",L912=3,"High",L912=4,"Very High")</f>
        <v>High</v>
      </c>
      <c r="AH912" t="str" cm="1">
        <f t="array" ref="AH912">_xlfn.IFS(M912=1,"Junior employee",M912=2,"Mid-level",M912=3,"Senior",M912=4,"Manager",M912=5,"Executive")</f>
        <v>Junior employee</v>
      </c>
      <c r="AI912" t="str" cm="1">
        <f t="array" ref="AI912">_xlfn.IFS(O912=1,"Low",O912=2,"Medium",O912=3,"High",O912=4,"Very High")</f>
        <v>High</v>
      </c>
      <c r="AJ912" t="str" cm="1">
        <f t="array" ref="AJ912">_xlfn.IFS(U912=1,"Low",U912=2,"Good",U912=3,"Excellent",U912=4,"Outstanding")</f>
        <v>Outstanding</v>
      </c>
      <c r="AK912" t="str" cm="1">
        <f t="array" ref="AK912">_xlfn.IFS(V912=1,"Low",V912=2,"Medium",V912=3,"High",V912=4,"Very High")</f>
        <v>Very High</v>
      </c>
      <c r="AL912" t="str" cm="1">
        <f t="array" ref="AL912">_xlfn.IFS(Z912=1,"Bad",Z912=2,"Good",Z912=3,"Better",Z912=4,"Best")</f>
        <v>Better</v>
      </c>
      <c r="AM912" t="str" cm="1">
        <f t="array" ref="AM912">_xlfn.IFS(W912=0,"No_stock",W912=1,"Low",W912=2,"Medium",W912=3,"High")</f>
        <v>Low</v>
      </c>
      <c r="AN912" t="str">
        <f t="shared" si="14"/>
        <v>Near</v>
      </c>
    </row>
    <row r="913" spans="1:40" x14ac:dyDescent="0.45">
      <c r="A913">
        <v>25</v>
      </c>
      <c r="B913" t="s">
        <v>30</v>
      </c>
      <c r="C913" t="s">
        <v>38</v>
      </c>
      <c r="D913">
        <v>599</v>
      </c>
      <c r="E913" t="s">
        <v>32</v>
      </c>
      <c r="F913">
        <v>24</v>
      </c>
      <c r="G913">
        <v>1</v>
      </c>
      <c r="H913" t="s">
        <v>33</v>
      </c>
      <c r="I913">
        <v>1273</v>
      </c>
      <c r="J913">
        <v>3</v>
      </c>
      <c r="K913" t="s">
        <v>40</v>
      </c>
      <c r="L913">
        <v>1</v>
      </c>
      <c r="M913">
        <v>1</v>
      </c>
      <c r="N913" t="s">
        <v>51</v>
      </c>
      <c r="O913">
        <v>4</v>
      </c>
      <c r="P913" t="s">
        <v>36</v>
      </c>
      <c r="Q913">
        <v>1118</v>
      </c>
      <c r="R913">
        <v>1</v>
      </c>
      <c r="S913" t="s">
        <v>30</v>
      </c>
      <c r="T913">
        <v>14</v>
      </c>
      <c r="U913">
        <v>3</v>
      </c>
      <c r="V913">
        <v>4</v>
      </c>
      <c r="W913">
        <v>0</v>
      </c>
      <c r="X913">
        <v>1</v>
      </c>
      <c r="Y913">
        <v>4</v>
      </c>
      <c r="Z913">
        <v>3</v>
      </c>
      <c r="AA913">
        <v>1</v>
      </c>
      <c r="AB913">
        <v>0</v>
      </c>
      <c r="AC913">
        <v>1</v>
      </c>
      <c r="AD913">
        <v>0</v>
      </c>
      <c r="AE913" t="str" cm="1">
        <f t="array" ref="AE913">_xlfn.IFS(G913=1,"Before College",G913=2,"College",G913=3,"Bachelor",G913=4,"Master",G913=5,"Doctor")</f>
        <v>Before College</v>
      </c>
      <c r="AF913" t="str" cm="1">
        <f t="array" ref="AF913">_xlfn.IFS(J913=1,"Low",J913=2,"Medium",J913=3,"High",J913=4,"Very High")</f>
        <v>High</v>
      </c>
      <c r="AG913" t="str" cm="1">
        <f t="array" ref="AG913">_xlfn.IFS(L913=1,"Low",L913=2,"Medium",L913=3,"High",L913=4,"Very High")</f>
        <v>Low</v>
      </c>
      <c r="AH913" t="str" cm="1">
        <f t="array" ref="AH913">_xlfn.IFS(M913=1,"Junior employee",M913=2,"Mid-level",M913=3,"Senior",M913=4,"Manager",M913=5,"Executive")</f>
        <v>Junior employee</v>
      </c>
      <c r="AI913" t="str" cm="1">
        <f t="array" ref="AI913">_xlfn.IFS(O913=1,"Low",O913=2,"Medium",O913=3,"High",O913=4,"Very High")</f>
        <v>Very High</v>
      </c>
      <c r="AJ913" t="str" cm="1">
        <f t="array" ref="AJ913">_xlfn.IFS(U913=1,"Low",U913=2,"Good",U913=3,"Excellent",U913=4,"Outstanding")</f>
        <v>Excellent</v>
      </c>
      <c r="AK913" t="str" cm="1">
        <f t="array" ref="AK913">_xlfn.IFS(V913=1,"Low",V913=2,"Medium",V913=3,"High",V913=4,"Very High")</f>
        <v>Very High</v>
      </c>
      <c r="AL913" t="str" cm="1">
        <f t="array" ref="AL913">_xlfn.IFS(Z913=1,"Bad",Z913=2,"Good",Z913=3,"Better",Z913=4,"Best")</f>
        <v>Better</v>
      </c>
      <c r="AM913" t="str" cm="1">
        <f t="array" ref="AM913">_xlfn.IFS(W913=0,"No_stock",W913=1,"Low",W913=2,"Medium",W913=3,"High")</f>
        <v>No_stock</v>
      </c>
      <c r="AN913" t="str">
        <f t="shared" si="14"/>
        <v>Far</v>
      </c>
    </row>
    <row r="914" spans="1:40" x14ac:dyDescent="0.45">
      <c r="A914">
        <v>26</v>
      </c>
      <c r="B914" t="s">
        <v>37</v>
      </c>
      <c r="C914" t="s">
        <v>31</v>
      </c>
      <c r="D914">
        <v>583</v>
      </c>
      <c r="E914" t="s">
        <v>39</v>
      </c>
      <c r="F914">
        <v>4</v>
      </c>
      <c r="G914">
        <v>2</v>
      </c>
      <c r="H914" t="s">
        <v>33</v>
      </c>
      <c r="I914">
        <v>1275</v>
      </c>
      <c r="J914">
        <v>3</v>
      </c>
      <c r="K914" t="s">
        <v>40</v>
      </c>
      <c r="L914">
        <v>3</v>
      </c>
      <c r="M914">
        <v>1</v>
      </c>
      <c r="N914" t="s">
        <v>41</v>
      </c>
      <c r="O914">
        <v>4</v>
      </c>
      <c r="P914" t="s">
        <v>36</v>
      </c>
      <c r="Q914">
        <v>2875</v>
      </c>
      <c r="R914">
        <v>1</v>
      </c>
      <c r="S914" t="s">
        <v>30</v>
      </c>
      <c r="T914">
        <v>20</v>
      </c>
      <c r="U914">
        <v>4</v>
      </c>
      <c r="V914">
        <v>2</v>
      </c>
      <c r="W914">
        <v>0</v>
      </c>
      <c r="X914">
        <v>8</v>
      </c>
      <c r="Y914">
        <v>2</v>
      </c>
      <c r="Z914">
        <v>2</v>
      </c>
      <c r="AA914">
        <v>8</v>
      </c>
      <c r="AB914">
        <v>5</v>
      </c>
      <c r="AC914">
        <v>2</v>
      </c>
      <c r="AD914">
        <v>2</v>
      </c>
      <c r="AE914" t="str" cm="1">
        <f t="array" ref="AE914">_xlfn.IFS(G914=1,"Before College",G914=2,"College",G914=3,"Bachelor",G914=4,"Master",G914=5,"Doctor")</f>
        <v>College</v>
      </c>
      <c r="AF914" t="str" cm="1">
        <f t="array" ref="AF914">_xlfn.IFS(J914=1,"Low",J914=2,"Medium",J914=3,"High",J914=4,"Very High")</f>
        <v>High</v>
      </c>
      <c r="AG914" t="str" cm="1">
        <f t="array" ref="AG914">_xlfn.IFS(L914=1,"Low",L914=2,"Medium",L914=3,"High",L914=4,"Very High")</f>
        <v>High</v>
      </c>
      <c r="AH914" t="str" cm="1">
        <f t="array" ref="AH914">_xlfn.IFS(M914=1,"Junior employee",M914=2,"Mid-level",M914=3,"Senior",M914=4,"Manager",M914=5,"Executive")</f>
        <v>Junior employee</v>
      </c>
      <c r="AI914" t="str" cm="1">
        <f t="array" ref="AI914">_xlfn.IFS(O914=1,"Low",O914=2,"Medium",O914=3,"High",O914=4,"Very High")</f>
        <v>Very High</v>
      </c>
      <c r="AJ914" t="str" cm="1">
        <f t="array" ref="AJ914">_xlfn.IFS(U914=1,"Low",U914=2,"Good",U914=3,"Excellent",U914=4,"Outstanding")</f>
        <v>Outstanding</v>
      </c>
      <c r="AK914" t="str" cm="1">
        <f t="array" ref="AK914">_xlfn.IFS(V914=1,"Low",V914=2,"Medium",V914=3,"High",V914=4,"Very High")</f>
        <v>Medium</v>
      </c>
      <c r="AL914" t="str" cm="1">
        <f t="array" ref="AL914">_xlfn.IFS(Z914=1,"Bad",Z914=2,"Good",Z914=3,"Better",Z914=4,"Best")</f>
        <v>Good</v>
      </c>
      <c r="AM914" t="str" cm="1">
        <f t="array" ref="AM914">_xlfn.IFS(W914=0,"No_stock",W914=1,"Low",W914=2,"Medium",W914=3,"High")</f>
        <v>No_stock</v>
      </c>
      <c r="AN914" t="str">
        <f t="shared" si="14"/>
        <v>Near</v>
      </c>
    </row>
    <row r="915" spans="1:40" x14ac:dyDescent="0.45">
      <c r="A915">
        <v>45</v>
      </c>
      <c r="B915" t="s">
        <v>30</v>
      </c>
      <c r="C915" t="s">
        <v>31</v>
      </c>
      <c r="D915">
        <v>1449</v>
      </c>
      <c r="E915" t="s">
        <v>32</v>
      </c>
      <c r="F915">
        <v>2</v>
      </c>
      <c r="G915">
        <v>3</v>
      </c>
      <c r="H915" t="s">
        <v>53</v>
      </c>
      <c r="I915">
        <v>1277</v>
      </c>
      <c r="J915">
        <v>1</v>
      </c>
      <c r="K915" t="s">
        <v>34</v>
      </c>
      <c r="L915">
        <v>1</v>
      </c>
      <c r="M915">
        <v>5</v>
      </c>
      <c r="N915" t="s">
        <v>50</v>
      </c>
      <c r="O915">
        <v>2</v>
      </c>
      <c r="P915" t="s">
        <v>36</v>
      </c>
      <c r="Q915">
        <v>18824</v>
      </c>
      <c r="R915">
        <v>2</v>
      </c>
      <c r="S915" t="s">
        <v>30</v>
      </c>
      <c r="T915">
        <v>16</v>
      </c>
      <c r="U915">
        <v>3</v>
      </c>
      <c r="V915">
        <v>1</v>
      </c>
      <c r="W915">
        <v>0</v>
      </c>
      <c r="X915">
        <v>26</v>
      </c>
      <c r="Y915">
        <v>2</v>
      </c>
      <c r="Z915">
        <v>3</v>
      </c>
      <c r="AA915">
        <v>24</v>
      </c>
      <c r="AB915">
        <v>10</v>
      </c>
      <c r="AC915">
        <v>1</v>
      </c>
      <c r="AD915">
        <v>11</v>
      </c>
      <c r="AE915" t="str" cm="1">
        <f t="array" ref="AE915">_xlfn.IFS(G915=1,"Before College",G915=2,"College",G915=3,"Bachelor",G915=4,"Master",G915=5,"Doctor")</f>
        <v>Bachelor</v>
      </c>
      <c r="AF915" t="str" cm="1">
        <f t="array" ref="AF915">_xlfn.IFS(J915=1,"Low",J915=2,"Medium",J915=3,"High",J915=4,"Very High")</f>
        <v>Low</v>
      </c>
      <c r="AG915" t="str" cm="1">
        <f t="array" ref="AG915">_xlfn.IFS(L915=1,"Low",L915=2,"Medium",L915=3,"High",L915=4,"Very High")</f>
        <v>Low</v>
      </c>
      <c r="AH915" t="str" cm="1">
        <f t="array" ref="AH915">_xlfn.IFS(M915=1,"Junior employee",M915=2,"Mid-level",M915=3,"Senior",M915=4,"Manager",M915=5,"Executive")</f>
        <v>Executive</v>
      </c>
      <c r="AI915" t="str" cm="1">
        <f t="array" ref="AI915">_xlfn.IFS(O915=1,"Low",O915=2,"Medium",O915=3,"High",O915=4,"Very High")</f>
        <v>Medium</v>
      </c>
      <c r="AJ915" t="str" cm="1">
        <f t="array" ref="AJ915">_xlfn.IFS(U915=1,"Low",U915=2,"Good",U915=3,"Excellent",U915=4,"Outstanding")</f>
        <v>Excellent</v>
      </c>
      <c r="AK915" t="str" cm="1">
        <f t="array" ref="AK915">_xlfn.IFS(V915=1,"Low",V915=2,"Medium",V915=3,"High",V915=4,"Very High")</f>
        <v>Low</v>
      </c>
      <c r="AL915" t="str" cm="1">
        <f t="array" ref="AL915">_xlfn.IFS(Z915=1,"Bad",Z915=2,"Good",Z915=3,"Better",Z915=4,"Best")</f>
        <v>Better</v>
      </c>
      <c r="AM915" t="str" cm="1">
        <f t="array" ref="AM915">_xlfn.IFS(W915=0,"No_stock",W915=1,"Low",W915=2,"Medium",W915=3,"High")</f>
        <v>No_stock</v>
      </c>
      <c r="AN915" t="str">
        <f t="shared" si="14"/>
        <v>Near</v>
      </c>
    </row>
    <row r="916" spans="1:40" x14ac:dyDescent="0.45">
      <c r="A916">
        <v>55</v>
      </c>
      <c r="B916" t="s">
        <v>37</v>
      </c>
      <c r="C916" t="s">
        <v>49</v>
      </c>
      <c r="D916">
        <v>177</v>
      </c>
      <c r="E916" t="s">
        <v>39</v>
      </c>
      <c r="F916">
        <v>8</v>
      </c>
      <c r="G916">
        <v>1</v>
      </c>
      <c r="H916" t="s">
        <v>45</v>
      </c>
      <c r="I916">
        <v>1278</v>
      </c>
      <c r="J916">
        <v>4</v>
      </c>
      <c r="K916" t="s">
        <v>40</v>
      </c>
      <c r="L916">
        <v>2</v>
      </c>
      <c r="M916">
        <v>4</v>
      </c>
      <c r="N916" t="s">
        <v>48</v>
      </c>
      <c r="O916">
        <v>2</v>
      </c>
      <c r="P916" t="s">
        <v>46</v>
      </c>
      <c r="Q916">
        <v>13577</v>
      </c>
      <c r="R916">
        <v>1</v>
      </c>
      <c r="S916" t="s">
        <v>30</v>
      </c>
      <c r="T916">
        <v>15</v>
      </c>
      <c r="U916">
        <v>3</v>
      </c>
      <c r="V916">
        <v>4</v>
      </c>
      <c r="W916">
        <v>1</v>
      </c>
      <c r="X916">
        <v>34</v>
      </c>
      <c r="Y916">
        <v>3</v>
      </c>
      <c r="Z916">
        <v>3</v>
      </c>
      <c r="AA916">
        <v>33</v>
      </c>
      <c r="AB916">
        <v>9</v>
      </c>
      <c r="AC916">
        <v>15</v>
      </c>
      <c r="AD916">
        <v>0</v>
      </c>
      <c r="AE916" t="str" cm="1">
        <f t="array" ref="AE916">_xlfn.IFS(G916=1,"Before College",G916=2,"College",G916=3,"Bachelor",G916=4,"Master",G916=5,"Doctor")</f>
        <v>Before College</v>
      </c>
      <c r="AF916" t="str" cm="1">
        <f t="array" ref="AF916">_xlfn.IFS(J916=1,"Low",J916=2,"Medium",J916=3,"High",J916=4,"Very High")</f>
        <v>Very High</v>
      </c>
      <c r="AG916" t="str" cm="1">
        <f t="array" ref="AG916">_xlfn.IFS(L916=1,"Low",L916=2,"Medium",L916=3,"High",L916=4,"Very High")</f>
        <v>Medium</v>
      </c>
      <c r="AH916" t="str" cm="1">
        <f t="array" ref="AH916">_xlfn.IFS(M916=1,"Junior employee",M916=2,"Mid-level",M916=3,"Senior",M916=4,"Manager",M916=5,"Executive")</f>
        <v>Manager</v>
      </c>
      <c r="AI916" t="str" cm="1">
        <f t="array" ref="AI916">_xlfn.IFS(O916=1,"Low",O916=2,"Medium",O916=3,"High",O916=4,"Very High")</f>
        <v>Medium</v>
      </c>
      <c r="AJ916" t="str" cm="1">
        <f t="array" ref="AJ916">_xlfn.IFS(U916=1,"Low",U916=2,"Good",U916=3,"Excellent",U916=4,"Outstanding")</f>
        <v>Excellent</v>
      </c>
      <c r="AK916" t="str" cm="1">
        <f t="array" ref="AK916">_xlfn.IFS(V916=1,"Low",V916=2,"Medium",V916=3,"High",V916=4,"Very High")</f>
        <v>Very High</v>
      </c>
      <c r="AL916" t="str" cm="1">
        <f t="array" ref="AL916">_xlfn.IFS(Z916=1,"Bad",Z916=2,"Good",Z916=3,"Better",Z916=4,"Best")</f>
        <v>Better</v>
      </c>
      <c r="AM916" t="str" cm="1">
        <f t="array" ref="AM916">_xlfn.IFS(W916=0,"No_stock",W916=1,"Low",W916=2,"Medium",W916=3,"High")</f>
        <v>Low</v>
      </c>
      <c r="AN916" t="str">
        <f t="shared" si="14"/>
        <v>Medium</v>
      </c>
    </row>
    <row r="917" spans="1:40" x14ac:dyDescent="0.45">
      <c r="A917">
        <v>21</v>
      </c>
      <c r="B917" t="s">
        <v>30</v>
      </c>
      <c r="C917" t="s">
        <v>38</v>
      </c>
      <c r="D917">
        <v>251</v>
      </c>
      <c r="E917" t="s">
        <v>39</v>
      </c>
      <c r="F917">
        <v>10</v>
      </c>
      <c r="G917">
        <v>2</v>
      </c>
      <c r="H917" t="s">
        <v>33</v>
      </c>
      <c r="I917">
        <v>1279</v>
      </c>
      <c r="J917">
        <v>1</v>
      </c>
      <c r="K917" t="s">
        <v>34</v>
      </c>
      <c r="L917">
        <v>2</v>
      </c>
      <c r="M917">
        <v>1</v>
      </c>
      <c r="N917" t="s">
        <v>44</v>
      </c>
      <c r="O917">
        <v>3</v>
      </c>
      <c r="P917" t="s">
        <v>36</v>
      </c>
      <c r="Q917">
        <v>2625</v>
      </c>
      <c r="R917">
        <v>1</v>
      </c>
      <c r="S917" t="s">
        <v>37</v>
      </c>
      <c r="T917">
        <v>20</v>
      </c>
      <c r="U917">
        <v>4</v>
      </c>
      <c r="V917">
        <v>3</v>
      </c>
      <c r="W917">
        <v>0</v>
      </c>
      <c r="X917">
        <v>2</v>
      </c>
      <c r="Y917">
        <v>2</v>
      </c>
      <c r="Z917">
        <v>1</v>
      </c>
      <c r="AA917">
        <v>2</v>
      </c>
      <c r="AB917">
        <v>2</v>
      </c>
      <c r="AC917">
        <v>2</v>
      </c>
      <c r="AD917">
        <v>2</v>
      </c>
      <c r="AE917" t="str" cm="1">
        <f t="array" ref="AE917">_xlfn.IFS(G917=1,"Before College",G917=2,"College",G917=3,"Bachelor",G917=4,"Master",G917=5,"Doctor")</f>
        <v>College</v>
      </c>
      <c r="AF917" t="str" cm="1">
        <f t="array" ref="AF917">_xlfn.IFS(J917=1,"Low",J917=2,"Medium",J917=3,"High",J917=4,"Very High")</f>
        <v>Low</v>
      </c>
      <c r="AG917" t="str" cm="1">
        <f t="array" ref="AG917">_xlfn.IFS(L917=1,"Low",L917=2,"Medium",L917=3,"High",L917=4,"Very High")</f>
        <v>Medium</v>
      </c>
      <c r="AH917" t="str" cm="1">
        <f t="array" ref="AH917">_xlfn.IFS(M917=1,"Junior employee",M917=2,"Mid-level",M917=3,"Senior",M917=4,"Manager",M917=5,"Executive")</f>
        <v>Junior employee</v>
      </c>
      <c r="AI917" t="str" cm="1">
        <f t="array" ref="AI917">_xlfn.IFS(O917=1,"Low",O917=2,"Medium",O917=3,"High",O917=4,"Very High")</f>
        <v>High</v>
      </c>
      <c r="AJ917" t="str" cm="1">
        <f t="array" ref="AJ917">_xlfn.IFS(U917=1,"Low",U917=2,"Good",U917=3,"Excellent",U917=4,"Outstanding")</f>
        <v>Outstanding</v>
      </c>
      <c r="AK917" t="str" cm="1">
        <f t="array" ref="AK917">_xlfn.IFS(V917=1,"Low",V917=2,"Medium",V917=3,"High",V917=4,"Very High")</f>
        <v>High</v>
      </c>
      <c r="AL917" t="str" cm="1">
        <f t="array" ref="AL917">_xlfn.IFS(Z917=1,"Bad",Z917=2,"Good",Z917=3,"Better",Z917=4,"Best")</f>
        <v>Bad</v>
      </c>
      <c r="AM917" t="str" cm="1">
        <f t="array" ref="AM917">_xlfn.IFS(W917=0,"No_stock",W917=1,"Low",W917=2,"Medium",W917=3,"High")</f>
        <v>No_stock</v>
      </c>
      <c r="AN917" t="str">
        <f t="shared" si="14"/>
        <v>Medium</v>
      </c>
    </row>
    <row r="918" spans="1:40" x14ac:dyDescent="0.45">
      <c r="A918">
        <v>46</v>
      </c>
      <c r="B918" t="s">
        <v>37</v>
      </c>
      <c r="C918" t="s">
        <v>31</v>
      </c>
      <c r="D918">
        <v>168</v>
      </c>
      <c r="E918" t="s">
        <v>32</v>
      </c>
      <c r="F918">
        <v>4</v>
      </c>
      <c r="G918">
        <v>2</v>
      </c>
      <c r="H918" t="s">
        <v>53</v>
      </c>
      <c r="I918">
        <v>1280</v>
      </c>
      <c r="J918">
        <v>4</v>
      </c>
      <c r="K918" t="s">
        <v>34</v>
      </c>
      <c r="L918">
        <v>2</v>
      </c>
      <c r="M918">
        <v>5</v>
      </c>
      <c r="N918" t="s">
        <v>50</v>
      </c>
      <c r="O918">
        <v>2</v>
      </c>
      <c r="P918" t="s">
        <v>42</v>
      </c>
      <c r="Q918">
        <v>18789</v>
      </c>
      <c r="R918">
        <v>2</v>
      </c>
      <c r="S918" t="s">
        <v>37</v>
      </c>
      <c r="T918">
        <v>14</v>
      </c>
      <c r="U918">
        <v>3</v>
      </c>
      <c r="V918">
        <v>3</v>
      </c>
      <c r="W918">
        <v>1</v>
      </c>
      <c r="X918">
        <v>26</v>
      </c>
      <c r="Y918">
        <v>2</v>
      </c>
      <c r="Z918">
        <v>3</v>
      </c>
      <c r="AA918">
        <v>11</v>
      </c>
      <c r="AB918">
        <v>4</v>
      </c>
      <c r="AC918">
        <v>0</v>
      </c>
      <c r="AD918">
        <v>8</v>
      </c>
      <c r="AE918" t="str" cm="1">
        <f t="array" ref="AE918">_xlfn.IFS(G918=1,"Before College",G918=2,"College",G918=3,"Bachelor",G918=4,"Master",G918=5,"Doctor")</f>
        <v>College</v>
      </c>
      <c r="AF918" t="str" cm="1">
        <f t="array" ref="AF918">_xlfn.IFS(J918=1,"Low",J918=2,"Medium",J918=3,"High",J918=4,"Very High")</f>
        <v>Very High</v>
      </c>
      <c r="AG918" t="str" cm="1">
        <f t="array" ref="AG918">_xlfn.IFS(L918=1,"Low",L918=2,"Medium",L918=3,"High",L918=4,"Very High")</f>
        <v>Medium</v>
      </c>
      <c r="AH918" t="str" cm="1">
        <f t="array" ref="AH918">_xlfn.IFS(M918=1,"Junior employee",M918=2,"Mid-level",M918=3,"Senior",M918=4,"Manager",M918=5,"Executive")</f>
        <v>Executive</v>
      </c>
      <c r="AI918" t="str" cm="1">
        <f t="array" ref="AI918">_xlfn.IFS(O918=1,"Low",O918=2,"Medium",O918=3,"High",O918=4,"Very High")</f>
        <v>Medium</v>
      </c>
      <c r="AJ918" t="str" cm="1">
        <f t="array" ref="AJ918">_xlfn.IFS(U918=1,"Low",U918=2,"Good",U918=3,"Excellent",U918=4,"Outstanding")</f>
        <v>Excellent</v>
      </c>
      <c r="AK918" t="str" cm="1">
        <f t="array" ref="AK918">_xlfn.IFS(V918=1,"Low",V918=2,"Medium",V918=3,"High",V918=4,"Very High")</f>
        <v>High</v>
      </c>
      <c r="AL918" t="str" cm="1">
        <f t="array" ref="AL918">_xlfn.IFS(Z918=1,"Bad",Z918=2,"Good",Z918=3,"Better",Z918=4,"Best")</f>
        <v>Better</v>
      </c>
      <c r="AM918" t="str" cm="1">
        <f t="array" ref="AM918">_xlfn.IFS(W918=0,"No_stock",W918=1,"Low",W918=2,"Medium",W918=3,"High")</f>
        <v>Low</v>
      </c>
      <c r="AN918" t="str">
        <f t="shared" si="14"/>
        <v>Near</v>
      </c>
    </row>
    <row r="919" spans="1:40" x14ac:dyDescent="0.45">
      <c r="A919">
        <v>34</v>
      </c>
      <c r="B919" t="s">
        <v>37</v>
      </c>
      <c r="C919" t="s">
        <v>31</v>
      </c>
      <c r="D919">
        <v>131</v>
      </c>
      <c r="E919" t="s">
        <v>32</v>
      </c>
      <c r="F919">
        <v>2</v>
      </c>
      <c r="G919">
        <v>3</v>
      </c>
      <c r="H919" t="s">
        <v>53</v>
      </c>
      <c r="I919">
        <v>1281</v>
      </c>
      <c r="J919">
        <v>3</v>
      </c>
      <c r="K919" t="s">
        <v>34</v>
      </c>
      <c r="L919">
        <v>3</v>
      </c>
      <c r="M919">
        <v>2</v>
      </c>
      <c r="N919" t="s">
        <v>35</v>
      </c>
      <c r="O919">
        <v>1</v>
      </c>
      <c r="P919" t="s">
        <v>36</v>
      </c>
      <c r="Q919">
        <v>4538</v>
      </c>
      <c r="R919">
        <v>0</v>
      </c>
      <c r="S919" t="s">
        <v>30</v>
      </c>
      <c r="T919">
        <v>12</v>
      </c>
      <c r="U919">
        <v>3</v>
      </c>
      <c r="V919">
        <v>4</v>
      </c>
      <c r="W919">
        <v>0</v>
      </c>
      <c r="X919">
        <v>4</v>
      </c>
      <c r="Y919">
        <v>3</v>
      </c>
      <c r="Z919">
        <v>3</v>
      </c>
      <c r="AA919">
        <v>3</v>
      </c>
      <c r="AB919">
        <v>2</v>
      </c>
      <c r="AC919">
        <v>0</v>
      </c>
      <c r="AD919">
        <v>2</v>
      </c>
      <c r="AE919" t="str" cm="1">
        <f t="array" ref="AE919">_xlfn.IFS(G919=1,"Before College",G919=2,"College",G919=3,"Bachelor",G919=4,"Master",G919=5,"Doctor")</f>
        <v>Bachelor</v>
      </c>
      <c r="AF919" t="str" cm="1">
        <f t="array" ref="AF919">_xlfn.IFS(J919=1,"Low",J919=2,"Medium",J919=3,"High",J919=4,"Very High")</f>
        <v>High</v>
      </c>
      <c r="AG919" t="str" cm="1">
        <f t="array" ref="AG919">_xlfn.IFS(L919=1,"Low",L919=2,"Medium",L919=3,"High",L919=4,"Very High")</f>
        <v>High</v>
      </c>
      <c r="AH919" t="str" cm="1">
        <f t="array" ref="AH919">_xlfn.IFS(M919=1,"Junior employee",M919=2,"Mid-level",M919=3,"Senior",M919=4,"Manager",M919=5,"Executive")</f>
        <v>Mid-level</v>
      </c>
      <c r="AI919" t="str" cm="1">
        <f t="array" ref="AI919">_xlfn.IFS(O919=1,"Low",O919=2,"Medium",O919=3,"High",O919=4,"Very High")</f>
        <v>Low</v>
      </c>
      <c r="AJ919" t="str" cm="1">
        <f t="array" ref="AJ919">_xlfn.IFS(U919=1,"Low",U919=2,"Good",U919=3,"Excellent",U919=4,"Outstanding")</f>
        <v>Excellent</v>
      </c>
      <c r="AK919" t="str" cm="1">
        <f t="array" ref="AK919">_xlfn.IFS(V919=1,"Low",V919=2,"Medium",V919=3,"High",V919=4,"Very High")</f>
        <v>Very High</v>
      </c>
      <c r="AL919" t="str" cm="1">
        <f t="array" ref="AL919">_xlfn.IFS(Z919=1,"Bad",Z919=2,"Good",Z919=3,"Better",Z919=4,"Best")</f>
        <v>Better</v>
      </c>
      <c r="AM919" t="str" cm="1">
        <f t="array" ref="AM919">_xlfn.IFS(W919=0,"No_stock",W919=1,"Low",W919=2,"Medium",W919=3,"High")</f>
        <v>No_stock</v>
      </c>
      <c r="AN919" t="str">
        <f t="shared" si="14"/>
        <v>Near</v>
      </c>
    </row>
    <row r="920" spans="1:40" x14ac:dyDescent="0.45">
      <c r="A920">
        <v>51</v>
      </c>
      <c r="B920" t="s">
        <v>37</v>
      </c>
      <c r="C920" t="s">
        <v>38</v>
      </c>
      <c r="D920">
        <v>237</v>
      </c>
      <c r="E920" t="s">
        <v>32</v>
      </c>
      <c r="F920">
        <v>9</v>
      </c>
      <c r="G920">
        <v>3</v>
      </c>
      <c r="H920" t="s">
        <v>33</v>
      </c>
      <c r="I920">
        <v>1282</v>
      </c>
      <c r="J920">
        <v>4</v>
      </c>
      <c r="K920" t="s">
        <v>40</v>
      </c>
      <c r="L920">
        <v>3</v>
      </c>
      <c r="M920">
        <v>5</v>
      </c>
      <c r="N920" t="s">
        <v>50</v>
      </c>
      <c r="O920">
        <v>2</v>
      </c>
      <c r="P920" t="s">
        <v>46</v>
      </c>
      <c r="Q920">
        <v>19847</v>
      </c>
      <c r="R920">
        <v>4</v>
      </c>
      <c r="S920" t="s">
        <v>30</v>
      </c>
      <c r="T920">
        <v>24</v>
      </c>
      <c r="U920">
        <v>4</v>
      </c>
      <c r="V920">
        <v>1</v>
      </c>
      <c r="W920">
        <v>1</v>
      </c>
      <c r="X920">
        <v>31</v>
      </c>
      <c r="Y920">
        <v>5</v>
      </c>
      <c r="Z920">
        <v>2</v>
      </c>
      <c r="AA920">
        <v>29</v>
      </c>
      <c r="AB920">
        <v>10</v>
      </c>
      <c r="AC920">
        <v>11</v>
      </c>
      <c r="AD920">
        <v>10</v>
      </c>
      <c r="AE920" t="str" cm="1">
        <f t="array" ref="AE920">_xlfn.IFS(G920=1,"Before College",G920=2,"College",G920=3,"Bachelor",G920=4,"Master",G920=5,"Doctor")</f>
        <v>Bachelor</v>
      </c>
      <c r="AF920" t="str" cm="1">
        <f t="array" ref="AF920">_xlfn.IFS(J920=1,"Low",J920=2,"Medium",J920=3,"High",J920=4,"Very High")</f>
        <v>Very High</v>
      </c>
      <c r="AG920" t="str" cm="1">
        <f t="array" ref="AG920">_xlfn.IFS(L920=1,"Low",L920=2,"Medium",L920=3,"High",L920=4,"Very High")</f>
        <v>High</v>
      </c>
      <c r="AH920" t="str" cm="1">
        <f t="array" ref="AH920">_xlfn.IFS(M920=1,"Junior employee",M920=2,"Mid-level",M920=3,"Senior",M920=4,"Manager",M920=5,"Executive")</f>
        <v>Executive</v>
      </c>
      <c r="AI920" t="str" cm="1">
        <f t="array" ref="AI920">_xlfn.IFS(O920=1,"Low",O920=2,"Medium",O920=3,"High",O920=4,"Very High")</f>
        <v>Medium</v>
      </c>
      <c r="AJ920" t="str" cm="1">
        <f t="array" ref="AJ920">_xlfn.IFS(U920=1,"Low",U920=2,"Good",U920=3,"Excellent",U920=4,"Outstanding")</f>
        <v>Outstanding</v>
      </c>
      <c r="AK920" t="str" cm="1">
        <f t="array" ref="AK920">_xlfn.IFS(V920=1,"Low",V920=2,"Medium",V920=3,"High",V920=4,"Very High")</f>
        <v>Low</v>
      </c>
      <c r="AL920" t="str" cm="1">
        <f t="array" ref="AL920">_xlfn.IFS(Z920=1,"Bad",Z920=2,"Good",Z920=3,"Better",Z920=4,"Best")</f>
        <v>Good</v>
      </c>
      <c r="AM920" t="str" cm="1">
        <f t="array" ref="AM920">_xlfn.IFS(W920=0,"No_stock",W920=1,"Low",W920=2,"Medium",W920=3,"High")</f>
        <v>Low</v>
      </c>
      <c r="AN920" t="str">
        <f t="shared" si="14"/>
        <v>Medium</v>
      </c>
    </row>
    <row r="921" spans="1:40" x14ac:dyDescent="0.45">
      <c r="A921">
        <v>59</v>
      </c>
      <c r="B921" t="s">
        <v>37</v>
      </c>
      <c r="C921" t="s">
        <v>31</v>
      </c>
      <c r="D921">
        <v>1429</v>
      </c>
      <c r="E921" t="s">
        <v>39</v>
      </c>
      <c r="F921">
        <v>18</v>
      </c>
      <c r="G921">
        <v>4</v>
      </c>
      <c r="H921" t="s">
        <v>45</v>
      </c>
      <c r="I921">
        <v>1283</v>
      </c>
      <c r="J921">
        <v>4</v>
      </c>
      <c r="K921" t="s">
        <v>40</v>
      </c>
      <c r="L921">
        <v>3</v>
      </c>
      <c r="M921">
        <v>3</v>
      </c>
      <c r="N921" t="s">
        <v>47</v>
      </c>
      <c r="O921">
        <v>4</v>
      </c>
      <c r="P921" t="s">
        <v>36</v>
      </c>
      <c r="Q921">
        <v>10512</v>
      </c>
      <c r="R921">
        <v>6</v>
      </c>
      <c r="S921" t="s">
        <v>37</v>
      </c>
      <c r="T921">
        <v>12</v>
      </c>
      <c r="U921">
        <v>3</v>
      </c>
      <c r="V921">
        <v>4</v>
      </c>
      <c r="W921">
        <v>0</v>
      </c>
      <c r="X921">
        <v>25</v>
      </c>
      <c r="Y921">
        <v>6</v>
      </c>
      <c r="Z921">
        <v>2</v>
      </c>
      <c r="AA921">
        <v>9</v>
      </c>
      <c r="AB921">
        <v>7</v>
      </c>
      <c r="AC921">
        <v>5</v>
      </c>
      <c r="AD921">
        <v>4</v>
      </c>
      <c r="AE921" t="str" cm="1">
        <f t="array" ref="AE921">_xlfn.IFS(G921=1,"Before College",G921=2,"College",G921=3,"Bachelor",G921=4,"Master",G921=5,"Doctor")</f>
        <v>Master</v>
      </c>
      <c r="AF921" t="str" cm="1">
        <f t="array" ref="AF921">_xlfn.IFS(J921=1,"Low",J921=2,"Medium",J921=3,"High",J921=4,"Very High")</f>
        <v>Very High</v>
      </c>
      <c r="AG921" t="str" cm="1">
        <f t="array" ref="AG921">_xlfn.IFS(L921=1,"Low",L921=2,"Medium",L921=3,"High",L921=4,"Very High")</f>
        <v>High</v>
      </c>
      <c r="AH921" t="str" cm="1">
        <f t="array" ref="AH921">_xlfn.IFS(M921=1,"Junior employee",M921=2,"Mid-level",M921=3,"Senior",M921=4,"Manager",M921=5,"Executive")</f>
        <v>Senior</v>
      </c>
      <c r="AI921" t="str" cm="1">
        <f t="array" ref="AI921">_xlfn.IFS(O921=1,"Low",O921=2,"Medium",O921=3,"High",O921=4,"Very High")</f>
        <v>Very High</v>
      </c>
      <c r="AJ921" t="str" cm="1">
        <f t="array" ref="AJ921">_xlfn.IFS(U921=1,"Low",U921=2,"Good",U921=3,"Excellent",U921=4,"Outstanding")</f>
        <v>Excellent</v>
      </c>
      <c r="AK921" t="str" cm="1">
        <f t="array" ref="AK921">_xlfn.IFS(V921=1,"Low",V921=2,"Medium",V921=3,"High",V921=4,"Very High")</f>
        <v>Very High</v>
      </c>
      <c r="AL921" t="str" cm="1">
        <f t="array" ref="AL921">_xlfn.IFS(Z921=1,"Bad",Z921=2,"Good",Z921=3,"Better",Z921=4,"Best")</f>
        <v>Good</v>
      </c>
      <c r="AM921" t="str" cm="1">
        <f t="array" ref="AM921">_xlfn.IFS(W921=0,"No_stock",W921=1,"Low",W921=2,"Medium",W921=3,"High")</f>
        <v>No_stock</v>
      </c>
      <c r="AN921" t="str">
        <f t="shared" si="14"/>
        <v>Far</v>
      </c>
    </row>
    <row r="922" spans="1:40" x14ac:dyDescent="0.45">
      <c r="A922">
        <v>34</v>
      </c>
      <c r="B922" t="s">
        <v>37</v>
      </c>
      <c r="C922" t="s">
        <v>38</v>
      </c>
      <c r="D922">
        <v>135</v>
      </c>
      <c r="E922" t="s">
        <v>39</v>
      </c>
      <c r="F922">
        <v>19</v>
      </c>
      <c r="G922">
        <v>3</v>
      </c>
      <c r="H922" t="s">
        <v>45</v>
      </c>
      <c r="I922">
        <v>1285</v>
      </c>
      <c r="J922">
        <v>3</v>
      </c>
      <c r="K922" t="s">
        <v>34</v>
      </c>
      <c r="L922">
        <v>3</v>
      </c>
      <c r="M922">
        <v>2</v>
      </c>
      <c r="N922" t="s">
        <v>44</v>
      </c>
      <c r="O922">
        <v>2</v>
      </c>
      <c r="P922" t="s">
        <v>46</v>
      </c>
      <c r="Q922">
        <v>4444</v>
      </c>
      <c r="R922">
        <v>4</v>
      </c>
      <c r="S922" t="s">
        <v>37</v>
      </c>
      <c r="T922">
        <v>13</v>
      </c>
      <c r="U922">
        <v>3</v>
      </c>
      <c r="V922">
        <v>3</v>
      </c>
      <c r="W922">
        <v>2</v>
      </c>
      <c r="X922">
        <v>15</v>
      </c>
      <c r="Y922">
        <v>2</v>
      </c>
      <c r="Z922">
        <v>4</v>
      </c>
      <c r="AA922">
        <v>11</v>
      </c>
      <c r="AB922">
        <v>8</v>
      </c>
      <c r="AC922">
        <v>5</v>
      </c>
      <c r="AD922">
        <v>10</v>
      </c>
      <c r="AE922" t="str" cm="1">
        <f t="array" ref="AE922">_xlfn.IFS(G922=1,"Before College",G922=2,"College",G922=3,"Bachelor",G922=4,"Master",G922=5,"Doctor")</f>
        <v>Bachelor</v>
      </c>
      <c r="AF922" t="str" cm="1">
        <f t="array" ref="AF922">_xlfn.IFS(J922=1,"Low",J922=2,"Medium",J922=3,"High",J922=4,"Very High")</f>
        <v>High</v>
      </c>
      <c r="AG922" t="str" cm="1">
        <f t="array" ref="AG922">_xlfn.IFS(L922=1,"Low",L922=2,"Medium",L922=3,"High",L922=4,"Very High")</f>
        <v>High</v>
      </c>
      <c r="AH922" t="str" cm="1">
        <f t="array" ref="AH922">_xlfn.IFS(M922=1,"Junior employee",M922=2,"Mid-level",M922=3,"Senior",M922=4,"Manager",M922=5,"Executive")</f>
        <v>Mid-level</v>
      </c>
      <c r="AI922" t="str" cm="1">
        <f t="array" ref="AI922">_xlfn.IFS(O922=1,"Low",O922=2,"Medium",O922=3,"High",O922=4,"Very High")</f>
        <v>Medium</v>
      </c>
      <c r="AJ922" t="str" cm="1">
        <f t="array" ref="AJ922">_xlfn.IFS(U922=1,"Low",U922=2,"Good",U922=3,"Excellent",U922=4,"Outstanding")</f>
        <v>Excellent</v>
      </c>
      <c r="AK922" t="str" cm="1">
        <f t="array" ref="AK922">_xlfn.IFS(V922=1,"Low",V922=2,"Medium",V922=3,"High",V922=4,"Very High")</f>
        <v>High</v>
      </c>
      <c r="AL922" t="str" cm="1">
        <f t="array" ref="AL922">_xlfn.IFS(Z922=1,"Bad",Z922=2,"Good",Z922=3,"Better",Z922=4,"Best")</f>
        <v>Best</v>
      </c>
      <c r="AM922" t="str" cm="1">
        <f t="array" ref="AM922">_xlfn.IFS(W922=0,"No_stock",W922=1,"Low",W922=2,"Medium",W922=3,"High")</f>
        <v>Medium</v>
      </c>
      <c r="AN922" t="str">
        <f t="shared" si="14"/>
        <v>Far</v>
      </c>
    </row>
    <row r="923" spans="1:40" x14ac:dyDescent="0.45">
      <c r="A923">
        <v>28</v>
      </c>
      <c r="B923" t="s">
        <v>37</v>
      </c>
      <c r="C923" t="s">
        <v>38</v>
      </c>
      <c r="D923">
        <v>791</v>
      </c>
      <c r="E923" t="s">
        <v>39</v>
      </c>
      <c r="F923">
        <v>1</v>
      </c>
      <c r="G923">
        <v>4</v>
      </c>
      <c r="H923" t="s">
        <v>45</v>
      </c>
      <c r="I923">
        <v>1286</v>
      </c>
      <c r="J923">
        <v>4</v>
      </c>
      <c r="K923" t="s">
        <v>40</v>
      </c>
      <c r="L923">
        <v>3</v>
      </c>
      <c r="M923">
        <v>1</v>
      </c>
      <c r="N923" t="s">
        <v>44</v>
      </c>
      <c r="O923">
        <v>3</v>
      </c>
      <c r="P923" t="s">
        <v>36</v>
      </c>
      <c r="Q923">
        <v>2154</v>
      </c>
      <c r="R923">
        <v>0</v>
      </c>
      <c r="S923" t="s">
        <v>30</v>
      </c>
      <c r="T923">
        <v>11</v>
      </c>
      <c r="U923">
        <v>3</v>
      </c>
      <c r="V923">
        <v>3</v>
      </c>
      <c r="W923">
        <v>0</v>
      </c>
      <c r="X923">
        <v>5</v>
      </c>
      <c r="Y923">
        <v>2</v>
      </c>
      <c r="Z923">
        <v>2</v>
      </c>
      <c r="AA923">
        <v>4</v>
      </c>
      <c r="AB923">
        <v>2</v>
      </c>
      <c r="AC923">
        <v>0</v>
      </c>
      <c r="AD923">
        <v>2</v>
      </c>
      <c r="AE923" t="str" cm="1">
        <f t="array" ref="AE923">_xlfn.IFS(G923=1,"Before College",G923=2,"College",G923=3,"Bachelor",G923=4,"Master",G923=5,"Doctor")</f>
        <v>Master</v>
      </c>
      <c r="AF923" t="str" cm="1">
        <f t="array" ref="AF923">_xlfn.IFS(J923=1,"Low",J923=2,"Medium",J923=3,"High",J923=4,"Very High")</f>
        <v>Very High</v>
      </c>
      <c r="AG923" t="str" cm="1">
        <f t="array" ref="AG923">_xlfn.IFS(L923=1,"Low",L923=2,"Medium",L923=3,"High",L923=4,"Very High")</f>
        <v>High</v>
      </c>
      <c r="AH923" t="str" cm="1">
        <f t="array" ref="AH923">_xlfn.IFS(M923=1,"Junior employee",M923=2,"Mid-level",M923=3,"Senior",M923=4,"Manager",M923=5,"Executive")</f>
        <v>Junior employee</v>
      </c>
      <c r="AI923" t="str" cm="1">
        <f t="array" ref="AI923">_xlfn.IFS(O923=1,"Low",O923=2,"Medium",O923=3,"High",O923=4,"Very High")</f>
        <v>High</v>
      </c>
      <c r="AJ923" t="str" cm="1">
        <f t="array" ref="AJ923">_xlfn.IFS(U923=1,"Low",U923=2,"Good",U923=3,"Excellent",U923=4,"Outstanding")</f>
        <v>Excellent</v>
      </c>
      <c r="AK923" t="str" cm="1">
        <f t="array" ref="AK923">_xlfn.IFS(V923=1,"Low",V923=2,"Medium",V923=3,"High",V923=4,"Very High")</f>
        <v>High</v>
      </c>
      <c r="AL923" t="str" cm="1">
        <f t="array" ref="AL923">_xlfn.IFS(Z923=1,"Bad",Z923=2,"Good",Z923=3,"Better",Z923=4,"Best")</f>
        <v>Good</v>
      </c>
      <c r="AM923" t="str" cm="1">
        <f t="array" ref="AM923">_xlfn.IFS(W923=0,"No_stock",W923=1,"Low",W923=2,"Medium",W923=3,"High")</f>
        <v>No_stock</v>
      </c>
      <c r="AN923" t="str">
        <f t="shared" si="14"/>
        <v>Near</v>
      </c>
    </row>
    <row r="924" spans="1:40" x14ac:dyDescent="0.45">
      <c r="A924">
        <v>44</v>
      </c>
      <c r="B924" t="s">
        <v>37</v>
      </c>
      <c r="C924" t="s">
        <v>31</v>
      </c>
      <c r="D924">
        <v>1199</v>
      </c>
      <c r="E924" t="s">
        <v>39</v>
      </c>
      <c r="F924">
        <v>4</v>
      </c>
      <c r="G924">
        <v>2</v>
      </c>
      <c r="H924" t="s">
        <v>33</v>
      </c>
      <c r="I924">
        <v>1288</v>
      </c>
      <c r="J924">
        <v>3</v>
      </c>
      <c r="K924" t="s">
        <v>40</v>
      </c>
      <c r="L924">
        <v>4</v>
      </c>
      <c r="M924">
        <v>5</v>
      </c>
      <c r="N924" t="s">
        <v>50</v>
      </c>
      <c r="O924">
        <v>1</v>
      </c>
      <c r="P924" t="s">
        <v>46</v>
      </c>
      <c r="Q924">
        <v>19190</v>
      </c>
      <c r="R924">
        <v>1</v>
      </c>
      <c r="S924" t="s">
        <v>37</v>
      </c>
      <c r="T924">
        <v>14</v>
      </c>
      <c r="U924">
        <v>3</v>
      </c>
      <c r="V924">
        <v>4</v>
      </c>
      <c r="W924">
        <v>2</v>
      </c>
      <c r="X924">
        <v>26</v>
      </c>
      <c r="Y924">
        <v>4</v>
      </c>
      <c r="Z924">
        <v>2</v>
      </c>
      <c r="AA924">
        <v>25</v>
      </c>
      <c r="AB924">
        <v>9</v>
      </c>
      <c r="AC924">
        <v>14</v>
      </c>
      <c r="AD924">
        <v>13</v>
      </c>
      <c r="AE924" t="str" cm="1">
        <f t="array" ref="AE924">_xlfn.IFS(G924=1,"Before College",G924=2,"College",G924=3,"Bachelor",G924=4,"Master",G924=5,"Doctor")</f>
        <v>College</v>
      </c>
      <c r="AF924" t="str" cm="1">
        <f t="array" ref="AF924">_xlfn.IFS(J924=1,"Low",J924=2,"Medium",J924=3,"High",J924=4,"Very High")</f>
        <v>High</v>
      </c>
      <c r="AG924" t="str" cm="1">
        <f t="array" ref="AG924">_xlfn.IFS(L924=1,"Low",L924=2,"Medium",L924=3,"High",L924=4,"Very High")</f>
        <v>Very High</v>
      </c>
      <c r="AH924" t="str" cm="1">
        <f t="array" ref="AH924">_xlfn.IFS(M924=1,"Junior employee",M924=2,"Mid-level",M924=3,"Senior",M924=4,"Manager",M924=5,"Executive")</f>
        <v>Executive</v>
      </c>
      <c r="AI924" t="str" cm="1">
        <f t="array" ref="AI924">_xlfn.IFS(O924=1,"Low",O924=2,"Medium",O924=3,"High",O924=4,"Very High")</f>
        <v>Low</v>
      </c>
      <c r="AJ924" t="str" cm="1">
        <f t="array" ref="AJ924">_xlfn.IFS(U924=1,"Low",U924=2,"Good",U924=3,"Excellent",U924=4,"Outstanding")</f>
        <v>Excellent</v>
      </c>
      <c r="AK924" t="str" cm="1">
        <f t="array" ref="AK924">_xlfn.IFS(V924=1,"Low",V924=2,"Medium",V924=3,"High",V924=4,"Very High")</f>
        <v>Very High</v>
      </c>
      <c r="AL924" t="str" cm="1">
        <f t="array" ref="AL924">_xlfn.IFS(Z924=1,"Bad",Z924=2,"Good",Z924=3,"Better",Z924=4,"Best")</f>
        <v>Good</v>
      </c>
      <c r="AM924" t="str" cm="1">
        <f t="array" ref="AM924">_xlfn.IFS(W924=0,"No_stock",W924=1,"Low",W924=2,"Medium",W924=3,"High")</f>
        <v>Medium</v>
      </c>
      <c r="AN924" t="str">
        <f t="shared" si="14"/>
        <v>Near</v>
      </c>
    </row>
    <row r="925" spans="1:40" x14ac:dyDescent="0.45">
      <c r="A925">
        <v>34</v>
      </c>
      <c r="B925" t="s">
        <v>37</v>
      </c>
      <c r="C925" t="s">
        <v>38</v>
      </c>
      <c r="D925">
        <v>648</v>
      </c>
      <c r="E925" t="s">
        <v>55</v>
      </c>
      <c r="F925">
        <v>11</v>
      </c>
      <c r="G925">
        <v>3</v>
      </c>
      <c r="H925" t="s">
        <v>33</v>
      </c>
      <c r="I925">
        <v>1289</v>
      </c>
      <c r="J925">
        <v>3</v>
      </c>
      <c r="K925" t="s">
        <v>40</v>
      </c>
      <c r="L925">
        <v>2</v>
      </c>
      <c r="M925">
        <v>2</v>
      </c>
      <c r="N925" t="s">
        <v>55</v>
      </c>
      <c r="O925">
        <v>2</v>
      </c>
      <c r="P925" t="s">
        <v>42</v>
      </c>
      <c r="Q925">
        <v>4490</v>
      </c>
      <c r="R925">
        <v>4</v>
      </c>
      <c r="S925" t="s">
        <v>37</v>
      </c>
      <c r="T925">
        <v>11</v>
      </c>
      <c r="U925">
        <v>3</v>
      </c>
      <c r="V925">
        <v>4</v>
      </c>
      <c r="W925">
        <v>2</v>
      </c>
      <c r="X925">
        <v>14</v>
      </c>
      <c r="Y925">
        <v>5</v>
      </c>
      <c r="Z925">
        <v>4</v>
      </c>
      <c r="AA925">
        <v>10</v>
      </c>
      <c r="AB925">
        <v>9</v>
      </c>
      <c r="AC925">
        <v>1</v>
      </c>
      <c r="AD925">
        <v>8</v>
      </c>
      <c r="AE925" t="str" cm="1">
        <f t="array" ref="AE925">_xlfn.IFS(G925=1,"Before College",G925=2,"College",G925=3,"Bachelor",G925=4,"Master",G925=5,"Doctor")</f>
        <v>Bachelor</v>
      </c>
      <c r="AF925" t="str" cm="1">
        <f t="array" ref="AF925">_xlfn.IFS(J925=1,"Low",J925=2,"Medium",J925=3,"High",J925=4,"Very High")</f>
        <v>High</v>
      </c>
      <c r="AG925" t="str" cm="1">
        <f t="array" ref="AG925">_xlfn.IFS(L925=1,"Low",L925=2,"Medium",L925=3,"High",L925=4,"Very High")</f>
        <v>Medium</v>
      </c>
      <c r="AH925" t="str" cm="1">
        <f t="array" ref="AH925">_xlfn.IFS(M925=1,"Junior employee",M925=2,"Mid-level",M925=3,"Senior",M925=4,"Manager",M925=5,"Executive")</f>
        <v>Mid-level</v>
      </c>
      <c r="AI925" t="str" cm="1">
        <f t="array" ref="AI925">_xlfn.IFS(O925=1,"Low",O925=2,"Medium",O925=3,"High",O925=4,"Very High")</f>
        <v>Medium</v>
      </c>
      <c r="AJ925" t="str" cm="1">
        <f t="array" ref="AJ925">_xlfn.IFS(U925=1,"Low",U925=2,"Good",U925=3,"Excellent",U925=4,"Outstanding")</f>
        <v>Excellent</v>
      </c>
      <c r="AK925" t="str" cm="1">
        <f t="array" ref="AK925">_xlfn.IFS(V925=1,"Low",V925=2,"Medium",V925=3,"High",V925=4,"Very High")</f>
        <v>Very High</v>
      </c>
      <c r="AL925" t="str" cm="1">
        <f t="array" ref="AL925">_xlfn.IFS(Z925=1,"Bad",Z925=2,"Good",Z925=3,"Better",Z925=4,"Best")</f>
        <v>Best</v>
      </c>
      <c r="AM925" t="str" cm="1">
        <f t="array" ref="AM925">_xlfn.IFS(W925=0,"No_stock",W925=1,"Low",W925=2,"Medium",W925=3,"High")</f>
        <v>Medium</v>
      </c>
      <c r="AN925" t="str">
        <f t="shared" si="14"/>
        <v>Medium</v>
      </c>
    </row>
    <row r="926" spans="1:40" x14ac:dyDescent="0.45">
      <c r="A926">
        <v>35</v>
      </c>
      <c r="B926" t="s">
        <v>37</v>
      </c>
      <c r="C926" t="s">
        <v>31</v>
      </c>
      <c r="D926">
        <v>735</v>
      </c>
      <c r="E926" t="s">
        <v>39</v>
      </c>
      <c r="F926">
        <v>6</v>
      </c>
      <c r="G926">
        <v>1</v>
      </c>
      <c r="H926" t="s">
        <v>33</v>
      </c>
      <c r="I926">
        <v>1291</v>
      </c>
      <c r="J926">
        <v>3</v>
      </c>
      <c r="K926" t="s">
        <v>40</v>
      </c>
      <c r="L926">
        <v>3</v>
      </c>
      <c r="M926">
        <v>1</v>
      </c>
      <c r="N926" t="s">
        <v>41</v>
      </c>
      <c r="O926">
        <v>3</v>
      </c>
      <c r="P926" t="s">
        <v>42</v>
      </c>
      <c r="Q926">
        <v>3506</v>
      </c>
      <c r="R926">
        <v>0</v>
      </c>
      <c r="S926" t="s">
        <v>30</v>
      </c>
      <c r="T926">
        <v>14</v>
      </c>
      <c r="U926">
        <v>3</v>
      </c>
      <c r="V926">
        <v>4</v>
      </c>
      <c r="W926">
        <v>0</v>
      </c>
      <c r="X926">
        <v>4</v>
      </c>
      <c r="Y926">
        <v>3</v>
      </c>
      <c r="Z926">
        <v>3</v>
      </c>
      <c r="AA926">
        <v>3</v>
      </c>
      <c r="AB926">
        <v>2</v>
      </c>
      <c r="AC926">
        <v>2</v>
      </c>
      <c r="AD926">
        <v>2</v>
      </c>
      <c r="AE926" t="str" cm="1">
        <f t="array" ref="AE926">_xlfn.IFS(G926=1,"Before College",G926=2,"College",G926=3,"Bachelor",G926=4,"Master",G926=5,"Doctor")</f>
        <v>Before College</v>
      </c>
      <c r="AF926" t="str" cm="1">
        <f t="array" ref="AF926">_xlfn.IFS(J926=1,"Low",J926=2,"Medium",J926=3,"High",J926=4,"Very High")</f>
        <v>High</v>
      </c>
      <c r="AG926" t="str" cm="1">
        <f t="array" ref="AG926">_xlfn.IFS(L926=1,"Low",L926=2,"Medium",L926=3,"High",L926=4,"Very High")</f>
        <v>High</v>
      </c>
      <c r="AH926" t="str" cm="1">
        <f t="array" ref="AH926">_xlfn.IFS(M926=1,"Junior employee",M926=2,"Mid-level",M926=3,"Senior",M926=4,"Manager",M926=5,"Executive")</f>
        <v>Junior employee</v>
      </c>
      <c r="AI926" t="str" cm="1">
        <f t="array" ref="AI926">_xlfn.IFS(O926=1,"Low",O926=2,"Medium",O926=3,"High",O926=4,"Very High")</f>
        <v>High</v>
      </c>
      <c r="AJ926" t="str" cm="1">
        <f t="array" ref="AJ926">_xlfn.IFS(U926=1,"Low",U926=2,"Good",U926=3,"Excellent",U926=4,"Outstanding")</f>
        <v>Excellent</v>
      </c>
      <c r="AK926" t="str" cm="1">
        <f t="array" ref="AK926">_xlfn.IFS(V926=1,"Low",V926=2,"Medium",V926=3,"High",V926=4,"Very High")</f>
        <v>Very High</v>
      </c>
      <c r="AL926" t="str" cm="1">
        <f t="array" ref="AL926">_xlfn.IFS(Z926=1,"Bad",Z926=2,"Good",Z926=3,"Better",Z926=4,"Best")</f>
        <v>Better</v>
      </c>
      <c r="AM926" t="str" cm="1">
        <f t="array" ref="AM926">_xlfn.IFS(W926=0,"No_stock",W926=1,"Low",W926=2,"Medium",W926=3,"High")</f>
        <v>No_stock</v>
      </c>
      <c r="AN926" t="str">
        <f t="shared" si="14"/>
        <v>Medium</v>
      </c>
    </row>
    <row r="927" spans="1:40" x14ac:dyDescent="0.45">
      <c r="A927">
        <v>42</v>
      </c>
      <c r="B927" t="s">
        <v>37</v>
      </c>
      <c r="C927" t="s">
        <v>31</v>
      </c>
      <c r="D927">
        <v>603</v>
      </c>
      <c r="E927" t="s">
        <v>39</v>
      </c>
      <c r="F927">
        <v>7</v>
      </c>
      <c r="G927">
        <v>4</v>
      </c>
      <c r="H927" t="s">
        <v>45</v>
      </c>
      <c r="I927">
        <v>1292</v>
      </c>
      <c r="J927">
        <v>2</v>
      </c>
      <c r="K927" t="s">
        <v>34</v>
      </c>
      <c r="L927">
        <v>4</v>
      </c>
      <c r="M927">
        <v>2</v>
      </c>
      <c r="N927" t="s">
        <v>41</v>
      </c>
      <c r="O927">
        <v>2</v>
      </c>
      <c r="P927" t="s">
        <v>42</v>
      </c>
      <c r="Q927">
        <v>2372</v>
      </c>
      <c r="R927">
        <v>6</v>
      </c>
      <c r="S927" t="s">
        <v>30</v>
      </c>
      <c r="T927">
        <v>16</v>
      </c>
      <c r="U927">
        <v>3</v>
      </c>
      <c r="V927">
        <v>4</v>
      </c>
      <c r="W927">
        <v>0</v>
      </c>
      <c r="X927">
        <v>18</v>
      </c>
      <c r="Y927">
        <v>2</v>
      </c>
      <c r="Z927">
        <v>3</v>
      </c>
      <c r="AA927">
        <v>1</v>
      </c>
      <c r="AB927">
        <v>0</v>
      </c>
      <c r="AC927">
        <v>0</v>
      </c>
      <c r="AD927">
        <v>0</v>
      </c>
      <c r="AE927" t="str" cm="1">
        <f t="array" ref="AE927">_xlfn.IFS(G927=1,"Before College",G927=2,"College",G927=3,"Bachelor",G927=4,"Master",G927=5,"Doctor")</f>
        <v>Master</v>
      </c>
      <c r="AF927" t="str" cm="1">
        <f t="array" ref="AF927">_xlfn.IFS(J927=1,"Low",J927=2,"Medium",J927=3,"High",J927=4,"Very High")</f>
        <v>Medium</v>
      </c>
      <c r="AG927" t="str" cm="1">
        <f t="array" ref="AG927">_xlfn.IFS(L927=1,"Low",L927=2,"Medium",L927=3,"High",L927=4,"Very High")</f>
        <v>Very High</v>
      </c>
      <c r="AH927" t="str" cm="1">
        <f t="array" ref="AH927">_xlfn.IFS(M927=1,"Junior employee",M927=2,"Mid-level",M927=3,"Senior",M927=4,"Manager",M927=5,"Executive")</f>
        <v>Mid-level</v>
      </c>
      <c r="AI927" t="str" cm="1">
        <f t="array" ref="AI927">_xlfn.IFS(O927=1,"Low",O927=2,"Medium",O927=3,"High",O927=4,"Very High")</f>
        <v>Medium</v>
      </c>
      <c r="AJ927" t="str" cm="1">
        <f t="array" ref="AJ927">_xlfn.IFS(U927=1,"Low",U927=2,"Good",U927=3,"Excellent",U927=4,"Outstanding")</f>
        <v>Excellent</v>
      </c>
      <c r="AK927" t="str" cm="1">
        <f t="array" ref="AK927">_xlfn.IFS(V927=1,"Low",V927=2,"Medium",V927=3,"High",V927=4,"Very High")</f>
        <v>Very High</v>
      </c>
      <c r="AL927" t="str" cm="1">
        <f t="array" ref="AL927">_xlfn.IFS(Z927=1,"Bad",Z927=2,"Good",Z927=3,"Better",Z927=4,"Best")</f>
        <v>Better</v>
      </c>
      <c r="AM927" t="str" cm="1">
        <f t="array" ref="AM927">_xlfn.IFS(W927=0,"No_stock",W927=1,"Low",W927=2,"Medium",W927=3,"High")</f>
        <v>No_stock</v>
      </c>
      <c r="AN927" t="str">
        <f t="shared" si="14"/>
        <v>Medium</v>
      </c>
    </row>
    <row r="928" spans="1:40" x14ac:dyDescent="0.45">
      <c r="A928">
        <v>43</v>
      </c>
      <c r="B928" t="s">
        <v>37</v>
      </c>
      <c r="C928" t="s">
        <v>31</v>
      </c>
      <c r="D928">
        <v>531</v>
      </c>
      <c r="E928" t="s">
        <v>32</v>
      </c>
      <c r="F928">
        <v>4</v>
      </c>
      <c r="G928">
        <v>4</v>
      </c>
      <c r="H928" t="s">
        <v>53</v>
      </c>
      <c r="I928">
        <v>1293</v>
      </c>
      <c r="J928">
        <v>4</v>
      </c>
      <c r="K928" t="s">
        <v>34</v>
      </c>
      <c r="L928">
        <v>2</v>
      </c>
      <c r="M928">
        <v>3</v>
      </c>
      <c r="N928" t="s">
        <v>35</v>
      </c>
      <c r="O928">
        <v>4</v>
      </c>
      <c r="P928" t="s">
        <v>36</v>
      </c>
      <c r="Q928">
        <v>10231</v>
      </c>
      <c r="R928">
        <v>3</v>
      </c>
      <c r="S928" t="s">
        <v>37</v>
      </c>
      <c r="T928">
        <v>14</v>
      </c>
      <c r="U928">
        <v>3</v>
      </c>
      <c r="V928">
        <v>4</v>
      </c>
      <c r="W928">
        <v>0</v>
      </c>
      <c r="X928">
        <v>23</v>
      </c>
      <c r="Y928">
        <v>3</v>
      </c>
      <c r="Z928">
        <v>4</v>
      </c>
      <c r="AA928">
        <v>21</v>
      </c>
      <c r="AB928">
        <v>7</v>
      </c>
      <c r="AC928">
        <v>15</v>
      </c>
      <c r="AD928">
        <v>17</v>
      </c>
      <c r="AE928" t="str" cm="1">
        <f t="array" ref="AE928">_xlfn.IFS(G928=1,"Before College",G928=2,"College",G928=3,"Bachelor",G928=4,"Master",G928=5,"Doctor")</f>
        <v>Master</v>
      </c>
      <c r="AF928" t="str" cm="1">
        <f t="array" ref="AF928">_xlfn.IFS(J928=1,"Low",J928=2,"Medium",J928=3,"High",J928=4,"Very High")</f>
        <v>Very High</v>
      </c>
      <c r="AG928" t="str" cm="1">
        <f t="array" ref="AG928">_xlfn.IFS(L928=1,"Low",L928=2,"Medium",L928=3,"High",L928=4,"Very High")</f>
        <v>Medium</v>
      </c>
      <c r="AH928" t="str" cm="1">
        <f t="array" ref="AH928">_xlfn.IFS(M928=1,"Junior employee",M928=2,"Mid-level",M928=3,"Senior",M928=4,"Manager",M928=5,"Executive")</f>
        <v>Senior</v>
      </c>
      <c r="AI928" t="str" cm="1">
        <f t="array" ref="AI928">_xlfn.IFS(O928=1,"Low",O928=2,"Medium",O928=3,"High",O928=4,"Very High")</f>
        <v>Very High</v>
      </c>
      <c r="AJ928" t="str" cm="1">
        <f t="array" ref="AJ928">_xlfn.IFS(U928=1,"Low",U928=2,"Good",U928=3,"Excellent",U928=4,"Outstanding")</f>
        <v>Excellent</v>
      </c>
      <c r="AK928" t="str" cm="1">
        <f t="array" ref="AK928">_xlfn.IFS(V928=1,"Low",V928=2,"Medium",V928=3,"High",V928=4,"Very High")</f>
        <v>Very High</v>
      </c>
      <c r="AL928" t="str" cm="1">
        <f t="array" ref="AL928">_xlfn.IFS(Z928=1,"Bad",Z928=2,"Good",Z928=3,"Better",Z928=4,"Best")</f>
        <v>Best</v>
      </c>
      <c r="AM928" t="str" cm="1">
        <f t="array" ref="AM928">_xlfn.IFS(W928=0,"No_stock",W928=1,"Low",W928=2,"Medium",W928=3,"High")</f>
        <v>No_stock</v>
      </c>
      <c r="AN928" t="str">
        <f t="shared" si="14"/>
        <v>Near</v>
      </c>
    </row>
    <row r="929" spans="1:40" x14ac:dyDescent="0.45">
      <c r="A929">
        <v>36</v>
      </c>
      <c r="B929" t="s">
        <v>37</v>
      </c>
      <c r="C929" t="s">
        <v>31</v>
      </c>
      <c r="D929">
        <v>429</v>
      </c>
      <c r="E929" t="s">
        <v>39</v>
      </c>
      <c r="F929">
        <v>2</v>
      </c>
      <c r="G929">
        <v>4</v>
      </c>
      <c r="H929" t="s">
        <v>33</v>
      </c>
      <c r="I929">
        <v>1294</v>
      </c>
      <c r="J929">
        <v>3</v>
      </c>
      <c r="K929" t="s">
        <v>34</v>
      </c>
      <c r="L929">
        <v>3</v>
      </c>
      <c r="M929">
        <v>2</v>
      </c>
      <c r="N929" t="s">
        <v>47</v>
      </c>
      <c r="O929">
        <v>2</v>
      </c>
      <c r="P929" t="s">
        <v>36</v>
      </c>
      <c r="Q929">
        <v>5410</v>
      </c>
      <c r="R929">
        <v>9</v>
      </c>
      <c r="S929" t="s">
        <v>30</v>
      </c>
      <c r="T929">
        <v>11</v>
      </c>
      <c r="U929">
        <v>3</v>
      </c>
      <c r="V929">
        <v>4</v>
      </c>
      <c r="W929">
        <v>0</v>
      </c>
      <c r="X929">
        <v>18</v>
      </c>
      <c r="Y929">
        <v>2</v>
      </c>
      <c r="Z929">
        <v>3</v>
      </c>
      <c r="AA929">
        <v>16</v>
      </c>
      <c r="AB929">
        <v>14</v>
      </c>
      <c r="AC929">
        <v>5</v>
      </c>
      <c r="AD929">
        <v>12</v>
      </c>
      <c r="AE929" t="str" cm="1">
        <f t="array" ref="AE929">_xlfn.IFS(G929=1,"Before College",G929=2,"College",G929=3,"Bachelor",G929=4,"Master",G929=5,"Doctor")</f>
        <v>Master</v>
      </c>
      <c r="AF929" t="str" cm="1">
        <f t="array" ref="AF929">_xlfn.IFS(J929=1,"Low",J929=2,"Medium",J929=3,"High",J929=4,"Very High")</f>
        <v>High</v>
      </c>
      <c r="AG929" t="str" cm="1">
        <f t="array" ref="AG929">_xlfn.IFS(L929=1,"Low",L929=2,"Medium",L929=3,"High",L929=4,"Very High")</f>
        <v>High</v>
      </c>
      <c r="AH929" t="str" cm="1">
        <f t="array" ref="AH929">_xlfn.IFS(M929=1,"Junior employee",M929=2,"Mid-level",M929=3,"Senior",M929=4,"Manager",M929=5,"Executive")</f>
        <v>Mid-level</v>
      </c>
      <c r="AI929" t="str" cm="1">
        <f t="array" ref="AI929">_xlfn.IFS(O929=1,"Low",O929=2,"Medium",O929=3,"High",O929=4,"Very High")</f>
        <v>Medium</v>
      </c>
      <c r="AJ929" t="str" cm="1">
        <f t="array" ref="AJ929">_xlfn.IFS(U929=1,"Low",U929=2,"Good",U929=3,"Excellent",U929=4,"Outstanding")</f>
        <v>Excellent</v>
      </c>
      <c r="AK929" t="str" cm="1">
        <f t="array" ref="AK929">_xlfn.IFS(V929=1,"Low",V929=2,"Medium",V929=3,"High",V929=4,"Very High")</f>
        <v>Very High</v>
      </c>
      <c r="AL929" t="str" cm="1">
        <f t="array" ref="AL929">_xlfn.IFS(Z929=1,"Bad",Z929=2,"Good",Z929=3,"Better",Z929=4,"Best")</f>
        <v>Better</v>
      </c>
      <c r="AM929" t="str" cm="1">
        <f t="array" ref="AM929">_xlfn.IFS(W929=0,"No_stock",W929=1,"Low",W929=2,"Medium",W929=3,"High")</f>
        <v>No_stock</v>
      </c>
      <c r="AN929" t="str">
        <f t="shared" si="14"/>
        <v>Near</v>
      </c>
    </row>
    <row r="930" spans="1:40" x14ac:dyDescent="0.45">
      <c r="A930">
        <v>44</v>
      </c>
      <c r="B930" t="s">
        <v>30</v>
      </c>
      <c r="C930" t="s">
        <v>31</v>
      </c>
      <c r="D930">
        <v>621</v>
      </c>
      <c r="E930" t="s">
        <v>39</v>
      </c>
      <c r="F930">
        <v>15</v>
      </c>
      <c r="G930">
        <v>3</v>
      </c>
      <c r="H930" t="s">
        <v>45</v>
      </c>
      <c r="I930">
        <v>1295</v>
      </c>
      <c r="J930">
        <v>1</v>
      </c>
      <c r="K930" t="s">
        <v>34</v>
      </c>
      <c r="L930">
        <v>3</v>
      </c>
      <c r="M930">
        <v>3</v>
      </c>
      <c r="N930" t="s">
        <v>48</v>
      </c>
      <c r="O930">
        <v>4</v>
      </c>
      <c r="P930" t="s">
        <v>42</v>
      </c>
      <c r="Q930">
        <v>7978</v>
      </c>
      <c r="R930">
        <v>1</v>
      </c>
      <c r="S930" t="s">
        <v>37</v>
      </c>
      <c r="T930">
        <v>11</v>
      </c>
      <c r="U930">
        <v>3</v>
      </c>
      <c r="V930">
        <v>4</v>
      </c>
      <c r="W930">
        <v>1</v>
      </c>
      <c r="X930">
        <v>10</v>
      </c>
      <c r="Y930">
        <v>2</v>
      </c>
      <c r="Z930">
        <v>3</v>
      </c>
      <c r="AA930">
        <v>10</v>
      </c>
      <c r="AB930">
        <v>7</v>
      </c>
      <c r="AC930">
        <v>0</v>
      </c>
      <c r="AD930">
        <v>5</v>
      </c>
      <c r="AE930" t="str" cm="1">
        <f t="array" ref="AE930">_xlfn.IFS(G930=1,"Before College",G930=2,"College",G930=3,"Bachelor",G930=4,"Master",G930=5,"Doctor")</f>
        <v>Bachelor</v>
      </c>
      <c r="AF930" t="str" cm="1">
        <f t="array" ref="AF930">_xlfn.IFS(J930=1,"Low",J930=2,"Medium",J930=3,"High",J930=4,"Very High")</f>
        <v>Low</v>
      </c>
      <c r="AG930" t="str" cm="1">
        <f t="array" ref="AG930">_xlfn.IFS(L930=1,"Low",L930=2,"Medium",L930=3,"High",L930=4,"Very High")</f>
        <v>High</v>
      </c>
      <c r="AH930" t="str" cm="1">
        <f t="array" ref="AH930">_xlfn.IFS(M930=1,"Junior employee",M930=2,"Mid-level",M930=3,"Senior",M930=4,"Manager",M930=5,"Executive")</f>
        <v>Senior</v>
      </c>
      <c r="AI930" t="str" cm="1">
        <f t="array" ref="AI930">_xlfn.IFS(O930=1,"Low",O930=2,"Medium",O930=3,"High",O930=4,"Very High")</f>
        <v>Very High</v>
      </c>
      <c r="AJ930" t="str" cm="1">
        <f t="array" ref="AJ930">_xlfn.IFS(U930=1,"Low",U930=2,"Good",U930=3,"Excellent",U930=4,"Outstanding")</f>
        <v>Excellent</v>
      </c>
      <c r="AK930" t="str" cm="1">
        <f t="array" ref="AK930">_xlfn.IFS(V930=1,"Low",V930=2,"Medium",V930=3,"High",V930=4,"Very High")</f>
        <v>Very High</v>
      </c>
      <c r="AL930" t="str" cm="1">
        <f t="array" ref="AL930">_xlfn.IFS(Z930=1,"Bad",Z930=2,"Good",Z930=3,"Better",Z930=4,"Best")</f>
        <v>Better</v>
      </c>
      <c r="AM930" t="str" cm="1">
        <f t="array" ref="AM930">_xlfn.IFS(W930=0,"No_stock",W930=1,"Low",W930=2,"Medium",W930=3,"High")</f>
        <v>Low</v>
      </c>
      <c r="AN930" t="str">
        <f t="shared" si="14"/>
        <v>Medium</v>
      </c>
    </row>
    <row r="931" spans="1:40" x14ac:dyDescent="0.45">
      <c r="A931">
        <v>28</v>
      </c>
      <c r="B931" t="s">
        <v>37</v>
      </c>
      <c r="C931" t="s">
        <v>38</v>
      </c>
      <c r="D931">
        <v>193</v>
      </c>
      <c r="E931" t="s">
        <v>39</v>
      </c>
      <c r="F931">
        <v>2</v>
      </c>
      <c r="G931">
        <v>3</v>
      </c>
      <c r="H931" t="s">
        <v>33</v>
      </c>
      <c r="I931">
        <v>1296</v>
      </c>
      <c r="J931">
        <v>4</v>
      </c>
      <c r="K931" t="s">
        <v>40</v>
      </c>
      <c r="L931">
        <v>2</v>
      </c>
      <c r="M931">
        <v>1</v>
      </c>
      <c r="N931" t="s">
        <v>44</v>
      </c>
      <c r="O931">
        <v>4</v>
      </c>
      <c r="P931" t="s">
        <v>42</v>
      </c>
      <c r="Q931">
        <v>3867</v>
      </c>
      <c r="R931">
        <v>1</v>
      </c>
      <c r="S931" t="s">
        <v>30</v>
      </c>
      <c r="T931">
        <v>12</v>
      </c>
      <c r="U931">
        <v>3</v>
      </c>
      <c r="V931">
        <v>2</v>
      </c>
      <c r="W931">
        <v>1</v>
      </c>
      <c r="X931">
        <v>2</v>
      </c>
      <c r="Y931">
        <v>2</v>
      </c>
      <c r="Z931">
        <v>3</v>
      </c>
      <c r="AA931">
        <v>2</v>
      </c>
      <c r="AB931">
        <v>2</v>
      </c>
      <c r="AC931">
        <v>2</v>
      </c>
      <c r="AD931">
        <v>2</v>
      </c>
      <c r="AE931" t="str" cm="1">
        <f t="array" ref="AE931">_xlfn.IFS(G931=1,"Before College",G931=2,"College",G931=3,"Bachelor",G931=4,"Master",G931=5,"Doctor")</f>
        <v>Bachelor</v>
      </c>
      <c r="AF931" t="str" cm="1">
        <f t="array" ref="AF931">_xlfn.IFS(J931=1,"Low",J931=2,"Medium",J931=3,"High",J931=4,"Very High")</f>
        <v>Very High</v>
      </c>
      <c r="AG931" t="str" cm="1">
        <f t="array" ref="AG931">_xlfn.IFS(L931=1,"Low",L931=2,"Medium",L931=3,"High",L931=4,"Very High")</f>
        <v>Medium</v>
      </c>
      <c r="AH931" t="str" cm="1">
        <f t="array" ref="AH931">_xlfn.IFS(M931=1,"Junior employee",M931=2,"Mid-level",M931=3,"Senior",M931=4,"Manager",M931=5,"Executive")</f>
        <v>Junior employee</v>
      </c>
      <c r="AI931" t="str" cm="1">
        <f t="array" ref="AI931">_xlfn.IFS(O931=1,"Low",O931=2,"Medium",O931=3,"High",O931=4,"Very High")</f>
        <v>Very High</v>
      </c>
      <c r="AJ931" t="str" cm="1">
        <f t="array" ref="AJ931">_xlfn.IFS(U931=1,"Low",U931=2,"Good",U931=3,"Excellent",U931=4,"Outstanding")</f>
        <v>Excellent</v>
      </c>
      <c r="AK931" t="str" cm="1">
        <f t="array" ref="AK931">_xlfn.IFS(V931=1,"Low",V931=2,"Medium",V931=3,"High",V931=4,"Very High")</f>
        <v>Medium</v>
      </c>
      <c r="AL931" t="str" cm="1">
        <f t="array" ref="AL931">_xlfn.IFS(Z931=1,"Bad",Z931=2,"Good",Z931=3,"Better",Z931=4,"Best")</f>
        <v>Better</v>
      </c>
      <c r="AM931" t="str" cm="1">
        <f t="array" ref="AM931">_xlfn.IFS(W931=0,"No_stock",W931=1,"Low",W931=2,"Medium",W931=3,"High")</f>
        <v>Low</v>
      </c>
      <c r="AN931" t="str">
        <f t="shared" si="14"/>
        <v>Near</v>
      </c>
    </row>
    <row r="932" spans="1:40" x14ac:dyDescent="0.45">
      <c r="A932">
        <v>51</v>
      </c>
      <c r="B932" t="s">
        <v>37</v>
      </c>
      <c r="C932" t="s">
        <v>38</v>
      </c>
      <c r="D932">
        <v>968</v>
      </c>
      <c r="E932" t="s">
        <v>39</v>
      </c>
      <c r="F932">
        <v>6</v>
      </c>
      <c r="G932">
        <v>2</v>
      </c>
      <c r="H932" t="s">
        <v>45</v>
      </c>
      <c r="I932">
        <v>1297</v>
      </c>
      <c r="J932">
        <v>2</v>
      </c>
      <c r="K932" t="s">
        <v>34</v>
      </c>
      <c r="L932">
        <v>2</v>
      </c>
      <c r="M932">
        <v>1</v>
      </c>
      <c r="N932" t="s">
        <v>44</v>
      </c>
      <c r="O932">
        <v>3</v>
      </c>
      <c r="P932" t="s">
        <v>36</v>
      </c>
      <c r="Q932">
        <v>2838</v>
      </c>
      <c r="R932">
        <v>0</v>
      </c>
      <c r="S932" t="s">
        <v>37</v>
      </c>
      <c r="T932">
        <v>14</v>
      </c>
      <c r="U932">
        <v>3</v>
      </c>
      <c r="V932">
        <v>2</v>
      </c>
      <c r="W932">
        <v>0</v>
      </c>
      <c r="X932">
        <v>8</v>
      </c>
      <c r="Y932">
        <v>6</v>
      </c>
      <c r="Z932">
        <v>2</v>
      </c>
      <c r="AA932">
        <v>7</v>
      </c>
      <c r="AB932">
        <v>0</v>
      </c>
      <c r="AC932">
        <v>7</v>
      </c>
      <c r="AD932">
        <v>7</v>
      </c>
      <c r="AE932" t="str" cm="1">
        <f t="array" ref="AE932">_xlfn.IFS(G932=1,"Before College",G932=2,"College",G932=3,"Bachelor",G932=4,"Master",G932=5,"Doctor")</f>
        <v>College</v>
      </c>
      <c r="AF932" t="str" cm="1">
        <f t="array" ref="AF932">_xlfn.IFS(J932=1,"Low",J932=2,"Medium",J932=3,"High",J932=4,"Very High")</f>
        <v>Medium</v>
      </c>
      <c r="AG932" t="str" cm="1">
        <f t="array" ref="AG932">_xlfn.IFS(L932=1,"Low",L932=2,"Medium",L932=3,"High",L932=4,"Very High")</f>
        <v>Medium</v>
      </c>
      <c r="AH932" t="str" cm="1">
        <f t="array" ref="AH932">_xlfn.IFS(M932=1,"Junior employee",M932=2,"Mid-level",M932=3,"Senior",M932=4,"Manager",M932=5,"Executive")</f>
        <v>Junior employee</v>
      </c>
      <c r="AI932" t="str" cm="1">
        <f t="array" ref="AI932">_xlfn.IFS(O932=1,"Low",O932=2,"Medium",O932=3,"High",O932=4,"Very High")</f>
        <v>High</v>
      </c>
      <c r="AJ932" t="str" cm="1">
        <f t="array" ref="AJ932">_xlfn.IFS(U932=1,"Low",U932=2,"Good",U932=3,"Excellent",U932=4,"Outstanding")</f>
        <v>Excellent</v>
      </c>
      <c r="AK932" t="str" cm="1">
        <f t="array" ref="AK932">_xlfn.IFS(V932=1,"Low",V932=2,"Medium",V932=3,"High",V932=4,"Very High")</f>
        <v>Medium</v>
      </c>
      <c r="AL932" t="str" cm="1">
        <f t="array" ref="AL932">_xlfn.IFS(Z932=1,"Bad",Z932=2,"Good",Z932=3,"Better",Z932=4,"Best")</f>
        <v>Good</v>
      </c>
      <c r="AM932" t="str" cm="1">
        <f t="array" ref="AM932">_xlfn.IFS(W932=0,"No_stock",W932=1,"Low",W932=2,"Medium",W932=3,"High")</f>
        <v>No_stock</v>
      </c>
      <c r="AN932" t="str">
        <f t="shared" si="14"/>
        <v>Medium</v>
      </c>
    </row>
    <row r="933" spans="1:40" x14ac:dyDescent="0.45">
      <c r="A933">
        <v>30</v>
      </c>
      <c r="B933" t="s">
        <v>37</v>
      </c>
      <c r="C933" t="s">
        <v>49</v>
      </c>
      <c r="D933">
        <v>879</v>
      </c>
      <c r="E933" t="s">
        <v>39</v>
      </c>
      <c r="F933">
        <v>9</v>
      </c>
      <c r="G933">
        <v>2</v>
      </c>
      <c r="H933" t="s">
        <v>45</v>
      </c>
      <c r="I933">
        <v>1298</v>
      </c>
      <c r="J933">
        <v>3</v>
      </c>
      <c r="K933" t="s">
        <v>34</v>
      </c>
      <c r="L933">
        <v>3</v>
      </c>
      <c r="M933">
        <v>2</v>
      </c>
      <c r="N933" t="s">
        <v>47</v>
      </c>
      <c r="O933">
        <v>3</v>
      </c>
      <c r="P933" t="s">
        <v>36</v>
      </c>
      <c r="Q933">
        <v>4695</v>
      </c>
      <c r="R933">
        <v>7</v>
      </c>
      <c r="S933" t="s">
        <v>30</v>
      </c>
      <c r="T933">
        <v>18</v>
      </c>
      <c r="U933">
        <v>3</v>
      </c>
      <c r="V933">
        <v>3</v>
      </c>
      <c r="W933">
        <v>0</v>
      </c>
      <c r="X933">
        <v>10</v>
      </c>
      <c r="Y933">
        <v>3</v>
      </c>
      <c r="Z933">
        <v>3</v>
      </c>
      <c r="AA933">
        <v>8</v>
      </c>
      <c r="AB933">
        <v>4</v>
      </c>
      <c r="AC933">
        <v>1</v>
      </c>
      <c r="AD933">
        <v>7</v>
      </c>
      <c r="AE933" t="str" cm="1">
        <f t="array" ref="AE933">_xlfn.IFS(G933=1,"Before College",G933=2,"College",G933=3,"Bachelor",G933=4,"Master",G933=5,"Doctor")</f>
        <v>College</v>
      </c>
      <c r="AF933" t="str" cm="1">
        <f t="array" ref="AF933">_xlfn.IFS(J933=1,"Low",J933=2,"Medium",J933=3,"High",J933=4,"Very High")</f>
        <v>High</v>
      </c>
      <c r="AG933" t="str" cm="1">
        <f t="array" ref="AG933">_xlfn.IFS(L933=1,"Low",L933=2,"Medium",L933=3,"High",L933=4,"Very High")</f>
        <v>High</v>
      </c>
      <c r="AH933" t="str" cm="1">
        <f t="array" ref="AH933">_xlfn.IFS(M933=1,"Junior employee",M933=2,"Mid-level",M933=3,"Senior",M933=4,"Manager",M933=5,"Executive")</f>
        <v>Mid-level</v>
      </c>
      <c r="AI933" t="str" cm="1">
        <f t="array" ref="AI933">_xlfn.IFS(O933=1,"Low",O933=2,"Medium",O933=3,"High",O933=4,"Very High")</f>
        <v>High</v>
      </c>
      <c r="AJ933" t="str" cm="1">
        <f t="array" ref="AJ933">_xlfn.IFS(U933=1,"Low",U933=2,"Good",U933=3,"Excellent",U933=4,"Outstanding")</f>
        <v>Excellent</v>
      </c>
      <c r="AK933" t="str" cm="1">
        <f t="array" ref="AK933">_xlfn.IFS(V933=1,"Low",V933=2,"Medium",V933=3,"High",V933=4,"Very High")</f>
        <v>High</v>
      </c>
      <c r="AL933" t="str" cm="1">
        <f t="array" ref="AL933">_xlfn.IFS(Z933=1,"Bad",Z933=2,"Good",Z933=3,"Better",Z933=4,"Best")</f>
        <v>Better</v>
      </c>
      <c r="AM933" t="str" cm="1">
        <f t="array" ref="AM933">_xlfn.IFS(W933=0,"No_stock",W933=1,"Low",W933=2,"Medium",W933=3,"High")</f>
        <v>No_stock</v>
      </c>
      <c r="AN933" t="str">
        <f t="shared" si="14"/>
        <v>Medium</v>
      </c>
    </row>
    <row r="934" spans="1:40" x14ac:dyDescent="0.45">
      <c r="A934">
        <v>29</v>
      </c>
      <c r="B934" t="s">
        <v>30</v>
      </c>
      <c r="C934" t="s">
        <v>31</v>
      </c>
      <c r="D934">
        <v>806</v>
      </c>
      <c r="E934" t="s">
        <v>39</v>
      </c>
      <c r="F934">
        <v>7</v>
      </c>
      <c r="G934">
        <v>3</v>
      </c>
      <c r="H934" t="s">
        <v>54</v>
      </c>
      <c r="I934">
        <v>1299</v>
      </c>
      <c r="J934">
        <v>2</v>
      </c>
      <c r="K934" t="s">
        <v>34</v>
      </c>
      <c r="L934">
        <v>3</v>
      </c>
      <c r="M934">
        <v>1</v>
      </c>
      <c r="N934" t="s">
        <v>44</v>
      </c>
      <c r="O934">
        <v>3</v>
      </c>
      <c r="P934" t="s">
        <v>46</v>
      </c>
      <c r="Q934">
        <v>3339</v>
      </c>
      <c r="R934">
        <v>3</v>
      </c>
      <c r="S934" t="s">
        <v>30</v>
      </c>
      <c r="T934">
        <v>13</v>
      </c>
      <c r="U934">
        <v>3</v>
      </c>
      <c r="V934">
        <v>1</v>
      </c>
      <c r="W934">
        <v>2</v>
      </c>
      <c r="X934">
        <v>10</v>
      </c>
      <c r="Y934">
        <v>2</v>
      </c>
      <c r="Z934">
        <v>3</v>
      </c>
      <c r="AA934">
        <v>7</v>
      </c>
      <c r="AB934">
        <v>7</v>
      </c>
      <c r="AC934">
        <v>7</v>
      </c>
      <c r="AD934">
        <v>7</v>
      </c>
      <c r="AE934" t="str" cm="1">
        <f t="array" ref="AE934">_xlfn.IFS(G934=1,"Before College",G934=2,"College",G934=3,"Bachelor",G934=4,"Master",G934=5,"Doctor")</f>
        <v>Bachelor</v>
      </c>
      <c r="AF934" t="str" cm="1">
        <f t="array" ref="AF934">_xlfn.IFS(J934=1,"Low",J934=2,"Medium",J934=3,"High",J934=4,"Very High")</f>
        <v>Medium</v>
      </c>
      <c r="AG934" t="str" cm="1">
        <f t="array" ref="AG934">_xlfn.IFS(L934=1,"Low",L934=2,"Medium",L934=3,"High",L934=4,"Very High")</f>
        <v>High</v>
      </c>
      <c r="AH934" t="str" cm="1">
        <f t="array" ref="AH934">_xlfn.IFS(M934=1,"Junior employee",M934=2,"Mid-level",M934=3,"Senior",M934=4,"Manager",M934=5,"Executive")</f>
        <v>Junior employee</v>
      </c>
      <c r="AI934" t="str" cm="1">
        <f t="array" ref="AI934">_xlfn.IFS(O934=1,"Low",O934=2,"Medium",O934=3,"High",O934=4,"Very High")</f>
        <v>High</v>
      </c>
      <c r="AJ934" t="str" cm="1">
        <f t="array" ref="AJ934">_xlfn.IFS(U934=1,"Low",U934=2,"Good",U934=3,"Excellent",U934=4,"Outstanding")</f>
        <v>Excellent</v>
      </c>
      <c r="AK934" t="str" cm="1">
        <f t="array" ref="AK934">_xlfn.IFS(V934=1,"Low",V934=2,"Medium",V934=3,"High",V934=4,"Very High")</f>
        <v>Low</v>
      </c>
      <c r="AL934" t="str" cm="1">
        <f t="array" ref="AL934">_xlfn.IFS(Z934=1,"Bad",Z934=2,"Good",Z934=3,"Better",Z934=4,"Best")</f>
        <v>Better</v>
      </c>
      <c r="AM934" t="str" cm="1">
        <f t="array" ref="AM934">_xlfn.IFS(W934=0,"No_stock",W934=1,"Low",W934=2,"Medium",W934=3,"High")</f>
        <v>Medium</v>
      </c>
      <c r="AN934" t="str">
        <f t="shared" si="14"/>
        <v>Medium</v>
      </c>
    </row>
    <row r="935" spans="1:40" x14ac:dyDescent="0.45">
      <c r="A935">
        <v>28</v>
      </c>
      <c r="B935" t="s">
        <v>37</v>
      </c>
      <c r="C935" t="s">
        <v>31</v>
      </c>
      <c r="D935">
        <v>640</v>
      </c>
      <c r="E935" t="s">
        <v>39</v>
      </c>
      <c r="F935">
        <v>1</v>
      </c>
      <c r="G935">
        <v>3</v>
      </c>
      <c r="H935" t="s">
        <v>54</v>
      </c>
      <c r="I935">
        <v>1301</v>
      </c>
      <c r="J935">
        <v>4</v>
      </c>
      <c r="K935" t="s">
        <v>40</v>
      </c>
      <c r="L935">
        <v>3</v>
      </c>
      <c r="M935">
        <v>1</v>
      </c>
      <c r="N935" t="s">
        <v>41</v>
      </c>
      <c r="O935">
        <v>1</v>
      </c>
      <c r="P935" t="s">
        <v>36</v>
      </c>
      <c r="Q935">
        <v>2080</v>
      </c>
      <c r="R935">
        <v>2</v>
      </c>
      <c r="S935" t="s">
        <v>37</v>
      </c>
      <c r="T935">
        <v>11</v>
      </c>
      <c r="U935">
        <v>3</v>
      </c>
      <c r="V935">
        <v>2</v>
      </c>
      <c r="W935">
        <v>0</v>
      </c>
      <c r="X935">
        <v>5</v>
      </c>
      <c r="Y935">
        <v>2</v>
      </c>
      <c r="Z935">
        <v>2</v>
      </c>
      <c r="AA935">
        <v>3</v>
      </c>
      <c r="AB935">
        <v>2</v>
      </c>
      <c r="AC935">
        <v>1</v>
      </c>
      <c r="AD935">
        <v>2</v>
      </c>
      <c r="AE935" t="str" cm="1">
        <f t="array" ref="AE935">_xlfn.IFS(G935=1,"Before College",G935=2,"College",G935=3,"Bachelor",G935=4,"Master",G935=5,"Doctor")</f>
        <v>Bachelor</v>
      </c>
      <c r="AF935" t="str" cm="1">
        <f t="array" ref="AF935">_xlfn.IFS(J935=1,"Low",J935=2,"Medium",J935=3,"High",J935=4,"Very High")</f>
        <v>Very High</v>
      </c>
      <c r="AG935" t="str" cm="1">
        <f t="array" ref="AG935">_xlfn.IFS(L935=1,"Low",L935=2,"Medium",L935=3,"High",L935=4,"Very High")</f>
        <v>High</v>
      </c>
      <c r="AH935" t="str" cm="1">
        <f t="array" ref="AH935">_xlfn.IFS(M935=1,"Junior employee",M935=2,"Mid-level",M935=3,"Senior",M935=4,"Manager",M935=5,"Executive")</f>
        <v>Junior employee</v>
      </c>
      <c r="AI935" t="str" cm="1">
        <f t="array" ref="AI935">_xlfn.IFS(O935=1,"Low",O935=2,"Medium",O935=3,"High",O935=4,"Very High")</f>
        <v>Low</v>
      </c>
      <c r="AJ935" t="str" cm="1">
        <f t="array" ref="AJ935">_xlfn.IFS(U935=1,"Low",U935=2,"Good",U935=3,"Excellent",U935=4,"Outstanding")</f>
        <v>Excellent</v>
      </c>
      <c r="AK935" t="str" cm="1">
        <f t="array" ref="AK935">_xlfn.IFS(V935=1,"Low",V935=2,"Medium",V935=3,"High",V935=4,"Very High")</f>
        <v>Medium</v>
      </c>
      <c r="AL935" t="str" cm="1">
        <f t="array" ref="AL935">_xlfn.IFS(Z935=1,"Bad",Z935=2,"Good",Z935=3,"Better",Z935=4,"Best")</f>
        <v>Good</v>
      </c>
      <c r="AM935" t="str" cm="1">
        <f t="array" ref="AM935">_xlfn.IFS(W935=0,"No_stock",W935=1,"Low",W935=2,"Medium",W935=3,"High")</f>
        <v>No_stock</v>
      </c>
      <c r="AN935" t="str">
        <f t="shared" si="14"/>
        <v>Near</v>
      </c>
    </row>
    <row r="936" spans="1:40" x14ac:dyDescent="0.45">
      <c r="A936">
        <v>25</v>
      </c>
      <c r="B936" t="s">
        <v>37</v>
      </c>
      <c r="C936" t="s">
        <v>31</v>
      </c>
      <c r="D936">
        <v>266</v>
      </c>
      <c r="E936" t="s">
        <v>39</v>
      </c>
      <c r="F936">
        <v>1</v>
      </c>
      <c r="G936">
        <v>3</v>
      </c>
      <c r="H936" t="s">
        <v>45</v>
      </c>
      <c r="I936">
        <v>1303</v>
      </c>
      <c r="J936">
        <v>4</v>
      </c>
      <c r="K936" t="s">
        <v>34</v>
      </c>
      <c r="L936">
        <v>3</v>
      </c>
      <c r="M936">
        <v>1</v>
      </c>
      <c r="N936" t="s">
        <v>41</v>
      </c>
      <c r="O936">
        <v>2</v>
      </c>
      <c r="P936" t="s">
        <v>36</v>
      </c>
      <c r="Q936">
        <v>2096</v>
      </c>
      <c r="R936">
        <v>1</v>
      </c>
      <c r="S936" t="s">
        <v>37</v>
      </c>
      <c r="T936">
        <v>18</v>
      </c>
      <c r="U936">
        <v>3</v>
      </c>
      <c r="V936">
        <v>4</v>
      </c>
      <c r="W936">
        <v>0</v>
      </c>
      <c r="X936">
        <v>2</v>
      </c>
      <c r="Y936">
        <v>3</v>
      </c>
      <c r="Z936">
        <v>2</v>
      </c>
      <c r="AA936">
        <v>2</v>
      </c>
      <c r="AB936">
        <v>2</v>
      </c>
      <c r="AC936">
        <v>2</v>
      </c>
      <c r="AD936">
        <v>1</v>
      </c>
      <c r="AE936" t="str" cm="1">
        <f t="array" ref="AE936">_xlfn.IFS(G936=1,"Before College",G936=2,"College",G936=3,"Bachelor",G936=4,"Master",G936=5,"Doctor")</f>
        <v>Bachelor</v>
      </c>
      <c r="AF936" t="str" cm="1">
        <f t="array" ref="AF936">_xlfn.IFS(J936=1,"Low",J936=2,"Medium",J936=3,"High",J936=4,"Very High")</f>
        <v>Very High</v>
      </c>
      <c r="AG936" t="str" cm="1">
        <f t="array" ref="AG936">_xlfn.IFS(L936=1,"Low",L936=2,"Medium",L936=3,"High",L936=4,"Very High")</f>
        <v>High</v>
      </c>
      <c r="AH936" t="str" cm="1">
        <f t="array" ref="AH936">_xlfn.IFS(M936=1,"Junior employee",M936=2,"Mid-level",M936=3,"Senior",M936=4,"Manager",M936=5,"Executive")</f>
        <v>Junior employee</v>
      </c>
      <c r="AI936" t="str" cm="1">
        <f t="array" ref="AI936">_xlfn.IFS(O936=1,"Low",O936=2,"Medium",O936=3,"High",O936=4,"Very High")</f>
        <v>Medium</v>
      </c>
      <c r="AJ936" t="str" cm="1">
        <f t="array" ref="AJ936">_xlfn.IFS(U936=1,"Low",U936=2,"Good",U936=3,"Excellent",U936=4,"Outstanding")</f>
        <v>Excellent</v>
      </c>
      <c r="AK936" t="str" cm="1">
        <f t="array" ref="AK936">_xlfn.IFS(V936=1,"Low",V936=2,"Medium",V936=3,"High",V936=4,"Very High")</f>
        <v>Very High</v>
      </c>
      <c r="AL936" t="str" cm="1">
        <f t="array" ref="AL936">_xlfn.IFS(Z936=1,"Bad",Z936=2,"Good",Z936=3,"Better",Z936=4,"Best")</f>
        <v>Good</v>
      </c>
      <c r="AM936" t="str" cm="1">
        <f t="array" ref="AM936">_xlfn.IFS(W936=0,"No_stock",W936=1,"Low",W936=2,"Medium",W936=3,"High")</f>
        <v>No_stock</v>
      </c>
      <c r="AN936" t="str">
        <f t="shared" si="14"/>
        <v>Near</v>
      </c>
    </row>
    <row r="937" spans="1:40" x14ac:dyDescent="0.45">
      <c r="A937">
        <v>32</v>
      </c>
      <c r="B937" t="s">
        <v>37</v>
      </c>
      <c r="C937" t="s">
        <v>31</v>
      </c>
      <c r="D937">
        <v>604</v>
      </c>
      <c r="E937" t="s">
        <v>32</v>
      </c>
      <c r="F937">
        <v>8</v>
      </c>
      <c r="G937">
        <v>3</v>
      </c>
      <c r="H937" t="s">
        <v>45</v>
      </c>
      <c r="I937">
        <v>1304</v>
      </c>
      <c r="J937">
        <v>3</v>
      </c>
      <c r="K937" t="s">
        <v>40</v>
      </c>
      <c r="L937">
        <v>4</v>
      </c>
      <c r="M937">
        <v>2</v>
      </c>
      <c r="N937" t="s">
        <v>35</v>
      </c>
      <c r="O937">
        <v>4</v>
      </c>
      <c r="P937" t="s">
        <v>42</v>
      </c>
      <c r="Q937">
        <v>6209</v>
      </c>
      <c r="R937">
        <v>1</v>
      </c>
      <c r="S937" t="s">
        <v>37</v>
      </c>
      <c r="T937">
        <v>15</v>
      </c>
      <c r="U937">
        <v>3</v>
      </c>
      <c r="V937">
        <v>3</v>
      </c>
      <c r="W937">
        <v>2</v>
      </c>
      <c r="X937">
        <v>10</v>
      </c>
      <c r="Y937">
        <v>4</v>
      </c>
      <c r="Z937">
        <v>4</v>
      </c>
      <c r="AA937">
        <v>10</v>
      </c>
      <c r="AB937">
        <v>7</v>
      </c>
      <c r="AC937">
        <v>0</v>
      </c>
      <c r="AD937">
        <v>8</v>
      </c>
      <c r="AE937" t="str" cm="1">
        <f t="array" ref="AE937">_xlfn.IFS(G937=1,"Before College",G937=2,"College",G937=3,"Bachelor",G937=4,"Master",G937=5,"Doctor")</f>
        <v>Bachelor</v>
      </c>
      <c r="AF937" t="str" cm="1">
        <f t="array" ref="AF937">_xlfn.IFS(J937=1,"Low",J937=2,"Medium",J937=3,"High",J937=4,"Very High")</f>
        <v>High</v>
      </c>
      <c r="AG937" t="str" cm="1">
        <f t="array" ref="AG937">_xlfn.IFS(L937=1,"Low",L937=2,"Medium",L937=3,"High",L937=4,"Very High")</f>
        <v>Very High</v>
      </c>
      <c r="AH937" t="str" cm="1">
        <f t="array" ref="AH937">_xlfn.IFS(M937=1,"Junior employee",M937=2,"Mid-level",M937=3,"Senior",M937=4,"Manager",M937=5,"Executive")</f>
        <v>Mid-level</v>
      </c>
      <c r="AI937" t="str" cm="1">
        <f t="array" ref="AI937">_xlfn.IFS(O937=1,"Low",O937=2,"Medium",O937=3,"High",O937=4,"Very High")</f>
        <v>Very High</v>
      </c>
      <c r="AJ937" t="str" cm="1">
        <f t="array" ref="AJ937">_xlfn.IFS(U937=1,"Low",U937=2,"Good",U937=3,"Excellent",U937=4,"Outstanding")</f>
        <v>Excellent</v>
      </c>
      <c r="AK937" t="str" cm="1">
        <f t="array" ref="AK937">_xlfn.IFS(V937=1,"Low",V937=2,"Medium",V937=3,"High",V937=4,"Very High")</f>
        <v>High</v>
      </c>
      <c r="AL937" t="str" cm="1">
        <f t="array" ref="AL937">_xlfn.IFS(Z937=1,"Bad",Z937=2,"Good",Z937=3,"Better",Z937=4,"Best")</f>
        <v>Best</v>
      </c>
      <c r="AM937" t="str" cm="1">
        <f t="array" ref="AM937">_xlfn.IFS(W937=0,"No_stock",W937=1,"Low",W937=2,"Medium",W937=3,"High")</f>
        <v>Medium</v>
      </c>
      <c r="AN937" t="str">
        <f t="shared" si="14"/>
        <v>Medium</v>
      </c>
    </row>
    <row r="938" spans="1:40" x14ac:dyDescent="0.45">
      <c r="A938">
        <v>45</v>
      </c>
      <c r="B938" t="s">
        <v>37</v>
      </c>
      <c r="C938" t="s">
        <v>38</v>
      </c>
      <c r="D938">
        <v>364</v>
      </c>
      <c r="E938" t="s">
        <v>39</v>
      </c>
      <c r="F938">
        <v>25</v>
      </c>
      <c r="G938">
        <v>3</v>
      </c>
      <c r="H938" t="s">
        <v>45</v>
      </c>
      <c r="I938">
        <v>1306</v>
      </c>
      <c r="J938">
        <v>2</v>
      </c>
      <c r="K938" t="s">
        <v>34</v>
      </c>
      <c r="L938">
        <v>3</v>
      </c>
      <c r="M938">
        <v>5</v>
      </c>
      <c r="N938" t="s">
        <v>50</v>
      </c>
      <c r="O938">
        <v>2</v>
      </c>
      <c r="P938" t="s">
        <v>36</v>
      </c>
      <c r="Q938">
        <v>18061</v>
      </c>
      <c r="R938">
        <v>3</v>
      </c>
      <c r="S938" t="s">
        <v>37</v>
      </c>
      <c r="T938">
        <v>22</v>
      </c>
      <c r="U938">
        <v>4</v>
      </c>
      <c r="V938">
        <v>3</v>
      </c>
      <c r="W938">
        <v>0</v>
      </c>
      <c r="X938">
        <v>22</v>
      </c>
      <c r="Y938">
        <v>4</v>
      </c>
      <c r="Z938">
        <v>3</v>
      </c>
      <c r="AA938">
        <v>0</v>
      </c>
      <c r="AB938">
        <v>0</v>
      </c>
      <c r="AC938">
        <v>0</v>
      </c>
      <c r="AD938">
        <v>0</v>
      </c>
      <c r="AE938" t="str" cm="1">
        <f t="array" ref="AE938">_xlfn.IFS(G938=1,"Before College",G938=2,"College",G938=3,"Bachelor",G938=4,"Master",G938=5,"Doctor")</f>
        <v>Bachelor</v>
      </c>
      <c r="AF938" t="str" cm="1">
        <f t="array" ref="AF938">_xlfn.IFS(J938=1,"Low",J938=2,"Medium",J938=3,"High",J938=4,"Very High")</f>
        <v>Medium</v>
      </c>
      <c r="AG938" t="str" cm="1">
        <f t="array" ref="AG938">_xlfn.IFS(L938=1,"Low",L938=2,"Medium",L938=3,"High",L938=4,"Very High")</f>
        <v>High</v>
      </c>
      <c r="AH938" t="str" cm="1">
        <f t="array" ref="AH938">_xlfn.IFS(M938=1,"Junior employee",M938=2,"Mid-level",M938=3,"Senior",M938=4,"Manager",M938=5,"Executive")</f>
        <v>Executive</v>
      </c>
      <c r="AI938" t="str" cm="1">
        <f t="array" ref="AI938">_xlfn.IFS(O938=1,"Low",O938=2,"Medium",O938=3,"High",O938=4,"Very High")</f>
        <v>Medium</v>
      </c>
      <c r="AJ938" t="str" cm="1">
        <f t="array" ref="AJ938">_xlfn.IFS(U938=1,"Low",U938=2,"Good",U938=3,"Excellent",U938=4,"Outstanding")</f>
        <v>Outstanding</v>
      </c>
      <c r="AK938" t="str" cm="1">
        <f t="array" ref="AK938">_xlfn.IFS(V938=1,"Low",V938=2,"Medium",V938=3,"High",V938=4,"Very High")</f>
        <v>High</v>
      </c>
      <c r="AL938" t="str" cm="1">
        <f t="array" ref="AL938">_xlfn.IFS(Z938=1,"Bad",Z938=2,"Good",Z938=3,"Better",Z938=4,"Best")</f>
        <v>Better</v>
      </c>
      <c r="AM938" t="str" cm="1">
        <f t="array" ref="AM938">_xlfn.IFS(W938=0,"No_stock",W938=1,"Low",W938=2,"Medium",W938=3,"High")</f>
        <v>No_stock</v>
      </c>
      <c r="AN938" t="str">
        <f t="shared" si="14"/>
        <v>Far</v>
      </c>
    </row>
    <row r="939" spans="1:40" x14ac:dyDescent="0.45">
      <c r="A939">
        <v>39</v>
      </c>
      <c r="B939" t="s">
        <v>37</v>
      </c>
      <c r="C939" t="s">
        <v>31</v>
      </c>
      <c r="D939">
        <v>412</v>
      </c>
      <c r="E939" t="s">
        <v>39</v>
      </c>
      <c r="F939">
        <v>13</v>
      </c>
      <c r="G939">
        <v>4</v>
      </c>
      <c r="H939" t="s">
        <v>45</v>
      </c>
      <c r="I939">
        <v>1307</v>
      </c>
      <c r="J939">
        <v>3</v>
      </c>
      <c r="K939" t="s">
        <v>34</v>
      </c>
      <c r="L939">
        <v>2</v>
      </c>
      <c r="M939">
        <v>4</v>
      </c>
      <c r="N939" t="s">
        <v>50</v>
      </c>
      <c r="O939">
        <v>2</v>
      </c>
      <c r="P939" t="s">
        <v>46</v>
      </c>
      <c r="Q939">
        <v>17123</v>
      </c>
      <c r="R939">
        <v>6</v>
      </c>
      <c r="S939" t="s">
        <v>30</v>
      </c>
      <c r="T939">
        <v>13</v>
      </c>
      <c r="U939">
        <v>3</v>
      </c>
      <c r="V939">
        <v>4</v>
      </c>
      <c r="W939">
        <v>2</v>
      </c>
      <c r="X939">
        <v>21</v>
      </c>
      <c r="Y939">
        <v>4</v>
      </c>
      <c r="Z939">
        <v>3</v>
      </c>
      <c r="AA939">
        <v>19</v>
      </c>
      <c r="AB939">
        <v>9</v>
      </c>
      <c r="AC939">
        <v>15</v>
      </c>
      <c r="AD939">
        <v>2</v>
      </c>
      <c r="AE939" t="str" cm="1">
        <f t="array" ref="AE939">_xlfn.IFS(G939=1,"Before College",G939=2,"College",G939=3,"Bachelor",G939=4,"Master",G939=5,"Doctor")</f>
        <v>Master</v>
      </c>
      <c r="AF939" t="str" cm="1">
        <f t="array" ref="AF939">_xlfn.IFS(J939=1,"Low",J939=2,"Medium",J939=3,"High",J939=4,"Very High")</f>
        <v>High</v>
      </c>
      <c r="AG939" t="str" cm="1">
        <f t="array" ref="AG939">_xlfn.IFS(L939=1,"Low",L939=2,"Medium",L939=3,"High",L939=4,"Very High")</f>
        <v>Medium</v>
      </c>
      <c r="AH939" t="str" cm="1">
        <f t="array" ref="AH939">_xlfn.IFS(M939=1,"Junior employee",M939=2,"Mid-level",M939=3,"Senior",M939=4,"Manager",M939=5,"Executive")</f>
        <v>Manager</v>
      </c>
      <c r="AI939" t="str" cm="1">
        <f t="array" ref="AI939">_xlfn.IFS(O939=1,"Low",O939=2,"Medium",O939=3,"High",O939=4,"Very High")</f>
        <v>Medium</v>
      </c>
      <c r="AJ939" t="str" cm="1">
        <f t="array" ref="AJ939">_xlfn.IFS(U939=1,"Low",U939=2,"Good",U939=3,"Excellent",U939=4,"Outstanding")</f>
        <v>Excellent</v>
      </c>
      <c r="AK939" t="str" cm="1">
        <f t="array" ref="AK939">_xlfn.IFS(V939=1,"Low",V939=2,"Medium",V939=3,"High",V939=4,"Very High")</f>
        <v>Very High</v>
      </c>
      <c r="AL939" t="str" cm="1">
        <f t="array" ref="AL939">_xlfn.IFS(Z939=1,"Bad",Z939=2,"Good",Z939=3,"Better",Z939=4,"Best")</f>
        <v>Better</v>
      </c>
      <c r="AM939" t="str" cm="1">
        <f t="array" ref="AM939">_xlfn.IFS(W939=0,"No_stock",W939=1,"Low",W939=2,"Medium",W939=3,"High")</f>
        <v>Medium</v>
      </c>
      <c r="AN939" t="str">
        <f t="shared" si="14"/>
        <v>Medium</v>
      </c>
    </row>
    <row r="940" spans="1:40" x14ac:dyDescent="0.45">
      <c r="A940">
        <v>58</v>
      </c>
      <c r="B940" t="s">
        <v>37</v>
      </c>
      <c r="C940" t="s">
        <v>31</v>
      </c>
      <c r="D940">
        <v>848</v>
      </c>
      <c r="E940" t="s">
        <v>39</v>
      </c>
      <c r="F940">
        <v>23</v>
      </c>
      <c r="G940">
        <v>4</v>
      </c>
      <c r="H940" t="s">
        <v>33</v>
      </c>
      <c r="I940">
        <v>1308</v>
      </c>
      <c r="J940">
        <v>1</v>
      </c>
      <c r="K940" t="s">
        <v>40</v>
      </c>
      <c r="L940">
        <v>3</v>
      </c>
      <c r="M940">
        <v>1</v>
      </c>
      <c r="N940" t="s">
        <v>41</v>
      </c>
      <c r="O940">
        <v>3</v>
      </c>
      <c r="P940" t="s">
        <v>46</v>
      </c>
      <c r="Q940">
        <v>2372</v>
      </c>
      <c r="R940">
        <v>1</v>
      </c>
      <c r="S940" t="s">
        <v>37</v>
      </c>
      <c r="T940">
        <v>12</v>
      </c>
      <c r="U940">
        <v>3</v>
      </c>
      <c r="V940">
        <v>4</v>
      </c>
      <c r="W940">
        <v>2</v>
      </c>
      <c r="X940">
        <v>2</v>
      </c>
      <c r="Y940">
        <v>3</v>
      </c>
      <c r="Z940">
        <v>3</v>
      </c>
      <c r="AA940">
        <v>2</v>
      </c>
      <c r="AB940">
        <v>2</v>
      </c>
      <c r="AC940">
        <v>2</v>
      </c>
      <c r="AD940">
        <v>2</v>
      </c>
      <c r="AE940" t="str" cm="1">
        <f t="array" ref="AE940">_xlfn.IFS(G940=1,"Before College",G940=2,"College",G940=3,"Bachelor",G940=4,"Master",G940=5,"Doctor")</f>
        <v>Master</v>
      </c>
      <c r="AF940" t="str" cm="1">
        <f t="array" ref="AF940">_xlfn.IFS(J940=1,"Low",J940=2,"Medium",J940=3,"High",J940=4,"Very High")</f>
        <v>Low</v>
      </c>
      <c r="AG940" t="str" cm="1">
        <f t="array" ref="AG940">_xlfn.IFS(L940=1,"Low",L940=2,"Medium",L940=3,"High",L940=4,"Very High")</f>
        <v>High</v>
      </c>
      <c r="AH940" t="str" cm="1">
        <f t="array" ref="AH940">_xlfn.IFS(M940=1,"Junior employee",M940=2,"Mid-level",M940=3,"Senior",M940=4,"Manager",M940=5,"Executive")</f>
        <v>Junior employee</v>
      </c>
      <c r="AI940" t="str" cm="1">
        <f t="array" ref="AI940">_xlfn.IFS(O940=1,"Low",O940=2,"Medium",O940=3,"High",O940=4,"Very High")</f>
        <v>High</v>
      </c>
      <c r="AJ940" t="str" cm="1">
        <f t="array" ref="AJ940">_xlfn.IFS(U940=1,"Low",U940=2,"Good",U940=3,"Excellent",U940=4,"Outstanding")</f>
        <v>Excellent</v>
      </c>
      <c r="AK940" t="str" cm="1">
        <f t="array" ref="AK940">_xlfn.IFS(V940=1,"Low",V940=2,"Medium",V940=3,"High",V940=4,"Very High")</f>
        <v>Very High</v>
      </c>
      <c r="AL940" t="str" cm="1">
        <f t="array" ref="AL940">_xlfn.IFS(Z940=1,"Bad",Z940=2,"Good",Z940=3,"Better",Z940=4,"Best")</f>
        <v>Better</v>
      </c>
      <c r="AM940" t="str" cm="1">
        <f t="array" ref="AM940">_xlfn.IFS(W940=0,"No_stock",W940=1,"Low",W940=2,"Medium",W940=3,"High")</f>
        <v>Medium</v>
      </c>
      <c r="AN940" t="str">
        <f t="shared" si="14"/>
        <v>Far</v>
      </c>
    </row>
    <row r="941" spans="1:40" x14ac:dyDescent="0.45">
      <c r="A941">
        <v>32</v>
      </c>
      <c r="B941" t="s">
        <v>30</v>
      </c>
      <c r="C941" t="s">
        <v>31</v>
      </c>
      <c r="D941">
        <v>1089</v>
      </c>
      <c r="E941" t="s">
        <v>39</v>
      </c>
      <c r="F941">
        <v>7</v>
      </c>
      <c r="G941">
        <v>2</v>
      </c>
      <c r="H941" t="s">
        <v>33</v>
      </c>
      <c r="I941">
        <v>1309</v>
      </c>
      <c r="J941">
        <v>4</v>
      </c>
      <c r="K941" t="s">
        <v>40</v>
      </c>
      <c r="L941">
        <v>3</v>
      </c>
      <c r="M941">
        <v>2</v>
      </c>
      <c r="N941" t="s">
        <v>44</v>
      </c>
      <c r="O941">
        <v>3</v>
      </c>
      <c r="P941" t="s">
        <v>42</v>
      </c>
      <c r="Q941">
        <v>4883</v>
      </c>
      <c r="R941">
        <v>1</v>
      </c>
      <c r="S941" t="s">
        <v>37</v>
      </c>
      <c r="T941">
        <v>18</v>
      </c>
      <c r="U941">
        <v>3</v>
      </c>
      <c r="V941">
        <v>1</v>
      </c>
      <c r="W941">
        <v>1</v>
      </c>
      <c r="X941">
        <v>10</v>
      </c>
      <c r="Y941">
        <v>3</v>
      </c>
      <c r="Z941">
        <v>3</v>
      </c>
      <c r="AA941">
        <v>10</v>
      </c>
      <c r="AB941">
        <v>4</v>
      </c>
      <c r="AC941">
        <v>1</v>
      </c>
      <c r="AD941">
        <v>1</v>
      </c>
      <c r="AE941" t="str" cm="1">
        <f t="array" ref="AE941">_xlfn.IFS(G941=1,"Before College",G941=2,"College",G941=3,"Bachelor",G941=4,"Master",G941=5,"Doctor")</f>
        <v>College</v>
      </c>
      <c r="AF941" t="str" cm="1">
        <f t="array" ref="AF941">_xlfn.IFS(J941=1,"Low",J941=2,"Medium",J941=3,"High",J941=4,"Very High")</f>
        <v>Very High</v>
      </c>
      <c r="AG941" t="str" cm="1">
        <f t="array" ref="AG941">_xlfn.IFS(L941=1,"Low",L941=2,"Medium",L941=3,"High",L941=4,"Very High")</f>
        <v>High</v>
      </c>
      <c r="AH941" t="str" cm="1">
        <f t="array" ref="AH941">_xlfn.IFS(M941=1,"Junior employee",M941=2,"Mid-level",M941=3,"Senior",M941=4,"Manager",M941=5,"Executive")</f>
        <v>Mid-level</v>
      </c>
      <c r="AI941" t="str" cm="1">
        <f t="array" ref="AI941">_xlfn.IFS(O941=1,"Low",O941=2,"Medium",O941=3,"High",O941=4,"Very High")</f>
        <v>High</v>
      </c>
      <c r="AJ941" t="str" cm="1">
        <f t="array" ref="AJ941">_xlfn.IFS(U941=1,"Low",U941=2,"Good",U941=3,"Excellent",U941=4,"Outstanding")</f>
        <v>Excellent</v>
      </c>
      <c r="AK941" t="str" cm="1">
        <f t="array" ref="AK941">_xlfn.IFS(V941=1,"Low",V941=2,"Medium",V941=3,"High",V941=4,"Very High")</f>
        <v>Low</v>
      </c>
      <c r="AL941" t="str" cm="1">
        <f t="array" ref="AL941">_xlfn.IFS(Z941=1,"Bad",Z941=2,"Good",Z941=3,"Better",Z941=4,"Best")</f>
        <v>Better</v>
      </c>
      <c r="AM941" t="str" cm="1">
        <f t="array" ref="AM941">_xlfn.IFS(W941=0,"No_stock",W941=1,"Low",W941=2,"Medium",W941=3,"High")</f>
        <v>Low</v>
      </c>
      <c r="AN941" t="str">
        <f t="shared" si="14"/>
        <v>Medium</v>
      </c>
    </row>
    <row r="942" spans="1:40" x14ac:dyDescent="0.45">
      <c r="A942">
        <v>39</v>
      </c>
      <c r="B942" t="s">
        <v>30</v>
      </c>
      <c r="C942" t="s">
        <v>31</v>
      </c>
      <c r="D942">
        <v>360</v>
      </c>
      <c r="E942" t="s">
        <v>39</v>
      </c>
      <c r="F942">
        <v>23</v>
      </c>
      <c r="G942">
        <v>3</v>
      </c>
      <c r="H942" t="s">
        <v>45</v>
      </c>
      <c r="I942">
        <v>1310</v>
      </c>
      <c r="J942">
        <v>3</v>
      </c>
      <c r="K942" t="s">
        <v>40</v>
      </c>
      <c r="L942">
        <v>3</v>
      </c>
      <c r="M942">
        <v>1</v>
      </c>
      <c r="N942" t="s">
        <v>41</v>
      </c>
      <c r="O942">
        <v>1</v>
      </c>
      <c r="P942" t="s">
        <v>36</v>
      </c>
      <c r="Q942">
        <v>3904</v>
      </c>
      <c r="R942">
        <v>0</v>
      </c>
      <c r="S942" t="s">
        <v>37</v>
      </c>
      <c r="T942">
        <v>13</v>
      </c>
      <c r="U942">
        <v>3</v>
      </c>
      <c r="V942">
        <v>1</v>
      </c>
      <c r="W942">
        <v>0</v>
      </c>
      <c r="X942">
        <v>6</v>
      </c>
      <c r="Y942">
        <v>2</v>
      </c>
      <c r="Z942">
        <v>3</v>
      </c>
      <c r="AA942">
        <v>5</v>
      </c>
      <c r="AB942">
        <v>2</v>
      </c>
      <c r="AC942">
        <v>0</v>
      </c>
      <c r="AD942">
        <v>3</v>
      </c>
      <c r="AE942" t="str" cm="1">
        <f t="array" ref="AE942">_xlfn.IFS(G942=1,"Before College",G942=2,"College",G942=3,"Bachelor",G942=4,"Master",G942=5,"Doctor")</f>
        <v>Bachelor</v>
      </c>
      <c r="AF942" t="str" cm="1">
        <f t="array" ref="AF942">_xlfn.IFS(J942=1,"Low",J942=2,"Medium",J942=3,"High",J942=4,"Very High")</f>
        <v>High</v>
      </c>
      <c r="AG942" t="str" cm="1">
        <f t="array" ref="AG942">_xlfn.IFS(L942=1,"Low",L942=2,"Medium",L942=3,"High",L942=4,"Very High")</f>
        <v>High</v>
      </c>
      <c r="AH942" t="str" cm="1">
        <f t="array" ref="AH942">_xlfn.IFS(M942=1,"Junior employee",M942=2,"Mid-level",M942=3,"Senior",M942=4,"Manager",M942=5,"Executive")</f>
        <v>Junior employee</v>
      </c>
      <c r="AI942" t="str" cm="1">
        <f t="array" ref="AI942">_xlfn.IFS(O942=1,"Low",O942=2,"Medium",O942=3,"High",O942=4,"Very High")</f>
        <v>Low</v>
      </c>
      <c r="AJ942" t="str" cm="1">
        <f t="array" ref="AJ942">_xlfn.IFS(U942=1,"Low",U942=2,"Good",U942=3,"Excellent",U942=4,"Outstanding")</f>
        <v>Excellent</v>
      </c>
      <c r="AK942" t="str" cm="1">
        <f t="array" ref="AK942">_xlfn.IFS(V942=1,"Low",V942=2,"Medium",V942=3,"High",V942=4,"Very High")</f>
        <v>Low</v>
      </c>
      <c r="AL942" t="str" cm="1">
        <f t="array" ref="AL942">_xlfn.IFS(Z942=1,"Bad",Z942=2,"Good",Z942=3,"Better",Z942=4,"Best")</f>
        <v>Better</v>
      </c>
      <c r="AM942" t="str" cm="1">
        <f t="array" ref="AM942">_xlfn.IFS(W942=0,"No_stock",W942=1,"Low",W942=2,"Medium",W942=3,"High")</f>
        <v>No_stock</v>
      </c>
      <c r="AN942" t="str">
        <f t="shared" si="14"/>
        <v>Far</v>
      </c>
    </row>
    <row r="943" spans="1:40" x14ac:dyDescent="0.45">
      <c r="A943">
        <v>30</v>
      </c>
      <c r="B943" t="s">
        <v>37</v>
      </c>
      <c r="C943" t="s">
        <v>31</v>
      </c>
      <c r="D943">
        <v>1138</v>
      </c>
      <c r="E943" t="s">
        <v>39</v>
      </c>
      <c r="F943">
        <v>6</v>
      </c>
      <c r="G943">
        <v>3</v>
      </c>
      <c r="H943" t="s">
        <v>54</v>
      </c>
      <c r="I943">
        <v>1311</v>
      </c>
      <c r="J943">
        <v>1</v>
      </c>
      <c r="K943" t="s">
        <v>34</v>
      </c>
      <c r="L943">
        <v>2</v>
      </c>
      <c r="M943">
        <v>2</v>
      </c>
      <c r="N943" t="s">
        <v>44</v>
      </c>
      <c r="O943">
        <v>4</v>
      </c>
      <c r="P943" t="s">
        <v>42</v>
      </c>
      <c r="Q943">
        <v>4627</v>
      </c>
      <c r="R943">
        <v>0</v>
      </c>
      <c r="S943" t="s">
        <v>37</v>
      </c>
      <c r="T943">
        <v>12</v>
      </c>
      <c r="U943">
        <v>3</v>
      </c>
      <c r="V943">
        <v>1</v>
      </c>
      <c r="W943">
        <v>1</v>
      </c>
      <c r="X943">
        <v>10</v>
      </c>
      <c r="Y943">
        <v>6</v>
      </c>
      <c r="Z943">
        <v>3</v>
      </c>
      <c r="AA943">
        <v>9</v>
      </c>
      <c r="AB943">
        <v>2</v>
      </c>
      <c r="AC943">
        <v>6</v>
      </c>
      <c r="AD943">
        <v>7</v>
      </c>
      <c r="AE943" t="str" cm="1">
        <f t="array" ref="AE943">_xlfn.IFS(G943=1,"Before College",G943=2,"College",G943=3,"Bachelor",G943=4,"Master",G943=5,"Doctor")</f>
        <v>Bachelor</v>
      </c>
      <c r="AF943" t="str" cm="1">
        <f t="array" ref="AF943">_xlfn.IFS(J943=1,"Low",J943=2,"Medium",J943=3,"High",J943=4,"Very High")</f>
        <v>Low</v>
      </c>
      <c r="AG943" t="str" cm="1">
        <f t="array" ref="AG943">_xlfn.IFS(L943=1,"Low",L943=2,"Medium",L943=3,"High",L943=4,"Very High")</f>
        <v>Medium</v>
      </c>
      <c r="AH943" t="str" cm="1">
        <f t="array" ref="AH943">_xlfn.IFS(M943=1,"Junior employee",M943=2,"Mid-level",M943=3,"Senior",M943=4,"Manager",M943=5,"Executive")</f>
        <v>Mid-level</v>
      </c>
      <c r="AI943" t="str" cm="1">
        <f t="array" ref="AI943">_xlfn.IFS(O943=1,"Low",O943=2,"Medium",O943=3,"High",O943=4,"Very High")</f>
        <v>Very High</v>
      </c>
      <c r="AJ943" t="str" cm="1">
        <f t="array" ref="AJ943">_xlfn.IFS(U943=1,"Low",U943=2,"Good",U943=3,"Excellent",U943=4,"Outstanding")</f>
        <v>Excellent</v>
      </c>
      <c r="AK943" t="str" cm="1">
        <f t="array" ref="AK943">_xlfn.IFS(V943=1,"Low",V943=2,"Medium",V943=3,"High",V943=4,"Very High")</f>
        <v>Low</v>
      </c>
      <c r="AL943" t="str" cm="1">
        <f t="array" ref="AL943">_xlfn.IFS(Z943=1,"Bad",Z943=2,"Good",Z943=3,"Better",Z943=4,"Best")</f>
        <v>Better</v>
      </c>
      <c r="AM943" t="str" cm="1">
        <f t="array" ref="AM943">_xlfn.IFS(W943=0,"No_stock",W943=1,"Low",W943=2,"Medium",W943=3,"High")</f>
        <v>Low</v>
      </c>
      <c r="AN943" t="str">
        <f t="shared" si="14"/>
        <v>Medium</v>
      </c>
    </row>
    <row r="944" spans="1:40" x14ac:dyDescent="0.45">
      <c r="A944">
        <v>36</v>
      </c>
      <c r="B944" t="s">
        <v>37</v>
      </c>
      <c r="C944" t="s">
        <v>31</v>
      </c>
      <c r="D944">
        <v>325</v>
      </c>
      <c r="E944" t="s">
        <v>39</v>
      </c>
      <c r="F944">
        <v>10</v>
      </c>
      <c r="G944">
        <v>4</v>
      </c>
      <c r="H944" t="s">
        <v>54</v>
      </c>
      <c r="I944">
        <v>1312</v>
      </c>
      <c r="J944">
        <v>4</v>
      </c>
      <c r="K944" t="s">
        <v>34</v>
      </c>
      <c r="L944">
        <v>3</v>
      </c>
      <c r="M944">
        <v>3</v>
      </c>
      <c r="N944" t="s">
        <v>48</v>
      </c>
      <c r="O944">
        <v>3</v>
      </c>
      <c r="P944" t="s">
        <v>42</v>
      </c>
      <c r="Q944">
        <v>7094</v>
      </c>
      <c r="R944">
        <v>3</v>
      </c>
      <c r="S944" t="s">
        <v>37</v>
      </c>
      <c r="T944">
        <v>12</v>
      </c>
      <c r="U944">
        <v>3</v>
      </c>
      <c r="V944">
        <v>1</v>
      </c>
      <c r="W944">
        <v>0</v>
      </c>
      <c r="X944">
        <v>10</v>
      </c>
      <c r="Y944">
        <v>0</v>
      </c>
      <c r="Z944">
        <v>3</v>
      </c>
      <c r="AA944">
        <v>7</v>
      </c>
      <c r="AB944">
        <v>7</v>
      </c>
      <c r="AC944">
        <v>1</v>
      </c>
      <c r="AD944">
        <v>7</v>
      </c>
      <c r="AE944" t="str" cm="1">
        <f t="array" ref="AE944">_xlfn.IFS(G944=1,"Before College",G944=2,"College",G944=3,"Bachelor",G944=4,"Master",G944=5,"Doctor")</f>
        <v>Master</v>
      </c>
      <c r="AF944" t="str" cm="1">
        <f t="array" ref="AF944">_xlfn.IFS(J944=1,"Low",J944=2,"Medium",J944=3,"High",J944=4,"Very High")</f>
        <v>Very High</v>
      </c>
      <c r="AG944" t="str" cm="1">
        <f t="array" ref="AG944">_xlfn.IFS(L944=1,"Low",L944=2,"Medium",L944=3,"High",L944=4,"Very High")</f>
        <v>High</v>
      </c>
      <c r="AH944" t="str" cm="1">
        <f t="array" ref="AH944">_xlfn.IFS(M944=1,"Junior employee",M944=2,"Mid-level",M944=3,"Senior",M944=4,"Manager",M944=5,"Executive")</f>
        <v>Senior</v>
      </c>
      <c r="AI944" t="str" cm="1">
        <f t="array" ref="AI944">_xlfn.IFS(O944=1,"Low",O944=2,"Medium",O944=3,"High",O944=4,"Very High")</f>
        <v>High</v>
      </c>
      <c r="AJ944" t="str" cm="1">
        <f t="array" ref="AJ944">_xlfn.IFS(U944=1,"Low",U944=2,"Good",U944=3,"Excellent",U944=4,"Outstanding")</f>
        <v>Excellent</v>
      </c>
      <c r="AK944" t="str" cm="1">
        <f t="array" ref="AK944">_xlfn.IFS(V944=1,"Low",V944=2,"Medium",V944=3,"High",V944=4,"Very High")</f>
        <v>Low</v>
      </c>
      <c r="AL944" t="str" cm="1">
        <f t="array" ref="AL944">_xlfn.IFS(Z944=1,"Bad",Z944=2,"Good",Z944=3,"Better",Z944=4,"Best")</f>
        <v>Better</v>
      </c>
      <c r="AM944" t="str" cm="1">
        <f t="array" ref="AM944">_xlfn.IFS(W944=0,"No_stock",W944=1,"Low",W944=2,"Medium",W944=3,"High")</f>
        <v>No_stock</v>
      </c>
      <c r="AN944" t="str">
        <f t="shared" si="14"/>
        <v>Medium</v>
      </c>
    </row>
    <row r="945" spans="1:40" x14ac:dyDescent="0.45">
      <c r="A945">
        <v>46</v>
      </c>
      <c r="B945" t="s">
        <v>37</v>
      </c>
      <c r="C945" t="s">
        <v>31</v>
      </c>
      <c r="D945">
        <v>991</v>
      </c>
      <c r="E945" t="s">
        <v>55</v>
      </c>
      <c r="F945">
        <v>1</v>
      </c>
      <c r="G945">
        <v>2</v>
      </c>
      <c r="H945" t="s">
        <v>33</v>
      </c>
      <c r="I945">
        <v>1314</v>
      </c>
      <c r="J945">
        <v>4</v>
      </c>
      <c r="K945" t="s">
        <v>34</v>
      </c>
      <c r="L945">
        <v>3</v>
      </c>
      <c r="M945">
        <v>1</v>
      </c>
      <c r="N945" t="s">
        <v>55</v>
      </c>
      <c r="O945">
        <v>1</v>
      </c>
      <c r="P945" t="s">
        <v>36</v>
      </c>
      <c r="Q945">
        <v>3423</v>
      </c>
      <c r="R945">
        <v>6</v>
      </c>
      <c r="S945" t="s">
        <v>37</v>
      </c>
      <c r="T945">
        <v>12</v>
      </c>
      <c r="U945">
        <v>3</v>
      </c>
      <c r="V945">
        <v>3</v>
      </c>
      <c r="W945">
        <v>0</v>
      </c>
      <c r="X945">
        <v>10</v>
      </c>
      <c r="Y945">
        <v>3</v>
      </c>
      <c r="Z945">
        <v>4</v>
      </c>
      <c r="AA945">
        <v>7</v>
      </c>
      <c r="AB945">
        <v>6</v>
      </c>
      <c r="AC945">
        <v>5</v>
      </c>
      <c r="AD945">
        <v>7</v>
      </c>
      <c r="AE945" t="str" cm="1">
        <f t="array" ref="AE945">_xlfn.IFS(G945=1,"Before College",G945=2,"College",G945=3,"Bachelor",G945=4,"Master",G945=5,"Doctor")</f>
        <v>College</v>
      </c>
      <c r="AF945" t="str" cm="1">
        <f t="array" ref="AF945">_xlfn.IFS(J945=1,"Low",J945=2,"Medium",J945=3,"High",J945=4,"Very High")</f>
        <v>Very High</v>
      </c>
      <c r="AG945" t="str" cm="1">
        <f t="array" ref="AG945">_xlfn.IFS(L945=1,"Low",L945=2,"Medium",L945=3,"High",L945=4,"Very High")</f>
        <v>High</v>
      </c>
      <c r="AH945" t="str" cm="1">
        <f t="array" ref="AH945">_xlfn.IFS(M945=1,"Junior employee",M945=2,"Mid-level",M945=3,"Senior",M945=4,"Manager",M945=5,"Executive")</f>
        <v>Junior employee</v>
      </c>
      <c r="AI945" t="str" cm="1">
        <f t="array" ref="AI945">_xlfn.IFS(O945=1,"Low",O945=2,"Medium",O945=3,"High",O945=4,"Very High")</f>
        <v>Low</v>
      </c>
      <c r="AJ945" t="str" cm="1">
        <f t="array" ref="AJ945">_xlfn.IFS(U945=1,"Low",U945=2,"Good",U945=3,"Excellent",U945=4,"Outstanding")</f>
        <v>Excellent</v>
      </c>
      <c r="AK945" t="str" cm="1">
        <f t="array" ref="AK945">_xlfn.IFS(V945=1,"Low",V945=2,"Medium",V945=3,"High",V945=4,"Very High")</f>
        <v>High</v>
      </c>
      <c r="AL945" t="str" cm="1">
        <f t="array" ref="AL945">_xlfn.IFS(Z945=1,"Bad",Z945=2,"Good",Z945=3,"Better",Z945=4,"Best")</f>
        <v>Best</v>
      </c>
      <c r="AM945" t="str" cm="1">
        <f t="array" ref="AM945">_xlfn.IFS(W945=0,"No_stock",W945=1,"Low",W945=2,"Medium",W945=3,"High")</f>
        <v>No_stock</v>
      </c>
      <c r="AN945" t="str">
        <f t="shared" si="14"/>
        <v>Near</v>
      </c>
    </row>
    <row r="946" spans="1:40" x14ac:dyDescent="0.45">
      <c r="A946">
        <v>28</v>
      </c>
      <c r="B946" t="s">
        <v>37</v>
      </c>
      <c r="C946" t="s">
        <v>49</v>
      </c>
      <c r="D946">
        <v>1476</v>
      </c>
      <c r="E946" t="s">
        <v>39</v>
      </c>
      <c r="F946">
        <v>1</v>
      </c>
      <c r="G946">
        <v>3</v>
      </c>
      <c r="H946" t="s">
        <v>33</v>
      </c>
      <c r="I946">
        <v>1315</v>
      </c>
      <c r="J946">
        <v>3</v>
      </c>
      <c r="K946" t="s">
        <v>34</v>
      </c>
      <c r="L946">
        <v>1</v>
      </c>
      <c r="M946">
        <v>2</v>
      </c>
      <c r="N946" t="s">
        <v>44</v>
      </c>
      <c r="O946">
        <v>4</v>
      </c>
      <c r="P946" t="s">
        <v>42</v>
      </c>
      <c r="Q946">
        <v>6674</v>
      </c>
      <c r="R946">
        <v>0</v>
      </c>
      <c r="S946" t="s">
        <v>37</v>
      </c>
      <c r="T946">
        <v>11</v>
      </c>
      <c r="U946">
        <v>3</v>
      </c>
      <c r="V946">
        <v>1</v>
      </c>
      <c r="W946">
        <v>3</v>
      </c>
      <c r="X946">
        <v>10</v>
      </c>
      <c r="Y946">
        <v>6</v>
      </c>
      <c r="Z946">
        <v>3</v>
      </c>
      <c r="AA946">
        <v>9</v>
      </c>
      <c r="AB946">
        <v>8</v>
      </c>
      <c r="AC946">
        <v>7</v>
      </c>
      <c r="AD946">
        <v>5</v>
      </c>
      <c r="AE946" t="str" cm="1">
        <f t="array" ref="AE946">_xlfn.IFS(G946=1,"Before College",G946=2,"College",G946=3,"Bachelor",G946=4,"Master",G946=5,"Doctor")</f>
        <v>Bachelor</v>
      </c>
      <c r="AF946" t="str" cm="1">
        <f t="array" ref="AF946">_xlfn.IFS(J946=1,"Low",J946=2,"Medium",J946=3,"High",J946=4,"Very High")</f>
        <v>High</v>
      </c>
      <c r="AG946" t="str" cm="1">
        <f t="array" ref="AG946">_xlfn.IFS(L946=1,"Low",L946=2,"Medium",L946=3,"High",L946=4,"Very High")</f>
        <v>Low</v>
      </c>
      <c r="AH946" t="str" cm="1">
        <f t="array" ref="AH946">_xlfn.IFS(M946=1,"Junior employee",M946=2,"Mid-level",M946=3,"Senior",M946=4,"Manager",M946=5,"Executive")</f>
        <v>Mid-level</v>
      </c>
      <c r="AI946" t="str" cm="1">
        <f t="array" ref="AI946">_xlfn.IFS(O946=1,"Low",O946=2,"Medium",O946=3,"High",O946=4,"Very High")</f>
        <v>Very High</v>
      </c>
      <c r="AJ946" t="str" cm="1">
        <f t="array" ref="AJ946">_xlfn.IFS(U946=1,"Low",U946=2,"Good",U946=3,"Excellent",U946=4,"Outstanding")</f>
        <v>Excellent</v>
      </c>
      <c r="AK946" t="str" cm="1">
        <f t="array" ref="AK946">_xlfn.IFS(V946=1,"Low",V946=2,"Medium",V946=3,"High",V946=4,"Very High")</f>
        <v>Low</v>
      </c>
      <c r="AL946" t="str" cm="1">
        <f t="array" ref="AL946">_xlfn.IFS(Z946=1,"Bad",Z946=2,"Good",Z946=3,"Better",Z946=4,"Best")</f>
        <v>Better</v>
      </c>
      <c r="AM946" t="str" cm="1">
        <f t="array" ref="AM946">_xlfn.IFS(W946=0,"No_stock",W946=1,"Low",W946=2,"Medium",W946=3,"High")</f>
        <v>High</v>
      </c>
      <c r="AN946" t="str">
        <f t="shared" si="14"/>
        <v>Near</v>
      </c>
    </row>
    <row r="947" spans="1:40" x14ac:dyDescent="0.45">
      <c r="A947">
        <v>50</v>
      </c>
      <c r="B947" t="s">
        <v>37</v>
      </c>
      <c r="C947" t="s">
        <v>31</v>
      </c>
      <c r="D947">
        <v>1322</v>
      </c>
      <c r="E947" t="s">
        <v>39</v>
      </c>
      <c r="F947">
        <v>28</v>
      </c>
      <c r="G947">
        <v>3</v>
      </c>
      <c r="H947" t="s">
        <v>33</v>
      </c>
      <c r="I947">
        <v>1317</v>
      </c>
      <c r="J947">
        <v>4</v>
      </c>
      <c r="K947" t="s">
        <v>34</v>
      </c>
      <c r="L947">
        <v>3</v>
      </c>
      <c r="M947">
        <v>4</v>
      </c>
      <c r="N947" t="s">
        <v>52</v>
      </c>
      <c r="O947">
        <v>1</v>
      </c>
      <c r="P947" t="s">
        <v>42</v>
      </c>
      <c r="Q947">
        <v>16880</v>
      </c>
      <c r="R947">
        <v>4</v>
      </c>
      <c r="S947" t="s">
        <v>30</v>
      </c>
      <c r="T947">
        <v>11</v>
      </c>
      <c r="U947">
        <v>3</v>
      </c>
      <c r="V947">
        <v>2</v>
      </c>
      <c r="W947">
        <v>0</v>
      </c>
      <c r="X947">
        <v>25</v>
      </c>
      <c r="Y947">
        <v>2</v>
      </c>
      <c r="Z947">
        <v>3</v>
      </c>
      <c r="AA947">
        <v>3</v>
      </c>
      <c r="AB947">
        <v>2</v>
      </c>
      <c r="AC947">
        <v>1</v>
      </c>
      <c r="AD947">
        <v>2</v>
      </c>
      <c r="AE947" t="str" cm="1">
        <f t="array" ref="AE947">_xlfn.IFS(G947=1,"Before College",G947=2,"College",G947=3,"Bachelor",G947=4,"Master",G947=5,"Doctor")</f>
        <v>Bachelor</v>
      </c>
      <c r="AF947" t="str" cm="1">
        <f t="array" ref="AF947">_xlfn.IFS(J947=1,"Low",J947=2,"Medium",J947=3,"High",J947=4,"Very High")</f>
        <v>Very High</v>
      </c>
      <c r="AG947" t="str" cm="1">
        <f t="array" ref="AG947">_xlfn.IFS(L947=1,"Low",L947=2,"Medium",L947=3,"High",L947=4,"Very High")</f>
        <v>High</v>
      </c>
      <c r="AH947" t="str" cm="1">
        <f t="array" ref="AH947">_xlfn.IFS(M947=1,"Junior employee",M947=2,"Mid-level",M947=3,"Senior",M947=4,"Manager",M947=5,"Executive")</f>
        <v>Manager</v>
      </c>
      <c r="AI947" t="str" cm="1">
        <f t="array" ref="AI947">_xlfn.IFS(O947=1,"Low",O947=2,"Medium",O947=3,"High",O947=4,"Very High")</f>
        <v>Low</v>
      </c>
      <c r="AJ947" t="str" cm="1">
        <f t="array" ref="AJ947">_xlfn.IFS(U947=1,"Low",U947=2,"Good",U947=3,"Excellent",U947=4,"Outstanding")</f>
        <v>Excellent</v>
      </c>
      <c r="AK947" t="str" cm="1">
        <f t="array" ref="AK947">_xlfn.IFS(V947=1,"Low",V947=2,"Medium",V947=3,"High",V947=4,"Very High")</f>
        <v>Medium</v>
      </c>
      <c r="AL947" t="str" cm="1">
        <f t="array" ref="AL947">_xlfn.IFS(Z947=1,"Bad",Z947=2,"Good",Z947=3,"Better",Z947=4,"Best")</f>
        <v>Better</v>
      </c>
      <c r="AM947" t="str" cm="1">
        <f t="array" ref="AM947">_xlfn.IFS(W947=0,"No_stock",W947=1,"Low",W947=2,"Medium",W947=3,"High")</f>
        <v>No_stock</v>
      </c>
      <c r="AN947" t="str">
        <f t="shared" si="14"/>
        <v>Far</v>
      </c>
    </row>
    <row r="948" spans="1:40" x14ac:dyDescent="0.45">
      <c r="A948">
        <v>40</v>
      </c>
      <c r="B948" t="s">
        <v>30</v>
      </c>
      <c r="C948" t="s">
        <v>31</v>
      </c>
      <c r="D948">
        <v>299</v>
      </c>
      <c r="E948" t="s">
        <v>32</v>
      </c>
      <c r="F948">
        <v>25</v>
      </c>
      <c r="G948">
        <v>4</v>
      </c>
      <c r="H948" t="s">
        <v>53</v>
      </c>
      <c r="I948">
        <v>1318</v>
      </c>
      <c r="J948">
        <v>4</v>
      </c>
      <c r="K948" t="s">
        <v>40</v>
      </c>
      <c r="L948">
        <v>2</v>
      </c>
      <c r="M948">
        <v>3</v>
      </c>
      <c r="N948" t="s">
        <v>35</v>
      </c>
      <c r="O948">
        <v>2</v>
      </c>
      <c r="P948" t="s">
        <v>36</v>
      </c>
      <c r="Q948">
        <v>9094</v>
      </c>
      <c r="R948">
        <v>2</v>
      </c>
      <c r="S948" t="s">
        <v>30</v>
      </c>
      <c r="T948">
        <v>12</v>
      </c>
      <c r="U948">
        <v>3</v>
      </c>
      <c r="V948">
        <v>3</v>
      </c>
      <c r="W948">
        <v>0</v>
      </c>
      <c r="X948">
        <v>9</v>
      </c>
      <c r="Y948">
        <v>2</v>
      </c>
      <c r="Z948">
        <v>3</v>
      </c>
      <c r="AA948">
        <v>5</v>
      </c>
      <c r="AB948">
        <v>4</v>
      </c>
      <c r="AC948">
        <v>1</v>
      </c>
      <c r="AD948">
        <v>0</v>
      </c>
      <c r="AE948" t="str" cm="1">
        <f t="array" ref="AE948">_xlfn.IFS(G948=1,"Before College",G948=2,"College",G948=3,"Bachelor",G948=4,"Master",G948=5,"Doctor")</f>
        <v>Master</v>
      </c>
      <c r="AF948" t="str" cm="1">
        <f t="array" ref="AF948">_xlfn.IFS(J948=1,"Low",J948=2,"Medium",J948=3,"High",J948=4,"Very High")</f>
        <v>Very High</v>
      </c>
      <c r="AG948" t="str" cm="1">
        <f t="array" ref="AG948">_xlfn.IFS(L948=1,"Low",L948=2,"Medium",L948=3,"High",L948=4,"Very High")</f>
        <v>Medium</v>
      </c>
      <c r="AH948" t="str" cm="1">
        <f t="array" ref="AH948">_xlfn.IFS(M948=1,"Junior employee",M948=2,"Mid-level",M948=3,"Senior",M948=4,"Manager",M948=5,"Executive")</f>
        <v>Senior</v>
      </c>
      <c r="AI948" t="str" cm="1">
        <f t="array" ref="AI948">_xlfn.IFS(O948=1,"Low",O948=2,"Medium",O948=3,"High",O948=4,"Very High")</f>
        <v>Medium</v>
      </c>
      <c r="AJ948" t="str" cm="1">
        <f t="array" ref="AJ948">_xlfn.IFS(U948=1,"Low",U948=2,"Good",U948=3,"Excellent",U948=4,"Outstanding")</f>
        <v>Excellent</v>
      </c>
      <c r="AK948" t="str" cm="1">
        <f t="array" ref="AK948">_xlfn.IFS(V948=1,"Low",V948=2,"Medium",V948=3,"High",V948=4,"Very High")</f>
        <v>High</v>
      </c>
      <c r="AL948" t="str" cm="1">
        <f t="array" ref="AL948">_xlfn.IFS(Z948=1,"Bad",Z948=2,"Good",Z948=3,"Better",Z948=4,"Best")</f>
        <v>Better</v>
      </c>
      <c r="AM948" t="str" cm="1">
        <f t="array" ref="AM948">_xlfn.IFS(W948=0,"No_stock",W948=1,"Low",W948=2,"Medium",W948=3,"High")</f>
        <v>No_stock</v>
      </c>
      <c r="AN948" t="str">
        <f t="shared" si="14"/>
        <v>Far</v>
      </c>
    </row>
    <row r="949" spans="1:40" x14ac:dyDescent="0.45">
      <c r="A949">
        <v>52</v>
      </c>
      <c r="B949" t="s">
        <v>30</v>
      </c>
      <c r="C949" t="s">
        <v>31</v>
      </c>
      <c r="D949">
        <v>1030</v>
      </c>
      <c r="E949" t="s">
        <v>32</v>
      </c>
      <c r="F949">
        <v>5</v>
      </c>
      <c r="G949">
        <v>3</v>
      </c>
      <c r="H949" t="s">
        <v>33</v>
      </c>
      <c r="I949">
        <v>1319</v>
      </c>
      <c r="J949">
        <v>2</v>
      </c>
      <c r="K949" t="s">
        <v>40</v>
      </c>
      <c r="L949">
        <v>3</v>
      </c>
      <c r="M949">
        <v>3</v>
      </c>
      <c r="N949" t="s">
        <v>35</v>
      </c>
      <c r="O949">
        <v>2</v>
      </c>
      <c r="P949" t="s">
        <v>36</v>
      </c>
      <c r="Q949">
        <v>8446</v>
      </c>
      <c r="R949">
        <v>9</v>
      </c>
      <c r="S949" t="s">
        <v>30</v>
      </c>
      <c r="T949">
        <v>19</v>
      </c>
      <c r="U949">
        <v>3</v>
      </c>
      <c r="V949">
        <v>3</v>
      </c>
      <c r="W949">
        <v>0</v>
      </c>
      <c r="X949">
        <v>10</v>
      </c>
      <c r="Y949">
        <v>2</v>
      </c>
      <c r="Z949">
        <v>2</v>
      </c>
      <c r="AA949">
        <v>8</v>
      </c>
      <c r="AB949">
        <v>7</v>
      </c>
      <c r="AC949">
        <v>7</v>
      </c>
      <c r="AD949">
        <v>7</v>
      </c>
      <c r="AE949" t="str" cm="1">
        <f t="array" ref="AE949">_xlfn.IFS(G949=1,"Before College",G949=2,"College",G949=3,"Bachelor",G949=4,"Master",G949=5,"Doctor")</f>
        <v>Bachelor</v>
      </c>
      <c r="AF949" t="str" cm="1">
        <f t="array" ref="AF949">_xlfn.IFS(J949=1,"Low",J949=2,"Medium",J949=3,"High",J949=4,"Very High")</f>
        <v>Medium</v>
      </c>
      <c r="AG949" t="str" cm="1">
        <f t="array" ref="AG949">_xlfn.IFS(L949=1,"Low",L949=2,"Medium",L949=3,"High",L949=4,"Very High")</f>
        <v>High</v>
      </c>
      <c r="AH949" t="str" cm="1">
        <f t="array" ref="AH949">_xlfn.IFS(M949=1,"Junior employee",M949=2,"Mid-level",M949=3,"Senior",M949=4,"Manager",M949=5,"Executive")</f>
        <v>Senior</v>
      </c>
      <c r="AI949" t="str" cm="1">
        <f t="array" ref="AI949">_xlfn.IFS(O949=1,"Low",O949=2,"Medium",O949=3,"High",O949=4,"Very High")</f>
        <v>Medium</v>
      </c>
      <c r="AJ949" t="str" cm="1">
        <f t="array" ref="AJ949">_xlfn.IFS(U949=1,"Low",U949=2,"Good",U949=3,"Excellent",U949=4,"Outstanding")</f>
        <v>Excellent</v>
      </c>
      <c r="AK949" t="str" cm="1">
        <f t="array" ref="AK949">_xlfn.IFS(V949=1,"Low",V949=2,"Medium",V949=3,"High",V949=4,"Very High")</f>
        <v>High</v>
      </c>
      <c r="AL949" t="str" cm="1">
        <f t="array" ref="AL949">_xlfn.IFS(Z949=1,"Bad",Z949=2,"Good",Z949=3,"Better",Z949=4,"Best")</f>
        <v>Good</v>
      </c>
      <c r="AM949" t="str" cm="1">
        <f t="array" ref="AM949">_xlfn.IFS(W949=0,"No_stock",W949=1,"Low",W949=2,"Medium",W949=3,"High")</f>
        <v>No_stock</v>
      </c>
      <c r="AN949" t="str">
        <f t="shared" si="14"/>
        <v>Near</v>
      </c>
    </row>
    <row r="950" spans="1:40" x14ac:dyDescent="0.45">
      <c r="A950">
        <v>30</v>
      </c>
      <c r="B950" t="s">
        <v>37</v>
      </c>
      <c r="C950" t="s">
        <v>31</v>
      </c>
      <c r="D950">
        <v>634</v>
      </c>
      <c r="E950" t="s">
        <v>39</v>
      </c>
      <c r="F950">
        <v>17</v>
      </c>
      <c r="G950">
        <v>4</v>
      </c>
      <c r="H950" t="s">
        <v>45</v>
      </c>
      <c r="I950">
        <v>1321</v>
      </c>
      <c r="J950">
        <v>2</v>
      </c>
      <c r="K950" t="s">
        <v>34</v>
      </c>
      <c r="L950">
        <v>3</v>
      </c>
      <c r="M950">
        <v>3</v>
      </c>
      <c r="N950" t="s">
        <v>50</v>
      </c>
      <c r="O950">
        <v>1</v>
      </c>
      <c r="P950" t="s">
        <v>42</v>
      </c>
      <c r="Q950">
        <v>11916</v>
      </c>
      <c r="R950">
        <v>1</v>
      </c>
      <c r="S950" t="s">
        <v>30</v>
      </c>
      <c r="T950">
        <v>23</v>
      </c>
      <c r="U950">
        <v>4</v>
      </c>
      <c r="V950">
        <v>4</v>
      </c>
      <c r="W950">
        <v>2</v>
      </c>
      <c r="X950">
        <v>9</v>
      </c>
      <c r="Y950">
        <v>2</v>
      </c>
      <c r="Z950">
        <v>3</v>
      </c>
      <c r="AA950">
        <v>9</v>
      </c>
      <c r="AB950">
        <v>1</v>
      </c>
      <c r="AC950">
        <v>0</v>
      </c>
      <c r="AD950">
        <v>8</v>
      </c>
      <c r="AE950" t="str" cm="1">
        <f t="array" ref="AE950">_xlfn.IFS(G950=1,"Before College",G950=2,"College",G950=3,"Bachelor",G950=4,"Master",G950=5,"Doctor")</f>
        <v>Master</v>
      </c>
      <c r="AF950" t="str" cm="1">
        <f t="array" ref="AF950">_xlfn.IFS(J950=1,"Low",J950=2,"Medium",J950=3,"High",J950=4,"Very High")</f>
        <v>Medium</v>
      </c>
      <c r="AG950" t="str" cm="1">
        <f t="array" ref="AG950">_xlfn.IFS(L950=1,"Low",L950=2,"Medium",L950=3,"High",L950=4,"Very High")</f>
        <v>High</v>
      </c>
      <c r="AH950" t="str" cm="1">
        <f t="array" ref="AH950">_xlfn.IFS(M950=1,"Junior employee",M950=2,"Mid-level",M950=3,"Senior",M950=4,"Manager",M950=5,"Executive")</f>
        <v>Senior</v>
      </c>
      <c r="AI950" t="str" cm="1">
        <f t="array" ref="AI950">_xlfn.IFS(O950=1,"Low",O950=2,"Medium",O950=3,"High",O950=4,"Very High")</f>
        <v>Low</v>
      </c>
      <c r="AJ950" t="str" cm="1">
        <f t="array" ref="AJ950">_xlfn.IFS(U950=1,"Low",U950=2,"Good",U950=3,"Excellent",U950=4,"Outstanding")</f>
        <v>Outstanding</v>
      </c>
      <c r="AK950" t="str" cm="1">
        <f t="array" ref="AK950">_xlfn.IFS(V950=1,"Low",V950=2,"Medium",V950=3,"High",V950=4,"Very High")</f>
        <v>Very High</v>
      </c>
      <c r="AL950" t="str" cm="1">
        <f t="array" ref="AL950">_xlfn.IFS(Z950=1,"Bad",Z950=2,"Good",Z950=3,"Better",Z950=4,"Best")</f>
        <v>Better</v>
      </c>
      <c r="AM950" t="str" cm="1">
        <f t="array" ref="AM950">_xlfn.IFS(W950=0,"No_stock",W950=1,"Low",W950=2,"Medium",W950=3,"High")</f>
        <v>Medium</v>
      </c>
      <c r="AN950" t="str">
        <f t="shared" si="14"/>
        <v>Far</v>
      </c>
    </row>
    <row r="951" spans="1:40" x14ac:dyDescent="0.45">
      <c r="A951">
        <v>39</v>
      </c>
      <c r="B951" t="s">
        <v>37</v>
      </c>
      <c r="C951" t="s">
        <v>31</v>
      </c>
      <c r="D951">
        <v>524</v>
      </c>
      <c r="E951" t="s">
        <v>39</v>
      </c>
      <c r="F951">
        <v>18</v>
      </c>
      <c r="G951">
        <v>2</v>
      </c>
      <c r="H951" t="s">
        <v>33</v>
      </c>
      <c r="I951">
        <v>1322</v>
      </c>
      <c r="J951">
        <v>1</v>
      </c>
      <c r="K951" t="s">
        <v>40</v>
      </c>
      <c r="L951">
        <v>3</v>
      </c>
      <c r="M951">
        <v>2</v>
      </c>
      <c r="N951" t="s">
        <v>47</v>
      </c>
      <c r="O951">
        <v>3</v>
      </c>
      <c r="P951" t="s">
        <v>36</v>
      </c>
      <c r="Q951">
        <v>4534</v>
      </c>
      <c r="R951">
        <v>0</v>
      </c>
      <c r="S951" t="s">
        <v>37</v>
      </c>
      <c r="T951">
        <v>11</v>
      </c>
      <c r="U951">
        <v>3</v>
      </c>
      <c r="V951">
        <v>1</v>
      </c>
      <c r="W951">
        <v>0</v>
      </c>
      <c r="X951">
        <v>9</v>
      </c>
      <c r="Y951">
        <v>6</v>
      </c>
      <c r="Z951">
        <v>3</v>
      </c>
      <c r="AA951">
        <v>8</v>
      </c>
      <c r="AB951">
        <v>7</v>
      </c>
      <c r="AC951">
        <v>1</v>
      </c>
      <c r="AD951">
        <v>7</v>
      </c>
      <c r="AE951" t="str" cm="1">
        <f t="array" ref="AE951">_xlfn.IFS(G951=1,"Before College",G951=2,"College",G951=3,"Bachelor",G951=4,"Master",G951=5,"Doctor")</f>
        <v>College</v>
      </c>
      <c r="AF951" t="str" cm="1">
        <f t="array" ref="AF951">_xlfn.IFS(J951=1,"Low",J951=2,"Medium",J951=3,"High",J951=4,"Very High")</f>
        <v>Low</v>
      </c>
      <c r="AG951" t="str" cm="1">
        <f t="array" ref="AG951">_xlfn.IFS(L951=1,"Low",L951=2,"Medium",L951=3,"High",L951=4,"Very High")</f>
        <v>High</v>
      </c>
      <c r="AH951" t="str" cm="1">
        <f t="array" ref="AH951">_xlfn.IFS(M951=1,"Junior employee",M951=2,"Mid-level",M951=3,"Senior",M951=4,"Manager",M951=5,"Executive")</f>
        <v>Mid-level</v>
      </c>
      <c r="AI951" t="str" cm="1">
        <f t="array" ref="AI951">_xlfn.IFS(O951=1,"Low",O951=2,"Medium",O951=3,"High",O951=4,"Very High")</f>
        <v>High</v>
      </c>
      <c r="AJ951" t="str" cm="1">
        <f t="array" ref="AJ951">_xlfn.IFS(U951=1,"Low",U951=2,"Good",U951=3,"Excellent",U951=4,"Outstanding")</f>
        <v>Excellent</v>
      </c>
      <c r="AK951" t="str" cm="1">
        <f t="array" ref="AK951">_xlfn.IFS(V951=1,"Low",V951=2,"Medium",V951=3,"High",V951=4,"Very High")</f>
        <v>Low</v>
      </c>
      <c r="AL951" t="str" cm="1">
        <f t="array" ref="AL951">_xlfn.IFS(Z951=1,"Bad",Z951=2,"Good",Z951=3,"Better",Z951=4,"Best")</f>
        <v>Better</v>
      </c>
      <c r="AM951" t="str" cm="1">
        <f t="array" ref="AM951">_xlfn.IFS(W951=0,"No_stock",W951=1,"Low",W951=2,"Medium",W951=3,"High")</f>
        <v>No_stock</v>
      </c>
      <c r="AN951" t="str">
        <f t="shared" si="14"/>
        <v>Far</v>
      </c>
    </row>
    <row r="952" spans="1:40" x14ac:dyDescent="0.45">
      <c r="A952">
        <v>31</v>
      </c>
      <c r="B952" t="s">
        <v>37</v>
      </c>
      <c r="C952" t="s">
        <v>49</v>
      </c>
      <c r="D952">
        <v>587</v>
      </c>
      <c r="E952" t="s">
        <v>32</v>
      </c>
      <c r="F952">
        <v>2</v>
      </c>
      <c r="G952">
        <v>4</v>
      </c>
      <c r="H952" t="s">
        <v>33</v>
      </c>
      <c r="I952">
        <v>1324</v>
      </c>
      <c r="J952">
        <v>4</v>
      </c>
      <c r="K952" t="s">
        <v>34</v>
      </c>
      <c r="L952">
        <v>3</v>
      </c>
      <c r="M952">
        <v>3</v>
      </c>
      <c r="N952" t="s">
        <v>35</v>
      </c>
      <c r="O952">
        <v>3</v>
      </c>
      <c r="P952" t="s">
        <v>46</v>
      </c>
      <c r="Q952">
        <v>9852</v>
      </c>
      <c r="R952">
        <v>1</v>
      </c>
      <c r="S952" t="s">
        <v>30</v>
      </c>
      <c r="T952">
        <v>19</v>
      </c>
      <c r="U952">
        <v>3</v>
      </c>
      <c r="V952">
        <v>1</v>
      </c>
      <c r="W952">
        <v>1</v>
      </c>
      <c r="X952">
        <v>10</v>
      </c>
      <c r="Y952">
        <v>5</v>
      </c>
      <c r="Z952">
        <v>2</v>
      </c>
      <c r="AA952">
        <v>10</v>
      </c>
      <c r="AB952">
        <v>8</v>
      </c>
      <c r="AC952">
        <v>9</v>
      </c>
      <c r="AD952">
        <v>6</v>
      </c>
      <c r="AE952" t="str" cm="1">
        <f t="array" ref="AE952">_xlfn.IFS(G952=1,"Before College",G952=2,"College",G952=3,"Bachelor",G952=4,"Master",G952=5,"Doctor")</f>
        <v>Master</v>
      </c>
      <c r="AF952" t="str" cm="1">
        <f t="array" ref="AF952">_xlfn.IFS(J952=1,"Low",J952=2,"Medium",J952=3,"High",J952=4,"Very High")</f>
        <v>Very High</v>
      </c>
      <c r="AG952" t="str" cm="1">
        <f t="array" ref="AG952">_xlfn.IFS(L952=1,"Low",L952=2,"Medium",L952=3,"High",L952=4,"Very High")</f>
        <v>High</v>
      </c>
      <c r="AH952" t="str" cm="1">
        <f t="array" ref="AH952">_xlfn.IFS(M952=1,"Junior employee",M952=2,"Mid-level",M952=3,"Senior",M952=4,"Manager",M952=5,"Executive")</f>
        <v>Senior</v>
      </c>
      <c r="AI952" t="str" cm="1">
        <f t="array" ref="AI952">_xlfn.IFS(O952=1,"Low",O952=2,"Medium",O952=3,"High",O952=4,"Very High")</f>
        <v>High</v>
      </c>
      <c r="AJ952" t="str" cm="1">
        <f t="array" ref="AJ952">_xlfn.IFS(U952=1,"Low",U952=2,"Good",U952=3,"Excellent",U952=4,"Outstanding")</f>
        <v>Excellent</v>
      </c>
      <c r="AK952" t="str" cm="1">
        <f t="array" ref="AK952">_xlfn.IFS(V952=1,"Low",V952=2,"Medium",V952=3,"High",V952=4,"Very High")</f>
        <v>Low</v>
      </c>
      <c r="AL952" t="str" cm="1">
        <f t="array" ref="AL952">_xlfn.IFS(Z952=1,"Bad",Z952=2,"Good",Z952=3,"Better",Z952=4,"Best")</f>
        <v>Good</v>
      </c>
      <c r="AM952" t="str" cm="1">
        <f t="array" ref="AM952">_xlfn.IFS(W952=0,"No_stock",W952=1,"Low",W952=2,"Medium",W952=3,"High")</f>
        <v>Low</v>
      </c>
      <c r="AN952" t="str">
        <f t="shared" si="14"/>
        <v>Near</v>
      </c>
    </row>
    <row r="953" spans="1:40" x14ac:dyDescent="0.45">
      <c r="A953">
        <v>41</v>
      </c>
      <c r="B953" t="s">
        <v>37</v>
      </c>
      <c r="C953" t="s">
        <v>49</v>
      </c>
      <c r="D953">
        <v>256</v>
      </c>
      <c r="E953" t="s">
        <v>32</v>
      </c>
      <c r="F953">
        <v>10</v>
      </c>
      <c r="G953">
        <v>2</v>
      </c>
      <c r="H953" t="s">
        <v>45</v>
      </c>
      <c r="I953">
        <v>1329</v>
      </c>
      <c r="J953">
        <v>3</v>
      </c>
      <c r="K953" t="s">
        <v>40</v>
      </c>
      <c r="L953">
        <v>1</v>
      </c>
      <c r="M953">
        <v>2</v>
      </c>
      <c r="N953" t="s">
        <v>35</v>
      </c>
      <c r="O953">
        <v>2</v>
      </c>
      <c r="P953" t="s">
        <v>36</v>
      </c>
      <c r="Q953">
        <v>6151</v>
      </c>
      <c r="R953">
        <v>1</v>
      </c>
      <c r="S953" t="s">
        <v>37</v>
      </c>
      <c r="T953">
        <v>13</v>
      </c>
      <c r="U953">
        <v>3</v>
      </c>
      <c r="V953">
        <v>1</v>
      </c>
      <c r="W953">
        <v>0</v>
      </c>
      <c r="X953">
        <v>19</v>
      </c>
      <c r="Y953">
        <v>4</v>
      </c>
      <c r="Z953">
        <v>3</v>
      </c>
      <c r="AA953">
        <v>19</v>
      </c>
      <c r="AB953">
        <v>2</v>
      </c>
      <c r="AC953">
        <v>11</v>
      </c>
      <c r="AD953">
        <v>9</v>
      </c>
      <c r="AE953" t="str" cm="1">
        <f t="array" ref="AE953">_xlfn.IFS(G953=1,"Before College",G953=2,"College",G953=3,"Bachelor",G953=4,"Master",G953=5,"Doctor")</f>
        <v>College</v>
      </c>
      <c r="AF953" t="str" cm="1">
        <f t="array" ref="AF953">_xlfn.IFS(J953=1,"Low",J953=2,"Medium",J953=3,"High",J953=4,"Very High")</f>
        <v>High</v>
      </c>
      <c r="AG953" t="str" cm="1">
        <f t="array" ref="AG953">_xlfn.IFS(L953=1,"Low",L953=2,"Medium",L953=3,"High",L953=4,"Very High")</f>
        <v>Low</v>
      </c>
      <c r="AH953" t="str" cm="1">
        <f t="array" ref="AH953">_xlfn.IFS(M953=1,"Junior employee",M953=2,"Mid-level",M953=3,"Senior",M953=4,"Manager",M953=5,"Executive")</f>
        <v>Mid-level</v>
      </c>
      <c r="AI953" t="str" cm="1">
        <f t="array" ref="AI953">_xlfn.IFS(O953=1,"Low",O953=2,"Medium",O953=3,"High",O953=4,"Very High")</f>
        <v>Medium</v>
      </c>
      <c r="AJ953" t="str" cm="1">
        <f t="array" ref="AJ953">_xlfn.IFS(U953=1,"Low",U953=2,"Good",U953=3,"Excellent",U953=4,"Outstanding")</f>
        <v>Excellent</v>
      </c>
      <c r="AK953" t="str" cm="1">
        <f t="array" ref="AK953">_xlfn.IFS(V953=1,"Low",V953=2,"Medium",V953=3,"High",V953=4,"Very High")</f>
        <v>Low</v>
      </c>
      <c r="AL953" t="str" cm="1">
        <f t="array" ref="AL953">_xlfn.IFS(Z953=1,"Bad",Z953=2,"Good",Z953=3,"Better",Z953=4,"Best")</f>
        <v>Better</v>
      </c>
      <c r="AM953" t="str" cm="1">
        <f t="array" ref="AM953">_xlfn.IFS(W953=0,"No_stock",W953=1,"Low",W953=2,"Medium",W953=3,"High")</f>
        <v>No_stock</v>
      </c>
      <c r="AN953" t="str">
        <f t="shared" si="14"/>
        <v>Medium</v>
      </c>
    </row>
    <row r="954" spans="1:40" x14ac:dyDescent="0.45">
      <c r="A954">
        <v>31</v>
      </c>
      <c r="B954" t="s">
        <v>30</v>
      </c>
      <c r="C954" t="s">
        <v>38</v>
      </c>
      <c r="D954">
        <v>1060</v>
      </c>
      <c r="E954" t="s">
        <v>32</v>
      </c>
      <c r="F954">
        <v>1</v>
      </c>
      <c r="G954">
        <v>3</v>
      </c>
      <c r="H954" t="s">
        <v>33</v>
      </c>
      <c r="I954">
        <v>1331</v>
      </c>
      <c r="J954">
        <v>4</v>
      </c>
      <c r="K954" t="s">
        <v>34</v>
      </c>
      <c r="L954">
        <v>3</v>
      </c>
      <c r="M954">
        <v>1</v>
      </c>
      <c r="N954" t="s">
        <v>51</v>
      </c>
      <c r="O954">
        <v>2</v>
      </c>
      <c r="P954" t="s">
        <v>36</v>
      </c>
      <c r="Q954">
        <v>2302</v>
      </c>
      <c r="R954">
        <v>1</v>
      </c>
      <c r="S954" t="s">
        <v>30</v>
      </c>
      <c r="T954">
        <v>11</v>
      </c>
      <c r="U954">
        <v>3</v>
      </c>
      <c r="V954">
        <v>1</v>
      </c>
      <c r="W954">
        <v>0</v>
      </c>
      <c r="X954">
        <v>3</v>
      </c>
      <c r="Y954">
        <v>2</v>
      </c>
      <c r="Z954">
        <v>4</v>
      </c>
      <c r="AA954">
        <v>3</v>
      </c>
      <c r="AB954">
        <v>2</v>
      </c>
      <c r="AC954">
        <v>2</v>
      </c>
      <c r="AD954">
        <v>2</v>
      </c>
      <c r="AE954" t="str" cm="1">
        <f t="array" ref="AE954">_xlfn.IFS(G954=1,"Before College",G954=2,"College",G954=3,"Bachelor",G954=4,"Master",G954=5,"Doctor")</f>
        <v>Bachelor</v>
      </c>
      <c r="AF954" t="str" cm="1">
        <f t="array" ref="AF954">_xlfn.IFS(J954=1,"Low",J954=2,"Medium",J954=3,"High",J954=4,"Very High")</f>
        <v>Very High</v>
      </c>
      <c r="AG954" t="str" cm="1">
        <f t="array" ref="AG954">_xlfn.IFS(L954=1,"Low",L954=2,"Medium",L954=3,"High",L954=4,"Very High")</f>
        <v>High</v>
      </c>
      <c r="AH954" t="str" cm="1">
        <f t="array" ref="AH954">_xlfn.IFS(M954=1,"Junior employee",M954=2,"Mid-level",M954=3,"Senior",M954=4,"Manager",M954=5,"Executive")</f>
        <v>Junior employee</v>
      </c>
      <c r="AI954" t="str" cm="1">
        <f t="array" ref="AI954">_xlfn.IFS(O954=1,"Low",O954=2,"Medium",O954=3,"High",O954=4,"Very High")</f>
        <v>Medium</v>
      </c>
      <c r="AJ954" t="str" cm="1">
        <f t="array" ref="AJ954">_xlfn.IFS(U954=1,"Low",U954=2,"Good",U954=3,"Excellent",U954=4,"Outstanding")</f>
        <v>Excellent</v>
      </c>
      <c r="AK954" t="str" cm="1">
        <f t="array" ref="AK954">_xlfn.IFS(V954=1,"Low",V954=2,"Medium",V954=3,"High",V954=4,"Very High")</f>
        <v>Low</v>
      </c>
      <c r="AL954" t="str" cm="1">
        <f t="array" ref="AL954">_xlfn.IFS(Z954=1,"Bad",Z954=2,"Good",Z954=3,"Better",Z954=4,"Best")</f>
        <v>Best</v>
      </c>
      <c r="AM954" t="str" cm="1">
        <f t="array" ref="AM954">_xlfn.IFS(W954=0,"No_stock",W954=1,"Low",W954=2,"Medium",W954=3,"High")</f>
        <v>No_stock</v>
      </c>
      <c r="AN954" t="str">
        <f t="shared" si="14"/>
        <v>Near</v>
      </c>
    </row>
    <row r="955" spans="1:40" x14ac:dyDescent="0.45">
      <c r="A955">
        <v>44</v>
      </c>
      <c r="B955" t="s">
        <v>30</v>
      </c>
      <c r="C955" t="s">
        <v>31</v>
      </c>
      <c r="D955">
        <v>935</v>
      </c>
      <c r="E955" t="s">
        <v>39</v>
      </c>
      <c r="F955">
        <v>3</v>
      </c>
      <c r="G955">
        <v>3</v>
      </c>
      <c r="H955" t="s">
        <v>33</v>
      </c>
      <c r="I955">
        <v>1333</v>
      </c>
      <c r="J955">
        <v>1</v>
      </c>
      <c r="K955" t="s">
        <v>40</v>
      </c>
      <c r="L955">
        <v>3</v>
      </c>
      <c r="M955">
        <v>1</v>
      </c>
      <c r="N955" t="s">
        <v>44</v>
      </c>
      <c r="O955">
        <v>1</v>
      </c>
      <c r="P955" t="s">
        <v>42</v>
      </c>
      <c r="Q955">
        <v>2362</v>
      </c>
      <c r="R955">
        <v>4</v>
      </c>
      <c r="S955" t="s">
        <v>37</v>
      </c>
      <c r="T955">
        <v>12</v>
      </c>
      <c r="U955">
        <v>3</v>
      </c>
      <c r="V955">
        <v>3</v>
      </c>
      <c r="W955">
        <v>0</v>
      </c>
      <c r="X955">
        <v>10</v>
      </c>
      <c r="Y955">
        <v>4</v>
      </c>
      <c r="Z955">
        <v>4</v>
      </c>
      <c r="AA955">
        <v>3</v>
      </c>
      <c r="AB955">
        <v>2</v>
      </c>
      <c r="AC955">
        <v>1</v>
      </c>
      <c r="AD955">
        <v>2</v>
      </c>
      <c r="AE955" t="str" cm="1">
        <f t="array" ref="AE955">_xlfn.IFS(G955=1,"Before College",G955=2,"College",G955=3,"Bachelor",G955=4,"Master",G955=5,"Doctor")</f>
        <v>Bachelor</v>
      </c>
      <c r="AF955" t="str" cm="1">
        <f t="array" ref="AF955">_xlfn.IFS(J955=1,"Low",J955=2,"Medium",J955=3,"High",J955=4,"Very High")</f>
        <v>Low</v>
      </c>
      <c r="AG955" t="str" cm="1">
        <f t="array" ref="AG955">_xlfn.IFS(L955=1,"Low",L955=2,"Medium",L955=3,"High",L955=4,"Very High")</f>
        <v>High</v>
      </c>
      <c r="AH955" t="str" cm="1">
        <f t="array" ref="AH955">_xlfn.IFS(M955=1,"Junior employee",M955=2,"Mid-level",M955=3,"Senior",M955=4,"Manager",M955=5,"Executive")</f>
        <v>Junior employee</v>
      </c>
      <c r="AI955" t="str" cm="1">
        <f t="array" ref="AI955">_xlfn.IFS(O955=1,"Low",O955=2,"Medium",O955=3,"High",O955=4,"Very High")</f>
        <v>Low</v>
      </c>
      <c r="AJ955" t="str" cm="1">
        <f t="array" ref="AJ955">_xlfn.IFS(U955=1,"Low",U955=2,"Good",U955=3,"Excellent",U955=4,"Outstanding")</f>
        <v>Excellent</v>
      </c>
      <c r="AK955" t="str" cm="1">
        <f t="array" ref="AK955">_xlfn.IFS(V955=1,"Low",V955=2,"Medium",V955=3,"High",V955=4,"Very High")</f>
        <v>High</v>
      </c>
      <c r="AL955" t="str" cm="1">
        <f t="array" ref="AL955">_xlfn.IFS(Z955=1,"Bad",Z955=2,"Good",Z955=3,"Better",Z955=4,"Best")</f>
        <v>Best</v>
      </c>
      <c r="AM955" t="str" cm="1">
        <f t="array" ref="AM955">_xlfn.IFS(W955=0,"No_stock",W955=1,"Low",W955=2,"Medium",W955=3,"High")</f>
        <v>No_stock</v>
      </c>
      <c r="AN955" t="str">
        <f t="shared" si="14"/>
        <v>Near</v>
      </c>
    </row>
    <row r="956" spans="1:40" x14ac:dyDescent="0.45">
      <c r="A956">
        <v>42</v>
      </c>
      <c r="B956" t="s">
        <v>37</v>
      </c>
      <c r="C956" t="s">
        <v>49</v>
      </c>
      <c r="D956">
        <v>495</v>
      </c>
      <c r="E956" t="s">
        <v>39</v>
      </c>
      <c r="F956">
        <v>2</v>
      </c>
      <c r="G956">
        <v>1</v>
      </c>
      <c r="H956" t="s">
        <v>33</v>
      </c>
      <c r="I956">
        <v>1334</v>
      </c>
      <c r="J956">
        <v>3</v>
      </c>
      <c r="K956" t="s">
        <v>40</v>
      </c>
      <c r="L956">
        <v>3</v>
      </c>
      <c r="M956">
        <v>4</v>
      </c>
      <c r="N956" t="s">
        <v>50</v>
      </c>
      <c r="O956">
        <v>3</v>
      </c>
      <c r="P956" t="s">
        <v>42</v>
      </c>
      <c r="Q956">
        <v>17861</v>
      </c>
      <c r="R956">
        <v>0</v>
      </c>
      <c r="S956" t="s">
        <v>30</v>
      </c>
      <c r="T956">
        <v>13</v>
      </c>
      <c r="U956">
        <v>3</v>
      </c>
      <c r="V956">
        <v>4</v>
      </c>
      <c r="W956">
        <v>0</v>
      </c>
      <c r="X956">
        <v>21</v>
      </c>
      <c r="Y956">
        <v>3</v>
      </c>
      <c r="Z956">
        <v>2</v>
      </c>
      <c r="AA956">
        <v>20</v>
      </c>
      <c r="AB956">
        <v>8</v>
      </c>
      <c r="AC956">
        <v>2</v>
      </c>
      <c r="AD956">
        <v>10</v>
      </c>
      <c r="AE956" t="str" cm="1">
        <f t="array" ref="AE956">_xlfn.IFS(G956=1,"Before College",G956=2,"College",G956=3,"Bachelor",G956=4,"Master",G956=5,"Doctor")</f>
        <v>Before College</v>
      </c>
      <c r="AF956" t="str" cm="1">
        <f t="array" ref="AF956">_xlfn.IFS(J956=1,"Low",J956=2,"Medium",J956=3,"High",J956=4,"Very High")</f>
        <v>High</v>
      </c>
      <c r="AG956" t="str" cm="1">
        <f t="array" ref="AG956">_xlfn.IFS(L956=1,"Low",L956=2,"Medium",L956=3,"High",L956=4,"Very High")</f>
        <v>High</v>
      </c>
      <c r="AH956" t="str" cm="1">
        <f t="array" ref="AH956">_xlfn.IFS(M956=1,"Junior employee",M956=2,"Mid-level",M956=3,"Senior",M956=4,"Manager",M956=5,"Executive")</f>
        <v>Manager</v>
      </c>
      <c r="AI956" t="str" cm="1">
        <f t="array" ref="AI956">_xlfn.IFS(O956=1,"Low",O956=2,"Medium",O956=3,"High",O956=4,"Very High")</f>
        <v>High</v>
      </c>
      <c r="AJ956" t="str" cm="1">
        <f t="array" ref="AJ956">_xlfn.IFS(U956=1,"Low",U956=2,"Good",U956=3,"Excellent",U956=4,"Outstanding")</f>
        <v>Excellent</v>
      </c>
      <c r="AK956" t="str" cm="1">
        <f t="array" ref="AK956">_xlfn.IFS(V956=1,"Low",V956=2,"Medium",V956=3,"High",V956=4,"Very High")</f>
        <v>Very High</v>
      </c>
      <c r="AL956" t="str" cm="1">
        <f t="array" ref="AL956">_xlfn.IFS(Z956=1,"Bad",Z956=2,"Good",Z956=3,"Better",Z956=4,"Best")</f>
        <v>Good</v>
      </c>
      <c r="AM956" t="str" cm="1">
        <f t="array" ref="AM956">_xlfn.IFS(W956=0,"No_stock",W956=1,"Low",W956=2,"Medium",W956=3,"High")</f>
        <v>No_stock</v>
      </c>
      <c r="AN956" t="str">
        <f t="shared" si="14"/>
        <v>Near</v>
      </c>
    </row>
    <row r="957" spans="1:40" x14ac:dyDescent="0.45">
      <c r="A957">
        <v>55</v>
      </c>
      <c r="B957" t="s">
        <v>37</v>
      </c>
      <c r="C957" t="s">
        <v>31</v>
      </c>
      <c r="D957">
        <v>282</v>
      </c>
      <c r="E957" t="s">
        <v>39</v>
      </c>
      <c r="F957">
        <v>2</v>
      </c>
      <c r="G957">
        <v>2</v>
      </c>
      <c r="H957" t="s">
        <v>45</v>
      </c>
      <c r="I957">
        <v>1336</v>
      </c>
      <c r="J957">
        <v>4</v>
      </c>
      <c r="K957" t="s">
        <v>34</v>
      </c>
      <c r="L957">
        <v>1</v>
      </c>
      <c r="M957">
        <v>5</v>
      </c>
      <c r="N957" t="s">
        <v>50</v>
      </c>
      <c r="O957">
        <v>3</v>
      </c>
      <c r="P957" t="s">
        <v>42</v>
      </c>
      <c r="Q957">
        <v>19187</v>
      </c>
      <c r="R957">
        <v>4</v>
      </c>
      <c r="S957" t="s">
        <v>37</v>
      </c>
      <c r="T957">
        <v>14</v>
      </c>
      <c r="U957">
        <v>3</v>
      </c>
      <c r="V957">
        <v>4</v>
      </c>
      <c r="W957">
        <v>1</v>
      </c>
      <c r="X957">
        <v>23</v>
      </c>
      <c r="Y957">
        <v>5</v>
      </c>
      <c r="Z957">
        <v>3</v>
      </c>
      <c r="AA957">
        <v>19</v>
      </c>
      <c r="AB957">
        <v>9</v>
      </c>
      <c r="AC957">
        <v>9</v>
      </c>
      <c r="AD957">
        <v>11</v>
      </c>
      <c r="AE957" t="str" cm="1">
        <f t="array" ref="AE957">_xlfn.IFS(G957=1,"Before College",G957=2,"College",G957=3,"Bachelor",G957=4,"Master",G957=5,"Doctor")</f>
        <v>College</v>
      </c>
      <c r="AF957" t="str" cm="1">
        <f t="array" ref="AF957">_xlfn.IFS(J957=1,"Low",J957=2,"Medium",J957=3,"High",J957=4,"Very High")</f>
        <v>Very High</v>
      </c>
      <c r="AG957" t="str" cm="1">
        <f t="array" ref="AG957">_xlfn.IFS(L957=1,"Low",L957=2,"Medium",L957=3,"High",L957=4,"Very High")</f>
        <v>Low</v>
      </c>
      <c r="AH957" t="str" cm="1">
        <f t="array" ref="AH957">_xlfn.IFS(M957=1,"Junior employee",M957=2,"Mid-level",M957=3,"Senior",M957=4,"Manager",M957=5,"Executive")</f>
        <v>Executive</v>
      </c>
      <c r="AI957" t="str" cm="1">
        <f t="array" ref="AI957">_xlfn.IFS(O957=1,"Low",O957=2,"Medium",O957=3,"High",O957=4,"Very High")</f>
        <v>High</v>
      </c>
      <c r="AJ957" t="str" cm="1">
        <f t="array" ref="AJ957">_xlfn.IFS(U957=1,"Low",U957=2,"Good",U957=3,"Excellent",U957=4,"Outstanding")</f>
        <v>Excellent</v>
      </c>
      <c r="AK957" t="str" cm="1">
        <f t="array" ref="AK957">_xlfn.IFS(V957=1,"Low",V957=2,"Medium",V957=3,"High",V957=4,"Very High")</f>
        <v>Very High</v>
      </c>
      <c r="AL957" t="str" cm="1">
        <f t="array" ref="AL957">_xlfn.IFS(Z957=1,"Bad",Z957=2,"Good",Z957=3,"Better",Z957=4,"Best")</f>
        <v>Better</v>
      </c>
      <c r="AM957" t="str" cm="1">
        <f t="array" ref="AM957">_xlfn.IFS(W957=0,"No_stock",W957=1,"Low",W957=2,"Medium",W957=3,"High")</f>
        <v>Low</v>
      </c>
      <c r="AN957" t="str">
        <f t="shared" si="14"/>
        <v>Near</v>
      </c>
    </row>
    <row r="958" spans="1:40" x14ac:dyDescent="0.45">
      <c r="A958">
        <v>56</v>
      </c>
      <c r="B958" t="s">
        <v>37</v>
      </c>
      <c r="C958" t="s">
        <v>31</v>
      </c>
      <c r="D958">
        <v>206</v>
      </c>
      <c r="E958" t="s">
        <v>55</v>
      </c>
      <c r="F958">
        <v>8</v>
      </c>
      <c r="G958">
        <v>4</v>
      </c>
      <c r="H958" t="s">
        <v>33</v>
      </c>
      <c r="I958">
        <v>1338</v>
      </c>
      <c r="J958">
        <v>4</v>
      </c>
      <c r="K958" t="s">
        <v>40</v>
      </c>
      <c r="L958">
        <v>3</v>
      </c>
      <c r="M958">
        <v>5</v>
      </c>
      <c r="N958" t="s">
        <v>50</v>
      </c>
      <c r="O958">
        <v>2</v>
      </c>
      <c r="P958" t="s">
        <v>36</v>
      </c>
      <c r="Q958">
        <v>19717</v>
      </c>
      <c r="R958">
        <v>6</v>
      </c>
      <c r="S958" t="s">
        <v>37</v>
      </c>
      <c r="T958">
        <v>14</v>
      </c>
      <c r="U958">
        <v>3</v>
      </c>
      <c r="V958">
        <v>1</v>
      </c>
      <c r="W958">
        <v>0</v>
      </c>
      <c r="X958">
        <v>36</v>
      </c>
      <c r="Y958">
        <v>4</v>
      </c>
      <c r="Z958">
        <v>3</v>
      </c>
      <c r="AA958">
        <v>7</v>
      </c>
      <c r="AB958">
        <v>3</v>
      </c>
      <c r="AC958">
        <v>7</v>
      </c>
      <c r="AD958">
        <v>7</v>
      </c>
      <c r="AE958" t="str" cm="1">
        <f t="array" ref="AE958">_xlfn.IFS(G958=1,"Before College",G958=2,"College",G958=3,"Bachelor",G958=4,"Master",G958=5,"Doctor")</f>
        <v>Master</v>
      </c>
      <c r="AF958" t="str" cm="1">
        <f t="array" ref="AF958">_xlfn.IFS(J958=1,"Low",J958=2,"Medium",J958=3,"High",J958=4,"Very High")</f>
        <v>Very High</v>
      </c>
      <c r="AG958" t="str" cm="1">
        <f t="array" ref="AG958">_xlfn.IFS(L958=1,"Low",L958=2,"Medium",L958=3,"High",L958=4,"Very High")</f>
        <v>High</v>
      </c>
      <c r="AH958" t="str" cm="1">
        <f t="array" ref="AH958">_xlfn.IFS(M958=1,"Junior employee",M958=2,"Mid-level",M958=3,"Senior",M958=4,"Manager",M958=5,"Executive")</f>
        <v>Executive</v>
      </c>
      <c r="AI958" t="str" cm="1">
        <f t="array" ref="AI958">_xlfn.IFS(O958=1,"Low",O958=2,"Medium",O958=3,"High",O958=4,"Very High")</f>
        <v>Medium</v>
      </c>
      <c r="AJ958" t="str" cm="1">
        <f t="array" ref="AJ958">_xlfn.IFS(U958=1,"Low",U958=2,"Good",U958=3,"Excellent",U958=4,"Outstanding")</f>
        <v>Excellent</v>
      </c>
      <c r="AK958" t="str" cm="1">
        <f t="array" ref="AK958">_xlfn.IFS(V958=1,"Low",V958=2,"Medium",V958=3,"High",V958=4,"Very High")</f>
        <v>Low</v>
      </c>
      <c r="AL958" t="str" cm="1">
        <f t="array" ref="AL958">_xlfn.IFS(Z958=1,"Bad",Z958=2,"Good",Z958=3,"Better",Z958=4,"Best")</f>
        <v>Better</v>
      </c>
      <c r="AM958" t="str" cm="1">
        <f t="array" ref="AM958">_xlfn.IFS(W958=0,"No_stock",W958=1,"Low",W958=2,"Medium",W958=3,"High")</f>
        <v>No_stock</v>
      </c>
      <c r="AN958" t="str">
        <f t="shared" si="14"/>
        <v>Medium</v>
      </c>
    </row>
    <row r="959" spans="1:40" x14ac:dyDescent="0.45">
      <c r="A959">
        <v>40</v>
      </c>
      <c r="B959" t="s">
        <v>37</v>
      </c>
      <c r="C959" t="s">
        <v>49</v>
      </c>
      <c r="D959">
        <v>458</v>
      </c>
      <c r="E959" t="s">
        <v>39</v>
      </c>
      <c r="F959">
        <v>16</v>
      </c>
      <c r="G959">
        <v>2</v>
      </c>
      <c r="H959" t="s">
        <v>33</v>
      </c>
      <c r="I959">
        <v>1340</v>
      </c>
      <c r="J959">
        <v>3</v>
      </c>
      <c r="K959" t="s">
        <v>40</v>
      </c>
      <c r="L959">
        <v>3</v>
      </c>
      <c r="M959">
        <v>1</v>
      </c>
      <c r="N959" t="s">
        <v>41</v>
      </c>
      <c r="O959">
        <v>3</v>
      </c>
      <c r="P959" t="s">
        <v>46</v>
      </c>
      <c r="Q959">
        <v>3544</v>
      </c>
      <c r="R959">
        <v>9</v>
      </c>
      <c r="S959" t="s">
        <v>37</v>
      </c>
      <c r="T959">
        <v>16</v>
      </c>
      <c r="U959">
        <v>3</v>
      </c>
      <c r="V959">
        <v>2</v>
      </c>
      <c r="W959">
        <v>1</v>
      </c>
      <c r="X959">
        <v>6</v>
      </c>
      <c r="Y959">
        <v>0</v>
      </c>
      <c r="Z959">
        <v>3</v>
      </c>
      <c r="AA959">
        <v>4</v>
      </c>
      <c r="AB959">
        <v>2</v>
      </c>
      <c r="AC959">
        <v>0</v>
      </c>
      <c r="AD959">
        <v>0</v>
      </c>
      <c r="AE959" t="str" cm="1">
        <f t="array" ref="AE959">_xlfn.IFS(G959=1,"Before College",G959=2,"College",G959=3,"Bachelor",G959=4,"Master",G959=5,"Doctor")</f>
        <v>College</v>
      </c>
      <c r="AF959" t="str" cm="1">
        <f t="array" ref="AF959">_xlfn.IFS(J959=1,"Low",J959=2,"Medium",J959=3,"High",J959=4,"Very High")</f>
        <v>High</v>
      </c>
      <c r="AG959" t="str" cm="1">
        <f t="array" ref="AG959">_xlfn.IFS(L959=1,"Low",L959=2,"Medium",L959=3,"High",L959=4,"Very High")</f>
        <v>High</v>
      </c>
      <c r="AH959" t="str" cm="1">
        <f t="array" ref="AH959">_xlfn.IFS(M959=1,"Junior employee",M959=2,"Mid-level",M959=3,"Senior",M959=4,"Manager",M959=5,"Executive")</f>
        <v>Junior employee</v>
      </c>
      <c r="AI959" t="str" cm="1">
        <f t="array" ref="AI959">_xlfn.IFS(O959=1,"Low",O959=2,"Medium",O959=3,"High",O959=4,"Very High")</f>
        <v>High</v>
      </c>
      <c r="AJ959" t="str" cm="1">
        <f t="array" ref="AJ959">_xlfn.IFS(U959=1,"Low",U959=2,"Good",U959=3,"Excellent",U959=4,"Outstanding")</f>
        <v>Excellent</v>
      </c>
      <c r="AK959" t="str" cm="1">
        <f t="array" ref="AK959">_xlfn.IFS(V959=1,"Low",V959=2,"Medium",V959=3,"High",V959=4,"Very High")</f>
        <v>Medium</v>
      </c>
      <c r="AL959" t="str" cm="1">
        <f t="array" ref="AL959">_xlfn.IFS(Z959=1,"Bad",Z959=2,"Good",Z959=3,"Better",Z959=4,"Best")</f>
        <v>Better</v>
      </c>
      <c r="AM959" t="str" cm="1">
        <f t="array" ref="AM959">_xlfn.IFS(W959=0,"No_stock",W959=1,"Low",W959=2,"Medium",W959=3,"High")</f>
        <v>Low</v>
      </c>
      <c r="AN959" t="str">
        <f t="shared" si="14"/>
        <v>Far</v>
      </c>
    </row>
    <row r="960" spans="1:40" x14ac:dyDescent="0.45">
      <c r="A960">
        <v>34</v>
      </c>
      <c r="B960" t="s">
        <v>37</v>
      </c>
      <c r="C960" t="s">
        <v>31</v>
      </c>
      <c r="D960">
        <v>943</v>
      </c>
      <c r="E960" t="s">
        <v>39</v>
      </c>
      <c r="F960">
        <v>9</v>
      </c>
      <c r="G960">
        <v>3</v>
      </c>
      <c r="H960" t="s">
        <v>33</v>
      </c>
      <c r="I960">
        <v>1344</v>
      </c>
      <c r="J960">
        <v>4</v>
      </c>
      <c r="K960" t="s">
        <v>40</v>
      </c>
      <c r="L960">
        <v>3</v>
      </c>
      <c r="M960">
        <v>3</v>
      </c>
      <c r="N960" t="s">
        <v>48</v>
      </c>
      <c r="O960">
        <v>4</v>
      </c>
      <c r="P960" t="s">
        <v>46</v>
      </c>
      <c r="Q960">
        <v>8500</v>
      </c>
      <c r="R960">
        <v>0</v>
      </c>
      <c r="S960" t="s">
        <v>37</v>
      </c>
      <c r="T960">
        <v>11</v>
      </c>
      <c r="U960">
        <v>3</v>
      </c>
      <c r="V960">
        <v>4</v>
      </c>
      <c r="W960">
        <v>1</v>
      </c>
      <c r="X960">
        <v>10</v>
      </c>
      <c r="Y960">
        <v>0</v>
      </c>
      <c r="Z960">
        <v>2</v>
      </c>
      <c r="AA960">
        <v>9</v>
      </c>
      <c r="AB960">
        <v>7</v>
      </c>
      <c r="AC960">
        <v>1</v>
      </c>
      <c r="AD960">
        <v>6</v>
      </c>
      <c r="AE960" t="str" cm="1">
        <f t="array" ref="AE960">_xlfn.IFS(G960=1,"Before College",G960=2,"College",G960=3,"Bachelor",G960=4,"Master",G960=5,"Doctor")</f>
        <v>Bachelor</v>
      </c>
      <c r="AF960" t="str" cm="1">
        <f t="array" ref="AF960">_xlfn.IFS(J960=1,"Low",J960=2,"Medium",J960=3,"High",J960=4,"Very High")</f>
        <v>Very High</v>
      </c>
      <c r="AG960" t="str" cm="1">
        <f t="array" ref="AG960">_xlfn.IFS(L960=1,"Low",L960=2,"Medium",L960=3,"High",L960=4,"Very High")</f>
        <v>High</v>
      </c>
      <c r="AH960" t="str" cm="1">
        <f t="array" ref="AH960">_xlfn.IFS(M960=1,"Junior employee",M960=2,"Mid-level",M960=3,"Senior",M960=4,"Manager",M960=5,"Executive")</f>
        <v>Senior</v>
      </c>
      <c r="AI960" t="str" cm="1">
        <f t="array" ref="AI960">_xlfn.IFS(O960=1,"Low",O960=2,"Medium",O960=3,"High",O960=4,"Very High")</f>
        <v>Very High</v>
      </c>
      <c r="AJ960" t="str" cm="1">
        <f t="array" ref="AJ960">_xlfn.IFS(U960=1,"Low",U960=2,"Good",U960=3,"Excellent",U960=4,"Outstanding")</f>
        <v>Excellent</v>
      </c>
      <c r="AK960" t="str" cm="1">
        <f t="array" ref="AK960">_xlfn.IFS(V960=1,"Low",V960=2,"Medium",V960=3,"High",V960=4,"Very High")</f>
        <v>Very High</v>
      </c>
      <c r="AL960" t="str" cm="1">
        <f t="array" ref="AL960">_xlfn.IFS(Z960=1,"Bad",Z960=2,"Good",Z960=3,"Better",Z960=4,"Best")</f>
        <v>Good</v>
      </c>
      <c r="AM960" t="str" cm="1">
        <f t="array" ref="AM960">_xlfn.IFS(W960=0,"No_stock",W960=1,"Low",W960=2,"Medium",W960=3,"High")</f>
        <v>Low</v>
      </c>
      <c r="AN960" t="str">
        <f t="shared" si="14"/>
        <v>Medium</v>
      </c>
    </row>
    <row r="961" spans="1:40" x14ac:dyDescent="0.45">
      <c r="A961">
        <v>40</v>
      </c>
      <c r="B961" t="s">
        <v>37</v>
      </c>
      <c r="C961" t="s">
        <v>31</v>
      </c>
      <c r="D961">
        <v>523</v>
      </c>
      <c r="E961" t="s">
        <v>39</v>
      </c>
      <c r="F961">
        <v>2</v>
      </c>
      <c r="G961">
        <v>3</v>
      </c>
      <c r="H961" t="s">
        <v>33</v>
      </c>
      <c r="I961">
        <v>1346</v>
      </c>
      <c r="J961">
        <v>3</v>
      </c>
      <c r="K961" t="s">
        <v>40</v>
      </c>
      <c r="L961">
        <v>3</v>
      </c>
      <c r="M961">
        <v>2</v>
      </c>
      <c r="N961" t="s">
        <v>41</v>
      </c>
      <c r="O961">
        <v>4</v>
      </c>
      <c r="P961" t="s">
        <v>36</v>
      </c>
      <c r="Q961">
        <v>4661</v>
      </c>
      <c r="R961">
        <v>1</v>
      </c>
      <c r="S961" t="s">
        <v>37</v>
      </c>
      <c r="T961">
        <v>13</v>
      </c>
      <c r="U961">
        <v>3</v>
      </c>
      <c r="V961">
        <v>3</v>
      </c>
      <c r="W961">
        <v>0</v>
      </c>
      <c r="X961">
        <v>9</v>
      </c>
      <c r="Y961">
        <v>4</v>
      </c>
      <c r="Z961">
        <v>3</v>
      </c>
      <c r="AA961">
        <v>9</v>
      </c>
      <c r="AB961">
        <v>8</v>
      </c>
      <c r="AC961">
        <v>8</v>
      </c>
      <c r="AD961">
        <v>8</v>
      </c>
      <c r="AE961" t="str" cm="1">
        <f t="array" ref="AE961">_xlfn.IFS(G961=1,"Before College",G961=2,"College",G961=3,"Bachelor",G961=4,"Master",G961=5,"Doctor")</f>
        <v>Bachelor</v>
      </c>
      <c r="AF961" t="str" cm="1">
        <f t="array" ref="AF961">_xlfn.IFS(J961=1,"Low",J961=2,"Medium",J961=3,"High",J961=4,"Very High")</f>
        <v>High</v>
      </c>
      <c r="AG961" t="str" cm="1">
        <f t="array" ref="AG961">_xlfn.IFS(L961=1,"Low",L961=2,"Medium",L961=3,"High",L961=4,"Very High")</f>
        <v>High</v>
      </c>
      <c r="AH961" t="str" cm="1">
        <f t="array" ref="AH961">_xlfn.IFS(M961=1,"Junior employee",M961=2,"Mid-level",M961=3,"Senior",M961=4,"Manager",M961=5,"Executive")</f>
        <v>Mid-level</v>
      </c>
      <c r="AI961" t="str" cm="1">
        <f t="array" ref="AI961">_xlfn.IFS(O961=1,"Low",O961=2,"Medium",O961=3,"High",O961=4,"Very High")</f>
        <v>Very High</v>
      </c>
      <c r="AJ961" t="str" cm="1">
        <f t="array" ref="AJ961">_xlfn.IFS(U961=1,"Low",U961=2,"Good",U961=3,"Excellent",U961=4,"Outstanding")</f>
        <v>Excellent</v>
      </c>
      <c r="AK961" t="str" cm="1">
        <f t="array" ref="AK961">_xlfn.IFS(V961=1,"Low",V961=2,"Medium",V961=3,"High",V961=4,"Very High")</f>
        <v>High</v>
      </c>
      <c r="AL961" t="str" cm="1">
        <f t="array" ref="AL961">_xlfn.IFS(Z961=1,"Bad",Z961=2,"Good",Z961=3,"Better",Z961=4,"Best")</f>
        <v>Better</v>
      </c>
      <c r="AM961" t="str" cm="1">
        <f t="array" ref="AM961">_xlfn.IFS(W961=0,"No_stock",W961=1,"Low",W961=2,"Medium",W961=3,"High")</f>
        <v>No_stock</v>
      </c>
      <c r="AN961" t="str">
        <f t="shared" si="14"/>
        <v>Near</v>
      </c>
    </row>
    <row r="962" spans="1:40" x14ac:dyDescent="0.45">
      <c r="A962">
        <v>41</v>
      </c>
      <c r="B962" t="s">
        <v>37</v>
      </c>
      <c r="C962" t="s">
        <v>38</v>
      </c>
      <c r="D962">
        <v>1018</v>
      </c>
      <c r="E962" t="s">
        <v>32</v>
      </c>
      <c r="F962">
        <v>1</v>
      </c>
      <c r="G962">
        <v>3</v>
      </c>
      <c r="H962" t="s">
        <v>53</v>
      </c>
      <c r="I962">
        <v>1349</v>
      </c>
      <c r="J962">
        <v>3</v>
      </c>
      <c r="K962" t="s">
        <v>34</v>
      </c>
      <c r="L962">
        <v>3</v>
      </c>
      <c r="M962">
        <v>2</v>
      </c>
      <c r="N962" t="s">
        <v>35</v>
      </c>
      <c r="O962">
        <v>1</v>
      </c>
      <c r="P962" t="s">
        <v>46</v>
      </c>
      <c r="Q962">
        <v>4103</v>
      </c>
      <c r="R962">
        <v>0</v>
      </c>
      <c r="S962" t="s">
        <v>37</v>
      </c>
      <c r="T962">
        <v>17</v>
      </c>
      <c r="U962">
        <v>3</v>
      </c>
      <c r="V962">
        <v>4</v>
      </c>
      <c r="W962">
        <v>1</v>
      </c>
      <c r="X962">
        <v>10</v>
      </c>
      <c r="Y962">
        <v>2</v>
      </c>
      <c r="Z962">
        <v>3</v>
      </c>
      <c r="AA962">
        <v>9</v>
      </c>
      <c r="AB962">
        <v>3</v>
      </c>
      <c r="AC962">
        <v>1</v>
      </c>
      <c r="AD962">
        <v>7</v>
      </c>
      <c r="AE962" t="str" cm="1">
        <f t="array" ref="AE962">_xlfn.IFS(G962=1,"Before College",G962=2,"College",G962=3,"Bachelor",G962=4,"Master",G962=5,"Doctor")</f>
        <v>Bachelor</v>
      </c>
      <c r="AF962" t="str" cm="1">
        <f t="array" ref="AF962">_xlfn.IFS(J962=1,"Low",J962=2,"Medium",J962=3,"High",J962=4,"Very High")</f>
        <v>High</v>
      </c>
      <c r="AG962" t="str" cm="1">
        <f t="array" ref="AG962">_xlfn.IFS(L962=1,"Low",L962=2,"Medium",L962=3,"High",L962=4,"Very High")</f>
        <v>High</v>
      </c>
      <c r="AH962" t="str" cm="1">
        <f t="array" ref="AH962">_xlfn.IFS(M962=1,"Junior employee",M962=2,"Mid-level",M962=3,"Senior",M962=4,"Manager",M962=5,"Executive")</f>
        <v>Mid-level</v>
      </c>
      <c r="AI962" t="str" cm="1">
        <f t="array" ref="AI962">_xlfn.IFS(O962=1,"Low",O962=2,"Medium",O962=3,"High",O962=4,"Very High")</f>
        <v>Low</v>
      </c>
      <c r="AJ962" t="str" cm="1">
        <f t="array" ref="AJ962">_xlfn.IFS(U962=1,"Low",U962=2,"Good",U962=3,"Excellent",U962=4,"Outstanding")</f>
        <v>Excellent</v>
      </c>
      <c r="AK962" t="str" cm="1">
        <f t="array" ref="AK962">_xlfn.IFS(V962=1,"Low",V962=2,"Medium",V962=3,"High",V962=4,"Very High")</f>
        <v>Very High</v>
      </c>
      <c r="AL962" t="str" cm="1">
        <f t="array" ref="AL962">_xlfn.IFS(Z962=1,"Bad",Z962=2,"Good",Z962=3,"Better",Z962=4,"Best")</f>
        <v>Better</v>
      </c>
      <c r="AM962" t="str" cm="1">
        <f t="array" ref="AM962">_xlfn.IFS(W962=0,"No_stock",W962=1,"Low",W962=2,"Medium",W962=3,"High")</f>
        <v>Low</v>
      </c>
      <c r="AN962" t="str">
        <f t="shared" ref="AN962:AN1025" si="15">IF(F962&lt;=5,"Near",IF(F962&lt;=15,"Medium","Far"))</f>
        <v>Near</v>
      </c>
    </row>
    <row r="963" spans="1:40" x14ac:dyDescent="0.45">
      <c r="A963">
        <v>35</v>
      </c>
      <c r="B963" t="s">
        <v>37</v>
      </c>
      <c r="C963" t="s">
        <v>38</v>
      </c>
      <c r="D963">
        <v>482</v>
      </c>
      <c r="E963" t="s">
        <v>39</v>
      </c>
      <c r="F963">
        <v>4</v>
      </c>
      <c r="G963">
        <v>4</v>
      </c>
      <c r="H963" t="s">
        <v>33</v>
      </c>
      <c r="I963">
        <v>1350</v>
      </c>
      <c r="J963">
        <v>3</v>
      </c>
      <c r="K963" t="s">
        <v>40</v>
      </c>
      <c r="L963">
        <v>3</v>
      </c>
      <c r="M963">
        <v>2</v>
      </c>
      <c r="N963" t="s">
        <v>41</v>
      </c>
      <c r="O963">
        <v>3</v>
      </c>
      <c r="P963" t="s">
        <v>36</v>
      </c>
      <c r="Q963">
        <v>4249</v>
      </c>
      <c r="R963">
        <v>1</v>
      </c>
      <c r="S963" t="s">
        <v>30</v>
      </c>
      <c r="T963">
        <v>11</v>
      </c>
      <c r="U963">
        <v>3</v>
      </c>
      <c r="V963">
        <v>2</v>
      </c>
      <c r="W963">
        <v>0</v>
      </c>
      <c r="X963">
        <v>9</v>
      </c>
      <c r="Y963">
        <v>3</v>
      </c>
      <c r="Z963">
        <v>3</v>
      </c>
      <c r="AA963">
        <v>9</v>
      </c>
      <c r="AB963">
        <v>6</v>
      </c>
      <c r="AC963">
        <v>1</v>
      </c>
      <c r="AD963">
        <v>1</v>
      </c>
      <c r="AE963" t="str" cm="1">
        <f t="array" ref="AE963">_xlfn.IFS(G963=1,"Before College",G963=2,"College",G963=3,"Bachelor",G963=4,"Master",G963=5,"Doctor")</f>
        <v>Master</v>
      </c>
      <c r="AF963" t="str" cm="1">
        <f t="array" ref="AF963">_xlfn.IFS(J963=1,"Low",J963=2,"Medium",J963=3,"High",J963=4,"Very High")</f>
        <v>High</v>
      </c>
      <c r="AG963" t="str" cm="1">
        <f t="array" ref="AG963">_xlfn.IFS(L963=1,"Low",L963=2,"Medium",L963=3,"High",L963=4,"Very High")</f>
        <v>High</v>
      </c>
      <c r="AH963" t="str" cm="1">
        <f t="array" ref="AH963">_xlfn.IFS(M963=1,"Junior employee",M963=2,"Mid-level",M963=3,"Senior",M963=4,"Manager",M963=5,"Executive")</f>
        <v>Mid-level</v>
      </c>
      <c r="AI963" t="str" cm="1">
        <f t="array" ref="AI963">_xlfn.IFS(O963=1,"Low",O963=2,"Medium",O963=3,"High",O963=4,"Very High")</f>
        <v>High</v>
      </c>
      <c r="AJ963" t="str" cm="1">
        <f t="array" ref="AJ963">_xlfn.IFS(U963=1,"Low",U963=2,"Good",U963=3,"Excellent",U963=4,"Outstanding")</f>
        <v>Excellent</v>
      </c>
      <c r="AK963" t="str" cm="1">
        <f t="array" ref="AK963">_xlfn.IFS(V963=1,"Low",V963=2,"Medium",V963=3,"High",V963=4,"Very High")</f>
        <v>Medium</v>
      </c>
      <c r="AL963" t="str" cm="1">
        <f t="array" ref="AL963">_xlfn.IFS(Z963=1,"Bad",Z963=2,"Good",Z963=3,"Better",Z963=4,"Best")</f>
        <v>Better</v>
      </c>
      <c r="AM963" t="str" cm="1">
        <f t="array" ref="AM963">_xlfn.IFS(W963=0,"No_stock",W963=1,"Low",W963=2,"Medium",W963=3,"High")</f>
        <v>No_stock</v>
      </c>
      <c r="AN963" t="str">
        <f t="shared" si="15"/>
        <v>Near</v>
      </c>
    </row>
    <row r="964" spans="1:40" x14ac:dyDescent="0.45">
      <c r="A964">
        <v>51</v>
      </c>
      <c r="B964" t="s">
        <v>37</v>
      </c>
      <c r="C964" t="s">
        <v>31</v>
      </c>
      <c r="D964">
        <v>770</v>
      </c>
      <c r="E964" t="s">
        <v>55</v>
      </c>
      <c r="F964">
        <v>5</v>
      </c>
      <c r="G964">
        <v>3</v>
      </c>
      <c r="H964" t="s">
        <v>33</v>
      </c>
      <c r="I964">
        <v>1352</v>
      </c>
      <c r="J964">
        <v>3</v>
      </c>
      <c r="K964" t="s">
        <v>40</v>
      </c>
      <c r="L964">
        <v>3</v>
      </c>
      <c r="M964">
        <v>4</v>
      </c>
      <c r="N964" t="s">
        <v>50</v>
      </c>
      <c r="O964">
        <v>2</v>
      </c>
      <c r="P964" t="s">
        <v>46</v>
      </c>
      <c r="Q964">
        <v>14026</v>
      </c>
      <c r="R964">
        <v>1</v>
      </c>
      <c r="S964" t="s">
        <v>30</v>
      </c>
      <c r="T964">
        <v>11</v>
      </c>
      <c r="U964">
        <v>3</v>
      </c>
      <c r="V964">
        <v>2</v>
      </c>
      <c r="W964">
        <v>1</v>
      </c>
      <c r="X964">
        <v>33</v>
      </c>
      <c r="Y964">
        <v>2</v>
      </c>
      <c r="Z964">
        <v>3</v>
      </c>
      <c r="AA964">
        <v>33</v>
      </c>
      <c r="AB964">
        <v>9</v>
      </c>
      <c r="AC964">
        <v>0</v>
      </c>
      <c r="AD964">
        <v>10</v>
      </c>
      <c r="AE964" t="str" cm="1">
        <f t="array" ref="AE964">_xlfn.IFS(G964=1,"Before College",G964=2,"College",G964=3,"Bachelor",G964=4,"Master",G964=5,"Doctor")</f>
        <v>Bachelor</v>
      </c>
      <c r="AF964" t="str" cm="1">
        <f t="array" ref="AF964">_xlfn.IFS(J964=1,"Low",J964=2,"Medium",J964=3,"High",J964=4,"Very High")</f>
        <v>High</v>
      </c>
      <c r="AG964" t="str" cm="1">
        <f t="array" ref="AG964">_xlfn.IFS(L964=1,"Low",L964=2,"Medium",L964=3,"High",L964=4,"Very High")</f>
        <v>High</v>
      </c>
      <c r="AH964" t="str" cm="1">
        <f t="array" ref="AH964">_xlfn.IFS(M964=1,"Junior employee",M964=2,"Mid-level",M964=3,"Senior",M964=4,"Manager",M964=5,"Executive")</f>
        <v>Manager</v>
      </c>
      <c r="AI964" t="str" cm="1">
        <f t="array" ref="AI964">_xlfn.IFS(O964=1,"Low",O964=2,"Medium",O964=3,"High",O964=4,"Very High")</f>
        <v>Medium</v>
      </c>
      <c r="AJ964" t="str" cm="1">
        <f t="array" ref="AJ964">_xlfn.IFS(U964=1,"Low",U964=2,"Good",U964=3,"Excellent",U964=4,"Outstanding")</f>
        <v>Excellent</v>
      </c>
      <c r="AK964" t="str" cm="1">
        <f t="array" ref="AK964">_xlfn.IFS(V964=1,"Low",V964=2,"Medium",V964=3,"High",V964=4,"Very High")</f>
        <v>Medium</v>
      </c>
      <c r="AL964" t="str" cm="1">
        <f t="array" ref="AL964">_xlfn.IFS(Z964=1,"Bad",Z964=2,"Good",Z964=3,"Better",Z964=4,"Best")</f>
        <v>Better</v>
      </c>
      <c r="AM964" t="str" cm="1">
        <f t="array" ref="AM964">_xlfn.IFS(W964=0,"No_stock",W964=1,"Low",W964=2,"Medium",W964=3,"High")</f>
        <v>Low</v>
      </c>
      <c r="AN964" t="str">
        <f t="shared" si="15"/>
        <v>Near</v>
      </c>
    </row>
    <row r="965" spans="1:40" x14ac:dyDescent="0.45">
      <c r="A965">
        <v>38</v>
      </c>
      <c r="B965" t="s">
        <v>37</v>
      </c>
      <c r="C965" t="s">
        <v>31</v>
      </c>
      <c r="D965">
        <v>1009</v>
      </c>
      <c r="E965" t="s">
        <v>32</v>
      </c>
      <c r="F965">
        <v>2</v>
      </c>
      <c r="G965">
        <v>2</v>
      </c>
      <c r="H965" t="s">
        <v>33</v>
      </c>
      <c r="I965">
        <v>1355</v>
      </c>
      <c r="J965">
        <v>2</v>
      </c>
      <c r="K965" t="s">
        <v>34</v>
      </c>
      <c r="L965">
        <v>3</v>
      </c>
      <c r="M965">
        <v>2</v>
      </c>
      <c r="N965" t="s">
        <v>35</v>
      </c>
      <c r="O965">
        <v>1</v>
      </c>
      <c r="P965" t="s">
        <v>46</v>
      </c>
      <c r="Q965">
        <v>6893</v>
      </c>
      <c r="R965">
        <v>3</v>
      </c>
      <c r="S965" t="s">
        <v>37</v>
      </c>
      <c r="T965">
        <v>15</v>
      </c>
      <c r="U965">
        <v>3</v>
      </c>
      <c r="V965">
        <v>4</v>
      </c>
      <c r="W965">
        <v>1</v>
      </c>
      <c r="X965">
        <v>11</v>
      </c>
      <c r="Y965">
        <v>3</v>
      </c>
      <c r="Z965">
        <v>3</v>
      </c>
      <c r="AA965">
        <v>7</v>
      </c>
      <c r="AB965">
        <v>7</v>
      </c>
      <c r="AC965">
        <v>1</v>
      </c>
      <c r="AD965">
        <v>7</v>
      </c>
      <c r="AE965" t="str" cm="1">
        <f t="array" ref="AE965">_xlfn.IFS(G965=1,"Before College",G965=2,"College",G965=3,"Bachelor",G965=4,"Master",G965=5,"Doctor")</f>
        <v>College</v>
      </c>
      <c r="AF965" t="str" cm="1">
        <f t="array" ref="AF965">_xlfn.IFS(J965=1,"Low",J965=2,"Medium",J965=3,"High",J965=4,"Very High")</f>
        <v>Medium</v>
      </c>
      <c r="AG965" t="str" cm="1">
        <f t="array" ref="AG965">_xlfn.IFS(L965=1,"Low",L965=2,"Medium",L965=3,"High",L965=4,"Very High")</f>
        <v>High</v>
      </c>
      <c r="AH965" t="str" cm="1">
        <f t="array" ref="AH965">_xlfn.IFS(M965=1,"Junior employee",M965=2,"Mid-level",M965=3,"Senior",M965=4,"Manager",M965=5,"Executive")</f>
        <v>Mid-level</v>
      </c>
      <c r="AI965" t="str" cm="1">
        <f t="array" ref="AI965">_xlfn.IFS(O965=1,"Low",O965=2,"Medium",O965=3,"High",O965=4,"Very High")</f>
        <v>Low</v>
      </c>
      <c r="AJ965" t="str" cm="1">
        <f t="array" ref="AJ965">_xlfn.IFS(U965=1,"Low",U965=2,"Good",U965=3,"Excellent",U965=4,"Outstanding")</f>
        <v>Excellent</v>
      </c>
      <c r="AK965" t="str" cm="1">
        <f t="array" ref="AK965">_xlfn.IFS(V965=1,"Low",V965=2,"Medium",V965=3,"High",V965=4,"Very High")</f>
        <v>Very High</v>
      </c>
      <c r="AL965" t="str" cm="1">
        <f t="array" ref="AL965">_xlfn.IFS(Z965=1,"Bad",Z965=2,"Good",Z965=3,"Better",Z965=4,"Best")</f>
        <v>Better</v>
      </c>
      <c r="AM965" t="str" cm="1">
        <f t="array" ref="AM965">_xlfn.IFS(W965=0,"No_stock",W965=1,"Low",W965=2,"Medium",W965=3,"High")</f>
        <v>Low</v>
      </c>
      <c r="AN965" t="str">
        <f t="shared" si="15"/>
        <v>Near</v>
      </c>
    </row>
    <row r="966" spans="1:40" x14ac:dyDescent="0.45">
      <c r="A966">
        <v>34</v>
      </c>
      <c r="B966" t="s">
        <v>37</v>
      </c>
      <c r="C966" t="s">
        <v>31</v>
      </c>
      <c r="D966">
        <v>507</v>
      </c>
      <c r="E966" t="s">
        <v>32</v>
      </c>
      <c r="F966">
        <v>15</v>
      </c>
      <c r="G966">
        <v>2</v>
      </c>
      <c r="H966" t="s">
        <v>45</v>
      </c>
      <c r="I966">
        <v>1356</v>
      </c>
      <c r="J966">
        <v>3</v>
      </c>
      <c r="K966" t="s">
        <v>34</v>
      </c>
      <c r="L966">
        <v>3</v>
      </c>
      <c r="M966">
        <v>2</v>
      </c>
      <c r="N966" t="s">
        <v>35</v>
      </c>
      <c r="O966">
        <v>1</v>
      </c>
      <c r="P966" t="s">
        <v>36</v>
      </c>
      <c r="Q966">
        <v>6125</v>
      </c>
      <c r="R966">
        <v>1</v>
      </c>
      <c r="S966" t="s">
        <v>37</v>
      </c>
      <c r="T966">
        <v>12</v>
      </c>
      <c r="U966">
        <v>3</v>
      </c>
      <c r="V966">
        <v>4</v>
      </c>
      <c r="W966">
        <v>0</v>
      </c>
      <c r="X966">
        <v>10</v>
      </c>
      <c r="Y966">
        <v>6</v>
      </c>
      <c r="Z966">
        <v>4</v>
      </c>
      <c r="AA966">
        <v>10</v>
      </c>
      <c r="AB966">
        <v>8</v>
      </c>
      <c r="AC966">
        <v>9</v>
      </c>
      <c r="AD966">
        <v>6</v>
      </c>
      <c r="AE966" t="str" cm="1">
        <f t="array" ref="AE966">_xlfn.IFS(G966=1,"Before College",G966=2,"College",G966=3,"Bachelor",G966=4,"Master",G966=5,"Doctor")</f>
        <v>College</v>
      </c>
      <c r="AF966" t="str" cm="1">
        <f t="array" ref="AF966">_xlfn.IFS(J966=1,"Low",J966=2,"Medium",J966=3,"High",J966=4,"Very High")</f>
        <v>High</v>
      </c>
      <c r="AG966" t="str" cm="1">
        <f t="array" ref="AG966">_xlfn.IFS(L966=1,"Low",L966=2,"Medium",L966=3,"High",L966=4,"Very High")</f>
        <v>High</v>
      </c>
      <c r="AH966" t="str" cm="1">
        <f t="array" ref="AH966">_xlfn.IFS(M966=1,"Junior employee",M966=2,"Mid-level",M966=3,"Senior",M966=4,"Manager",M966=5,"Executive")</f>
        <v>Mid-level</v>
      </c>
      <c r="AI966" t="str" cm="1">
        <f t="array" ref="AI966">_xlfn.IFS(O966=1,"Low",O966=2,"Medium",O966=3,"High",O966=4,"Very High")</f>
        <v>Low</v>
      </c>
      <c r="AJ966" t="str" cm="1">
        <f t="array" ref="AJ966">_xlfn.IFS(U966=1,"Low",U966=2,"Good",U966=3,"Excellent",U966=4,"Outstanding")</f>
        <v>Excellent</v>
      </c>
      <c r="AK966" t="str" cm="1">
        <f t="array" ref="AK966">_xlfn.IFS(V966=1,"Low",V966=2,"Medium",V966=3,"High",V966=4,"Very High")</f>
        <v>Very High</v>
      </c>
      <c r="AL966" t="str" cm="1">
        <f t="array" ref="AL966">_xlfn.IFS(Z966=1,"Bad",Z966=2,"Good",Z966=3,"Better",Z966=4,"Best")</f>
        <v>Best</v>
      </c>
      <c r="AM966" t="str" cm="1">
        <f t="array" ref="AM966">_xlfn.IFS(W966=0,"No_stock",W966=1,"Low",W966=2,"Medium",W966=3,"High")</f>
        <v>No_stock</v>
      </c>
      <c r="AN966" t="str">
        <f t="shared" si="15"/>
        <v>Medium</v>
      </c>
    </row>
    <row r="967" spans="1:40" x14ac:dyDescent="0.45">
      <c r="A967">
        <v>25</v>
      </c>
      <c r="B967" t="s">
        <v>37</v>
      </c>
      <c r="C967" t="s">
        <v>31</v>
      </c>
      <c r="D967">
        <v>882</v>
      </c>
      <c r="E967" t="s">
        <v>39</v>
      </c>
      <c r="F967">
        <v>19</v>
      </c>
      <c r="G967">
        <v>1</v>
      </c>
      <c r="H967" t="s">
        <v>45</v>
      </c>
      <c r="I967">
        <v>1358</v>
      </c>
      <c r="J967">
        <v>4</v>
      </c>
      <c r="K967" t="s">
        <v>40</v>
      </c>
      <c r="L967">
        <v>3</v>
      </c>
      <c r="M967">
        <v>1</v>
      </c>
      <c r="N967" t="s">
        <v>44</v>
      </c>
      <c r="O967">
        <v>4</v>
      </c>
      <c r="P967" t="s">
        <v>42</v>
      </c>
      <c r="Q967">
        <v>3669</v>
      </c>
      <c r="R967">
        <v>3</v>
      </c>
      <c r="S967" t="s">
        <v>37</v>
      </c>
      <c r="T967">
        <v>11</v>
      </c>
      <c r="U967">
        <v>3</v>
      </c>
      <c r="V967">
        <v>3</v>
      </c>
      <c r="W967">
        <v>3</v>
      </c>
      <c r="X967">
        <v>7</v>
      </c>
      <c r="Y967">
        <v>6</v>
      </c>
      <c r="Z967">
        <v>2</v>
      </c>
      <c r="AA967">
        <v>3</v>
      </c>
      <c r="AB967">
        <v>2</v>
      </c>
      <c r="AC967">
        <v>1</v>
      </c>
      <c r="AD967">
        <v>2</v>
      </c>
      <c r="AE967" t="str" cm="1">
        <f t="array" ref="AE967">_xlfn.IFS(G967=1,"Before College",G967=2,"College",G967=3,"Bachelor",G967=4,"Master",G967=5,"Doctor")</f>
        <v>Before College</v>
      </c>
      <c r="AF967" t="str" cm="1">
        <f t="array" ref="AF967">_xlfn.IFS(J967=1,"Low",J967=2,"Medium",J967=3,"High",J967=4,"Very High")</f>
        <v>Very High</v>
      </c>
      <c r="AG967" t="str" cm="1">
        <f t="array" ref="AG967">_xlfn.IFS(L967=1,"Low",L967=2,"Medium",L967=3,"High",L967=4,"Very High")</f>
        <v>High</v>
      </c>
      <c r="AH967" t="str" cm="1">
        <f t="array" ref="AH967">_xlfn.IFS(M967=1,"Junior employee",M967=2,"Mid-level",M967=3,"Senior",M967=4,"Manager",M967=5,"Executive")</f>
        <v>Junior employee</v>
      </c>
      <c r="AI967" t="str" cm="1">
        <f t="array" ref="AI967">_xlfn.IFS(O967=1,"Low",O967=2,"Medium",O967=3,"High",O967=4,"Very High")</f>
        <v>Very High</v>
      </c>
      <c r="AJ967" t="str" cm="1">
        <f t="array" ref="AJ967">_xlfn.IFS(U967=1,"Low",U967=2,"Good",U967=3,"Excellent",U967=4,"Outstanding")</f>
        <v>Excellent</v>
      </c>
      <c r="AK967" t="str" cm="1">
        <f t="array" ref="AK967">_xlfn.IFS(V967=1,"Low",V967=2,"Medium",V967=3,"High",V967=4,"Very High")</f>
        <v>High</v>
      </c>
      <c r="AL967" t="str" cm="1">
        <f t="array" ref="AL967">_xlfn.IFS(Z967=1,"Bad",Z967=2,"Good",Z967=3,"Better",Z967=4,"Best")</f>
        <v>Good</v>
      </c>
      <c r="AM967" t="str" cm="1">
        <f t="array" ref="AM967">_xlfn.IFS(W967=0,"No_stock",W967=1,"Low",W967=2,"Medium",W967=3,"High")</f>
        <v>High</v>
      </c>
      <c r="AN967" t="str">
        <f t="shared" si="15"/>
        <v>Far</v>
      </c>
    </row>
    <row r="968" spans="1:40" x14ac:dyDescent="0.45">
      <c r="A968">
        <v>58</v>
      </c>
      <c r="B968" t="s">
        <v>30</v>
      </c>
      <c r="C968" t="s">
        <v>31</v>
      </c>
      <c r="D968">
        <v>601</v>
      </c>
      <c r="E968" t="s">
        <v>39</v>
      </c>
      <c r="F968">
        <v>7</v>
      </c>
      <c r="G968">
        <v>4</v>
      </c>
      <c r="H968" t="s">
        <v>45</v>
      </c>
      <c r="I968">
        <v>1360</v>
      </c>
      <c r="J968">
        <v>3</v>
      </c>
      <c r="K968" t="s">
        <v>34</v>
      </c>
      <c r="L968">
        <v>2</v>
      </c>
      <c r="M968">
        <v>3</v>
      </c>
      <c r="N968" t="s">
        <v>47</v>
      </c>
      <c r="O968">
        <v>1</v>
      </c>
      <c r="P968" t="s">
        <v>42</v>
      </c>
      <c r="Q968">
        <v>10008</v>
      </c>
      <c r="R968">
        <v>7</v>
      </c>
      <c r="S968" t="s">
        <v>30</v>
      </c>
      <c r="T968">
        <v>14</v>
      </c>
      <c r="U968">
        <v>3</v>
      </c>
      <c r="V968">
        <v>4</v>
      </c>
      <c r="W968">
        <v>0</v>
      </c>
      <c r="X968">
        <v>31</v>
      </c>
      <c r="Y968">
        <v>0</v>
      </c>
      <c r="Z968">
        <v>2</v>
      </c>
      <c r="AA968">
        <v>10</v>
      </c>
      <c r="AB968">
        <v>9</v>
      </c>
      <c r="AC968">
        <v>5</v>
      </c>
      <c r="AD968">
        <v>9</v>
      </c>
      <c r="AE968" t="str" cm="1">
        <f t="array" ref="AE968">_xlfn.IFS(G968=1,"Before College",G968=2,"College",G968=3,"Bachelor",G968=4,"Master",G968=5,"Doctor")</f>
        <v>Master</v>
      </c>
      <c r="AF968" t="str" cm="1">
        <f t="array" ref="AF968">_xlfn.IFS(J968=1,"Low",J968=2,"Medium",J968=3,"High",J968=4,"Very High")</f>
        <v>High</v>
      </c>
      <c r="AG968" t="str" cm="1">
        <f t="array" ref="AG968">_xlfn.IFS(L968=1,"Low",L968=2,"Medium",L968=3,"High",L968=4,"Very High")</f>
        <v>Medium</v>
      </c>
      <c r="AH968" t="str" cm="1">
        <f t="array" ref="AH968">_xlfn.IFS(M968=1,"Junior employee",M968=2,"Mid-level",M968=3,"Senior",M968=4,"Manager",M968=5,"Executive")</f>
        <v>Senior</v>
      </c>
      <c r="AI968" t="str" cm="1">
        <f t="array" ref="AI968">_xlfn.IFS(O968=1,"Low",O968=2,"Medium",O968=3,"High",O968=4,"Very High")</f>
        <v>Low</v>
      </c>
      <c r="AJ968" t="str" cm="1">
        <f t="array" ref="AJ968">_xlfn.IFS(U968=1,"Low",U968=2,"Good",U968=3,"Excellent",U968=4,"Outstanding")</f>
        <v>Excellent</v>
      </c>
      <c r="AK968" t="str" cm="1">
        <f t="array" ref="AK968">_xlfn.IFS(V968=1,"Low",V968=2,"Medium",V968=3,"High",V968=4,"Very High")</f>
        <v>Very High</v>
      </c>
      <c r="AL968" t="str" cm="1">
        <f t="array" ref="AL968">_xlfn.IFS(Z968=1,"Bad",Z968=2,"Good",Z968=3,"Better",Z968=4,"Best")</f>
        <v>Good</v>
      </c>
      <c r="AM968" t="str" cm="1">
        <f t="array" ref="AM968">_xlfn.IFS(W968=0,"No_stock",W968=1,"Low",W968=2,"Medium",W968=3,"High")</f>
        <v>No_stock</v>
      </c>
      <c r="AN968" t="str">
        <f t="shared" si="15"/>
        <v>Medium</v>
      </c>
    </row>
    <row r="969" spans="1:40" x14ac:dyDescent="0.45">
      <c r="A969">
        <v>40</v>
      </c>
      <c r="B969" t="s">
        <v>37</v>
      </c>
      <c r="C969" t="s">
        <v>31</v>
      </c>
      <c r="D969">
        <v>329</v>
      </c>
      <c r="E969" t="s">
        <v>39</v>
      </c>
      <c r="F969">
        <v>1</v>
      </c>
      <c r="G969">
        <v>4</v>
      </c>
      <c r="H969" t="s">
        <v>33</v>
      </c>
      <c r="I969">
        <v>1361</v>
      </c>
      <c r="J969">
        <v>2</v>
      </c>
      <c r="K969" t="s">
        <v>40</v>
      </c>
      <c r="L969">
        <v>3</v>
      </c>
      <c r="M969">
        <v>1</v>
      </c>
      <c r="N969" t="s">
        <v>44</v>
      </c>
      <c r="O969">
        <v>2</v>
      </c>
      <c r="P969" t="s">
        <v>42</v>
      </c>
      <c r="Q969">
        <v>2387</v>
      </c>
      <c r="R969">
        <v>3</v>
      </c>
      <c r="S969" t="s">
        <v>37</v>
      </c>
      <c r="T969">
        <v>22</v>
      </c>
      <c r="U969">
        <v>4</v>
      </c>
      <c r="V969">
        <v>3</v>
      </c>
      <c r="W969">
        <v>1</v>
      </c>
      <c r="X969">
        <v>7</v>
      </c>
      <c r="Y969">
        <v>3</v>
      </c>
      <c r="Z969">
        <v>3</v>
      </c>
      <c r="AA969">
        <v>4</v>
      </c>
      <c r="AB969">
        <v>2</v>
      </c>
      <c r="AC969">
        <v>0</v>
      </c>
      <c r="AD969">
        <v>3</v>
      </c>
      <c r="AE969" t="str" cm="1">
        <f t="array" ref="AE969">_xlfn.IFS(G969=1,"Before College",G969=2,"College",G969=3,"Bachelor",G969=4,"Master",G969=5,"Doctor")</f>
        <v>Master</v>
      </c>
      <c r="AF969" t="str" cm="1">
        <f t="array" ref="AF969">_xlfn.IFS(J969=1,"Low",J969=2,"Medium",J969=3,"High",J969=4,"Very High")</f>
        <v>Medium</v>
      </c>
      <c r="AG969" t="str" cm="1">
        <f t="array" ref="AG969">_xlfn.IFS(L969=1,"Low",L969=2,"Medium",L969=3,"High",L969=4,"Very High")</f>
        <v>High</v>
      </c>
      <c r="AH969" t="str" cm="1">
        <f t="array" ref="AH969">_xlfn.IFS(M969=1,"Junior employee",M969=2,"Mid-level",M969=3,"Senior",M969=4,"Manager",M969=5,"Executive")</f>
        <v>Junior employee</v>
      </c>
      <c r="AI969" t="str" cm="1">
        <f t="array" ref="AI969">_xlfn.IFS(O969=1,"Low",O969=2,"Medium",O969=3,"High",O969=4,"Very High")</f>
        <v>Medium</v>
      </c>
      <c r="AJ969" t="str" cm="1">
        <f t="array" ref="AJ969">_xlfn.IFS(U969=1,"Low",U969=2,"Good",U969=3,"Excellent",U969=4,"Outstanding")</f>
        <v>Outstanding</v>
      </c>
      <c r="AK969" t="str" cm="1">
        <f t="array" ref="AK969">_xlfn.IFS(V969=1,"Low",V969=2,"Medium",V969=3,"High",V969=4,"Very High")</f>
        <v>High</v>
      </c>
      <c r="AL969" t="str" cm="1">
        <f t="array" ref="AL969">_xlfn.IFS(Z969=1,"Bad",Z969=2,"Good",Z969=3,"Better",Z969=4,"Best")</f>
        <v>Better</v>
      </c>
      <c r="AM969" t="str" cm="1">
        <f t="array" ref="AM969">_xlfn.IFS(W969=0,"No_stock",W969=1,"Low",W969=2,"Medium",W969=3,"High")</f>
        <v>Low</v>
      </c>
      <c r="AN969" t="str">
        <f t="shared" si="15"/>
        <v>Near</v>
      </c>
    </row>
    <row r="970" spans="1:40" x14ac:dyDescent="0.45">
      <c r="A970">
        <v>36</v>
      </c>
      <c r="B970" t="s">
        <v>37</v>
      </c>
      <c r="C970" t="s">
        <v>38</v>
      </c>
      <c r="D970">
        <v>607</v>
      </c>
      <c r="E970" t="s">
        <v>32</v>
      </c>
      <c r="F970">
        <v>7</v>
      </c>
      <c r="G970">
        <v>3</v>
      </c>
      <c r="H970" t="s">
        <v>53</v>
      </c>
      <c r="I970">
        <v>1362</v>
      </c>
      <c r="J970">
        <v>1</v>
      </c>
      <c r="K970" t="s">
        <v>34</v>
      </c>
      <c r="L970">
        <v>4</v>
      </c>
      <c r="M970">
        <v>2</v>
      </c>
      <c r="N970" t="s">
        <v>35</v>
      </c>
      <c r="O970">
        <v>1</v>
      </c>
      <c r="P970" t="s">
        <v>42</v>
      </c>
      <c r="Q970">
        <v>4639</v>
      </c>
      <c r="R970">
        <v>2</v>
      </c>
      <c r="S970" t="s">
        <v>37</v>
      </c>
      <c r="T970">
        <v>16</v>
      </c>
      <c r="U970">
        <v>3</v>
      </c>
      <c r="V970">
        <v>4</v>
      </c>
      <c r="W970">
        <v>1</v>
      </c>
      <c r="X970">
        <v>17</v>
      </c>
      <c r="Y970">
        <v>2</v>
      </c>
      <c r="Z970">
        <v>2</v>
      </c>
      <c r="AA970">
        <v>15</v>
      </c>
      <c r="AB970">
        <v>7</v>
      </c>
      <c r="AC970">
        <v>6</v>
      </c>
      <c r="AD970">
        <v>13</v>
      </c>
      <c r="AE970" t="str" cm="1">
        <f t="array" ref="AE970">_xlfn.IFS(G970=1,"Before College",G970=2,"College",G970=3,"Bachelor",G970=4,"Master",G970=5,"Doctor")</f>
        <v>Bachelor</v>
      </c>
      <c r="AF970" t="str" cm="1">
        <f t="array" ref="AF970">_xlfn.IFS(J970=1,"Low",J970=2,"Medium",J970=3,"High",J970=4,"Very High")</f>
        <v>Low</v>
      </c>
      <c r="AG970" t="str" cm="1">
        <f t="array" ref="AG970">_xlfn.IFS(L970=1,"Low",L970=2,"Medium",L970=3,"High",L970=4,"Very High")</f>
        <v>Very High</v>
      </c>
      <c r="AH970" t="str" cm="1">
        <f t="array" ref="AH970">_xlfn.IFS(M970=1,"Junior employee",M970=2,"Mid-level",M970=3,"Senior",M970=4,"Manager",M970=5,"Executive")</f>
        <v>Mid-level</v>
      </c>
      <c r="AI970" t="str" cm="1">
        <f t="array" ref="AI970">_xlfn.IFS(O970=1,"Low",O970=2,"Medium",O970=3,"High",O970=4,"Very High")</f>
        <v>Low</v>
      </c>
      <c r="AJ970" t="str" cm="1">
        <f t="array" ref="AJ970">_xlfn.IFS(U970=1,"Low",U970=2,"Good",U970=3,"Excellent",U970=4,"Outstanding")</f>
        <v>Excellent</v>
      </c>
      <c r="AK970" t="str" cm="1">
        <f t="array" ref="AK970">_xlfn.IFS(V970=1,"Low",V970=2,"Medium",V970=3,"High",V970=4,"Very High")</f>
        <v>Very High</v>
      </c>
      <c r="AL970" t="str" cm="1">
        <f t="array" ref="AL970">_xlfn.IFS(Z970=1,"Bad",Z970=2,"Good",Z970=3,"Better",Z970=4,"Best")</f>
        <v>Good</v>
      </c>
      <c r="AM970" t="str" cm="1">
        <f t="array" ref="AM970">_xlfn.IFS(W970=0,"No_stock",W970=1,"Low",W970=2,"Medium",W970=3,"High")</f>
        <v>Low</v>
      </c>
      <c r="AN970" t="str">
        <f t="shared" si="15"/>
        <v>Medium</v>
      </c>
    </row>
    <row r="971" spans="1:40" x14ac:dyDescent="0.45">
      <c r="A971">
        <v>48</v>
      </c>
      <c r="B971" t="s">
        <v>37</v>
      </c>
      <c r="C971" t="s">
        <v>31</v>
      </c>
      <c r="D971">
        <v>855</v>
      </c>
      <c r="E971" t="s">
        <v>39</v>
      </c>
      <c r="F971">
        <v>4</v>
      </c>
      <c r="G971">
        <v>3</v>
      </c>
      <c r="H971" t="s">
        <v>33</v>
      </c>
      <c r="I971">
        <v>1363</v>
      </c>
      <c r="J971">
        <v>4</v>
      </c>
      <c r="K971" t="s">
        <v>40</v>
      </c>
      <c r="L971">
        <v>3</v>
      </c>
      <c r="M971">
        <v>3</v>
      </c>
      <c r="N971" t="s">
        <v>47</v>
      </c>
      <c r="O971">
        <v>4</v>
      </c>
      <c r="P971" t="s">
        <v>36</v>
      </c>
      <c r="Q971">
        <v>7898</v>
      </c>
      <c r="R971">
        <v>1</v>
      </c>
      <c r="S971" t="s">
        <v>37</v>
      </c>
      <c r="T971">
        <v>11</v>
      </c>
      <c r="U971">
        <v>3</v>
      </c>
      <c r="V971">
        <v>3</v>
      </c>
      <c r="W971">
        <v>0</v>
      </c>
      <c r="X971">
        <v>11</v>
      </c>
      <c r="Y971">
        <v>2</v>
      </c>
      <c r="Z971">
        <v>3</v>
      </c>
      <c r="AA971">
        <v>10</v>
      </c>
      <c r="AB971">
        <v>9</v>
      </c>
      <c r="AC971">
        <v>0</v>
      </c>
      <c r="AD971">
        <v>8</v>
      </c>
      <c r="AE971" t="str" cm="1">
        <f t="array" ref="AE971">_xlfn.IFS(G971=1,"Before College",G971=2,"College",G971=3,"Bachelor",G971=4,"Master",G971=5,"Doctor")</f>
        <v>Bachelor</v>
      </c>
      <c r="AF971" t="str" cm="1">
        <f t="array" ref="AF971">_xlfn.IFS(J971=1,"Low",J971=2,"Medium",J971=3,"High",J971=4,"Very High")</f>
        <v>Very High</v>
      </c>
      <c r="AG971" t="str" cm="1">
        <f t="array" ref="AG971">_xlfn.IFS(L971=1,"Low",L971=2,"Medium",L971=3,"High",L971=4,"Very High")</f>
        <v>High</v>
      </c>
      <c r="AH971" t="str" cm="1">
        <f t="array" ref="AH971">_xlfn.IFS(M971=1,"Junior employee",M971=2,"Mid-level",M971=3,"Senior",M971=4,"Manager",M971=5,"Executive")</f>
        <v>Senior</v>
      </c>
      <c r="AI971" t="str" cm="1">
        <f t="array" ref="AI971">_xlfn.IFS(O971=1,"Low",O971=2,"Medium",O971=3,"High",O971=4,"Very High")</f>
        <v>Very High</v>
      </c>
      <c r="AJ971" t="str" cm="1">
        <f t="array" ref="AJ971">_xlfn.IFS(U971=1,"Low",U971=2,"Good",U971=3,"Excellent",U971=4,"Outstanding")</f>
        <v>Excellent</v>
      </c>
      <c r="AK971" t="str" cm="1">
        <f t="array" ref="AK971">_xlfn.IFS(V971=1,"Low",V971=2,"Medium",V971=3,"High",V971=4,"Very High")</f>
        <v>High</v>
      </c>
      <c r="AL971" t="str" cm="1">
        <f t="array" ref="AL971">_xlfn.IFS(Z971=1,"Bad",Z971=2,"Good",Z971=3,"Better",Z971=4,"Best")</f>
        <v>Better</v>
      </c>
      <c r="AM971" t="str" cm="1">
        <f t="array" ref="AM971">_xlfn.IFS(W971=0,"No_stock",W971=1,"Low",W971=2,"Medium",W971=3,"High")</f>
        <v>No_stock</v>
      </c>
      <c r="AN971" t="str">
        <f t="shared" si="15"/>
        <v>Near</v>
      </c>
    </row>
    <row r="972" spans="1:40" x14ac:dyDescent="0.45">
      <c r="A972">
        <v>27</v>
      </c>
      <c r="B972" t="s">
        <v>37</v>
      </c>
      <c r="C972" t="s">
        <v>31</v>
      </c>
      <c r="D972">
        <v>1291</v>
      </c>
      <c r="E972" t="s">
        <v>32</v>
      </c>
      <c r="F972">
        <v>11</v>
      </c>
      <c r="G972">
        <v>3</v>
      </c>
      <c r="H972" t="s">
        <v>45</v>
      </c>
      <c r="I972">
        <v>1364</v>
      </c>
      <c r="J972">
        <v>3</v>
      </c>
      <c r="K972" t="s">
        <v>34</v>
      </c>
      <c r="L972">
        <v>4</v>
      </c>
      <c r="M972">
        <v>1</v>
      </c>
      <c r="N972" t="s">
        <v>51</v>
      </c>
      <c r="O972">
        <v>4</v>
      </c>
      <c r="P972" t="s">
        <v>42</v>
      </c>
      <c r="Q972">
        <v>2534</v>
      </c>
      <c r="R972">
        <v>8</v>
      </c>
      <c r="S972" t="s">
        <v>37</v>
      </c>
      <c r="T972">
        <v>14</v>
      </c>
      <c r="U972">
        <v>3</v>
      </c>
      <c r="V972">
        <v>2</v>
      </c>
      <c r="W972">
        <v>1</v>
      </c>
      <c r="X972">
        <v>5</v>
      </c>
      <c r="Y972">
        <v>4</v>
      </c>
      <c r="Z972">
        <v>3</v>
      </c>
      <c r="AA972">
        <v>1</v>
      </c>
      <c r="AB972">
        <v>0</v>
      </c>
      <c r="AC972">
        <v>0</v>
      </c>
      <c r="AD972">
        <v>0</v>
      </c>
      <c r="AE972" t="str" cm="1">
        <f t="array" ref="AE972">_xlfn.IFS(G972=1,"Before College",G972=2,"College",G972=3,"Bachelor",G972=4,"Master",G972=5,"Doctor")</f>
        <v>Bachelor</v>
      </c>
      <c r="AF972" t="str" cm="1">
        <f t="array" ref="AF972">_xlfn.IFS(J972=1,"Low",J972=2,"Medium",J972=3,"High",J972=4,"Very High")</f>
        <v>High</v>
      </c>
      <c r="AG972" t="str" cm="1">
        <f t="array" ref="AG972">_xlfn.IFS(L972=1,"Low",L972=2,"Medium",L972=3,"High",L972=4,"Very High")</f>
        <v>Very High</v>
      </c>
      <c r="AH972" t="str" cm="1">
        <f t="array" ref="AH972">_xlfn.IFS(M972=1,"Junior employee",M972=2,"Mid-level",M972=3,"Senior",M972=4,"Manager",M972=5,"Executive")</f>
        <v>Junior employee</v>
      </c>
      <c r="AI972" t="str" cm="1">
        <f t="array" ref="AI972">_xlfn.IFS(O972=1,"Low",O972=2,"Medium",O972=3,"High",O972=4,"Very High")</f>
        <v>Very High</v>
      </c>
      <c r="AJ972" t="str" cm="1">
        <f t="array" ref="AJ972">_xlfn.IFS(U972=1,"Low",U972=2,"Good",U972=3,"Excellent",U972=4,"Outstanding")</f>
        <v>Excellent</v>
      </c>
      <c r="AK972" t="str" cm="1">
        <f t="array" ref="AK972">_xlfn.IFS(V972=1,"Low",V972=2,"Medium",V972=3,"High",V972=4,"Very High")</f>
        <v>Medium</v>
      </c>
      <c r="AL972" t="str" cm="1">
        <f t="array" ref="AL972">_xlfn.IFS(Z972=1,"Bad",Z972=2,"Good",Z972=3,"Better",Z972=4,"Best")</f>
        <v>Better</v>
      </c>
      <c r="AM972" t="str" cm="1">
        <f t="array" ref="AM972">_xlfn.IFS(W972=0,"No_stock",W972=1,"Low",W972=2,"Medium",W972=3,"High")</f>
        <v>Low</v>
      </c>
      <c r="AN972" t="str">
        <f t="shared" si="15"/>
        <v>Medium</v>
      </c>
    </row>
    <row r="973" spans="1:40" x14ac:dyDescent="0.45">
      <c r="A973">
        <v>51</v>
      </c>
      <c r="B973" t="s">
        <v>37</v>
      </c>
      <c r="C973" t="s">
        <v>31</v>
      </c>
      <c r="D973">
        <v>1405</v>
      </c>
      <c r="E973" t="s">
        <v>39</v>
      </c>
      <c r="F973">
        <v>11</v>
      </c>
      <c r="G973">
        <v>2</v>
      </c>
      <c r="H973" t="s">
        <v>54</v>
      </c>
      <c r="I973">
        <v>1367</v>
      </c>
      <c r="J973">
        <v>4</v>
      </c>
      <c r="K973" t="s">
        <v>34</v>
      </c>
      <c r="L973">
        <v>2</v>
      </c>
      <c r="M973">
        <v>4</v>
      </c>
      <c r="N973" t="s">
        <v>47</v>
      </c>
      <c r="O973">
        <v>2</v>
      </c>
      <c r="P973" t="s">
        <v>36</v>
      </c>
      <c r="Q973">
        <v>13142</v>
      </c>
      <c r="R973">
        <v>3</v>
      </c>
      <c r="S973" t="s">
        <v>37</v>
      </c>
      <c r="T973">
        <v>16</v>
      </c>
      <c r="U973">
        <v>3</v>
      </c>
      <c r="V973">
        <v>2</v>
      </c>
      <c r="W973">
        <v>0</v>
      </c>
      <c r="X973">
        <v>29</v>
      </c>
      <c r="Y973">
        <v>1</v>
      </c>
      <c r="Z973">
        <v>2</v>
      </c>
      <c r="AA973">
        <v>5</v>
      </c>
      <c r="AB973">
        <v>2</v>
      </c>
      <c r="AC973">
        <v>0</v>
      </c>
      <c r="AD973">
        <v>3</v>
      </c>
      <c r="AE973" t="str" cm="1">
        <f t="array" ref="AE973">_xlfn.IFS(G973=1,"Before College",G973=2,"College",G973=3,"Bachelor",G973=4,"Master",G973=5,"Doctor")</f>
        <v>College</v>
      </c>
      <c r="AF973" t="str" cm="1">
        <f t="array" ref="AF973">_xlfn.IFS(J973=1,"Low",J973=2,"Medium",J973=3,"High",J973=4,"Very High")</f>
        <v>Very High</v>
      </c>
      <c r="AG973" t="str" cm="1">
        <f t="array" ref="AG973">_xlfn.IFS(L973=1,"Low",L973=2,"Medium",L973=3,"High",L973=4,"Very High")</f>
        <v>Medium</v>
      </c>
      <c r="AH973" t="str" cm="1">
        <f t="array" ref="AH973">_xlfn.IFS(M973=1,"Junior employee",M973=2,"Mid-level",M973=3,"Senior",M973=4,"Manager",M973=5,"Executive")</f>
        <v>Manager</v>
      </c>
      <c r="AI973" t="str" cm="1">
        <f t="array" ref="AI973">_xlfn.IFS(O973=1,"Low",O973=2,"Medium",O973=3,"High",O973=4,"Very High")</f>
        <v>Medium</v>
      </c>
      <c r="AJ973" t="str" cm="1">
        <f t="array" ref="AJ973">_xlfn.IFS(U973=1,"Low",U973=2,"Good",U973=3,"Excellent",U973=4,"Outstanding")</f>
        <v>Excellent</v>
      </c>
      <c r="AK973" t="str" cm="1">
        <f t="array" ref="AK973">_xlfn.IFS(V973=1,"Low",V973=2,"Medium",V973=3,"High",V973=4,"Very High")</f>
        <v>Medium</v>
      </c>
      <c r="AL973" t="str" cm="1">
        <f t="array" ref="AL973">_xlfn.IFS(Z973=1,"Bad",Z973=2,"Good",Z973=3,"Better",Z973=4,"Best")</f>
        <v>Good</v>
      </c>
      <c r="AM973" t="str" cm="1">
        <f t="array" ref="AM973">_xlfn.IFS(W973=0,"No_stock",W973=1,"Low",W973=2,"Medium",W973=3,"High")</f>
        <v>No_stock</v>
      </c>
      <c r="AN973" t="str">
        <f t="shared" si="15"/>
        <v>Medium</v>
      </c>
    </row>
    <row r="974" spans="1:40" x14ac:dyDescent="0.45">
      <c r="A974">
        <v>18</v>
      </c>
      <c r="B974" t="s">
        <v>37</v>
      </c>
      <c r="C974" t="s">
        <v>49</v>
      </c>
      <c r="D974">
        <v>1124</v>
      </c>
      <c r="E974" t="s">
        <v>39</v>
      </c>
      <c r="F974">
        <v>1</v>
      </c>
      <c r="G974">
        <v>3</v>
      </c>
      <c r="H974" t="s">
        <v>33</v>
      </c>
      <c r="I974">
        <v>1368</v>
      </c>
      <c r="J974">
        <v>4</v>
      </c>
      <c r="K974" t="s">
        <v>34</v>
      </c>
      <c r="L974">
        <v>3</v>
      </c>
      <c r="M974">
        <v>1</v>
      </c>
      <c r="N974" t="s">
        <v>44</v>
      </c>
      <c r="O974">
        <v>4</v>
      </c>
      <c r="P974" t="s">
        <v>36</v>
      </c>
      <c r="Q974">
        <v>1611</v>
      </c>
      <c r="R974">
        <v>1</v>
      </c>
      <c r="S974" t="s">
        <v>37</v>
      </c>
      <c r="T974">
        <v>15</v>
      </c>
      <c r="U974">
        <v>3</v>
      </c>
      <c r="V974">
        <v>3</v>
      </c>
      <c r="W974">
        <v>0</v>
      </c>
      <c r="X974">
        <v>0</v>
      </c>
      <c r="Y974">
        <v>5</v>
      </c>
      <c r="Z974">
        <v>4</v>
      </c>
      <c r="AA974">
        <v>0</v>
      </c>
      <c r="AB974">
        <v>0</v>
      </c>
      <c r="AC974">
        <v>0</v>
      </c>
      <c r="AD974">
        <v>0</v>
      </c>
      <c r="AE974" t="str" cm="1">
        <f t="array" ref="AE974">_xlfn.IFS(G974=1,"Before College",G974=2,"College",G974=3,"Bachelor",G974=4,"Master",G974=5,"Doctor")</f>
        <v>Bachelor</v>
      </c>
      <c r="AF974" t="str" cm="1">
        <f t="array" ref="AF974">_xlfn.IFS(J974=1,"Low",J974=2,"Medium",J974=3,"High",J974=4,"Very High")</f>
        <v>Very High</v>
      </c>
      <c r="AG974" t="str" cm="1">
        <f t="array" ref="AG974">_xlfn.IFS(L974=1,"Low",L974=2,"Medium",L974=3,"High",L974=4,"Very High")</f>
        <v>High</v>
      </c>
      <c r="AH974" t="str" cm="1">
        <f t="array" ref="AH974">_xlfn.IFS(M974=1,"Junior employee",M974=2,"Mid-level",M974=3,"Senior",M974=4,"Manager",M974=5,"Executive")</f>
        <v>Junior employee</v>
      </c>
      <c r="AI974" t="str" cm="1">
        <f t="array" ref="AI974">_xlfn.IFS(O974=1,"Low",O974=2,"Medium",O974=3,"High",O974=4,"Very High")</f>
        <v>Very High</v>
      </c>
      <c r="AJ974" t="str" cm="1">
        <f t="array" ref="AJ974">_xlfn.IFS(U974=1,"Low",U974=2,"Good",U974=3,"Excellent",U974=4,"Outstanding")</f>
        <v>Excellent</v>
      </c>
      <c r="AK974" t="str" cm="1">
        <f t="array" ref="AK974">_xlfn.IFS(V974=1,"Low",V974=2,"Medium",V974=3,"High",V974=4,"Very High")</f>
        <v>High</v>
      </c>
      <c r="AL974" t="str" cm="1">
        <f t="array" ref="AL974">_xlfn.IFS(Z974=1,"Bad",Z974=2,"Good",Z974=3,"Better",Z974=4,"Best")</f>
        <v>Best</v>
      </c>
      <c r="AM974" t="str" cm="1">
        <f t="array" ref="AM974">_xlfn.IFS(W974=0,"No_stock",W974=1,"Low",W974=2,"Medium",W974=3,"High")</f>
        <v>No_stock</v>
      </c>
      <c r="AN974" t="str">
        <f t="shared" si="15"/>
        <v>Near</v>
      </c>
    </row>
    <row r="975" spans="1:40" x14ac:dyDescent="0.45">
      <c r="A975">
        <v>35</v>
      </c>
      <c r="B975" t="s">
        <v>37</v>
      </c>
      <c r="C975" t="s">
        <v>31</v>
      </c>
      <c r="D975">
        <v>817</v>
      </c>
      <c r="E975" t="s">
        <v>39</v>
      </c>
      <c r="F975">
        <v>1</v>
      </c>
      <c r="G975">
        <v>3</v>
      </c>
      <c r="H975" t="s">
        <v>45</v>
      </c>
      <c r="I975">
        <v>1369</v>
      </c>
      <c r="J975">
        <v>4</v>
      </c>
      <c r="K975" t="s">
        <v>34</v>
      </c>
      <c r="L975">
        <v>2</v>
      </c>
      <c r="M975">
        <v>2</v>
      </c>
      <c r="N975" t="s">
        <v>44</v>
      </c>
      <c r="O975">
        <v>4</v>
      </c>
      <c r="P975" t="s">
        <v>42</v>
      </c>
      <c r="Q975">
        <v>5363</v>
      </c>
      <c r="R975">
        <v>0</v>
      </c>
      <c r="S975" t="s">
        <v>37</v>
      </c>
      <c r="T975">
        <v>12</v>
      </c>
      <c r="U975">
        <v>3</v>
      </c>
      <c r="V975">
        <v>2</v>
      </c>
      <c r="W975">
        <v>1</v>
      </c>
      <c r="X975">
        <v>10</v>
      </c>
      <c r="Y975">
        <v>0</v>
      </c>
      <c r="Z975">
        <v>3</v>
      </c>
      <c r="AA975">
        <v>9</v>
      </c>
      <c r="AB975">
        <v>7</v>
      </c>
      <c r="AC975">
        <v>0</v>
      </c>
      <c r="AD975">
        <v>0</v>
      </c>
      <c r="AE975" t="str" cm="1">
        <f t="array" ref="AE975">_xlfn.IFS(G975=1,"Before College",G975=2,"College",G975=3,"Bachelor",G975=4,"Master",G975=5,"Doctor")</f>
        <v>Bachelor</v>
      </c>
      <c r="AF975" t="str" cm="1">
        <f t="array" ref="AF975">_xlfn.IFS(J975=1,"Low",J975=2,"Medium",J975=3,"High",J975=4,"Very High")</f>
        <v>Very High</v>
      </c>
      <c r="AG975" t="str" cm="1">
        <f t="array" ref="AG975">_xlfn.IFS(L975=1,"Low",L975=2,"Medium",L975=3,"High",L975=4,"Very High")</f>
        <v>Medium</v>
      </c>
      <c r="AH975" t="str" cm="1">
        <f t="array" ref="AH975">_xlfn.IFS(M975=1,"Junior employee",M975=2,"Mid-level",M975=3,"Senior",M975=4,"Manager",M975=5,"Executive")</f>
        <v>Mid-level</v>
      </c>
      <c r="AI975" t="str" cm="1">
        <f t="array" ref="AI975">_xlfn.IFS(O975=1,"Low",O975=2,"Medium",O975=3,"High",O975=4,"Very High")</f>
        <v>Very High</v>
      </c>
      <c r="AJ975" t="str" cm="1">
        <f t="array" ref="AJ975">_xlfn.IFS(U975=1,"Low",U975=2,"Good",U975=3,"Excellent",U975=4,"Outstanding")</f>
        <v>Excellent</v>
      </c>
      <c r="AK975" t="str" cm="1">
        <f t="array" ref="AK975">_xlfn.IFS(V975=1,"Low",V975=2,"Medium",V975=3,"High",V975=4,"Very High")</f>
        <v>Medium</v>
      </c>
      <c r="AL975" t="str" cm="1">
        <f t="array" ref="AL975">_xlfn.IFS(Z975=1,"Bad",Z975=2,"Good",Z975=3,"Better",Z975=4,"Best")</f>
        <v>Better</v>
      </c>
      <c r="AM975" t="str" cm="1">
        <f t="array" ref="AM975">_xlfn.IFS(W975=0,"No_stock",W975=1,"Low",W975=2,"Medium",W975=3,"High")</f>
        <v>Low</v>
      </c>
      <c r="AN975" t="str">
        <f t="shared" si="15"/>
        <v>Near</v>
      </c>
    </row>
    <row r="976" spans="1:40" x14ac:dyDescent="0.45">
      <c r="A976">
        <v>27</v>
      </c>
      <c r="B976" t="s">
        <v>37</v>
      </c>
      <c r="C976" t="s">
        <v>38</v>
      </c>
      <c r="D976">
        <v>793</v>
      </c>
      <c r="E976" t="s">
        <v>32</v>
      </c>
      <c r="F976">
        <v>2</v>
      </c>
      <c r="G976">
        <v>1</v>
      </c>
      <c r="H976" t="s">
        <v>33</v>
      </c>
      <c r="I976">
        <v>1371</v>
      </c>
      <c r="J976">
        <v>4</v>
      </c>
      <c r="K976" t="s">
        <v>40</v>
      </c>
      <c r="L976">
        <v>1</v>
      </c>
      <c r="M976">
        <v>2</v>
      </c>
      <c r="N976" t="s">
        <v>35</v>
      </c>
      <c r="O976">
        <v>4</v>
      </c>
      <c r="P976" t="s">
        <v>36</v>
      </c>
      <c r="Q976">
        <v>5071</v>
      </c>
      <c r="R976">
        <v>3</v>
      </c>
      <c r="S976" t="s">
        <v>37</v>
      </c>
      <c r="T976">
        <v>20</v>
      </c>
      <c r="U976">
        <v>4</v>
      </c>
      <c r="V976">
        <v>2</v>
      </c>
      <c r="W976">
        <v>0</v>
      </c>
      <c r="X976">
        <v>8</v>
      </c>
      <c r="Y976">
        <v>3</v>
      </c>
      <c r="Z976">
        <v>3</v>
      </c>
      <c r="AA976">
        <v>6</v>
      </c>
      <c r="AB976">
        <v>2</v>
      </c>
      <c r="AC976">
        <v>0</v>
      </c>
      <c r="AD976">
        <v>0</v>
      </c>
      <c r="AE976" t="str" cm="1">
        <f t="array" ref="AE976">_xlfn.IFS(G976=1,"Before College",G976=2,"College",G976=3,"Bachelor",G976=4,"Master",G976=5,"Doctor")</f>
        <v>Before College</v>
      </c>
      <c r="AF976" t="str" cm="1">
        <f t="array" ref="AF976">_xlfn.IFS(J976=1,"Low",J976=2,"Medium",J976=3,"High",J976=4,"Very High")</f>
        <v>Very High</v>
      </c>
      <c r="AG976" t="str" cm="1">
        <f t="array" ref="AG976">_xlfn.IFS(L976=1,"Low",L976=2,"Medium",L976=3,"High",L976=4,"Very High")</f>
        <v>Low</v>
      </c>
      <c r="AH976" t="str" cm="1">
        <f t="array" ref="AH976">_xlfn.IFS(M976=1,"Junior employee",M976=2,"Mid-level",M976=3,"Senior",M976=4,"Manager",M976=5,"Executive")</f>
        <v>Mid-level</v>
      </c>
      <c r="AI976" t="str" cm="1">
        <f t="array" ref="AI976">_xlfn.IFS(O976=1,"Low",O976=2,"Medium",O976=3,"High",O976=4,"Very High")</f>
        <v>Very High</v>
      </c>
      <c r="AJ976" t="str" cm="1">
        <f t="array" ref="AJ976">_xlfn.IFS(U976=1,"Low",U976=2,"Good",U976=3,"Excellent",U976=4,"Outstanding")</f>
        <v>Outstanding</v>
      </c>
      <c r="AK976" t="str" cm="1">
        <f t="array" ref="AK976">_xlfn.IFS(V976=1,"Low",V976=2,"Medium",V976=3,"High",V976=4,"Very High")</f>
        <v>Medium</v>
      </c>
      <c r="AL976" t="str" cm="1">
        <f t="array" ref="AL976">_xlfn.IFS(Z976=1,"Bad",Z976=2,"Good",Z976=3,"Better",Z976=4,"Best")</f>
        <v>Better</v>
      </c>
      <c r="AM976" t="str" cm="1">
        <f t="array" ref="AM976">_xlfn.IFS(W976=0,"No_stock",W976=1,"Low",W976=2,"Medium",W976=3,"High")</f>
        <v>No_stock</v>
      </c>
      <c r="AN976" t="str">
        <f t="shared" si="15"/>
        <v>Near</v>
      </c>
    </row>
    <row r="977" spans="1:40" x14ac:dyDescent="0.45">
      <c r="A977">
        <v>55</v>
      </c>
      <c r="B977" t="s">
        <v>30</v>
      </c>
      <c r="C977" t="s">
        <v>31</v>
      </c>
      <c r="D977">
        <v>267</v>
      </c>
      <c r="E977" t="s">
        <v>32</v>
      </c>
      <c r="F977">
        <v>13</v>
      </c>
      <c r="G977">
        <v>4</v>
      </c>
      <c r="H977" t="s">
        <v>53</v>
      </c>
      <c r="I977">
        <v>1372</v>
      </c>
      <c r="J977">
        <v>1</v>
      </c>
      <c r="K977" t="s">
        <v>40</v>
      </c>
      <c r="L977">
        <v>4</v>
      </c>
      <c r="M977">
        <v>4</v>
      </c>
      <c r="N977" t="s">
        <v>35</v>
      </c>
      <c r="O977">
        <v>3</v>
      </c>
      <c r="P977" t="s">
        <v>36</v>
      </c>
      <c r="Q977">
        <v>13695</v>
      </c>
      <c r="R977">
        <v>6</v>
      </c>
      <c r="S977" t="s">
        <v>30</v>
      </c>
      <c r="T977">
        <v>17</v>
      </c>
      <c r="U977">
        <v>3</v>
      </c>
      <c r="V977">
        <v>3</v>
      </c>
      <c r="W977">
        <v>0</v>
      </c>
      <c r="X977">
        <v>24</v>
      </c>
      <c r="Y977">
        <v>2</v>
      </c>
      <c r="Z977">
        <v>2</v>
      </c>
      <c r="AA977">
        <v>19</v>
      </c>
      <c r="AB977">
        <v>7</v>
      </c>
      <c r="AC977">
        <v>3</v>
      </c>
      <c r="AD977">
        <v>8</v>
      </c>
      <c r="AE977" t="str" cm="1">
        <f t="array" ref="AE977">_xlfn.IFS(G977=1,"Before College",G977=2,"College",G977=3,"Bachelor",G977=4,"Master",G977=5,"Doctor")</f>
        <v>Master</v>
      </c>
      <c r="AF977" t="str" cm="1">
        <f t="array" ref="AF977">_xlfn.IFS(J977=1,"Low",J977=2,"Medium",J977=3,"High",J977=4,"Very High")</f>
        <v>Low</v>
      </c>
      <c r="AG977" t="str" cm="1">
        <f t="array" ref="AG977">_xlfn.IFS(L977=1,"Low",L977=2,"Medium",L977=3,"High",L977=4,"Very High")</f>
        <v>Very High</v>
      </c>
      <c r="AH977" t="str" cm="1">
        <f t="array" ref="AH977">_xlfn.IFS(M977=1,"Junior employee",M977=2,"Mid-level",M977=3,"Senior",M977=4,"Manager",M977=5,"Executive")</f>
        <v>Manager</v>
      </c>
      <c r="AI977" t="str" cm="1">
        <f t="array" ref="AI977">_xlfn.IFS(O977=1,"Low",O977=2,"Medium",O977=3,"High",O977=4,"Very High")</f>
        <v>High</v>
      </c>
      <c r="AJ977" t="str" cm="1">
        <f t="array" ref="AJ977">_xlfn.IFS(U977=1,"Low",U977=2,"Good",U977=3,"Excellent",U977=4,"Outstanding")</f>
        <v>Excellent</v>
      </c>
      <c r="AK977" t="str" cm="1">
        <f t="array" ref="AK977">_xlfn.IFS(V977=1,"Low",V977=2,"Medium",V977=3,"High",V977=4,"Very High")</f>
        <v>High</v>
      </c>
      <c r="AL977" t="str" cm="1">
        <f t="array" ref="AL977">_xlfn.IFS(Z977=1,"Bad",Z977=2,"Good",Z977=3,"Better",Z977=4,"Best")</f>
        <v>Good</v>
      </c>
      <c r="AM977" t="str" cm="1">
        <f t="array" ref="AM977">_xlfn.IFS(W977=0,"No_stock",W977=1,"Low",W977=2,"Medium",W977=3,"High")</f>
        <v>No_stock</v>
      </c>
      <c r="AN977" t="str">
        <f t="shared" si="15"/>
        <v>Medium</v>
      </c>
    </row>
    <row r="978" spans="1:40" x14ac:dyDescent="0.45">
      <c r="A978">
        <v>56</v>
      </c>
      <c r="B978" t="s">
        <v>37</v>
      </c>
      <c r="C978" t="s">
        <v>31</v>
      </c>
      <c r="D978">
        <v>1369</v>
      </c>
      <c r="E978" t="s">
        <v>39</v>
      </c>
      <c r="F978">
        <v>23</v>
      </c>
      <c r="G978">
        <v>3</v>
      </c>
      <c r="H978" t="s">
        <v>33</v>
      </c>
      <c r="I978">
        <v>1373</v>
      </c>
      <c r="J978">
        <v>4</v>
      </c>
      <c r="K978" t="s">
        <v>40</v>
      </c>
      <c r="L978">
        <v>3</v>
      </c>
      <c r="M978">
        <v>4</v>
      </c>
      <c r="N978" t="s">
        <v>47</v>
      </c>
      <c r="O978">
        <v>2</v>
      </c>
      <c r="P978" t="s">
        <v>42</v>
      </c>
      <c r="Q978">
        <v>13402</v>
      </c>
      <c r="R978">
        <v>4</v>
      </c>
      <c r="S978" t="s">
        <v>30</v>
      </c>
      <c r="T978">
        <v>12</v>
      </c>
      <c r="U978">
        <v>3</v>
      </c>
      <c r="V978">
        <v>1</v>
      </c>
      <c r="W978">
        <v>1</v>
      </c>
      <c r="X978">
        <v>33</v>
      </c>
      <c r="Y978">
        <v>0</v>
      </c>
      <c r="Z978">
        <v>3</v>
      </c>
      <c r="AA978">
        <v>19</v>
      </c>
      <c r="AB978">
        <v>16</v>
      </c>
      <c r="AC978">
        <v>15</v>
      </c>
      <c r="AD978">
        <v>9</v>
      </c>
      <c r="AE978" t="str" cm="1">
        <f t="array" ref="AE978">_xlfn.IFS(G978=1,"Before College",G978=2,"College",G978=3,"Bachelor",G978=4,"Master",G978=5,"Doctor")</f>
        <v>Bachelor</v>
      </c>
      <c r="AF978" t="str" cm="1">
        <f t="array" ref="AF978">_xlfn.IFS(J978=1,"Low",J978=2,"Medium",J978=3,"High",J978=4,"Very High")</f>
        <v>Very High</v>
      </c>
      <c r="AG978" t="str" cm="1">
        <f t="array" ref="AG978">_xlfn.IFS(L978=1,"Low",L978=2,"Medium",L978=3,"High",L978=4,"Very High")</f>
        <v>High</v>
      </c>
      <c r="AH978" t="str" cm="1">
        <f t="array" ref="AH978">_xlfn.IFS(M978=1,"Junior employee",M978=2,"Mid-level",M978=3,"Senior",M978=4,"Manager",M978=5,"Executive")</f>
        <v>Manager</v>
      </c>
      <c r="AI978" t="str" cm="1">
        <f t="array" ref="AI978">_xlfn.IFS(O978=1,"Low",O978=2,"Medium",O978=3,"High",O978=4,"Very High")</f>
        <v>Medium</v>
      </c>
      <c r="AJ978" t="str" cm="1">
        <f t="array" ref="AJ978">_xlfn.IFS(U978=1,"Low",U978=2,"Good",U978=3,"Excellent",U978=4,"Outstanding")</f>
        <v>Excellent</v>
      </c>
      <c r="AK978" t="str" cm="1">
        <f t="array" ref="AK978">_xlfn.IFS(V978=1,"Low",V978=2,"Medium",V978=3,"High",V978=4,"Very High")</f>
        <v>Low</v>
      </c>
      <c r="AL978" t="str" cm="1">
        <f t="array" ref="AL978">_xlfn.IFS(Z978=1,"Bad",Z978=2,"Good",Z978=3,"Better",Z978=4,"Best")</f>
        <v>Better</v>
      </c>
      <c r="AM978" t="str" cm="1">
        <f t="array" ref="AM978">_xlfn.IFS(W978=0,"No_stock",W978=1,"Low",W978=2,"Medium",W978=3,"High")</f>
        <v>Low</v>
      </c>
      <c r="AN978" t="str">
        <f t="shared" si="15"/>
        <v>Far</v>
      </c>
    </row>
    <row r="979" spans="1:40" x14ac:dyDescent="0.45">
      <c r="A979">
        <v>34</v>
      </c>
      <c r="B979" t="s">
        <v>37</v>
      </c>
      <c r="C979" t="s">
        <v>49</v>
      </c>
      <c r="D979">
        <v>999</v>
      </c>
      <c r="E979" t="s">
        <v>39</v>
      </c>
      <c r="F979">
        <v>26</v>
      </c>
      <c r="G979">
        <v>1</v>
      </c>
      <c r="H979" t="s">
        <v>54</v>
      </c>
      <c r="I979">
        <v>1374</v>
      </c>
      <c r="J979">
        <v>1</v>
      </c>
      <c r="K979" t="s">
        <v>34</v>
      </c>
      <c r="L979">
        <v>2</v>
      </c>
      <c r="M979">
        <v>1</v>
      </c>
      <c r="N979" t="s">
        <v>41</v>
      </c>
      <c r="O979">
        <v>3</v>
      </c>
      <c r="P979" t="s">
        <v>46</v>
      </c>
      <c r="Q979">
        <v>2029</v>
      </c>
      <c r="R979">
        <v>1</v>
      </c>
      <c r="S979" t="s">
        <v>37</v>
      </c>
      <c r="T979">
        <v>20</v>
      </c>
      <c r="U979">
        <v>4</v>
      </c>
      <c r="V979">
        <v>3</v>
      </c>
      <c r="W979">
        <v>3</v>
      </c>
      <c r="X979">
        <v>5</v>
      </c>
      <c r="Y979">
        <v>2</v>
      </c>
      <c r="Z979">
        <v>3</v>
      </c>
      <c r="AA979">
        <v>5</v>
      </c>
      <c r="AB979">
        <v>4</v>
      </c>
      <c r="AC979">
        <v>0</v>
      </c>
      <c r="AD979">
        <v>0</v>
      </c>
      <c r="AE979" t="str" cm="1">
        <f t="array" ref="AE979">_xlfn.IFS(G979=1,"Before College",G979=2,"College",G979=3,"Bachelor",G979=4,"Master",G979=5,"Doctor")</f>
        <v>Before College</v>
      </c>
      <c r="AF979" t="str" cm="1">
        <f t="array" ref="AF979">_xlfn.IFS(J979=1,"Low",J979=2,"Medium",J979=3,"High",J979=4,"Very High")</f>
        <v>Low</v>
      </c>
      <c r="AG979" t="str" cm="1">
        <f t="array" ref="AG979">_xlfn.IFS(L979=1,"Low",L979=2,"Medium",L979=3,"High",L979=4,"Very High")</f>
        <v>Medium</v>
      </c>
      <c r="AH979" t="str" cm="1">
        <f t="array" ref="AH979">_xlfn.IFS(M979=1,"Junior employee",M979=2,"Mid-level",M979=3,"Senior",M979=4,"Manager",M979=5,"Executive")</f>
        <v>Junior employee</v>
      </c>
      <c r="AI979" t="str" cm="1">
        <f t="array" ref="AI979">_xlfn.IFS(O979=1,"Low",O979=2,"Medium",O979=3,"High",O979=4,"Very High")</f>
        <v>High</v>
      </c>
      <c r="AJ979" t="str" cm="1">
        <f t="array" ref="AJ979">_xlfn.IFS(U979=1,"Low",U979=2,"Good",U979=3,"Excellent",U979=4,"Outstanding")</f>
        <v>Outstanding</v>
      </c>
      <c r="AK979" t="str" cm="1">
        <f t="array" ref="AK979">_xlfn.IFS(V979=1,"Low",V979=2,"Medium",V979=3,"High",V979=4,"Very High")</f>
        <v>High</v>
      </c>
      <c r="AL979" t="str" cm="1">
        <f t="array" ref="AL979">_xlfn.IFS(Z979=1,"Bad",Z979=2,"Good",Z979=3,"Better",Z979=4,"Best")</f>
        <v>Better</v>
      </c>
      <c r="AM979" t="str" cm="1">
        <f t="array" ref="AM979">_xlfn.IFS(W979=0,"No_stock",W979=1,"Low",W979=2,"Medium",W979=3,"High")</f>
        <v>High</v>
      </c>
      <c r="AN979" t="str">
        <f t="shared" si="15"/>
        <v>Far</v>
      </c>
    </row>
    <row r="980" spans="1:40" x14ac:dyDescent="0.45">
      <c r="A980">
        <v>40</v>
      </c>
      <c r="B980" t="s">
        <v>37</v>
      </c>
      <c r="C980" t="s">
        <v>31</v>
      </c>
      <c r="D980">
        <v>1202</v>
      </c>
      <c r="E980" t="s">
        <v>39</v>
      </c>
      <c r="F980">
        <v>2</v>
      </c>
      <c r="G980">
        <v>1</v>
      </c>
      <c r="H980" t="s">
        <v>45</v>
      </c>
      <c r="I980">
        <v>1375</v>
      </c>
      <c r="J980">
        <v>2</v>
      </c>
      <c r="K980" t="s">
        <v>34</v>
      </c>
      <c r="L980">
        <v>4</v>
      </c>
      <c r="M980">
        <v>2</v>
      </c>
      <c r="N980" t="s">
        <v>48</v>
      </c>
      <c r="O980">
        <v>3</v>
      </c>
      <c r="P980" t="s">
        <v>46</v>
      </c>
      <c r="Q980">
        <v>6377</v>
      </c>
      <c r="R980">
        <v>5</v>
      </c>
      <c r="S980" t="s">
        <v>37</v>
      </c>
      <c r="T980">
        <v>20</v>
      </c>
      <c r="U980">
        <v>4</v>
      </c>
      <c r="V980">
        <v>2</v>
      </c>
      <c r="W980">
        <v>3</v>
      </c>
      <c r="X980">
        <v>15</v>
      </c>
      <c r="Y980">
        <v>0</v>
      </c>
      <c r="Z980">
        <v>3</v>
      </c>
      <c r="AA980">
        <v>12</v>
      </c>
      <c r="AB980">
        <v>11</v>
      </c>
      <c r="AC980">
        <v>11</v>
      </c>
      <c r="AD980">
        <v>8</v>
      </c>
      <c r="AE980" t="str" cm="1">
        <f t="array" ref="AE980">_xlfn.IFS(G980=1,"Before College",G980=2,"College",G980=3,"Bachelor",G980=4,"Master",G980=5,"Doctor")</f>
        <v>Before College</v>
      </c>
      <c r="AF980" t="str" cm="1">
        <f t="array" ref="AF980">_xlfn.IFS(J980=1,"Low",J980=2,"Medium",J980=3,"High",J980=4,"Very High")</f>
        <v>Medium</v>
      </c>
      <c r="AG980" t="str" cm="1">
        <f t="array" ref="AG980">_xlfn.IFS(L980=1,"Low",L980=2,"Medium",L980=3,"High",L980=4,"Very High")</f>
        <v>Very High</v>
      </c>
      <c r="AH980" t="str" cm="1">
        <f t="array" ref="AH980">_xlfn.IFS(M980=1,"Junior employee",M980=2,"Mid-level",M980=3,"Senior",M980=4,"Manager",M980=5,"Executive")</f>
        <v>Mid-level</v>
      </c>
      <c r="AI980" t="str" cm="1">
        <f t="array" ref="AI980">_xlfn.IFS(O980=1,"Low",O980=2,"Medium",O980=3,"High",O980=4,"Very High")</f>
        <v>High</v>
      </c>
      <c r="AJ980" t="str" cm="1">
        <f t="array" ref="AJ980">_xlfn.IFS(U980=1,"Low",U980=2,"Good",U980=3,"Excellent",U980=4,"Outstanding")</f>
        <v>Outstanding</v>
      </c>
      <c r="AK980" t="str" cm="1">
        <f t="array" ref="AK980">_xlfn.IFS(V980=1,"Low",V980=2,"Medium",V980=3,"High",V980=4,"Very High")</f>
        <v>Medium</v>
      </c>
      <c r="AL980" t="str" cm="1">
        <f t="array" ref="AL980">_xlfn.IFS(Z980=1,"Bad",Z980=2,"Good",Z980=3,"Better",Z980=4,"Best")</f>
        <v>Better</v>
      </c>
      <c r="AM980" t="str" cm="1">
        <f t="array" ref="AM980">_xlfn.IFS(W980=0,"No_stock",W980=1,"Low",W980=2,"Medium",W980=3,"High")</f>
        <v>High</v>
      </c>
      <c r="AN980" t="str">
        <f t="shared" si="15"/>
        <v>Near</v>
      </c>
    </row>
    <row r="981" spans="1:40" x14ac:dyDescent="0.45">
      <c r="A981">
        <v>34</v>
      </c>
      <c r="B981" t="s">
        <v>37</v>
      </c>
      <c r="C981" t="s">
        <v>31</v>
      </c>
      <c r="D981">
        <v>285</v>
      </c>
      <c r="E981" t="s">
        <v>39</v>
      </c>
      <c r="F981">
        <v>29</v>
      </c>
      <c r="G981">
        <v>3</v>
      </c>
      <c r="H981" t="s">
        <v>45</v>
      </c>
      <c r="I981">
        <v>1377</v>
      </c>
      <c r="J981">
        <v>2</v>
      </c>
      <c r="K981" t="s">
        <v>40</v>
      </c>
      <c r="L981">
        <v>3</v>
      </c>
      <c r="M981">
        <v>2</v>
      </c>
      <c r="N981" t="s">
        <v>44</v>
      </c>
      <c r="O981">
        <v>3</v>
      </c>
      <c r="P981" t="s">
        <v>42</v>
      </c>
      <c r="Q981">
        <v>5429</v>
      </c>
      <c r="R981">
        <v>4</v>
      </c>
      <c r="S981" t="s">
        <v>37</v>
      </c>
      <c r="T981">
        <v>13</v>
      </c>
      <c r="U981">
        <v>3</v>
      </c>
      <c r="V981">
        <v>1</v>
      </c>
      <c r="W981">
        <v>2</v>
      </c>
      <c r="X981">
        <v>10</v>
      </c>
      <c r="Y981">
        <v>1</v>
      </c>
      <c r="Z981">
        <v>3</v>
      </c>
      <c r="AA981">
        <v>8</v>
      </c>
      <c r="AB981">
        <v>7</v>
      </c>
      <c r="AC981">
        <v>7</v>
      </c>
      <c r="AD981">
        <v>7</v>
      </c>
      <c r="AE981" t="str" cm="1">
        <f t="array" ref="AE981">_xlfn.IFS(G981=1,"Before College",G981=2,"College",G981=3,"Bachelor",G981=4,"Master",G981=5,"Doctor")</f>
        <v>Bachelor</v>
      </c>
      <c r="AF981" t="str" cm="1">
        <f t="array" ref="AF981">_xlfn.IFS(J981=1,"Low",J981=2,"Medium",J981=3,"High",J981=4,"Very High")</f>
        <v>Medium</v>
      </c>
      <c r="AG981" t="str" cm="1">
        <f t="array" ref="AG981">_xlfn.IFS(L981=1,"Low",L981=2,"Medium",L981=3,"High",L981=4,"Very High")</f>
        <v>High</v>
      </c>
      <c r="AH981" t="str" cm="1">
        <f t="array" ref="AH981">_xlfn.IFS(M981=1,"Junior employee",M981=2,"Mid-level",M981=3,"Senior",M981=4,"Manager",M981=5,"Executive")</f>
        <v>Mid-level</v>
      </c>
      <c r="AI981" t="str" cm="1">
        <f t="array" ref="AI981">_xlfn.IFS(O981=1,"Low",O981=2,"Medium",O981=3,"High",O981=4,"Very High")</f>
        <v>High</v>
      </c>
      <c r="AJ981" t="str" cm="1">
        <f t="array" ref="AJ981">_xlfn.IFS(U981=1,"Low",U981=2,"Good",U981=3,"Excellent",U981=4,"Outstanding")</f>
        <v>Excellent</v>
      </c>
      <c r="AK981" t="str" cm="1">
        <f t="array" ref="AK981">_xlfn.IFS(V981=1,"Low",V981=2,"Medium",V981=3,"High",V981=4,"Very High")</f>
        <v>Low</v>
      </c>
      <c r="AL981" t="str" cm="1">
        <f t="array" ref="AL981">_xlfn.IFS(Z981=1,"Bad",Z981=2,"Good",Z981=3,"Better",Z981=4,"Best")</f>
        <v>Better</v>
      </c>
      <c r="AM981" t="str" cm="1">
        <f t="array" ref="AM981">_xlfn.IFS(W981=0,"No_stock",W981=1,"Low",W981=2,"Medium",W981=3,"High")</f>
        <v>Medium</v>
      </c>
      <c r="AN981" t="str">
        <f t="shared" si="15"/>
        <v>Far</v>
      </c>
    </row>
    <row r="982" spans="1:40" x14ac:dyDescent="0.45">
      <c r="A982">
        <v>31</v>
      </c>
      <c r="B982" t="s">
        <v>30</v>
      </c>
      <c r="C982" t="s">
        <v>38</v>
      </c>
      <c r="D982">
        <v>703</v>
      </c>
      <c r="E982" t="s">
        <v>32</v>
      </c>
      <c r="F982">
        <v>2</v>
      </c>
      <c r="G982">
        <v>3</v>
      </c>
      <c r="H982" t="s">
        <v>33</v>
      </c>
      <c r="I982">
        <v>1379</v>
      </c>
      <c r="J982">
        <v>3</v>
      </c>
      <c r="K982" t="s">
        <v>34</v>
      </c>
      <c r="L982">
        <v>2</v>
      </c>
      <c r="M982">
        <v>1</v>
      </c>
      <c r="N982" t="s">
        <v>51</v>
      </c>
      <c r="O982">
        <v>4</v>
      </c>
      <c r="P982" t="s">
        <v>36</v>
      </c>
      <c r="Q982">
        <v>2785</v>
      </c>
      <c r="R982">
        <v>7</v>
      </c>
      <c r="S982" t="s">
        <v>37</v>
      </c>
      <c r="T982">
        <v>14</v>
      </c>
      <c r="U982">
        <v>3</v>
      </c>
      <c r="V982">
        <v>3</v>
      </c>
      <c r="W982">
        <v>0</v>
      </c>
      <c r="X982">
        <v>3</v>
      </c>
      <c r="Y982">
        <v>3</v>
      </c>
      <c r="Z982">
        <v>4</v>
      </c>
      <c r="AA982">
        <v>1</v>
      </c>
      <c r="AB982">
        <v>0</v>
      </c>
      <c r="AC982">
        <v>0</v>
      </c>
      <c r="AD982">
        <v>0</v>
      </c>
      <c r="AE982" t="str" cm="1">
        <f t="array" ref="AE982">_xlfn.IFS(G982=1,"Before College",G982=2,"College",G982=3,"Bachelor",G982=4,"Master",G982=5,"Doctor")</f>
        <v>Bachelor</v>
      </c>
      <c r="AF982" t="str" cm="1">
        <f t="array" ref="AF982">_xlfn.IFS(J982=1,"Low",J982=2,"Medium",J982=3,"High",J982=4,"Very High")</f>
        <v>High</v>
      </c>
      <c r="AG982" t="str" cm="1">
        <f t="array" ref="AG982">_xlfn.IFS(L982=1,"Low",L982=2,"Medium",L982=3,"High",L982=4,"Very High")</f>
        <v>Medium</v>
      </c>
      <c r="AH982" t="str" cm="1">
        <f t="array" ref="AH982">_xlfn.IFS(M982=1,"Junior employee",M982=2,"Mid-level",M982=3,"Senior",M982=4,"Manager",M982=5,"Executive")</f>
        <v>Junior employee</v>
      </c>
      <c r="AI982" t="str" cm="1">
        <f t="array" ref="AI982">_xlfn.IFS(O982=1,"Low",O982=2,"Medium",O982=3,"High",O982=4,"Very High")</f>
        <v>Very High</v>
      </c>
      <c r="AJ982" t="str" cm="1">
        <f t="array" ref="AJ982">_xlfn.IFS(U982=1,"Low",U982=2,"Good",U982=3,"Excellent",U982=4,"Outstanding")</f>
        <v>Excellent</v>
      </c>
      <c r="AK982" t="str" cm="1">
        <f t="array" ref="AK982">_xlfn.IFS(V982=1,"Low",V982=2,"Medium",V982=3,"High",V982=4,"Very High")</f>
        <v>High</v>
      </c>
      <c r="AL982" t="str" cm="1">
        <f t="array" ref="AL982">_xlfn.IFS(Z982=1,"Bad",Z982=2,"Good",Z982=3,"Better",Z982=4,"Best")</f>
        <v>Best</v>
      </c>
      <c r="AM982" t="str" cm="1">
        <f t="array" ref="AM982">_xlfn.IFS(W982=0,"No_stock",W982=1,"Low",W982=2,"Medium",W982=3,"High")</f>
        <v>No_stock</v>
      </c>
      <c r="AN982" t="str">
        <f t="shared" si="15"/>
        <v>Near</v>
      </c>
    </row>
    <row r="983" spans="1:40" x14ac:dyDescent="0.45">
      <c r="A983">
        <v>35</v>
      </c>
      <c r="B983" t="s">
        <v>30</v>
      </c>
      <c r="C983" t="s">
        <v>38</v>
      </c>
      <c r="D983">
        <v>662</v>
      </c>
      <c r="E983" t="s">
        <v>32</v>
      </c>
      <c r="F983">
        <v>18</v>
      </c>
      <c r="G983">
        <v>4</v>
      </c>
      <c r="H983" t="s">
        <v>53</v>
      </c>
      <c r="I983">
        <v>1380</v>
      </c>
      <c r="J983">
        <v>4</v>
      </c>
      <c r="K983" t="s">
        <v>34</v>
      </c>
      <c r="L983">
        <v>3</v>
      </c>
      <c r="M983">
        <v>2</v>
      </c>
      <c r="N983" t="s">
        <v>35</v>
      </c>
      <c r="O983">
        <v>3</v>
      </c>
      <c r="P983" t="s">
        <v>42</v>
      </c>
      <c r="Q983">
        <v>4614</v>
      </c>
      <c r="R983">
        <v>0</v>
      </c>
      <c r="S983" t="s">
        <v>30</v>
      </c>
      <c r="T983">
        <v>18</v>
      </c>
      <c r="U983">
        <v>3</v>
      </c>
      <c r="V983">
        <v>3</v>
      </c>
      <c r="W983">
        <v>1</v>
      </c>
      <c r="X983">
        <v>5</v>
      </c>
      <c r="Y983">
        <v>0</v>
      </c>
      <c r="Z983">
        <v>2</v>
      </c>
      <c r="AA983">
        <v>4</v>
      </c>
      <c r="AB983">
        <v>2</v>
      </c>
      <c r="AC983">
        <v>3</v>
      </c>
      <c r="AD983">
        <v>2</v>
      </c>
      <c r="AE983" t="str" cm="1">
        <f t="array" ref="AE983">_xlfn.IFS(G983=1,"Before College",G983=2,"College",G983=3,"Bachelor",G983=4,"Master",G983=5,"Doctor")</f>
        <v>Master</v>
      </c>
      <c r="AF983" t="str" cm="1">
        <f t="array" ref="AF983">_xlfn.IFS(J983=1,"Low",J983=2,"Medium",J983=3,"High",J983=4,"Very High")</f>
        <v>Very High</v>
      </c>
      <c r="AG983" t="str" cm="1">
        <f t="array" ref="AG983">_xlfn.IFS(L983=1,"Low",L983=2,"Medium",L983=3,"High",L983=4,"Very High")</f>
        <v>High</v>
      </c>
      <c r="AH983" t="str" cm="1">
        <f t="array" ref="AH983">_xlfn.IFS(M983=1,"Junior employee",M983=2,"Mid-level",M983=3,"Senior",M983=4,"Manager",M983=5,"Executive")</f>
        <v>Mid-level</v>
      </c>
      <c r="AI983" t="str" cm="1">
        <f t="array" ref="AI983">_xlfn.IFS(O983=1,"Low",O983=2,"Medium",O983=3,"High",O983=4,"Very High")</f>
        <v>High</v>
      </c>
      <c r="AJ983" t="str" cm="1">
        <f t="array" ref="AJ983">_xlfn.IFS(U983=1,"Low",U983=2,"Good",U983=3,"Excellent",U983=4,"Outstanding")</f>
        <v>Excellent</v>
      </c>
      <c r="AK983" t="str" cm="1">
        <f t="array" ref="AK983">_xlfn.IFS(V983=1,"Low",V983=2,"Medium",V983=3,"High",V983=4,"Very High")</f>
        <v>High</v>
      </c>
      <c r="AL983" t="str" cm="1">
        <f t="array" ref="AL983">_xlfn.IFS(Z983=1,"Bad",Z983=2,"Good",Z983=3,"Better",Z983=4,"Best")</f>
        <v>Good</v>
      </c>
      <c r="AM983" t="str" cm="1">
        <f t="array" ref="AM983">_xlfn.IFS(W983=0,"No_stock",W983=1,"Low",W983=2,"Medium",W983=3,"High")</f>
        <v>Low</v>
      </c>
      <c r="AN983" t="str">
        <f t="shared" si="15"/>
        <v>Far</v>
      </c>
    </row>
    <row r="984" spans="1:40" x14ac:dyDescent="0.45">
      <c r="A984">
        <v>38</v>
      </c>
      <c r="B984" t="s">
        <v>37</v>
      </c>
      <c r="C984" t="s">
        <v>38</v>
      </c>
      <c r="D984">
        <v>693</v>
      </c>
      <c r="E984" t="s">
        <v>39</v>
      </c>
      <c r="F984">
        <v>7</v>
      </c>
      <c r="G984">
        <v>3</v>
      </c>
      <c r="H984" t="s">
        <v>33</v>
      </c>
      <c r="I984">
        <v>1382</v>
      </c>
      <c r="J984">
        <v>4</v>
      </c>
      <c r="K984" t="s">
        <v>40</v>
      </c>
      <c r="L984">
        <v>4</v>
      </c>
      <c r="M984">
        <v>1</v>
      </c>
      <c r="N984" t="s">
        <v>41</v>
      </c>
      <c r="O984">
        <v>3</v>
      </c>
      <c r="P984" t="s">
        <v>46</v>
      </c>
      <c r="Q984">
        <v>2610</v>
      </c>
      <c r="R984">
        <v>1</v>
      </c>
      <c r="S984" t="s">
        <v>37</v>
      </c>
      <c r="T984">
        <v>11</v>
      </c>
      <c r="U984">
        <v>3</v>
      </c>
      <c r="V984">
        <v>4</v>
      </c>
      <c r="W984">
        <v>3</v>
      </c>
      <c r="X984">
        <v>4</v>
      </c>
      <c r="Y984">
        <v>2</v>
      </c>
      <c r="Z984">
        <v>3</v>
      </c>
      <c r="AA984">
        <v>4</v>
      </c>
      <c r="AB984">
        <v>2</v>
      </c>
      <c r="AC984">
        <v>0</v>
      </c>
      <c r="AD984">
        <v>3</v>
      </c>
      <c r="AE984" t="str" cm="1">
        <f t="array" ref="AE984">_xlfn.IFS(G984=1,"Before College",G984=2,"College",G984=3,"Bachelor",G984=4,"Master",G984=5,"Doctor")</f>
        <v>Bachelor</v>
      </c>
      <c r="AF984" t="str" cm="1">
        <f t="array" ref="AF984">_xlfn.IFS(J984=1,"Low",J984=2,"Medium",J984=3,"High",J984=4,"Very High")</f>
        <v>Very High</v>
      </c>
      <c r="AG984" t="str" cm="1">
        <f t="array" ref="AG984">_xlfn.IFS(L984=1,"Low",L984=2,"Medium",L984=3,"High",L984=4,"Very High")</f>
        <v>Very High</v>
      </c>
      <c r="AH984" t="str" cm="1">
        <f t="array" ref="AH984">_xlfn.IFS(M984=1,"Junior employee",M984=2,"Mid-level",M984=3,"Senior",M984=4,"Manager",M984=5,"Executive")</f>
        <v>Junior employee</v>
      </c>
      <c r="AI984" t="str" cm="1">
        <f t="array" ref="AI984">_xlfn.IFS(O984=1,"Low",O984=2,"Medium",O984=3,"High",O984=4,"Very High")</f>
        <v>High</v>
      </c>
      <c r="AJ984" t="str" cm="1">
        <f t="array" ref="AJ984">_xlfn.IFS(U984=1,"Low",U984=2,"Good",U984=3,"Excellent",U984=4,"Outstanding")</f>
        <v>Excellent</v>
      </c>
      <c r="AK984" t="str" cm="1">
        <f t="array" ref="AK984">_xlfn.IFS(V984=1,"Low",V984=2,"Medium",V984=3,"High",V984=4,"Very High")</f>
        <v>Very High</v>
      </c>
      <c r="AL984" t="str" cm="1">
        <f t="array" ref="AL984">_xlfn.IFS(Z984=1,"Bad",Z984=2,"Good",Z984=3,"Better",Z984=4,"Best")</f>
        <v>Better</v>
      </c>
      <c r="AM984" t="str" cm="1">
        <f t="array" ref="AM984">_xlfn.IFS(W984=0,"No_stock",W984=1,"Low",W984=2,"Medium",W984=3,"High")</f>
        <v>High</v>
      </c>
      <c r="AN984" t="str">
        <f t="shared" si="15"/>
        <v>Medium</v>
      </c>
    </row>
    <row r="985" spans="1:40" x14ac:dyDescent="0.45">
      <c r="A985">
        <v>34</v>
      </c>
      <c r="B985" t="s">
        <v>37</v>
      </c>
      <c r="C985" t="s">
        <v>31</v>
      </c>
      <c r="D985">
        <v>404</v>
      </c>
      <c r="E985" t="s">
        <v>39</v>
      </c>
      <c r="F985">
        <v>2</v>
      </c>
      <c r="G985">
        <v>4</v>
      </c>
      <c r="H985" t="s">
        <v>54</v>
      </c>
      <c r="I985">
        <v>1383</v>
      </c>
      <c r="J985">
        <v>3</v>
      </c>
      <c r="K985" t="s">
        <v>34</v>
      </c>
      <c r="L985">
        <v>3</v>
      </c>
      <c r="M985">
        <v>2</v>
      </c>
      <c r="N985" t="s">
        <v>48</v>
      </c>
      <c r="O985">
        <v>4</v>
      </c>
      <c r="P985" t="s">
        <v>36</v>
      </c>
      <c r="Q985">
        <v>6687</v>
      </c>
      <c r="R985">
        <v>1</v>
      </c>
      <c r="S985" t="s">
        <v>37</v>
      </c>
      <c r="T985">
        <v>11</v>
      </c>
      <c r="U985">
        <v>3</v>
      </c>
      <c r="V985">
        <v>4</v>
      </c>
      <c r="W985">
        <v>0</v>
      </c>
      <c r="X985">
        <v>14</v>
      </c>
      <c r="Y985">
        <v>2</v>
      </c>
      <c r="Z985">
        <v>4</v>
      </c>
      <c r="AA985">
        <v>14</v>
      </c>
      <c r="AB985">
        <v>11</v>
      </c>
      <c r="AC985">
        <v>4</v>
      </c>
      <c r="AD985">
        <v>11</v>
      </c>
      <c r="AE985" t="str" cm="1">
        <f t="array" ref="AE985">_xlfn.IFS(G985=1,"Before College",G985=2,"College",G985=3,"Bachelor",G985=4,"Master",G985=5,"Doctor")</f>
        <v>Master</v>
      </c>
      <c r="AF985" t="str" cm="1">
        <f t="array" ref="AF985">_xlfn.IFS(J985=1,"Low",J985=2,"Medium",J985=3,"High",J985=4,"Very High")</f>
        <v>High</v>
      </c>
      <c r="AG985" t="str" cm="1">
        <f t="array" ref="AG985">_xlfn.IFS(L985=1,"Low",L985=2,"Medium",L985=3,"High",L985=4,"Very High")</f>
        <v>High</v>
      </c>
      <c r="AH985" t="str" cm="1">
        <f t="array" ref="AH985">_xlfn.IFS(M985=1,"Junior employee",M985=2,"Mid-level",M985=3,"Senior",M985=4,"Manager",M985=5,"Executive")</f>
        <v>Mid-level</v>
      </c>
      <c r="AI985" t="str" cm="1">
        <f t="array" ref="AI985">_xlfn.IFS(O985=1,"Low",O985=2,"Medium",O985=3,"High",O985=4,"Very High")</f>
        <v>Very High</v>
      </c>
      <c r="AJ985" t="str" cm="1">
        <f t="array" ref="AJ985">_xlfn.IFS(U985=1,"Low",U985=2,"Good",U985=3,"Excellent",U985=4,"Outstanding")</f>
        <v>Excellent</v>
      </c>
      <c r="AK985" t="str" cm="1">
        <f t="array" ref="AK985">_xlfn.IFS(V985=1,"Low",V985=2,"Medium",V985=3,"High",V985=4,"Very High")</f>
        <v>Very High</v>
      </c>
      <c r="AL985" t="str" cm="1">
        <f t="array" ref="AL985">_xlfn.IFS(Z985=1,"Bad",Z985=2,"Good",Z985=3,"Better",Z985=4,"Best")</f>
        <v>Best</v>
      </c>
      <c r="AM985" t="str" cm="1">
        <f t="array" ref="AM985">_xlfn.IFS(W985=0,"No_stock",W985=1,"Low",W985=2,"Medium",W985=3,"High")</f>
        <v>No_stock</v>
      </c>
      <c r="AN985" t="str">
        <f t="shared" si="15"/>
        <v>Near</v>
      </c>
    </row>
    <row r="986" spans="1:40" x14ac:dyDescent="0.45">
      <c r="A986">
        <v>28</v>
      </c>
      <c r="B986" t="s">
        <v>37</v>
      </c>
      <c r="C986" t="s">
        <v>31</v>
      </c>
      <c r="D986">
        <v>736</v>
      </c>
      <c r="E986" t="s">
        <v>32</v>
      </c>
      <c r="F986">
        <v>26</v>
      </c>
      <c r="G986">
        <v>3</v>
      </c>
      <c r="H986" t="s">
        <v>33</v>
      </c>
      <c r="I986">
        <v>1387</v>
      </c>
      <c r="J986">
        <v>3</v>
      </c>
      <c r="K986" t="s">
        <v>40</v>
      </c>
      <c r="L986">
        <v>2</v>
      </c>
      <c r="M986">
        <v>2</v>
      </c>
      <c r="N986" t="s">
        <v>35</v>
      </c>
      <c r="O986">
        <v>1</v>
      </c>
      <c r="P986" t="s">
        <v>42</v>
      </c>
      <c r="Q986">
        <v>4724</v>
      </c>
      <c r="R986">
        <v>1</v>
      </c>
      <c r="S986" t="s">
        <v>37</v>
      </c>
      <c r="T986">
        <v>11</v>
      </c>
      <c r="U986">
        <v>3</v>
      </c>
      <c r="V986">
        <v>3</v>
      </c>
      <c r="W986">
        <v>1</v>
      </c>
      <c r="X986">
        <v>5</v>
      </c>
      <c r="Y986">
        <v>0</v>
      </c>
      <c r="Z986">
        <v>3</v>
      </c>
      <c r="AA986">
        <v>5</v>
      </c>
      <c r="AB986">
        <v>3</v>
      </c>
      <c r="AC986">
        <v>0</v>
      </c>
      <c r="AD986">
        <v>4</v>
      </c>
      <c r="AE986" t="str" cm="1">
        <f t="array" ref="AE986">_xlfn.IFS(G986=1,"Before College",G986=2,"College",G986=3,"Bachelor",G986=4,"Master",G986=5,"Doctor")</f>
        <v>Bachelor</v>
      </c>
      <c r="AF986" t="str" cm="1">
        <f t="array" ref="AF986">_xlfn.IFS(J986=1,"Low",J986=2,"Medium",J986=3,"High",J986=4,"Very High")</f>
        <v>High</v>
      </c>
      <c r="AG986" t="str" cm="1">
        <f t="array" ref="AG986">_xlfn.IFS(L986=1,"Low",L986=2,"Medium",L986=3,"High",L986=4,"Very High")</f>
        <v>Medium</v>
      </c>
      <c r="AH986" t="str" cm="1">
        <f t="array" ref="AH986">_xlfn.IFS(M986=1,"Junior employee",M986=2,"Mid-level",M986=3,"Senior",M986=4,"Manager",M986=5,"Executive")</f>
        <v>Mid-level</v>
      </c>
      <c r="AI986" t="str" cm="1">
        <f t="array" ref="AI986">_xlfn.IFS(O986=1,"Low",O986=2,"Medium",O986=3,"High",O986=4,"Very High")</f>
        <v>Low</v>
      </c>
      <c r="AJ986" t="str" cm="1">
        <f t="array" ref="AJ986">_xlfn.IFS(U986=1,"Low",U986=2,"Good",U986=3,"Excellent",U986=4,"Outstanding")</f>
        <v>Excellent</v>
      </c>
      <c r="AK986" t="str" cm="1">
        <f t="array" ref="AK986">_xlfn.IFS(V986=1,"Low",V986=2,"Medium",V986=3,"High",V986=4,"Very High")</f>
        <v>High</v>
      </c>
      <c r="AL986" t="str" cm="1">
        <f t="array" ref="AL986">_xlfn.IFS(Z986=1,"Bad",Z986=2,"Good",Z986=3,"Better",Z986=4,"Best")</f>
        <v>Better</v>
      </c>
      <c r="AM986" t="str" cm="1">
        <f t="array" ref="AM986">_xlfn.IFS(W986=0,"No_stock",W986=1,"Low",W986=2,"Medium",W986=3,"High")</f>
        <v>Low</v>
      </c>
      <c r="AN986" t="str">
        <f t="shared" si="15"/>
        <v>Far</v>
      </c>
    </row>
    <row r="987" spans="1:40" x14ac:dyDescent="0.45">
      <c r="A987">
        <v>31</v>
      </c>
      <c r="B987" t="s">
        <v>30</v>
      </c>
      <c r="C987" t="s">
        <v>31</v>
      </c>
      <c r="D987">
        <v>330</v>
      </c>
      <c r="E987" t="s">
        <v>39</v>
      </c>
      <c r="F987">
        <v>22</v>
      </c>
      <c r="G987">
        <v>4</v>
      </c>
      <c r="H987" t="s">
        <v>45</v>
      </c>
      <c r="I987">
        <v>1389</v>
      </c>
      <c r="J987">
        <v>4</v>
      </c>
      <c r="K987" t="s">
        <v>40</v>
      </c>
      <c r="L987">
        <v>3</v>
      </c>
      <c r="M987">
        <v>2</v>
      </c>
      <c r="N987" t="s">
        <v>47</v>
      </c>
      <c r="O987">
        <v>3</v>
      </c>
      <c r="P987" t="s">
        <v>42</v>
      </c>
      <c r="Q987">
        <v>6179</v>
      </c>
      <c r="R987">
        <v>1</v>
      </c>
      <c r="S987" t="s">
        <v>30</v>
      </c>
      <c r="T987">
        <v>15</v>
      </c>
      <c r="U987">
        <v>3</v>
      </c>
      <c r="V987">
        <v>4</v>
      </c>
      <c r="W987">
        <v>2</v>
      </c>
      <c r="X987">
        <v>10</v>
      </c>
      <c r="Y987">
        <v>3</v>
      </c>
      <c r="Z987">
        <v>2</v>
      </c>
      <c r="AA987">
        <v>10</v>
      </c>
      <c r="AB987">
        <v>2</v>
      </c>
      <c r="AC987">
        <v>6</v>
      </c>
      <c r="AD987">
        <v>7</v>
      </c>
      <c r="AE987" t="str" cm="1">
        <f t="array" ref="AE987">_xlfn.IFS(G987=1,"Before College",G987=2,"College",G987=3,"Bachelor",G987=4,"Master",G987=5,"Doctor")</f>
        <v>Master</v>
      </c>
      <c r="AF987" t="str" cm="1">
        <f t="array" ref="AF987">_xlfn.IFS(J987=1,"Low",J987=2,"Medium",J987=3,"High",J987=4,"Very High")</f>
        <v>Very High</v>
      </c>
      <c r="AG987" t="str" cm="1">
        <f t="array" ref="AG987">_xlfn.IFS(L987=1,"Low",L987=2,"Medium",L987=3,"High",L987=4,"Very High")</f>
        <v>High</v>
      </c>
      <c r="AH987" t="str" cm="1">
        <f t="array" ref="AH987">_xlfn.IFS(M987=1,"Junior employee",M987=2,"Mid-level",M987=3,"Senior",M987=4,"Manager",M987=5,"Executive")</f>
        <v>Mid-level</v>
      </c>
      <c r="AI987" t="str" cm="1">
        <f t="array" ref="AI987">_xlfn.IFS(O987=1,"Low",O987=2,"Medium",O987=3,"High",O987=4,"Very High")</f>
        <v>High</v>
      </c>
      <c r="AJ987" t="str" cm="1">
        <f t="array" ref="AJ987">_xlfn.IFS(U987=1,"Low",U987=2,"Good",U987=3,"Excellent",U987=4,"Outstanding")</f>
        <v>Excellent</v>
      </c>
      <c r="AK987" t="str" cm="1">
        <f t="array" ref="AK987">_xlfn.IFS(V987=1,"Low",V987=2,"Medium",V987=3,"High",V987=4,"Very High")</f>
        <v>Very High</v>
      </c>
      <c r="AL987" t="str" cm="1">
        <f t="array" ref="AL987">_xlfn.IFS(Z987=1,"Bad",Z987=2,"Good",Z987=3,"Better",Z987=4,"Best")</f>
        <v>Good</v>
      </c>
      <c r="AM987" t="str" cm="1">
        <f t="array" ref="AM987">_xlfn.IFS(W987=0,"No_stock",W987=1,"Low",W987=2,"Medium",W987=3,"High")</f>
        <v>Medium</v>
      </c>
      <c r="AN987" t="str">
        <f t="shared" si="15"/>
        <v>Far</v>
      </c>
    </row>
    <row r="988" spans="1:40" x14ac:dyDescent="0.45">
      <c r="A988">
        <v>39</v>
      </c>
      <c r="B988" t="s">
        <v>37</v>
      </c>
      <c r="C988" t="s">
        <v>31</v>
      </c>
      <c r="D988">
        <v>1498</v>
      </c>
      <c r="E988" t="s">
        <v>32</v>
      </c>
      <c r="F988">
        <v>21</v>
      </c>
      <c r="G988">
        <v>4</v>
      </c>
      <c r="H988" t="s">
        <v>33</v>
      </c>
      <c r="I988">
        <v>1390</v>
      </c>
      <c r="J988">
        <v>1</v>
      </c>
      <c r="K988" t="s">
        <v>40</v>
      </c>
      <c r="L988">
        <v>2</v>
      </c>
      <c r="M988">
        <v>2</v>
      </c>
      <c r="N988" t="s">
        <v>35</v>
      </c>
      <c r="O988">
        <v>4</v>
      </c>
      <c r="P988" t="s">
        <v>42</v>
      </c>
      <c r="Q988">
        <v>6120</v>
      </c>
      <c r="R988">
        <v>3</v>
      </c>
      <c r="S988" t="s">
        <v>30</v>
      </c>
      <c r="T988">
        <v>12</v>
      </c>
      <c r="U988">
        <v>3</v>
      </c>
      <c r="V988">
        <v>4</v>
      </c>
      <c r="W988">
        <v>2</v>
      </c>
      <c r="X988">
        <v>8</v>
      </c>
      <c r="Y988">
        <v>2</v>
      </c>
      <c r="Z988">
        <v>4</v>
      </c>
      <c r="AA988">
        <v>5</v>
      </c>
      <c r="AB988">
        <v>4</v>
      </c>
      <c r="AC988">
        <v>1</v>
      </c>
      <c r="AD988">
        <v>4</v>
      </c>
      <c r="AE988" t="str" cm="1">
        <f t="array" ref="AE988">_xlfn.IFS(G988=1,"Before College",G988=2,"College",G988=3,"Bachelor",G988=4,"Master",G988=5,"Doctor")</f>
        <v>Master</v>
      </c>
      <c r="AF988" t="str" cm="1">
        <f t="array" ref="AF988">_xlfn.IFS(J988=1,"Low",J988=2,"Medium",J988=3,"High",J988=4,"Very High")</f>
        <v>Low</v>
      </c>
      <c r="AG988" t="str" cm="1">
        <f t="array" ref="AG988">_xlfn.IFS(L988=1,"Low",L988=2,"Medium",L988=3,"High",L988=4,"Very High")</f>
        <v>Medium</v>
      </c>
      <c r="AH988" t="str" cm="1">
        <f t="array" ref="AH988">_xlfn.IFS(M988=1,"Junior employee",M988=2,"Mid-level",M988=3,"Senior",M988=4,"Manager",M988=5,"Executive")</f>
        <v>Mid-level</v>
      </c>
      <c r="AI988" t="str" cm="1">
        <f t="array" ref="AI988">_xlfn.IFS(O988=1,"Low",O988=2,"Medium",O988=3,"High",O988=4,"Very High")</f>
        <v>Very High</v>
      </c>
      <c r="AJ988" t="str" cm="1">
        <f t="array" ref="AJ988">_xlfn.IFS(U988=1,"Low",U988=2,"Good",U988=3,"Excellent",U988=4,"Outstanding")</f>
        <v>Excellent</v>
      </c>
      <c r="AK988" t="str" cm="1">
        <f t="array" ref="AK988">_xlfn.IFS(V988=1,"Low",V988=2,"Medium",V988=3,"High",V988=4,"Very High")</f>
        <v>Very High</v>
      </c>
      <c r="AL988" t="str" cm="1">
        <f t="array" ref="AL988">_xlfn.IFS(Z988=1,"Bad",Z988=2,"Good",Z988=3,"Better",Z988=4,"Best")</f>
        <v>Best</v>
      </c>
      <c r="AM988" t="str" cm="1">
        <f t="array" ref="AM988">_xlfn.IFS(W988=0,"No_stock",W988=1,"Low",W988=2,"Medium",W988=3,"High")</f>
        <v>Medium</v>
      </c>
      <c r="AN988" t="str">
        <f t="shared" si="15"/>
        <v>Far</v>
      </c>
    </row>
    <row r="989" spans="1:40" x14ac:dyDescent="0.45">
      <c r="A989">
        <v>51</v>
      </c>
      <c r="B989" t="s">
        <v>37</v>
      </c>
      <c r="C989" t="s">
        <v>38</v>
      </c>
      <c r="D989">
        <v>541</v>
      </c>
      <c r="E989" t="s">
        <v>32</v>
      </c>
      <c r="F989">
        <v>2</v>
      </c>
      <c r="G989">
        <v>3</v>
      </c>
      <c r="H989" t="s">
        <v>53</v>
      </c>
      <c r="I989">
        <v>1391</v>
      </c>
      <c r="J989">
        <v>2</v>
      </c>
      <c r="K989" t="s">
        <v>40</v>
      </c>
      <c r="L989">
        <v>3</v>
      </c>
      <c r="M989">
        <v>3</v>
      </c>
      <c r="N989" t="s">
        <v>35</v>
      </c>
      <c r="O989">
        <v>2</v>
      </c>
      <c r="P989" t="s">
        <v>42</v>
      </c>
      <c r="Q989">
        <v>10596</v>
      </c>
      <c r="R989">
        <v>2</v>
      </c>
      <c r="S989" t="s">
        <v>37</v>
      </c>
      <c r="T989">
        <v>11</v>
      </c>
      <c r="U989">
        <v>3</v>
      </c>
      <c r="V989">
        <v>2</v>
      </c>
      <c r="W989">
        <v>0</v>
      </c>
      <c r="X989">
        <v>14</v>
      </c>
      <c r="Y989">
        <v>5</v>
      </c>
      <c r="Z989">
        <v>3</v>
      </c>
      <c r="AA989">
        <v>4</v>
      </c>
      <c r="AB989">
        <v>2</v>
      </c>
      <c r="AC989">
        <v>3</v>
      </c>
      <c r="AD989">
        <v>2</v>
      </c>
      <c r="AE989" t="str" cm="1">
        <f t="array" ref="AE989">_xlfn.IFS(G989=1,"Before College",G989=2,"College",G989=3,"Bachelor",G989=4,"Master",G989=5,"Doctor")</f>
        <v>Bachelor</v>
      </c>
      <c r="AF989" t="str" cm="1">
        <f t="array" ref="AF989">_xlfn.IFS(J989=1,"Low",J989=2,"Medium",J989=3,"High",J989=4,"Very High")</f>
        <v>Medium</v>
      </c>
      <c r="AG989" t="str" cm="1">
        <f t="array" ref="AG989">_xlfn.IFS(L989=1,"Low",L989=2,"Medium",L989=3,"High",L989=4,"Very High")</f>
        <v>High</v>
      </c>
      <c r="AH989" t="str" cm="1">
        <f t="array" ref="AH989">_xlfn.IFS(M989=1,"Junior employee",M989=2,"Mid-level",M989=3,"Senior",M989=4,"Manager",M989=5,"Executive")</f>
        <v>Senior</v>
      </c>
      <c r="AI989" t="str" cm="1">
        <f t="array" ref="AI989">_xlfn.IFS(O989=1,"Low",O989=2,"Medium",O989=3,"High",O989=4,"Very High")</f>
        <v>Medium</v>
      </c>
      <c r="AJ989" t="str" cm="1">
        <f t="array" ref="AJ989">_xlfn.IFS(U989=1,"Low",U989=2,"Good",U989=3,"Excellent",U989=4,"Outstanding")</f>
        <v>Excellent</v>
      </c>
      <c r="AK989" t="str" cm="1">
        <f t="array" ref="AK989">_xlfn.IFS(V989=1,"Low",V989=2,"Medium",V989=3,"High",V989=4,"Very High")</f>
        <v>Medium</v>
      </c>
      <c r="AL989" t="str" cm="1">
        <f t="array" ref="AL989">_xlfn.IFS(Z989=1,"Bad",Z989=2,"Good",Z989=3,"Better",Z989=4,"Best")</f>
        <v>Better</v>
      </c>
      <c r="AM989" t="str" cm="1">
        <f t="array" ref="AM989">_xlfn.IFS(W989=0,"No_stock",W989=1,"Low",W989=2,"Medium",W989=3,"High")</f>
        <v>No_stock</v>
      </c>
      <c r="AN989" t="str">
        <f t="shared" si="15"/>
        <v>Near</v>
      </c>
    </row>
    <row r="990" spans="1:40" x14ac:dyDescent="0.45">
      <c r="A990">
        <v>41</v>
      </c>
      <c r="B990" t="s">
        <v>37</v>
      </c>
      <c r="C990" t="s">
        <v>38</v>
      </c>
      <c r="D990">
        <v>1200</v>
      </c>
      <c r="E990" t="s">
        <v>39</v>
      </c>
      <c r="F990">
        <v>22</v>
      </c>
      <c r="G990">
        <v>3</v>
      </c>
      <c r="H990" t="s">
        <v>33</v>
      </c>
      <c r="I990">
        <v>1392</v>
      </c>
      <c r="J990">
        <v>4</v>
      </c>
      <c r="K990" t="s">
        <v>34</v>
      </c>
      <c r="L990">
        <v>3</v>
      </c>
      <c r="M990">
        <v>2</v>
      </c>
      <c r="N990" t="s">
        <v>41</v>
      </c>
      <c r="O990">
        <v>4</v>
      </c>
      <c r="P990" t="s">
        <v>46</v>
      </c>
      <c r="Q990">
        <v>5467</v>
      </c>
      <c r="R990">
        <v>3</v>
      </c>
      <c r="S990" t="s">
        <v>30</v>
      </c>
      <c r="T990">
        <v>14</v>
      </c>
      <c r="U990">
        <v>3</v>
      </c>
      <c r="V990">
        <v>1</v>
      </c>
      <c r="W990">
        <v>2</v>
      </c>
      <c r="X990">
        <v>12</v>
      </c>
      <c r="Y990">
        <v>4</v>
      </c>
      <c r="Z990">
        <v>2</v>
      </c>
      <c r="AA990">
        <v>6</v>
      </c>
      <c r="AB990">
        <v>2</v>
      </c>
      <c r="AC990">
        <v>3</v>
      </c>
      <c r="AD990">
        <v>3</v>
      </c>
      <c r="AE990" t="str" cm="1">
        <f t="array" ref="AE990">_xlfn.IFS(G990=1,"Before College",G990=2,"College",G990=3,"Bachelor",G990=4,"Master",G990=5,"Doctor")</f>
        <v>Bachelor</v>
      </c>
      <c r="AF990" t="str" cm="1">
        <f t="array" ref="AF990">_xlfn.IFS(J990=1,"Low",J990=2,"Medium",J990=3,"High",J990=4,"Very High")</f>
        <v>Very High</v>
      </c>
      <c r="AG990" t="str" cm="1">
        <f t="array" ref="AG990">_xlfn.IFS(L990=1,"Low",L990=2,"Medium",L990=3,"High",L990=4,"Very High")</f>
        <v>High</v>
      </c>
      <c r="AH990" t="str" cm="1">
        <f t="array" ref="AH990">_xlfn.IFS(M990=1,"Junior employee",M990=2,"Mid-level",M990=3,"Senior",M990=4,"Manager",M990=5,"Executive")</f>
        <v>Mid-level</v>
      </c>
      <c r="AI990" t="str" cm="1">
        <f t="array" ref="AI990">_xlfn.IFS(O990=1,"Low",O990=2,"Medium",O990=3,"High",O990=4,"Very High")</f>
        <v>Very High</v>
      </c>
      <c r="AJ990" t="str" cm="1">
        <f t="array" ref="AJ990">_xlfn.IFS(U990=1,"Low",U990=2,"Good",U990=3,"Excellent",U990=4,"Outstanding")</f>
        <v>Excellent</v>
      </c>
      <c r="AK990" t="str" cm="1">
        <f t="array" ref="AK990">_xlfn.IFS(V990=1,"Low",V990=2,"Medium",V990=3,"High",V990=4,"Very High")</f>
        <v>Low</v>
      </c>
      <c r="AL990" t="str" cm="1">
        <f t="array" ref="AL990">_xlfn.IFS(Z990=1,"Bad",Z990=2,"Good",Z990=3,"Better",Z990=4,"Best")</f>
        <v>Good</v>
      </c>
      <c r="AM990" t="str" cm="1">
        <f t="array" ref="AM990">_xlfn.IFS(W990=0,"No_stock",W990=1,"Low",W990=2,"Medium",W990=3,"High")</f>
        <v>Medium</v>
      </c>
      <c r="AN990" t="str">
        <f t="shared" si="15"/>
        <v>Far</v>
      </c>
    </row>
    <row r="991" spans="1:40" x14ac:dyDescent="0.45">
      <c r="A991">
        <v>37</v>
      </c>
      <c r="B991" t="s">
        <v>37</v>
      </c>
      <c r="C991" t="s">
        <v>31</v>
      </c>
      <c r="D991">
        <v>1439</v>
      </c>
      <c r="E991" t="s">
        <v>39</v>
      </c>
      <c r="F991">
        <v>4</v>
      </c>
      <c r="G991">
        <v>1</v>
      </c>
      <c r="H991" t="s">
        <v>33</v>
      </c>
      <c r="I991">
        <v>1394</v>
      </c>
      <c r="J991">
        <v>3</v>
      </c>
      <c r="K991" t="s">
        <v>40</v>
      </c>
      <c r="L991">
        <v>3</v>
      </c>
      <c r="M991">
        <v>1</v>
      </c>
      <c r="N991" t="s">
        <v>41</v>
      </c>
      <c r="O991">
        <v>3</v>
      </c>
      <c r="P991" t="s">
        <v>42</v>
      </c>
      <c r="Q991">
        <v>2996</v>
      </c>
      <c r="R991">
        <v>7</v>
      </c>
      <c r="S991" t="s">
        <v>30</v>
      </c>
      <c r="T991">
        <v>15</v>
      </c>
      <c r="U991">
        <v>3</v>
      </c>
      <c r="V991">
        <v>4</v>
      </c>
      <c r="W991">
        <v>0</v>
      </c>
      <c r="X991">
        <v>8</v>
      </c>
      <c r="Y991">
        <v>2</v>
      </c>
      <c r="Z991">
        <v>3</v>
      </c>
      <c r="AA991">
        <v>6</v>
      </c>
      <c r="AB991">
        <v>4</v>
      </c>
      <c r="AC991">
        <v>1</v>
      </c>
      <c r="AD991">
        <v>3</v>
      </c>
      <c r="AE991" t="str" cm="1">
        <f t="array" ref="AE991">_xlfn.IFS(G991=1,"Before College",G991=2,"College",G991=3,"Bachelor",G991=4,"Master",G991=5,"Doctor")</f>
        <v>Before College</v>
      </c>
      <c r="AF991" t="str" cm="1">
        <f t="array" ref="AF991">_xlfn.IFS(J991=1,"Low",J991=2,"Medium",J991=3,"High",J991=4,"Very High")</f>
        <v>High</v>
      </c>
      <c r="AG991" t="str" cm="1">
        <f t="array" ref="AG991">_xlfn.IFS(L991=1,"Low",L991=2,"Medium",L991=3,"High",L991=4,"Very High")</f>
        <v>High</v>
      </c>
      <c r="AH991" t="str" cm="1">
        <f t="array" ref="AH991">_xlfn.IFS(M991=1,"Junior employee",M991=2,"Mid-level",M991=3,"Senior",M991=4,"Manager",M991=5,"Executive")</f>
        <v>Junior employee</v>
      </c>
      <c r="AI991" t="str" cm="1">
        <f t="array" ref="AI991">_xlfn.IFS(O991=1,"Low",O991=2,"Medium",O991=3,"High",O991=4,"Very High")</f>
        <v>High</v>
      </c>
      <c r="AJ991" t="str" cm="1">
        <f t="array" ref="AJ991">_xlfn.IFS(U991=1,"Low",U991=2,"Good",U991=3,"Excellent",U991=4,"Outstanding")</f>
        <v>Excellent</v>
      </c>
      <c r="AK991" t="str" cm="1">
        <f t="array" ref="AK991">_xlfn.IFS(V991=1,"Low",V991=2,"Medium",V991=3,"High",V991=4,"Very High")</f>
        <v>Very High</v>
      </c>
      <c r="AL991" t="str" cm="1">
        <f t="array" ref="AL991">_xlfn.IFS(Z991=1,"Bad",Z991=2,"Good",Z991=3,"Better",Z991=4,"Best")</f>
        <v>Better</v>
      </c>
      <c r="AM991" t="str" cm="1">
        <f t="array" ref="AM991">_xlfn.IFS(W991=0,"No_stock",W991=1,"Low",W991=2,"Medium",W991=3,"High")</f>
        <v>No_stock</v>
      </c>
      <c r="AN991" t="str">
        <f t="shared" si="15"/>
        <v>Near</v>
      </c>
    </row>
    <row r="992" spans="1:40" x14ac:dyDescent="0.45">
      <c r="A992">
        <v>33</v>
      </c>
      <c r="B992" t="s">
        <v>37</v>
      </c>
      <c r="C992" t="s">
        <v>38</v>
      </c>
      <c r="D992">
        <v>1111</v>
      </c>
      <c r="E992" t="s">
        <v>32</v>
      </c>
      <c r="F992">
        <v>5</v>
      </c>
      <c r="G992">
        <v>1</v>
      </c>
      <c r="H992" t="s">
        <v>33</v>
      </c>
      <c r="I992">
        <v>1395</v>
      </c>
      <c r="J992">
        <v>2</v>
      </c>
      <c r="K992" t="s">
        <v>40</v>
      </c>
      <c r="L992">
        <v>3</v>
      </c>
      <c r="M992">
        <v>2</v>
      </c>
      <c r="N992" t="s">
        <v>35</v>
      </c>
      <c r="O992">
        <v>4</v>
      </c>
      <c r="P992" t="s">
        <v>42</v>
      </c>
      <c r="Q992">
        <v>9998</v>
      </c>
      <c r="R992">
        <v>6</v>
      </c>
      <c r="S992" t="s">
        <v>37</v>
      </c>
      <c r="T992">
        <v>13</v>
      </c>
      <c r="U992">
        <v>3</v>
      </c>
      <c r="V992">
        <v>1</v>
      </c>
      <c r="W992">
        <v>0</v>
      </c>
      <c r="X992">
        <v>8</v>
      </c>
      <c r="Y992">
        <v>2</v>
      </c>
      <c r="Z992">
        <v>4</v>
      </c>
      <c r="AA992">
        <v>5</v>
      </c>
      <c r="AB992">
        <v>4</v>
      </c>
      <c r="AC992">
        <v>1</v>
      </c>
      <c r="AD992">
        <v>2</v>
      </c>
      <c r="AE992" t="str" cm="1">
        <f t="array" ref="AE992">_xlfn.IFS(G992=1,"Before College",G992=2,"College",G992=3,"Bachelor",G992=4,"Master",G992=5,"Doctor")</f>
        <v>Before College</v>
      </c>
      <c r="AF992" t="str" cm="1">
        <f t="array" ref="AF992">_xlfn.IFS(J992=1,"Low",J992=2,"Medium",J992=3,"High",J992=4,"Very High")</f>
        <v>Medium</v>
      </c>
      <c r="AG992" t="str" cm="1">
        <f t="array" ref="AG992">_xlfn.IFS(L992=1,"Low",L992=2,"Medium",L992=3,"High",L992=4,"Very High")</f>
        <v>High</v>
      </c>
      <c r="AH992" t="str" cm="1">
        <f t="array" ref="AH992">_xlfn.IFS(M992=1,"Junior employee",M992=2,"Mid-level",M992=3,"Senior",M992=4,"Manager",M992=5,"Executive")</f>
        <v>Mid-level</v>
      </c>
      <c r="AI992" t="str" cm="1">
        <f t="array" ref="AI992">_xlfn.IFS(O992=1,"Low",O992=2,"Medium",O992=3,"High",O992=4,"Very High")</f>
        <v>Very High</v>
      </c>
      <c r="AJ992" t="str" cm="1">
        <f t="array" ref="AJ992">_xlfn.IFS(U992=1,"Low",U992=2,"Good",U992=3,"Excellent",U992=4,"Outstanding")</f>
        <v>Excellent</v>
      </c>
      <c r="AK992" t="str" cm="1">
        <f t="array" ref="AK992">_xlfn.IFS(V992=1,"Low",V992=2,"Medium",V992=3,"High",V992=4,"Very High")</f>
        <v>Low</v>
      </c>
      <c r="AL992" t="str" cm="1">
        <f t="array" ref="AL992">_xlfn.IFS(Z992=1,"Bad",Z992=2,"Good",Z992=3,"Better",Z992=4,"Best")</f>
        <v>Best</v>
      </c>
      <c r="AM992" t="str" cm="1">
        <f t="array" ref="AM992">_xlfn.IFS(W992=0,"No_stock",W992=1,"Low",W992=2,"Medium",W992=3,"High")</f>
        <v>No_stock</v>
      </c>
      <c r="AN992" t="str">
        <f t="shared" si="15"/>
        <v>Near</v>
      </c>
    </row>
    <row r="993" spans="1:40" x14ac:dyDescent="0.45">
      <c r="A993">
        <v>32</v>
      </c>
      <c r="B993" t="s">
        <v>37</v>
      </c>
      <c r="C993" t="s">
        <v>31</v>
      </c>
      <c r="D993">
        <v>499</v>
      </c>
      <c r="E993" t="s">
        <v>32</v>
      </c>
      <c r="F993">
        <v>2</v>
      </c>
      <c r="G993">
        <v>1</v>
      </c>
      <c r="H993" t="s">
        <v>53</v>
      </c>
      <c r="I993">
        <v>1396</v>
      </c>
      <c r="J993">
        <v>3</v>
      </c>
      <c r="K993" t="s">
        <v>40</v>
      </c>
      <c r="L993">
        <v>3</v>
      </c>
      <c r="M993">
        <v>2</v>
      </c>
      <c r="N993" t="s">
        <v>35</v>
      </c>
      <c r="O993">
        <v>2</v>
      </c>
      <c r="P993" t="s">
        <v>42</v>
      </c>
      <c r="Q993">
        <v>4078</v>
      </c>
      <c r="R993">
        <v>0</v>
      </c>
      <c r="S993" t="s">
        <v>30</v>
      </c>
      <c r="T993">
        <v>13</v>
      </c>
      <c r="U993">
        <v>3</v>
      </c>
      <c r="V993">
        <v>1</v>
      </c>
      <c r="W993">
        <v>3</v>
      </c>
      <c r="X993">
        <v>4</v>
      </c>
      <c r="Y993">
        <v>3</v>
      </c>
      <c r="Z993">
        <v>2</v>
      </c>
      <c r="AA993">
        <v>3</v>
      </c>
      <c r="AB993">
        <v>2</v>
      </c>
      <c r="AC993">
        <v>1</v>
      </c>
      <c r="AD993">
        <v>2</v>
      </c>
      <c r="AE993" t="str" cm="1">
        <f t="array" ref="AE993">_xlfn.IFS(G993=1,"Before College",G993=2,"College",G993=3,"Bachelor",G993=4,"Master",G993=5,"Doctor")</f>
        <v>Before College</v>
      </c>
      <c r="AF993" t="str" cm="1">
        <f t="array" ref="AF993">_xlfn.IFS(J993=1,"Low",J993=2,"Medium",J993=3,"High",J993=4,"Very High")</f>
        <v>High</v>
      </c>
      <c r="AG993" t="str" cm="1">
        <f t="array" ref="AG993">_xlfn.IFS(L993=1,"Low",L993=2,"Medium",L993=3,"High",L993=4,"Very High")</f>
        <v>High</v>
      </c>
      <c r="AH993" t="str" cm="1">
        <f t="array" ref="AH993">_xlfn.IFS(M993=1,"Junior employee",M993=2,"Mid-level",M993=3,"Senior",M993=4,"Manager",M993=5,"Executive")</f>
        <v>Mid-level</v>
      </c>
      <c r="AI993" t="str" cm="1">
        <f t="array" ref="AI993">_xlfn.IFS(O993=1,"Low",O993=2,"Medium",O993=3,"High",O993=4,"Very High")</f>
        <v>Medium</v>
      </c>
      <c r="AJ993" t="str" cm="1">
        <f t="array" ref="AJ993">_xlfn.IFS(U993=1,"Low",U993=2,"Good",U993=3,"Excellent",U993=4,"Outstanding")</f>
        <v>Excellent</v>
      </c>
      <c r="AK993" t="str" cm="1">
        <f t="array" ref="AK993">_xlfn.IFS(V993=1,"Low",V993=2,"Medium",V993=3,"High",V993=4,"Very High")</f>
        <v>Low</v>
      </c>
      <c r="AL993" t="str" cm="1">
        <f t="array" ref="AL993">_xlfn.IFS(Z993=1,"Bad",Z993=2,"Good",Z993=3,"Better",Z993=4,"Best")</f>
        <v>Good</v>
      </c>
      <c r="AM993" t="str" cm="1">
        <f t="array" ref="AM993">_xlfn.IFS(W993=0,"No_stock",W993=1,"Low",W993=2,"Medium",W993=3,"High")</f>
        <v>High</v>
      </c>
      <c r="AN993" t="str">
        <f t="shared" si="15"/>
        <v>Near</v>
      </c>
    </row>
    <row r="994" spans="1:40" x14ac:dyDescent="0.45">
      <c r="A994">
        <v>39</v>
      </c>
      <c r="B994" t="s">
        <v>37</v>
      </c>
      <c r="C994" t="s">
        <v>49</v>
      </c>
      <c r="D994">
        <v>1485</v>
      </c>
      <c r="E994" t="s">
        <v>39</v>
      </c>
      <c r="F994">
        <v>25</v>
      </c>
      <c r="G994">
        <v>2</v>
      </c>
      <c r="H994" t="s">
        <v>33</v>
      </c>
      <c r="I994">
        <v>1397</v>
      </c>
      <c r="J994">
        <v>3</v>
      </c>
      <c r="K994" t="s">
        <v>40</v>
      </c>
      <c r="L994">
        <v>3</v>
      </c>
      <c r="M994">
        <v>3</v>
      </c>
      <c r="N994" t="s">
        <v>48</v>
      </c>
      <c r="O994">
        <v>3</v>
      </c>
      <c r="P994" t="s">
        <v>42</v>
      </c>
      <c r="Q994">
        <v>10920</v>
      </c>
      <c r="R994">
        <v>3</v>
      </c>
      <c r="S994" t="s">
        <v>37</v>
      </c>
      <c r="T994">
        <v>21</v>
      </c>
      <c r="U994">
        <v>4</v>
      </c>
      <c r="V994">
        <v>2</v>
      </c>
      <c r="W994">
        <v>1</v>
      </c>
      <c r="X994">
        <v>13</v>
      </c>
      <c r="Y994">
        <v>2</v>
      </c>
      <c r="Z994">
        <v>3</v>
      </c>
      <c r="AA994">
        <v>6</v>
      </c>
      <c r="AB994">
        <v>4</v>
      </c>
      <c r="AC994">
        <v>0</v>
      </c>
      <c r="AD994">
        <v>5</v>
      </c>
      <c r="AE994" t="str" cm="1">
        <f t="array" ref="AE994">_xlfn.IFS(G994=1,"Before College",G994=2,"College",G994=3,"Bachelor",G994=4,"Master",G994=5,"Doctor")</f>
        <v>College</v>
      </c>
      <c r="AF994" t="str" cm="1">
        <f t="array" ref="AF994">_xlfn.IFS(J994=1,"Low",J994=2,"Medium",J994=3,"High",J994=4,"Very High")</f>
        <v>High</v>
      </c>
      <c r="AG994" t="str" cm="1">
        <f t="array" ref="AG994">_xlfn.IFS(L994=1,"Low",L994=2,"Medium",L994=3,"High",L994=4,"Very High")</f>
        <v>High</v>
      </c>
      <c r="AH994" t="str" cm="1">
        <f t="array" ref="AH994">_xlfn.IFS(M994=1,"Junior employee",M994=2,"Mid-level",M994=3,"Senior",M994=4,"Manager",M994=5,"Executive")</f>
        <v>Senior</v>
      </c>
      <c r="AI994" t="str" cm="1">
        <f t="array" ref="AI994">_xlfn.IFS(O994=1,"Low",O994=2,"Medium",O994=3,"High",O994=4,"Very High")</f>
        <v>High</v>
      </c>
      <c r="AJ994" t="str" cm="1">
        <f t="array" ref="AJ994">_xlfn.IFS(U994=1,"Low",U994=2,"Good",U994=3,"Excellent",U994=4,"Outstanding")</f>
        <v>Outstanding</v>
      </c>
      <c r="AK994" t="str" cm="1">
        <f t="array" ref="AK994">_xlfn.IFS(V994=1,"Low",V994=2,"Medium",V994=3,"High",V994=4,"Very High")</f>
        <v>Medium</v>
      </c>
      <c r="AL994" t="str" cm="1">
        <f t="array" ref="AL994">_xlfn.IFS(Z994=1,"Bad",Z994=2,"Good",Z994=3,"Better",Z994=4,"Best")</f>
        <v>Better</v>
      </c>
      <c r="AM994" t="str" cm="1">
        <f t="array" ref="AM994">_xlfn.IFS(W994=0,"No_stock",W994=1,"Low",W994=2,"Medium",W994=3,"High")</f>
        <v>Low</v>
      </c>
      <c r="AN994" t="str">
        <f t="shared" si="15"/>
        <v>Far</v>
      </c>
    </row>
    <row r="995" spans="1:40" x14ac:dyDescent="0.45">
      <c r="A995">
        <v>25</v>
      </c>
      <c r="B995" t="s">
        <v>37</v>
      </c>
      <c r="C995" t="s">
        <v>31</v>
      </c>
      <c r="D995">
        <v>1372</v>
      </c>
      <c r="E995" t="s">
        <v>32</v>
      </c>
      <c r="F995">
        <v>18</v>
      </c>
      <c r="G995">
        <v>1</v>
      </c>
      <c r="H995" t="s">
        <v>33</v>
      </c>
      <c r="I995">
        <v>1399</v>
      </c>
      <c r="J995">
        <v>1</v>
      </c>
      <c r="K995" t="s">
        <v>40</v>
      </c>
      <c r="L995">
        <v>4</v>
      </c>
      <c r="M995">
        <v>2</v>
      </c>
      <c r="N995" t="s">
        <v>35</v>
      </c>
      <c r="O995">
        <v>3</v>
      </c>
      <c r="P995" t="s">
        <v>42</v>
      </c>
      <c r="Q995">
        <v>6232</v>
      </c>
      <c r="R995">
        <v>2</v>
      </c>
      <c r="S995" t="s">
        <v>37</v>
      </c>
      <c r="T995">
        <v>11</v>
      </c>
      <c r="U995">
        <v>3</v>
      </c>
      <c r="V995">
        <v>2</v>
      </c>
      <c r="W995">
        <v>0</v>
      </c>
      <c r="X995">
        <v>6</v>
      </c>
      <c r="Y995">
        <v>3</v>
      </c>
      <c r="Z995">
        <v>2</v>
      </c>
      <c r="AA995">
        <v>3</v>
      </c>
      <c r="AB995">
        <v>2</v>
      </c>
      <c r="AC995">
        <v>1</v>
      </c>
      <c r="AD995">
        <v>2</v>
      </c>
      <c r="AE995" t="str" cm="1">
        <f t="array" ref="AE995">_xlfn.IFS(G995=1,"Before College",G995=2,"College",G995=3,"Bachelor",G995=4,"Master",G995=5,"Doctor")</f>
        <v>Before College</v>
      </c>
      <c r="AF995" t="str" cm="1">
        <f t="array" ref="AF995">_xlfn.IFS(J995=1,"Low",J995=2,"Medium",J995=3,"High",J995=4,"Very High")</f>
        <v>Low</v>
      </c>
      <c r="AG995" t="str" cm="1">
        <f t="array" ref="AG995">_xlfn.IFS(L995=1,"Low",L995=2,"Medium",L995=3,"High",L995=4,"Very High")</f>
        <v>Very High</v>
      </c>
      <c r="AH995" t="str" cm="1">
        <f t="array" ref="AH995">_xlfn.IFS(M995=1,"Junior employee",M995=2,"Mid-level",M995=3,"Senior",M995=4,"Manager",M995=5,"Executive")</f>
        <v>Mid-level</v>
      </c>
      <c r="AI995" t="str" cm="1">
        <f t="array" ref="AI995">_xlfn.IFS(O995=1,"Low",O995=2,"Medium",O995=3,"High",O995=4,"Very High")</f>
        <v>High</v>
      </c>
      <c r="AJ995" t="str" cm="1">
        <f t="array" ref="AJ995">_xlfn.IFS(U995=1,"Low",U995=2,"Good",U995=3,"Excellent",U995=4,"Outstanding")</f>
        <v>Excellent</v>
      </c>
      <c r="AK995" t="str" cm="1">
        <f t="array" ref="AK995">_xlfn.IFS(V995=1,"Low",V995=2,"Medium",V995=3,"High",V995=4,"Very High")</f>
        <v>Medium</v>
      </c>
      <c r="AL995" t="str" cm="1">
        <f t="array" ref="AL995">_xlfn.IFS(Z995=1,"Bad",Z995=2,"Good",Z995=3,"Better",Z995=4,"Best")</f>
        <v>Good</v>
      </c>
      <c r="AM995" t="str" cm="1">
        <f t="array" ref="AM995">_xlfn.IFS(W995=0,"No_stock",W995=1,"Low",W995=2,"Medium",W995=3,"High")</f>
        <v>No_stock</v>
      </c>
      <c r="AN995" t="str">
        <f t="shared" si="15"/>
        <v>Far</v>
      </c>
    </row>
    <row r="996" spans="1:40" x14ac:dyDescent="0.45">
      <c r="A996">
        <v>52</v>
      </c>
      <c r="B996" t="s">
        <v>37</v>
      </c>
      <c r="C996" t="s">
        <v>38</v>
      </c>
      <c r="D996">
        <v>322</v>
      </c>
      <c r="E996" t="s">
        <v>39</v>
      </c>
      <c r="F996">
        <v>28</v>
      </c>
      <c r="G996">
        <v>2</v>
      </c>
      <c r="H996" t="s">
        <v>45</v>
      </c>
      <c r="I996">
        <v>1401</v>
      </c>
      <c r="J996">
        <v>4</v>
      </c>
      <c r="K996" t="s">
        <v>34</v>
      </c>
      <c r="L996">
        <v>4</v>
      </c>
      <c r="M996">
        <v>4</v>
      </c>
      <c r="N996" t="s">
        <v>47</v>
      </c>
      <c r="O996">
        <v>3</v>
      </c>
      <c r="P996" t="s">
        <v>42</v>
      </c>
      <c r="Q996">
        <v>13247</v>
      </c>
      <c r="R996">
        <v>2</v>
      </c>
      <c r="S996" t="s">
        <v>30</v>
      </c>
      <c r="T996">
        <v>11</v>
      </c>
      <c r="U996">
        <v>3</v>
      </c>
      <c r="V996">
        <v>2</v>
      </c>
      <c r="W996">
        <v>1</v>
      </c>
      <c r="X996">
        <v>24</v>
      </c>
      <c r="Y996">
        <v>3</v>
      </c>
      <c r="Z996">
        <v>2</v>
      </c>
      <c r="AA996">
        <v>5</v>
      </c>
      <c r="AB996">
        <v>3</v>
      </c>
      <c r="AC996">
        <v>0</v>
      </c>
      <c r="AD996">
        <v>2</v>
      </c>
      <c r="AE996" t="str" cm="1">
        <f t="array" ref="AE996">_xlfn.IFS(G996=1,"Before College",G996=2,"College",G996=3,"Bachelor",G996=4,"Master",G996=5,"Doctor")</f>
        <v>College</v>
      </c>
      <c r="AF996" t="str" cm="1">
        <f t="array" ref="AF996">_xlfn.IFS(J996=1,"Low",J996=2,"Medium",J996=3,"High",J996=4,"Very High")</f>
        <v>Very High</v>
      </c>
      <c r="AG996" t="str" cm="1">
        <f t="array" ref="AG996">_xlfn.IFS(L996=1,"Low",L996=2,"Medium",L996=3,"High",L996=4,"Very High")</f>
        <v>Very High</v>
      </c>
      <c r="AH996" t="str" cm="1">
        <f t="array" ref="AH996">_xlfn.IFS(M996=1,"Junior employee",M996=2,"Mid-level",M996=3,"Senior",M996=4,"Manager",M996=5,"Executive")</f>
        <v>Manager</v>
      </c>
      <c r="AI996" t="str" cm="1">
        <f t="array" ref="AI996">_xlfn.IFS(O996=1,"Low",O996=2,"Medium",O996=3,"High",O996=4,"Very High")</f>
        <v>High</v>
      </c>
      <c r="AJ996" t="str" cm="1">
        <f t="array" ref="AJ996">_xlfn.IFS(U996=1,"Low",U996=2,"Good",U996=3,"Excellent",U996=4,"Outstanding")</f>
        <v>Excellent</v>
      </c>
      <c r="AK996" t="str" cm="1">
        <f t="array" ref="AK996">_xlfn.IFS(V996=1,"Low",V996=2,"Medium",V996=3,"High",V996=4,"Very High")</f>
        <v>Medium</v>
      </c>
      <c r="AL996" t="str" cm="1">
        <f t="array" ref="AL996">_xlfn.IFS(Z996=1,"Bad",Z996=2,"Good",Z996=3,"Better",Z996=4,"Best")</f>
        <v>Good</v>
      </c>
      <c r="AM996" t="str" cm="1">
        <f t="array" ref="AM996">_xlfn.IFS(W996=0,"No_stock",W996=1,"Low",W996=2,"Medium",W996=3,"High")</f>
        <v>Low</v>
      </c>
      <c r="AN996" t="str">
        <f t="shared" si="15"/>
        <v>Far</v>
      </c>
    </row>
    <row r="997" spans="1:40" x14ac:dyDescent="0.45">
      <c r="A997">
        <v>43</v>
      </c>
      <c r="B997" t="s">
        <v>37</v>
      </c>
      <c r="C997" t="s">
        <v>31</v>
      </c>
      <c r="D997">
        <v>930</v>
      </c>
      <c r="E997" t="s">
        <v>39</v>
      </c>
      <c r="F997">
        <v>6</v>
      </c>
      <c r="G997">
        <v>3</v>
      </c>
      <c r="H997" t="s">
        <v>45</v>
      </c>
      <c r="I997">
        <v>1402</v>
      </c>
      <c r="J997">
        <v>1</v>
      </c>
      <c r="K997" t="s">
        <v>34</v>
      </c>
      <c r="L997">
        <v>2</v>
      </c>
      <c r="M997">
        <v>2</v>
      </c>
      <c r="N997" t="s">
        <v>41</v>
      </c>
      <c r="O997">
        <v>3</v>
      </c>
      <c r="P997" t="s">
        <v>36</v>
      </c>
      <c r="Q997">
        <v>4081</v>
      </c>
      <c r="R997">
        <v>1</v>
      </c>
      <c r="S997" t="s">
        <v>30</v>
      </c>
      <c r="T997">
        <v>14</v>
      </c>
      <c r="U997">
        <v>3</v>
      </c>
      <c r="V997">
        <v>1</v>
      </c>
      <c r="W997">
        <v>0</v>
      </c>
      <c r="X997">
        <v>20</v>
      </c>
      <c r="Y997">
        <v>3</v>
      </c>
      <c r="Z997">
        <v>1</v>
      </c>
      <c r="AA997">
        <v>20</v>
      </c>
      <c r="AB997">
        <v>7</v>
      </c>
      <c r="AC997">
        <v>1</v>
      </c>
      <c r="AD997">
        <v>8</v>
      </c>
      <c r="AE997" t="str" cm="1">
        <f t="array" ref="AE997">_xlfn.IFS(G997=1,"Before College",G997=2,"College",G997=3,"Bachelor",G997=4,"Master",G997=5,"Doctor")</f>
        <v>Bachelor</v>
      </c>
      <c r="AF997" t="str" cm="1">
        <f t="array" ref="AF997">_xlfn.IFS(J997=1,"Low",J997=2,"Medium",J997=3,"High",J997=4,"Very High")</f>
        <v>Low</v>
      </c>
      <c r="AG997" t="str" cm="1">
        <f t="array" ref="AG997">_xlfn.IFS(L997=1,"Low",L997=2,"Medium",L997=3,"High",L997=4,"Very High")</f>
        <v>Medium</v>
      </c>
      <c r="AH997" t="str" cm="1">
        <f t="array" ref="AH997">_xlfn.IFS(M997=1,"Junior employee",M997=2,"Mid-level",M997=3,"Senior",M997=4,"Manager",M997=5,"Executive")</f>
        <v>Mid-level</v>
      </c>
      <c r="AI997" t="str" cm="1">
        <f t="array" ref="AI997">_xlfn.IFS(O997=1,"Low",O997=2,"Medium",O997=3,"High",O997=4,"Very High")</f>
        <v>High</v>
      </c>
      <c r="AJ997" t="str" cm="1">
        <f t="array" ref="AJ997">_xlfn.IFS(U997=1,"Low",U997=2,"Good",U997=3,"Excellent",U997=4,"Outstanding")</f>
        <v>Excellent</v>
      </c>
      <c r="AK997" t="str" cm="1">
        <f t="array" ref="AK997">_xlfn.IFS(V997=1,"Low",V997=2,"Medium",V997=3,"High",V997=4,"Very High")</f>
        <v>Low</v>
      </c>
      <c r="AL997" t="str" cm="1">
        <f t="array" ref="AL997">_xlfn.IFS(Z997=1,"Bad",Z997=2,"Good",Z997=3,"Better",Z997=4,"Best")</f>
        <v>Bad</v>
      </c>
      <c r="AM997" t="str" cm="1">
        <f t="array" ref="AM997">_xlfn.IFS(W997=0,"No_stock",W997=1,"Low",W997=2,"Medium",W997=3,"High")</f>
        <v>No_stock</v>
      </c>
      <c r="AN997" t="str">
        <f t="shared" si="15"/>
        <v>Medium</v>
      </c>
    </row>
    <row r="998" spans="1:40" x14ac:dyDescent="0.45">
      <c r="A998">
        <v>27</v>
      </c>
      <c r="B998" t="s">
        <v>37</v>
      </c>
      <c r="C998" t="s">
        <v>31</v>
      </c>
      <c r="D998">
        <v>205</v>
      </c>
      <c r="E998" t="s">
        <v>32</v>
      </c>
      <c r="F998">
        <v>10</v>
      </c>
      <c r="G998">
        <v>3</v>
      </c>
      <c r="H998" t="s">
        <v>53</v>
      </c>
      <c r="I998">
        <v>1403</v>
      </c>
      <c r="J998">
        <v>4</v>
      </c>
      <c r="K998" t="s">
        <v>34</v>
      </c>
      <c r="L998">
        <v>2</v>
      </c>
      <c r="M998">
        <v>2</v>
      </c>
      <c r="N998" t="s">
        <v>35</v>
      </c>
      <c r="O998">
        <v>4</v>
      </c>
      <c r="P998" t="s">
        <v>42</v>
      </c>
      <c r="Q998">
        <v>5769</v>
      </c>
      <c r="R998">
        <v>1</v>
      </c>
      <c r="S998" t="s">
        <v>30</v>
      </c>
      <c r="T998">
        <v>11</v>
      </c>
      <c r="U998">
        <v>3</v>
      </c>
      <c r="V998">
        <v>4</v>
      </c>
      <c r="W998">
        <v>0</v>
      </c>
      <c r="X998">
        <v>6</v>
      </c>
      <c r="Y998">
        <v>3</v>
      </c>
      <c r="Z998">
        <v>3</v>
      </c>
      <c r="AA998">
        <v>6</v>
      </c>
      <c r="AB998">
        <v>2</v>
      </c>
      <c r="AC998">
        <v>4</v>
      </c>
      <c r="AD998">
        <v>4</v>
      </c>
      <c r="AE998" t="str" cm="1">
        <f t="array" ref="AE998">_xlfn.IFS(G998=1,"Before College",G998=2,"College",G998=3,"Bachelor",G998=4,"Master",G998=5,"Doctor")</f>
        <v>Bachelor</v>
      </c>
      <c r="AF998" t="str" cm="1">
        <f t="array" ref="AF998">_xlfn.IFS(J998=1,"Low",J998=2,"Medium",J998=3,"High",J998=4,"Very High")</f>
        <v>Very High</v>
      </c>
      <c r="AG998" t="str" cm="1">
        <f t="array" ref="AG998">_xlfn.IFS(L998=1,"Low",L998=2,"Medium",L998=3,"High",L998=4,"Very High")</f>
        <v>Medium</v>
      </c>
      <c r="AH998" t="str" cm="1">
        <f t="array" ref="AH998">_xlfn.IFS(M998=1,"Junior employee",M998=2,"Mid-level",M998=3,"Senior",M998=4,"Manager",M998=5,"Executive")</f>
        <v>Mid-level</v>
      </c>
      <c r="AI998" t="str" cm="1">
        <f t="array" ref="AI998">_xlfn.IFS(O998=1,"Low",O998=2,"Medium",O998=3,"High",O998=4,"Very High")</f>
        <v>Very High</v>
      </c>
      <c r="AJ998" t="str" cm="1">
        <f t="array" ref="AJ998">_xlfn.IFS(U998=1,"Low",U998=2,"Good",U998=3,"Excellent",U998=4,"Outstanding")</f>
        <v>Excellent</v>
      </c>
      <c r="AK998" t="str" cm="1">
        <f t="array" ref="AK998">_xlfn.IFS(V998=1,"Low",V998=2,"Medium",V998=3,"High",V998=4,"Very High")</f>
        <v>Very High</v>
      </c>
      <c r="AL998" t="str" cm="1">
        <f t="array" ref="AL998">_xlfn.IFS(Z998=1,"Bad",Z998=2,"Good",Z998=3,"Better",Z998=4,"Best")</f>
        <v>Better</v>
      </c>
      <c r="AM998" t="str" cm="1">
        <f t="array" ref="AM998">_xlfn.IFS(W998=0,"No_stock",W998=1,"Low",W998=2,"Medium",W998=3,"High")</f>
        <v>No_stock</v>
      </c>
      <c r="AN998" t="str">
        <f t="shared" si="15"/>
        <v>Medium</v>
      </c>
    </row>
    <row r="999" spans="1:40" x14ac:dyDescent="0.45">
      <c r="A999">
        <v>27</v>
      </c>
      <c r="B999" t="s">
        <v>30</v>
      </c>
      <c r="C999" t="s">
        <v>31</v>
      </c>
      <c r="D999">
        <v>135</v>
      </c>
      <c r="E999" t="s">
        <v>39</v>
      </c>
      <c r="F999">
        <v>17</v>
      </c>
      <c r="G999">
        <v>4</v>
      </c>
      <c r="H999" t="s">
        <v>33</v>
      </c>
      <c r="I999">
        <v>1405</v>
      </c>
      <c r="J999">
        <v>4</v>
      </c>
      <c r="K999" t="s">
        <v>34</v>
      </c>
      <c r="L999">
        <v>3</v>
      </c>
      <c r="M999">
        <v>1</v>
      </c>
      <c r="N999" t="s">
        <v>41</v>
      </c>
      <c r="O999">
        <v>3</v>
      </c>
      <c r="P999" t="s">
        <v>36</v>
      </c>
      <c r="Q999">
        <v>2394</v>
      </c>
      <c r="R999">
        <v>1</v>
      </c>
      <c r="S999" t="s">
        <v>30</v>
      </c>
      <c r="T999">
        <v>13</v>
      </c>
      <c r="U999">
        <v>3</v>
      </c>
      <c r="V999">
        <v>4</v>
      </c>
      <c r="W999">
        <v>0</v>
      </c>
      <c r="X999">
        <v>8</v>
      </c>
      <c r="Y999">
        <v>2</v>
      </c>
      <c r="Z999">
        <v>3</v>
      </c>
      <c r="AA999">
        <v>8</v>
      </c>
      <c r="AB999">
        <v>2</v>
      </c>
      <c r="AC999">
        <v>7</v>
      </c>
      <c r="AD999">
        <v>7</v>
      </c>
      <c r="AE999" t="str" cm="1">
        <f t="array" ref="AE999">_xlfn.IFS(G999=1,"Before College",G999=2,"College",G999=3,"Bachelor",G999=4,"Master",G999=5,"Doctor")</f>
        <v>Master</v>
      </c>
      <c r="AF999" t="str" cm="1">
        <f t="array" ref="AF999">_xlfn.IFS(J999=1,"Low",J999=2,"Medium",J999=3,"High",J999=4,"Very High")</f>
        <v>Very High</v>
      </c>
      <c r="AG999" t="str" cm="1">
        <f t="array" ref="AG999">_xlfn.IFS(L999=1,"Low",L999=2,"Medium",L999=3,"High",L999=4,"Very High")</f>
        <v>High</v>
      </c>
      <c r="AH999" t="str" cm="1">
        <f t="array" ref="AH999">_xlfn.IFS(M999=1,"Junior employee",M999=2,"Mid-level",M999=3,"Senior",M999=4,"Manager",M999=5,"Executive")</f>
        <v>Junior employee</v>
      </c>
      <c r="AI999" t="str" cm="1">
        <f t="array" ref="AI999">_xlfn.IFS(O999=1,"Low",O999=2,"Medium",O999=3,"High",O999=4,"Very High")</f>
        <v>High</v>
      </c>
      <c r="AJ999" t="str" cm="1">
        <f t="array" ref="AJ999">_xlfn.IFS(U999=1,"Low",U999=2,"Good",U999=3,"Excellent",U999=4,"Outstanding")</f>
        <v>Excellent</v>
      </c>
      <c r="AK999" t="str" cm="1">
        <f t="array" ref="AK999">_xlfn.IFS(V999=1,"Low",V999=2,"Medium",V999=3,"High",V999=4,"Very High")</f>
        <v>Very High</v>
      </c>
      <c r="AL999" t="str" cm="1">
        <f t="array" ref="AL999">_xlfn.IFS(Z999=1,"Bad",Z999=2,"Good",Z999=3,"Better",Z999=4,"Best")</f>
        <v>Better</v>
      </c>
      <c r="AM999" t="str" cm="1">
        <f t="array" ref="AM999">_xlfn.IFS(W999=0,"No_stock",W999=1,"Low",W999=2,"Medium",W999=3,"High")</f>
        <v>No_stock</v>
      </c>
      <c r="AN999" t="str">
        <f t="shared" si="15"/>
        <v>Far</v>
      </c>
    </row>
    <row r="1000" spans="1:40" x14ac:dyDescent="0.45">
      <c r="A1000">
        <v>26</v>
      </c>
      <c r="B1000" t="s">
        <v>37</v>
      </c>
      <c r="C1000" t="s">
        <v>31</v>
      </c>
      <c r="D1000">
        <v>683</v>
      </c>
      <c r="E1000" t="s">
        <v>39</v>
      </c>
      <c r="F1000">
        <v>2</v>
      </c>
      <c r="G1000">
        <v>1</v>
      </c>
      <c r="H1000" t="s">
        <v>45</v>
      </c>
      <c r="I1000">
        <v>1407</v>
      </c>
      <c r="J1000">
        <v>1</v>
      </c>
      <c r="K1000" t="s">
        <v>40</v>
      </c>
      <c r="L1000">
        <v>2</v>
      </c>
      <c r="M1000">
        <v>1</v>
      </c>
      <c r="N1000" t="s">
        <v>41</v>
      </c>
      <c r="O1000">
        <v>4</v>
      </c>
      <c r="P1000" t="s">
        <v>36</v>
      </c>
      <c r="Q1000">
        <v>3904</v>
      </c>
      <c r="R1000">
        <v>0</v>
      </c>
      <c r="S1000" t="s">
        <v>37</v>
      </c>
      <c r="T1000">
        <v>12</v>
      </c>
      <c r="U1000">
        <v>3</v>
      </c>
      <c r="V1000">
        <v>4</v>
      </c>
      <c r="W1000">
        <v>0</v>
      </c>
      <c r="X1000">
        <v>5</v>
      </c>
      <c r="Y1000">
        <v>2</v>
      </c>
      <c r="Z1000">
        <v>3</v>
      </c>
      <c r="AA1000">
        <v>4</v>
      </c>
      <c r="AB1000">
        <v>3</v>
      </c>
      <c r="AC1000">
        <v>1</v>
      </c>
      <c r="AD1000">
        <v>1</v>
      </c>
      <c r="AE1000" t="str" cm="1">
        <f t="array" ref="AE1000">_xlfn.IFS(G1000=1,"Before College",G1000=2,"College",G1000=3,"Bachelor",G1000=4,"Master",G1000=5,"Doctor")</f>
        <v>Before College</v>
      </c>
      <c r="AF1000" t="str" cm="1">
        <f t="array" ref="AF1000">_xlfn.IFS(J1000=1,"Low",J1000=2,"Medium",J1000=3,"High",J1000=4,"Very High")</f>
        <v>Low</v>
      </c>
      <c r="AG1000" t="str" cm="1">
        <f t="array" ref="AG1000">_xlfn.IFS(L1000=1,"Low",L1000=2,"Medium",L1000=3,"High",L1000=4,"Very High")</f>
        <v>Medium</v>
      </c>
      <c r="AH1000" t="str" cm="1">
        <f t="array" ref="AH1000">_xlfn.IFS(M1000=1,"Junior employee",M1000=2,"Mid-level",M1000=3,"Senior",M1000=4,"Manager",M1000=5,"Executive")</f>
        <v>Junior employee</v>
      </c>
      <c r="AI1000" t="str" cm="1">
        <f t="array" ref="AI1000">_xlfn.IFS(O1000=1,"Low",O1000=2,"Medium",O1000=3,"High",O1000=4,"Very High")</f>
        <v>Very High</v>
      </c>
      <c r="AJ1000" t="str" cm="1">
        <f t="array" ref="AJ1000">_xlfn.IFS(U1000=1,"Low",U1000=2,"Good",U1000=3,"Excellent",U1000=4,"Outstanding")</f>
        <v>Excellent</v>
      </c>
      <c r="AK1000" t="str" cm="1">
        <f t="array" ref="AK1000">_xlfn.IFS(V1000=1,"Low",V1000=2,"Medium",V1000=3,"High",V1000=4,"Very High")</f>
        <v>Very High</v>
      </c>
      <c r="AL1000" t="str" cm="1">
        <f t="array" ref="AL1000">_xlfn.IFS(Z1000=1,"Bad",Z1000=2,"Good",Z1000=3,"Better",Z1000=4,"Best")</f>
        <v>Better</v>
      </c>
      <c r="AM1000" t="str" cm="1">
        <f t="array" ref="AM1000">_xlfn.IFS(W1000=0,"No_stock",W1000=1,"Low",W1000=2,"Medium",W1000=3,"High")</f>
        <v>No_stock</v>
      </c>
      <c r="AN1000" t="str">
        <f t="shared" si="15"/>
        <v>Near</v>
      </c>
    </row>
    <row r="1001" spans="1:40" x14ac:dyDescent="0.45">
      <c r="A1001">
        <v>42</v>
      </c>
      <c r="B1001" t="s">
        <v>37</v>
      </c>
      <c r="C1001" t="s">
        <v>31</v>
      </c>
      <c r="D1001">
        <v>1147</v>
      </c>
      <c r="E1001" t="s">
        <v>55</v>
      </c>
      <c r="F1001">
        <v>10</v>
      </c>
      <c r="G1001">
        <v>3</v>
      </c>
      <c r="H1001" t="s">
        <v>55</v>
      </c>
      <c r="I1001">
        <v>1408</v>
      </c>
      <c r="J1001">
        <v>3</v>
      </c>
      <c r="K1001" t="s">
        <v>34</v>
      </c>
      <c r="L1001">
        <v>3</v>
      </c>
      <c r="M1001">
        <v>4</v>
      </c>
      <c r="N1001" t="s">
        <v>50</v>
      </c>
      <c r="O1001">
        <v>1</v>
      </c>
      <c r="P1001" t="s">
        <v>42</v>
      </c>
      <c r="Q1001">
        <v>16799</v>
      </c>
      <c r="R1001">
        <v>0</v>
      </c>
      <c r="S1001" t="s">
        <v>37</v>
      </c>
      <c r="T1001">
        <v>14</v>
      </c>
      <c r="U1001">
        <v>3</v>
      </c>
      <c r="V1001">
        <v>3</v>
      </c>
      <c r="W1001">
        <v>1</v>
      </c>
      <c r="X1001">
        <v>21</v>
      </c>
      <c r="Y1001">
        <v>5</v>
      </c>
      <c r="Z1001">
        <v>3</v>
      </c>
      <c r="AA1001">
        <v>20</v>
      </c>
      <c r="AB1001">
        <v>7</v>
      </c>
      <c r="AC1001">
        <v>0</v>
      </c>
      <c r="AD1001">
        <v>9</v>
      </c>
      <c r="AE1001" t="str" cm="1">
        <f t="array" ref="AE1001">_xlfn.IFS(G1001=1,"Before College",G1001=2,"College",G1001=3,"Bachelor",G1001=4,"Master",G1001=5,"Doctor")</f>
        <v>Bachelor</v>
      </c>
      <c r="AF1001" t="str" cm="1">
        <f t="array" ref="AF1001">_xlfn.IFS(J1001=1,"Low",J1001=2,"Medium",J1001=3,"High",J1001=4,"Very High")</f>
        <v>High</v>
      </c>
      <c r="AG1001" t="str" cm="1">
        <f t="array" ref="AG1001">_xlfn.IFS(L1001=1,"Low",L1001=2,"Medium",L1001=3,"High",L1001=4,"Very High")</f>
        <v>High</v>
      </c>
      <c r="AH1001" t="str" cm="1">
        <f t="array" ref="AH1001">_xlfn.IFS(M1001=1,"Junior employee",M1001=2,"Mid-level",M1001=3,"Senior",M1001=4,"Manager",M1001=5,"Executive")</f>
        <v>Manager</v>
      </c>
      <c r="AI1001" t="str" cm="1">
        <f t="array" ref="AI1001">_xlfn.IFS(O1001=1,"Low",O1001=2,"Medium",O1001=3,"High",O1001=4,"Very High")</f>
        <v>Low</v>
      </c>
      <c r="AJ1001" t="str" cm="1">
        <f t="array" ref="AJ1001">_xlfn.IFS(U1001=1,"Low",U1001=2,"Good",U1001=3,"Excellent",U1001=4,"Outstanding")</f>
        <v>Excellent</v>
      </c>
      <c r="AK1001" t="str" cm="1">
        <f t="array" ref="AK1001">_xlfn.IFS(V1001=1,"Low",V1001=2,"Medium",V1001=3,"High",V1001=4,"Very High")</f>
        <v>High</v>
      </c>
      <c r="AL1001" t="str" cm="1">
        <f t="array" ref="AL1001">_xlfn.IFS(Z1001=1,"Bad",Z1001=2,"Good",Z1001=3,"Better",Z1001=4,"Best")</f>
        <v>Better</v>
      </c>
      <c r="AM1001" t="str" cm="1">
        <f t="array" ref="AM1001">_xlfn.IFS(W1001=0,"No_stock",W1001=1,"Low",W1001=2,"Medium",W1001=3,"High")</f>
        <v>Low</v>
      </c>
      <c r="AN1001" t="str">
        <f t="shared" si="15"/>
        <v>Medium</v>
      </c>
    </row>
    <row r="1002" spans="1:40" x14ac:dyDescent="0.45">
      <c r="A1002">
        <v>52</v>
      </c>
      <c r="B1002" t="s">
        <v>37</v>
      </c>
      <c r="C1002" t="s">
        <v>31</v>
      </c>
      <c r="D1002">
        <v>258</v>
      </c>
      <c r="E1002" t="s">
        <v>39</v>
      </c>
      <c r="F1002">
        <v>8</v>
      </c>
      <c r="G1002">
        <v>4</v>
      </c>
      <c r="H1002" t="s">
        <v>43</v>
      </c>
      <c r="I1002">
        <v>1409</v>
      </c>
      <c r="J1002">
        <v>3</v>
      </c>
      <c r="K1002" t="s">
        <v>34</v>
      </c>
      <c r="L1002">
        <v>3</v>
      </c>
      <c r="M1002">
        <v>1</v>
      </c>
      <c r="N1002" t="s">
        <v>44</v>
      </c>
      <c r="O1002">
        <v>1</v>
      </c>
      <c r="P1002" t="s">
        <v>42</v>
      </c>
      <c r="Q1002">
        <v>2950</v>
      </c>
      <c r="R1002">
        <v>9</v>
      </c>
      <c r="S1002" t="s">
        <v>37</v>
      </c>
      <c r="T1002">
        <v>13</v>
      </c>
      <c r="U1002">
        <v>3</v>
      </c>
      <c r="V1002">
        <v>3</v>
      </c>
      <c r="W1002">
        <v>0</v>
      </c>
      <c r="X1002">
        <v>12</v>
      </c>
      <c r="Y1002">
        <v>2</v>
      </c>
      <c r="Z1002">
        <v>1</v>
      </c>
      <c r="AA1002">
        <v>5</v>
      </c>
      <c r="AB1002">
        <v>4</v>
      </c>
      <c r="AC1002">
        <v>0</v>
      </c>
      <c r="AD1002">
        <v>4</v>
      </c>
      <c r="AE1002" t="str" cm="1">
        <f t="array" ref="AE1002">_xlfn.IFS(G1002=1,"Before College",G1002=2,"College",G1002=3,"Bachelor",G1002=4,"Master",G1002=5,"Doctor")</f>
        <v>Master</v>
      </c>
      <c r="AF1002" t="str" cm="1">
        <f t="array" ref="AF1002">_xlfn.IFS(J1002=1,"Low",J1002=2,"Medium",J1002=3,"High",J1002=4,"Very High")</f>
        <v>High</v>
      </c>
      <c r="AG1002" t="str" cm="1">
        <f t="array" ref="AG1002">_xlfn.IFS(L1002=1,"Low",L1002=2,"Medium",L1002=3,"High",L1002=4,"Very High")</f>
        <v>High</v>
      </c>
      <c r="AH1002" t="str" cm="1">
        <f t="array" ref="AH1002">_xlfn.IFS(M1002=1,"Junior employee",M1002=2,"Mid-level",M1002=3,"Senior",M1002=4,"Manager",M1002=5,"Executive")</f>
        <v>Junior employee</v>
      </c>
      <c r="AI1002" t="str" cm="1">
        <f t="array" ref="AI1002">_xlfn.IFS(O1002=1,"Low",O1002=2,"Medium",O1002=3,"High",O1002=4,"Very High")</f>
        <v>Low</v>
      </c>
      <c r="AJ1002" t="str" cm="1">
        <f t="array" ref="AJ1002">_xlfn.IFS(U1002=1,"Low",U1002=2,"Good",U1002=3,"Excellent",U1002=4,"Outstanding")</f>
        <v>Excellent</v>
      </c>
      <c r="AK1002" t="str" cm="1">
        <f t="array" ref="AK1002">_xlfn.IFS(V1002=1,"Low",V1002=2,"Medium",V1002=3,"High",V1002=4,"Very High")</f>
        <v>High</v>
      </c>
      <c r="AL1002" t="str" cm="1">
        <f t="array" ref="AL1002">_xlfn.IFS(Z1002=1,"Bad",Z1002=2,"Good",Z1002=3,"Better",Z1002=4,"Best")</f>
        <v>Bad</v>
      </c>
      <c r="AM1002" t="str" cm="1">
        <f t="array" ref="AM1002">_xlfn.IFS(W1002=0,"No_stock",W1002=1,"Low",W1002=2,"Medium",W1002=3,"High")</f>
        <v>No_stock</v>
      </c>
      <c r="AN1002" t="str">
        <f t="shared" si="15"/>
        <v>Medium</v>
      </c>
    </row>
    <row r="1003" spans="1:40" x14ac:dyDescent="0.45">
      <c r="A1003">
        <v>37</v>
      </c>
      <c r="B1003" t="s">
        <v>37</v>
      </c>
      <c r="C1003" t="s">
        <v>31</v>
      </c>
      <c r="D1003">
        <v>1462</v>
      </c>
      <c r="E1003" t="s">
        <v>39</v>
      </c>
      <c r="F1003">
        <v>11</v>
      </c>
      <c r="G1003">
        <v>3</v>
      </c>
      <c r="H1003" t="s">
        <v>45</v>
      </c>
      <c r="I1003">
        <v>1411</v>
      </c>
      <c r="J1003">
        <v>1</v>
      </c>
      <c r="K1003" t="s">
        <v>34</v>
      </c>
      <c r="L1003">
        <v>3</v>
      </c>
      <c r="M1003">
        <v>1</v>
      </c>
      <c r="N1003" t="s">
        <v>44</v>
      </c>
      <c r="O1003">
        <v>3</v>
      </c>
      <c r="P1003" t="s">
        <v>36</v>
      </c>
      <c r="Q1003">
        <v>3629</v>
      </c>
      <c r="R1003">
        <v>4</v>
      </c>
      <c r="S1003" t="s">
        <v>37</v>
      </c>
      <c r="T1003">
        <v>18</v>
      </c>
      <c r="U1003">
        <v>3</v>
      </c>
      <c r="V1003">
        <v>1</v>
      </c>
      <c r="W1003">
        <v>0</v>
      </c>
      <c r="X1003">
        <v>8</v>
      </c>
      <c r="Y1003">
        <v>6</v>
      </c>
      <c r="Z1003">
        <v>3</v>
      </c>
      <c r="AA1003">
        <v>3</v>
      </c>
      <c r="AB1003">
        <v>2</v>
      </c>
      <c r="AC1003">
        <v>0</v>
      </c>
      <c r="AD1003">
        <v>2</v>
      </c>
      <c r="AE1003" t="str" cm="1">
        <f t="array" ref="AE1003">_xlfn.IFS(G1003=1,"Before College",G1003=2,"College",G1003=3,"Bachelor",G1003=4,"Master",G1003=5,"Doctor")</f>
        <v>Bachelor</v>
      </c>
      <c r="AF1003" t="str" cm="1">
        <f t="array" ref="AF1003">_xlfn.IFS(J1003=1,"Low",J1003=2,"Medium",J1003=3,"High",J1003=4,"Very High")</f>
        <v>Low</v>
      </c>
      <c r="AG1003" t="str" cm="1">
        <f t="array" ref="AG1003">_xlfn.IFS(L1003=1,"Low",L1003=2,"Medium",L1003=3,"High",L1003=4,"Very High")</f>
        <v>High</v>
      </c>
      <c r="AH1003" t="str" cm="1">
        <f t="array" ref="AH1003">_xlfn.IFS(M1003=1,"Junior employee",M1003=2,"Mid-level",M1003=3,"Senior",M1003=4,"Manager",M1003=5,"Executive")</f>
        <v>Junior employee</v>
      </c>
      <c r="AI1003" t="str" cm="1">
        <f t="array" ref="AI1003">_xlfn.IFS(O1003=1,"Low",O1003=2,"Medium",O1003=3,"High",O1003=4,"Very High")</f>
        <v>High</v>
      </c>
      <c r="AJ1003" t="str" cm="1">
        <f t="array" ref="AJ1003">_xlfn.IFS(U1003=1,"Low",U1003=2,"Good",U1003=3,"Excellent",U1003=4,"Outstanding")</f>
        <v>Excellent</v>
      </c>
      <c r="AK1003" t="str" cm="1">
        <f t="array" ref="AK1003">_xlfn.IFS(V1003=1,"Low",V1003=2,"Medium",V1003=3,"High",V1003=4,"Very High")</f>
        <v>Low</v>
      </c>
      <c r="AL1003" t="str" cm="1">
        <f t="array" ref="AL1003">_xlfn.IFS(Z1003=1,"Bad",Z1003=2,"Good",Z1003=3,"Better",Z1003=4,"Best")</f>
        <v>Better</v>
      </c>
      <c r="AM1003" t="str" cm="1">
        <f t="array" ref="AM1003">_xlfn.IFS(W1003=0,"No_stock",W1003=1,"Low",W1003=2,"Medium",W1003=3,"High")</f>
        <v>No_stock</v>
      </c>
      <c r="AN1003" t="str">
        <f t="shared" si="15"/>
        <v>Medium</v>
      </c>
    </row>
    <row r="1004" spans="1:40" x14ac:dyDescent="0.45">
      <c r="A1004">
        <v>35</v>
      </c>
      <c r="B1004" t="s">
        <v>37</v>
      </c>
      <c r="C1004" t="s">
        <v>38</v>
      </c>
      <c r="D1004">
        <v>200</v>
      </c>
      <c r="E1004" t="s">
        <v>39</v>
      </c>
      <c r="F1004">
        <v>18</v>
      </c>
      <c r="G1004">
        <v>2</v>
      </c>
      <c r="H1004" t="s">
        <v>33</v>
      </c>
      <c r="I1004">
        <v>1412</v>
      </c>
      <c r="J1004">
        <v>3</v>
      </c>
      <c r="K1004" t="s">
        <v>40</v>
      </c>
      <c r="L1004">
        <v>3</v>
      </c>
      <c r="M1004">
        <v>3</v>
      </c>
      <c r="N1004" t="s">
        <v>47</v>
      </c>
      <c r="O1004">
        <v>4</v>
      </c>
      <c r="P1004" t="s">
        <v>36</v>
      </c>
      <c r="Q1004">
        <v>9362</v>
      </c>
      <c r="R1004">
        <v>2</v>
      </c>
      <c r="S1004" t="s">
        <v>37</v>
      </c>
      <c r="T1004">
        <v>11</v>
      </c>
      <c r="U1004">
        <v>3</v>
      </c>
      <c r="V1004">
        <v>3</v>
      </c>
      <c r="W1004">
        <v>0</v>
      </c>
      <c r="X1004">
        <v>10</v>
      </c>
      <c r="Y1004">
        <v>2</v>
      </c>
      <c r="Z1004">
        <v>3</v>
      </c>
      <c r="AA1004">
        <v>2</v>
      </c>
      <c r="AB1004">
        <v>2</v>
      </c>
      <c r="AC1004">
        <v>2</v>
      </c>
      <c r="AD1004">
        <v>2</v>
      </c>
      <c r="AE1004" t="str" cm="1">
        <f t="array" ref="AE1004">_xlfn.IFS(G1004=1,"Before College",G1004=2,"College",G1004=3,"Bachelor",G1004=4,"Master",G1004=5,"Doctor")</f>
        <v>College</v>
      </c>
      <c r="AF1004" t="str" cm="1">
        <f t="array" ref="AF1004">_xlfn.IFS(J1004=1,"Low",J1004=2,"Medium",J1004=3,"High",J1004=4,"Very High")</f>
        <v>High</v>
      </c>
      <c r="AG1004" t="str" cm="1">
        <f t="array" ref="AG1004">_xlfn.IFS(L1004=1,"Low",L1004=2,"Medium",L1004=3,"High",L1004=4,"Very High")</f>
        <v>High</v>
      </c>
      <c r="AH1004" t="str" cm="1">
        <f t="array" ref="AH1004">_xlfn.IFS(M1004=1,"Junior employee",M1004=2,"Mid-level",M1004=3,"Senior",M1004=4,"Manager",M1004=5,"Executive")</f>
        <v>Senior</v>
      </c>
      <c r="AI1004" t="str" cm="1">
        <f t="array" ref="AI1004">_xlfn.IFS(O1004=1,"Low",O1004=2,"Medium",O1004=3,"High",O1004=4,"Very High")</f>
        <v>Very High</v>
      </c>
      <c r="AJ1004" t="str" cm="1">
        <f t="array" ref="AJ1004">_xlfn.IFS(U1004=1,"Low",U1004=2,"Good",U1004=3,"Excellent",U1004=4,"Outstanding")</f>
        <v>Excellent</v>
      </c>
      <c r="AK1004" t="str" cm="1">
        <f t="array" ref="AK1004">_xlfn.IFS(V1004=1,"Low",V1004=2,"Medium",V1004=3,"High",V1004=4,"Very High")</f>
        <v>High</v>
      </c>
      <c r="AL1004" t="str" cm="1">
        <f t="array" ref="AL1004">_xlfn.IFS(Z1004=1,"Bad",Z1004=2,"Good",Z1004=3,"Better",Z1004=4,"Best")</f>
        <v>Better</v>
      </c>
      <c r="AM1004" t="str" cm="1">
        <f t="array" ref="AM1004">_xlfn.IFS(W1004=0,"No_stock",W1004=1,"Low",W1004=2,"Medium",W1004=3,"High")</f>
        <v>No_stock</v>
      </c>
      <c r="AN1004" t="str">
        <f t="shared" si="15"/>
        <v>Far</v>
      </c>
    </row>
    <row r="1005" spans="1:40" x14ac:dyDescent="0.45">
      <c r="A1005">
        <v>25</v>
      </c>
      <c r="B1005" t="s">
        <v>37</v>
      </c>
      <c r="C1005" t="s">
        <v>31</v>
      </c>
      <c r="D1005">
        <v>949</v>
      </c>
      <c r="E1005" t="s">
        <v>39</v>
      </c>
      <c r="F1005">
        <v>1</v>
      </c>
      <c r="G1005">
        <v>3</v>
      </c>
      <c r="H1005" t="s">
        <v>54</v>
      </c>
      <c r="I1005">
        <v>1415</v>
      </c>
      <c r="J1005">
        <v>1</v>
      </c>
      <c r="K1005" t="s">
        <v>40</v>
      </c>
      <c r="L1005">
        <v>3</v>
      </c>
      <c r="M1005">
        <v>1</v>
      </c>
      <c r="N1005" t="s">
        <v>44</v>
      </c>
      <c r="O1005">
        <v>4</v>
      </c>
      <c r="P1005" t="s">
        <v>42</v>
      </c>
      <c r="Q1005">
        <v>3229</v>
      </c>
      <c r="R1005">
        <v>4</v>
      </c>
      <c r="S1005" t="s">
        <v>37</v>
      </c>
      <c r="T1005">
        <v>11</v>
      </c>
      <c r="U1005">
        <v>3</v>
      </c>
      <c r="V1005">
        <v>2</v>
      </c>
      <c r="W1005">
        <v>1</v>
      </c>
      <c r="X1005">
        <v>7</v>
      </c>
      <c r="Y1005">
        <v>2</v>
      </c>
      <c r="Z1005">
        <v>2</v>
      </c>
      <c r="AA1005">
        <v>3</v>
      </c>
      <c r="AB1005">
        <v>2</v>
      </c>
      <c r="AC1005">
        <v>0</v>
      </c>
      <c r="AD1005">
        <v>2</v>
      </c>
      <c r="AE1005" t="str" cm="1">
        <f t="array" ref="AE1005">_xlfn.IFS(G1005=1,"Before College",G1005=2,"College",G1005=3,"Bachelor",G1005=4,"Master",G1005=5,"Doctor")</f>
        <v>Bachelor</v>
      </c>
      <c r="AF1005" t="str" cm="1">
        <f t="array" ref="AF1005">_xlfn.IFS(J1005=1,"Low",J1005=2,"Medium",J1005=3,"High",J1005=4,"Very High")</f>
        <v>Low</v>
      </c>
      <c r="AG1005" t="str" cm="1">
        <f t="array" ref="AG1005">_xlfn.IFS(L1005=1,"Low",L1005=2,"Medium",L1005=3,"High",L1005=4,"Very High")</f>
        <v>High</v>
      </c>
      <c r="AH1005" t="str" cm="1">
        <f t="array" ref="AH1005">_xlfn.IFS(M1005=1,"Junior employee",M1005=2,"Mid-level",M1005=3,"Senior",M1005=4,"Manager",M1005=5,"Executive")</f>
        <v>Junior employee</v>
      </c>
      <c r="AI1005" t="str" cm="1">
        <f t="array" ref="AI1005">_xlfn.IFS(O1005=1,"Low",O1005=2,"Medium",O1005=3,"High",O1005=4,"Very High")</f>
        <v>Very High</v>
      </c>
      <c r="AJ1005" t="str" cm="1">
        <f t="array" ref="AJ1005">_xlfn.IFS(U1005=1,"Low",U1005=2,"Good",U1005=3,"Excellent",U1005=4,"Outstanding")</f>
        <v>Excellent</v>
      </c>
      <c r="AK1005" t="str" cm="1">
        <f t="array" ref="AK1005">_xlfn.IFS(V1005=1,"Low",V1005=2,"Medium",V1005=3,"High",V1005=4,"Very High")</f>
        <v>Medium</v>
      </c>
      <c r="AL1005" t="str" cm="1">
        <f t="array" ref="AL1005">_xlfn.IFS(Z1005=1,"Bad",Z1005=2,"Good",Z1005=3,"Better",Z1005=4,"Best")</f>
        <v>Good</v>
      </c>
      <c r="AM1005" t="str" cm="1">
        <f t="array" ref="AM1005">_xlfn.IFS(W1005=0,"No_stock",W1005=1,"Low",W1005=2,"Medium",W1005=3,"High")</f>
        <v>Low</v>
      </c>
      <c r="AN1005" t="str">
        <f t="shared" si="15"/>
        <v>Near</v>
      </c>
    </row>
    <row r="1006" spans="1:40" x14ac:dyDescent="0.45">
      <c r="A1006">
        <v>26</v>
      </c>
      <c r="B1006" t="s">
        <v>37</v>
      </c>
      <c r="C1006" t="s">
        <v>31</v>
      </c>
      <c r="D1006">
        <v>652</v>
      </c>
      <c r="E1006" t="s">
        <v>39</v>
      </c>
      <c r="F1006">
        <v>7</v>
      </c>
      <c r="G1006">
        <v>3</v>
      </c>
      <c r="H1006" t="s">
        <v>43</v>
      </c>
      <c r="I1006">
        <v>1417</v>
      </c>
      <c r="J1006">
        <v>3</v>
      </c>
      <c r="K1006" t="s">
        <v>40</v>
      </c>
      <c r="L1006">
        <v>4</v>
      </c>
      <c r="M1006">
        <v>1</v>
      </c>
      <c r="N1006" t="s">
        <v>44</v>
      </c>
      <c r="O1006">
        <v>1</v>
      </c>
      <c r="P1006" t="s">
        <v>36</v>
      </c>
      <c r="Q1006">
        <v>3578</v>
      </c>
      <c r="R1006">
        <v>0</v>
      </c>
      <c r="S1006" t="s">
        <v>37</v>
      </c>
      <c r="T1006">
        <v>12</v>
      </c>
      <c r="U1006">
        <v>3</v>
      </c>
      <c r="V1006">
        <v>4</v>
      </c>
      <c r="W1006">
        <v>0</v>
      </c>
      <c r="X1006">
        <v>8</v>
      </c>
      <c r="Y1006">
        <v>2</v>
      </c>
      <c r="Z1006">
        <v>3</v>
      </c>
      <c r="AA1006">
        <v>7</v>
      </c>
      <c r="AB1006">
        <v>7</v>
      </c>
      <c r="AC1006">
        <v>0</v>
      </c>
      <c r="AD1006">
        <v>7</v>
      </c>
      <c r="AE1006" t="str" cm="1">
        <f t="array" ref="AE1006">_xlfn.IFS(G1006=1,"Before College",G1006=2,"College",G1006=3,"Bachelor",G1006=4,"Master",G1006=5,"Doctor")</f>
        <v>Bachelor</v>
      </c>
      <c r="AF1006" t="str" cm="1">
        <f t="array" ref="AF1006">_xlfn.IFS(J1006=1,"Low",J1006=2,"Medium",J1006=3,"High",J1006=4,"Very High")</f>
        <v>High</v>
      </c>
      <c r="AG1006" t="str" cm="1">
        <f t="array" ref="AG1006">_xlfn.IFS(L1006=1,"Low",L1006=2,"Medium",L1006=3,"High",L1006=4,"Very High")</f>
        <v>Very High</v>
      </c>
      <c r="AH1006" t="str" cm="1">
        <f t="array" ref="AH1006">_xlfn.IFS(M1006=1,"Junior employee",M1006=2,"Mid-level",M1006=3,"Senior",M1006=4,"Manager",M1006=5,"Executive")</f>
        <v>Junior employee</v>
      </c>
      <c r="AI1006" t="str" cm="1">
        <f t="array" ref="AI1006">_xlfn.IFS(O1006=1,"Low",O1006=2,"Medium",O1006=3,"High",O1006=4,"Very High")</f>
        <v>Low</v>
      </c>
      <c r="AJ1006" t="str" cm="1">
        <f t="array" ref="AJ1006">_xlfn.IFS(U1006=1,"Low",U1006=2,"Good",U1006=3,"Excellent",U1006=4,"Outstanding")</f>
        <v>Excellent</v>
      </c>
      <c r="AK1006" t="str" cm="1">
        <f t="array" ref="AK1006">_xlfn.IFS(V1006=1,"Low",V1006=2,"Medium",V1006=3,"High",V1006=4,"Very High")</f>
        <v>Very High</v>
      </c>
      <c r="AL1006" t="str" cm="1">
        <f t="array" ref="AL1006">_xlfn.IFS(Z1006=1,"Bad",Z1006=2,"Good",Z1006=3,"Better",Z1006=4,"Best")</f>
        <v>Better</v>
      </c>
      <c r="AM1006" t="str" cm="1">
        <f t="array" ref="AM1006">_xlfn.IFS(W1006=0,"No_stock",W1006=1,"Low",W1006=2,"Medium",W1006=3,"High")</f>
        <v>No_stock</v>
      </c>
      <c r="AN1006" t="str">
        <f t="shared" si="15"/>
        <v>Medium</v>
      </c>
    </row>
    <row r="1007" spans="1:40" x14ac:dyDescent="0.45">
      <c r="A1007">
        <v>29</v>
      </c>
      <c r="B1007" t="s">
        <v>37</v>
      </c>
      <c r="C1007" t="s">
        <v>31</v>
      </c>
      <c r="D1007">
        <v>332</v>
      </c>
      <c r="E1007" t="s">
        <v>55</v>
      </c>
      <c r="F1007">
        <v>17</v>
      </c>
      <c r="G1007">
        <v>3</v>
      </c>
      <c r="H1007" t="s">
        <v>43</v>
      </c>
      <c r="I1007">
        <v>1419</v>
      </c>
      <c r="J1007">
        <v>2</v>
      </c>
      <c r="K1007" t="s">
        <v>40</v>
      </c>
      <c r="L1007">
        <v>2</v>
      </c>
      <c r="M1007">
        <v>3</v>
      </c>
      <c r="N1007" t="s">
        <v>55</v>
      </c>
      <c r="O1007">
        <v>1</v>
      </c>
      <c r="P1007" t="s">
        <v>36</v>
      </c>
      <c r="Q1007">
        <v>7988</v>
      </c>
      <c r="R1007">
        <v>1</v>
      </c>
      <c r="S1007" t="s">
        <v>37</v>
      </c>
      <c r="T1007">
        <v>13</v>
      </c>
      <c r="U1007">
        <v>3</v>
      </c>
      <c r="V1007">
        <v>1</v>
      </c>
      <c r="W1007">
        <v>0</v>
      </c>
      <c r="X1007">
        <v>10</v>
      </c>
      <c r="Y1007">
        <v>3</v>
      </c>
      <c r="Z1007">
        <v>2</v>
      </c>
      <c r="AA1007">
        <v>10</v>
      </c>
      <c r="AB1007">
        <v>9</v>
      </c>
      <c r="AC1007">
        <v>0</v>
      </c>
      <c r="AD1007">
        <v>9</v>
      </c>
      <c r="AE1007" t="str" cm="1">
        <f t="array" ref="AE1007">_xlfn.IFS(G1007=1,"Before College",G1007=2,"College",G1007=3,"Bachelor",G1007=4,"Master",G1007=5,"Doctor")</f>
        <v>Bachelor</v>
      </c>
      <c r="AF1007" t="str" cm="1">
        <f t="array" ref="AF1007">_xlfn.IFS(J1007=1,"Low",J1007=2,"Medium",J1007=3,"High",J1007=4,"Very High")</f>
        <v>Medium</v>
      </c>
      <c r="AG1007" t="str" cm="1">
        <f t="array" ref="AG1007">_xlfn.IFS(L1007=1,"Low",L1007=2,"Medium",L1007=3,"High",L1007=4,"Very High")</f>
        <v>Medium</v>
      </c>
      <c r="AH1007" t="str" cm="1">
        <f t="array" ref="AH1007">_xlfn.IFS(M1007=1,"Junior employee",M1007=2,"Mid-level",M1007=3,"Senior",M1007=4,"Manager",M1007=5,"Executive")</f>
        <v>Senior</v>
      </c>
      <c r="AI1007" t="str" cm="1">
        <f t="array" ref="AI1007">_xlfn.IFS(O1007=1,"Low",O1007=2,"Medium",O1007=3,"High",O1007=4,"Very High")</f>
        <v>Low</v>
      </c>
      <c r="AJ1007" t="str" cm="1">
        <f t="array" ref="AJ1007">_xlfn.IFS(U1007=1,"Low",U1007=2,"Good",U1007=3,"Excellent",U1007=4,"Outstanding")</f>
        <v>Excellent</v>
      </c>
      <c r="AK1007" t="str" cm="1">
        <f t="array" ref="AK1007">_xlfn.IFS(V1007=1,"Low",V1007=2,"Medium",V1007=3,"High",V1007=4,"Very High")</f>
        <v>Low</v>
      </c>
      <c r="AL1007" t="str" cm="1">
        <f t="array" ref="AL1007">_xlfn.IFS(Z1007=1,"Bad",Z1007=2,"Good",Z1007=3,"Better",Z1007=4,"Best")</f>
        <v>Good</v>
      </c>
      <c r="AM1007" t="str" cm="1">
        <f t="array" ref="AM1007">_xlfn.IFS(W1007=0,"No_stock",W1007=1,"Low",W1007=2,"Medium",W1007=3,"High")</f>
        <v>No_stock</v>
      </c>
      <c r="AN1007" t="str">
        <f t="shared" si="15"/>
        <v>Far</v>
      </c>
    </row>
    <row r="1008" spans="1:40" x14ac:dyDescent="0.45">
      <c r="A1008">
        <v>49</v>
      </c>
      <c r="B1008" t="s">
        <v>30</v>
      </c>
      <c r="C1008" t="s">
        <v>38</v>
      </c>
      <c r="D1008">
        <v>1475</v>
      </c>
      <c r="E1008" t="s">
        <v>39</v>
      </c>
      <c r="F1008">
        <v>28</v>
      </c>
      <c r="G1008">
        <v>2</v>
      </c>
      <c r="H1008" t="s">
        <v>33</v>
      </c>
      <c r="I1008">
        <v>1420</v>
      </c>
      <c r="J1008">
        <v>1</v>
      </c>
      <c r="K1008" t="s">
        <v>40</v>
      </c>
      <c r="L1008">
        <v>2</v>
      </c>
      <c r="M1008">
        <v>2</v>
      </c>
      <c r="N1008" t="s">
        <v>44</v>
      </c>
      <c r="O1008">
        <v>1</v>
      </c>
      <c r="P1008" t="s">
        <v>36</v>
      </c>
      <c r="Q1008">
        <v>4284</v>
      </c>
      <c r="R1008">
        <v>3</v>
      </c>
      <c r="S1008" t="s">
        <v>37</v>
      </c>
      <c r="T1008">
        <v>20</v>
      </c>
      <c r="U1008">
        <v>4</v>
      </c>
      <c r="V1008">
        <v>1</v>
      </c>
      <c r="W1008">
        <v>0</v>
      </c>
      <c r="X1008">
        <v>20</v>
      </c>
      <c r="Y1008">
        <v>2</v>
      </c>
      <c r="Z1008">
        <v>3</v>
      </c>
      <c r="AA1008">
        <v>4</v>
      </c>
      <c r="AB1008">
        <v>3</v>
      </c>
      <c r="AC1008">
        <v>1</v>
      </c>
      <c r="AD1008">
        <v>3</v>
      </c>
      <c r="AE1008" t="str" cm="1">
        <f t="array" ref="AE1008">_xlfn.IFS(G1008=1,"Before College",G1008=2,"College",G1008=3,"Bachelor",G1008=4,"Master",G1008=5,"Doctor")</f>
        <v>College</v>
      </c>
      <c r="AF1008" t="str" cm="1">
        <f t="array" ref="AF1008">_xlfn.IFS(J1008=1,"Low",J1008=2,"Medium",J1008=3,"High",J1008=4,"Very High")</f>
        <v>Low</v>
      </c>
      <c r="AG1008" t="str" cm="1">
        <f t="array" ref="AG1008">_xlfn.IFS(L1008=1,"Low",L1008=2,"Medium",L1008=3,"High",L1008=4,"Very High")</f>
        <v>Medium</v>
      </c>
      <c r="AH1008" t="str" cm="1">
        <f t="array" ref="AH1008">_xlfn.IFS(M1008=1,"Junior employee",M1008=2,"Mid-level",M1008=3,"Senior",M1008=4,"Manager",M1008=5,"Executive")</f>
        <v>Mid-level</v>
      </c>
      <c r="AI1008" t="str" cm="1">
        <f t="array" ref="AI1008">_xlfn.IFS(O1008=1,"Low",O1008=2,"Medium",O1008=3,"High",O1008=4,"Very High")</f>
        <v>Low</v>
      </c>
      <c r="AJ1008" t="str" cm="1">
        <f t="array" ref="AJ1008">_xlfn.IFS(U1008=1,"Low",U1008=2,"Good",U1008=3,"Excellent",U1008=4,"Outstanding")</f>
        <v>Outstanding</v>
      </c>
      <c r="AK1008" t="str" cm="1">
        <f t="array" ref="AK1008">_xlfn.IFS(V1008=1,"Low",V1008=2,"Medium",V1008=3,"High",V1008=4,"Very High")</f>
        <v>Low</v>
      </c>
      <c r="AL1008" t="str" cm="1">
        <f t="array" ref="AL1008">_xlfn.IFS(Z1008=1,"Bad",Z1008=2,"Good",Z1008=3,"Better",Z1008=4,"Best")</f>
        <v>Better</v>
      </c>
      <c r="AM1008" t="str" cm="1">
        <f t="array" ref="AM1008">_xlfn.IFS(W1008=0,"No_stock",W1008=1,"Low",W1008=2,"Medium",W1008=3,"High")</f>
        <v>No_stock</v>
      </c>
      <c r="AN1008" t="str">
        <f t="shared" si="15"/>
        <v>Far</v>
      </c>
    </row>
    <row r="1009" spans="1:40" x14ac:dyDescent="0.45">
      <c r="A1009">
        <v>29</v>
      </c>
      <c r="B1009" t="s">
        <v>30</v>
      </c>
      <c r="C1009" t="s">
        <v>38</v>
      </c>
      <c r="D1009">
        <v>337</v>
      </c>
      <c r="E1009" t="s">
        <v>39</v>
      </c>
      <c r="F1009">
        <v>14</v>
      </c>
      <c r="G1009">
        <v>1</v>
      </c>
      <c r="H1009" t="s">
        <v>43</v>
      </c>
      <c r="I1009">
        <v>1421</v>
      </c>
      <c r="J1009">
        <v>3</v>
      </c>
      <c r="K1009" t="s">
        <v>34</v>
      </c>
      <c r="L1009">
        <v>3</v>
      </c>
      <c r="M1009">
        <v>3</v>
      </c>
      <c r="N1009" t="s">
        <v>48</v>
      </c>
      <c r="O1009">
        <v>4</v>
      </c>
      <c r="P1009" t="s">
        <v>36</v>
      </c>
      <c r="Q1009">
        <v>7553</v>
      </c>
      <c r="R1009">
        <v>0</v>
      </c>
      <c r="S1009" t="s">
        <v>30</v>
      </c>
      <c r="T1009">
        <v>12</v>
      </c>
      <c r="U1009">
        <v>3</v>
      </c>
      <c r="V1009">
        <v>1</v>
      </c>
      <c r="W1009">
        <v>0</v>
      </c>
      <c r="X1009">
        <v>9</v>
      </c>
      <c r="Y1009">
        <v>1</v>
      </c>
      <c r="Z1009">
        <v>3</v>
      </c>
      <c r="AA1009">
        <v>8</v>
      </c>
      <c r="AB1009">
        <v>7</v>
      </c>
      <c r="AC1009">
        <v>7</v>
      </c>
      <c r="AD1009">
        <v>7</v>
      </c>
      <c r="AE1009" t="str" cm="1">
        <f t="array" ref="AE1009">_xlfn.IFS(G1009=1,"Before College",G1009=2,"College",G1009=3,"Bachelor",G1009=4,"Master",G1009=5,"Doctor")</f>
        <v>Before College</v>
      </c>
      <c r="AF1009" t="str" cm="1">
        <f t="array" ref="AF1009">_xlfn.IFS(J1009=1,"Low",J1009=2,"Medium",J1009=3,"High",J1009=4,"Very High")</f>
        <v>High</v>
      </c>
      <c r="AG1009" t="str" cm="1">
        <f t="array" ref="AG1009">_xlfn.IFS(L1009=1,"Low",L1009=2,"Medium",L1009=3,"High",L1009=4,"Very High")</f>
        <v>High</v>
      </c>
      <c r="AH1009" t="str" cm="1">
        <f t="array" ref="AH1009">_xlfn.IFS(M1009=1,"Junior employee",M1009=2,"Mid-level",M1009=3,"Senior",M1009=4,"Manager",M1009=5,"Executive")</f>
        <v>Senior</v>
      </c>
      <c r="AI1009" t="str" cm="1">
        <f t="array" ref="AI1009">_xlfn.IFS(O1009=1,"Low",O1009=2,"Medium",O1009=3,"High",O1009=4,"Very High")</f>
        <v>Very High</v>
      </c>
      <c r="AJ1009" t="str" cm="1">
        <f t="array" ref="AJ1009">_xlfn.IFS(U1009=1,"Low",U1009=2,"Good",U1009=3,"Excellent",U1009=4,"Outstanding")</f>
        <v>Excellent</v>
      </c>
      <c r="AK1009" t="str" cm="1">
        <f t="array" ref="AK1009">_xlfn.IFS(V1009=1,"Low",V1009=2,"Medium",V1009=3,"High",V1009=4,"Very High")</f>
        <v>Low</v>
      </c>
      <c r="AL1009" t="str" cm="1">
        <f t="array" ref="AL1009">_xlfn.IFS(Z1009=1,"Bad",Z1009=2,"Good",Z1009=3,"Better",Z1009=4,"Best")</f>
        <v>Better</v>
      </c>
      <c r="AM1009" t="str" cm="1">
        <f t="array" ref="AM1009">_xlfn.IFS(W1009=0,"No_stock",W1009=1,"Low",W1009=2,"Medium",W1009=3,"High")</f>
        <v>No_stock</v>
      </c>
      <c r="AN1009" t="str">
        <f t="shared" si="15"/>
        <v>Medium</v>
      </c>
    </row>
    <row r="1010" spans="1:40" x14ac:dyDescent="0.45">
      <c r="A1010">
        <v>54</v>
      </c>
      <c r="B1010" t="s">
        <v>37</v>
      </c>
      <c r="C1010" t="s">
        <v>31</v>
      </c>
      <c r="D1010">
        <v>971</v>
      </c>
      <c r="E1010" t="s">
        <v>39</v>
      </c>
      <c r="F1010">
        <v>1</v>
      </c>
      <c r="G1010">
        <v>3</v>
      </c>
      <c r="H1010" t="s">
        <v>45</v>
      </c>
      <c r="I1010">
        <v>1422</v>
      </c>
      <c r="J1010">
        <v>4</v>
      </c>
      <c r="K1010" t="s">
        <v>34</v>
      </c>
      <c r="L1010">
        <v>3</v>
      </c>
      <c r="M1010">
        <v>4</v>
      </c>
      <c r="N1010" t="s">
        <v>52</v>
      </c>
      <c r="O1010">
        <v>4</v>
      </c>
      <c r="P1010" t="s">
        <v>36</v>
      </c>
      <c r="Q1010">
        <v>17328</v>
      </c>
      <c r="R1010">
        <v>6</v>
      </c>
      <c r="S1010" t="s">
        <v>37</v>
      </c>
      <c r="T1010">
        <v>19</v>
      </c>
      <c r="U1010">
        <v>3</v>
      </c>
      <c r="V1010">
        <v>4</v>
      </c>
      <c r="W1010">
        <v>0</v>
      </c>
      <c r="X1010">
        <v>29</v>
      </c>
      <c r="Y1010">
        <v>3</v>
      </c>
      <c r="Z1010">
        <v>2</v>
      </c>
      <c r="AA1010">
        <v>20</v>
      </c>
      <c r="AB1010">
        <v>7</v>
      </c>
      <c r="AC1010">
        <v>12</v>
      </c>
      <c r="AD1010">
        <v>7</v>
      </c>
      <c r="AE1010" t="str" cm="1">
        <f t="array" ref="AE1010">_xlfn.IFS(G1010=1,"Before College",G1010=2,"College",G1010=3,"Bachelor",G1010=4,"Master",G1010=5,"Doctor")</f>
        <v>Bachelor</v>
      </c>
      <c r="AF1010" t="str" cm="1">
        <f t="array" ref="AF1010">_xlfn.IFS(J1010=1,"Low",J1010=2,"Medium",J1010=3,"High",J1010=4,"Very High")</f>
        <v>Very High</v>
      </c>
      <c r="AG1010" t="str" cm="1">
        <f t="array" ref="AG1010">_xlfn.IFS(L1010=1,"Low",L1010=2,"Medium",L1010=3,"High",L1010=4,"Very High")</f>
        <v>High</v>
      </c>
      <c r="AH1010" t="str" cm="1">
        <f t="array" ref="AH1010">_xlfn.IFS(M1010=1,"Junior employee",M1010=2,"Mid-level",M1010=3,"Senior",M1010=4,"Manager",M1010=5,"Executive")</f>
        <v>Manager</v>
      </c>
      <c r="AI1010" t="str" cm="1">
        <f t="array" ref="AI1010">_xlfn.IFS(O1010=1,"Low",O1010=2,"Medium",O1010=3,"High",O1010=4,"Very High")</f>
        <v>Very High</v>
      </c>
      <c r="AJ1010" t="str" cm="1">
        <f t="array" ref="AJ1010">_xlfn.IFS(U1010=1,"Low",U1010=2,"Good",U1010=3,"Excellent",U1010=4,"Outstanding")</f>
        <v>Excellent</v>
      </c>
      <c r="AK1010" t="str" cm="1">
        <f t="array" ref="AK1010">_xlfn.IFS(V1010=1,"Low",V1010=2,"Medium",V1010=3,"High",V1010=4,"Very High")</f>
        <v>Very High</v>
      </c>
      <c r="AL1010" t="str" cm="1">
        <f t="array" ref="AL1010">_xlfn.IFS(Z1010=1,"Bad",Z1010=2,"Good",Z1010=3,"Better",Z1010=4,"Best")</f>
        <v>Good</v>
      </c>
      <c r="AM1010" t="str" cm="1">
        <f t="array" ref="AM1010">_xlfn.IFS(W1010=0,"No_stock",W1010=1,"Low",W1010=2,"Medium",W1010=3,"High")</f>
        <v>No_stock</v>
      </c>
      <c r="AN1010" t="str">
        <f t="shared" si="15"/>
        <v>Near</v>
      </c>
    </row>
    <row r="1011" spans="1:40" x14ac:dyDescent="0.45">
      <c r="A1011">
        <v>58</v>
      </c>
      <c r="B1011" t="s">
        <v>37</v>
      </c>
      <c r="C1011" t="s">
        <v>31</v>
      </c>
      <c r="D1011">
        <v>1055</v>
      </c>
      <c r="E1011" t="s">
        <v>39</v>
      </c>
      <c r="F1011">
        <v>1</v>
      </c>
      <c r="G1011">
        <v>3</v>
      </c>
      <c r="H1011" t="s">
        <v>45</v>
      </c>
      <c r="I1011">
        <v>1423</v>
      </c>
      <c r="J1011">
        <v>4</v>
      </c>
      <c r="K1011" t="s">
        <v>34</v>
      </c>
      <c r="L1011">
        <v>3</v>
      </c>
      <c r="M1011">
        <v>5</v>
      </c>
      <c r="N1011" t="s">
        <v>52</v>
      </c>
      <c r="O1011">
        <v>1</v>
      </c>
      <c r="P1011" t="s">
        <v>42</v>
      </c>
      <c r="Q1011">
        <v>19701</v>
      </c>
      <c r="R1011">
        <v>3</v>
      </c>
      <c r="S1011" t="s">
        <v>30</v>
      </c>
      <c r="T1011">
        <v>21</v>
      </c>
      <c r="U1011">
        <v>4</v>
      </c>
      <c r="V1011">
        <v>3</v>
      </c>
      <c r="W1011">
        <v>1</v>
      </c>
      <c r="X1011">
        <v>32</v>
      </c>
      <c r="Y1011">
        <v>3</v>
      </c>
      <c r="Z1011">
        <v>3</v>
      </c>
      <c r="AA1011">
        <v>9</v>
      </c>
      <c r="AB1011">
        <v>8</v>
      </c>
      <c r="AC1011">
        <v>1</v>
      </c>
      <c r="AD1011">
        <v>5</v>
      </c>
      <c r="AE1011" t="str" cm="1">
        <f t="array" ref="AE1011">_xlfn.IFS(G1011=1,"Before College",G1011=2,"College",G1011=3,"Bachelor",G1011=4,"Master",G1011=5,"Doctor")</f>
        <v>Bachelor</v>
      </c>
      <c r="AF1011" t="str" cm="1">
        <f t="array" ref="AF1011">_xlfn.IFS(J1011=1,"Low",J1011=2,"Medium",J1011=3,"High",J1011=4,"Very High")</f>
        <v>Very High</v>
      </c>
      <c r="AG1011" t="str" cm="1">
        <f t="array" ref="AG1011">_xlfn.IFS(L1011=1,"Low",L1011=2,"Medium",L1011=3,"High",L1011=4,"Very High")</f>
        <v>High</v>
      </c>
      <c r="AH1011" t="str" cm="1">
        <f t="array" ref="AH1011">_xlfn.IFS(M1011=1,"Junior employee",M1011=2,"Mid-level",M1011=3,"Senior",M1011=4,"Manager",M1011=5,"Executive")</f>
        <v>Executive</v>
      </c>
      <c r="AI1011" t="str" cm="1">
        <f t="array" ref="AI1011">_xlfn.IFS(O1011=1,"Low",O1011=2,"Medium",O1011=3,"High",O1011=4,"Very High")</f>
        <v>Low</v>
      </c>
      <c r="AJ1011" t="str" cm="1">
        <f t="array" ref="AJ1011">_xlfn.IFS(U1011=1,"Low",U1011=2,"Good",U1011=3,"Excellent",U1011=4,"Outstanding")</f>
        <v>Outstanding</v>
      </c>
      <c r="AK1011" t="str" cm="1">
        <f t="array" ref="AK1011">_xlfn.IFS(V1011=1,"Low",V1011=2,"Medium",V1011=3,"High",V1011=4,"Very High")</f>
        <v>High</v>
      </c>
      <c r="AL1011" t="str" cm="1">
        <f t="array" ref="AL1011">_xlfn.IFS(Z1011=1,"Bad",Z1011=2,"Good",Z1011=3,"Better",Z1011=4,"Best")</f>
        <v>Better</v>
      </c>
      <c r="AM1011" t="str" cm="1">
        <f t="array" ref="AM1011">_xlfn.IFS(W1011=0,"No_stock",W1011=1,"Low",W1011=2,"Medium",W1011=3,"High")</f>
        <v>Low</v>
      </c>
      <c r="AN1011" t="str">
        <f t="shared" si="15"/>
        <v>Near</v>
      </c>
    </row>
    <row r="1012" spans="1:40" x14ac:dyDescent="0.45">
      <c r="A1012">
        <v>55</v>
      </c>
      <c r="B1012" t="s">
        <v>37</v>
      </c>
      <c r="C1012" t="s">
        <v>31</v>
      </c>
      <c r="D1012">
        <v>1136</v>
      </c>
      <c r="E1012" t="s">
        <v>39</v>
      </c>
      <c r="F1012">
        <v>1</v>
      </c>
      <c r="G1012">
        <v>4</v>
      </c>
      <c r="H1012" t="s">
        <v>45</v>
      </c>
      <c r="I1012">
        <v>1424</v>
      </c>
      <c r="J1012">
        <v>2</v>
      </c>
      <c r="K1012" t="s">
        <v>40</v>
      </c>
      <c r="L1012">
        <v>4</v>
      </c>
      <c r="M1012">
        <v>4</v>
      </c>
      <c r="N1012" t="s">
        <v>52</v>
      </c>
      <c r="O1012">
        <v>4</v>
      </c>
      <c r="P1012" t="s">
        <v>46</v>
      </c>
      <c r="Q1012">
        <v>14732</v>
      </c>
      <c r="R1012">
        <v>2</v>
      </c>
      <c r="S1012" t="s">
        <v>37</v>
      </c>
      <c r="T1012">
        <v>13</v>
      </c>
      <c r="U1012">
        <v>3</v>
      </c>
      <c r="V1012">
        <v>4</v>
      </c>
      <c r="W1012">
        <v>2</v>
      </c>
      <c r="X1012">
        <v>31</v>
      </c>
      <c r="Y1012">
        <v>4</v>
      </c>
      <c r="Z1012">
        <v>4</v>
      </c>
      <c r="AA1012">
        <v>7</v>
      </c>
      <c r="AB1012">
        <v>7</v>
      </c>
      <c r="AC1012">
        <v>0</v>
      </c>
      <c r="AD1012">
        <v>0</v>
      </c>
      <c r="AE1012" t="str" cm="1">
        <f t="array" ref="AE1012">_xlfn.IFS(G1012=1,"Before College",G1012=2,"College",G1012=3,"Bachelor",G1012=4,"Master",G1012=5,"Doctor")</f>
        <v>Master</v>
      </c>
      <c r="AF1012" t="str" cm="1">
        <f t="array" ref="AF1012">_xlfn.IFS(J1012=1,"Low",J1012=2,"Medium",J1012=3,"High",J1012=4,"Very High")</f>
        <v>Medium</v>
      </c>
      <c r="AG1012" t="str" cm="1">
        <f t="array" ref="AG1012">_xlfn.IFS(L1012=1,"Low",L1012=2,"Medium",L1012=3,"High",L1012=4,"Very High")</f>
        <v>Very High</v>
      </c>
      <c r="AH1012" t="str" cm="1">
        <f t="array" ref="AH1012">_xlfn.IFS(M1012=1,"Junior employee",M1012=2,"Mid-level",M1012=3,"Senior",M1012=4,"Manager",M1012=5,"Executive")</f>
        <v>Manager</v>
      </c>
      <c r="AI1012" t="str" cm="1">
        <f t="array" ref="AI1012">_xlfn.IFS(O1012=1,"Low",O1012=2,"Medium",O1012=3,"High",O1012=4,"Very High")</f>
        <v>Very High</v>
      </c>
      <c r="AJ1012" t="str" cm="1">
        <f t="array" ref="AJ1012">_xlfn.IFS(U1012=1,"Low",U1012=2,"Good",U1012=3,"Excellent",U1012=4,"Outstanding")</f>
        <v>Excellent</v>
      </c>
      <c r="AK1012" t="str" cm="1">
        <f t="array" ref="AK1012">_xlfn.IFS(V1012=1,"Low",V1012=2,"Medium",V1012=3,"High",V1012=4,"Very High")</f>
        <v>Very High</v>
      </c>
      <c r="AL1012" t="str" cm="1">
        <f t="array" ref="AL1012">_xlfn.IFS(Z1012=1,"Bad",Z1012=2,"Good",Z1012=3,"Better",Z1012=4,"Best")</f>
        <v>Best</v>
      </c>
      <c r="AM1012" t="str" cm="1">
        <f t="array" ref="AM1012">_xlfn.IFS(W1012=0,"No_stock",W1012=1,"Low",W1012=2,"Medium",W1012=3,"High")</f>
        <v>Medium</v>
      </c>
      <c r="AN1012" t="str">
        <f t="shared" si="15"/>
        <v>Near</v>
      </c>
    </row>
    <row r="1013" spans="1:40" x14ac:dyDescent="0.45">
      <c r="A1013">
        <v>36</v>
      </c>
      <c r="B1013" t="s">
        <v>37</v>
      </c>
      <c r="C1013" t="s">
        <v>31</v>
      </c>
      <c r="D1013">
        <v>1174</v>
      </c>
      <c r="E1013" t="s">
        <v>32</v>
      </c>
      <c r="F1013">
        <v>3</v>
      </c>
      <c r="G1013">
        <v>4</v>
      </c>
      <c r="H1013" t="s">
        <v>53</v>
      </c>
      <c r="I1013">
        <v>1425</v>
      </c>
      <c r="J1013">
        <v>1</v>
      </c>
      <c r="K1013" t="s">
        <v>34</v>
      </c>
      <c r="L1013">
        <v>3</v>
      </c>
      <c r="M1013">
        <v>2</v>
      </c>
      <c r="N1013" t="s">
        <v>35</v>
      </c>
      <c r="O1013">
        <v>2</v>
      </c>
      <c r="P1013" t="s">
        <v>36</v>
      </c>
      <c r="Q1013">
        <v>9278</v>
      </c>
      <c r="R1013">
        <v>3</v>
      </c>
      <c r="S1013" t="s">
        <v>30</v>
      </c>
      <c r="T1013">
        <v>16</v>
      </c>
      <c r="U1013">
        <v>3</v>
      </c>
      <c r="V1013">
        <v>4</v>
      </c>
      <c r="W1013">
        <v>0</v>
      </c>
      <c r="X1013">
        <v>15</v>
      </c>
      <c r="Y1013">
        <v>3</v>
      </c>
      <c r="Z1013">
        <v>3</v>
      </c>
      <c r="AA1013">
        <v>5</v>
      </c>
      <c r="AB1013">
        <v>4</v>
      </c>
      <c r="AC1013">
        <v>0</v>
      </c>
      <c r="AD1013">
        <v>1</v>
      </c>
      <c r="AE1013" t="str" cm="1">
        <f t="array" ref="AE1013">_xlfn.IFS(G1013=1,"Before College",G1013=2,"College",G1013=3,"Bachelor",G1013=4,"Master",G1013=5,"Doctor")</f>
        <v>Master</v>
      </c>
      <c r="AF1013" t="str" cm="1">
        <f t="array" ref="AF1013">_xlfn.IFS(J1013=1,"Low",J1013=2,"Medium",J1013=3,"High",J1013=4,"Very High")</f>
        <v>Low</v>
      </c>
      <c r="AG1013" t="str" cm="1">
        <f t="array" ref="AG1013">_xlfn.IFS(L1013=1,"Low",L1013=2,"Medium",L1013=3,"High",L1013=4,"Very High")</f>
        <v>High</v>
      </c>
      <c r="AH1013" t="str" cm="1">
        <f t="array" ref="AH1013">_xlfn.IFS(M1013=1,"Junior employee",M1013=2,"Mid-level",M1013=3,"Senior",M1013=4,"Manager",M1013=5,"Executive")</f>
        <v>Mid-level</v>
      </c>
      <c r="AI1013" t="str" cm="1">
        <f t="array" ref="AI1013">_xlfn.IFS(O1013=1,"Low",O1013=2,"Medium",O1013=3,"High",O1013=4,"Very High")</f>
        <v>Medium</v>
      </c>
      <c r="AJ1013" t="str" cm="1">
        <f t="array" ref="AJ1013">_xlfn.IFS(U1013=1,"Low",U1013=2,"Good",U1013=3,"Excellent",U1013=4,"Outstanding")</f>
        <v>Excellent</v>
      </c>
      <c r="AK1013" t="str" cm="1">
        <f t="array" ref="AK1013">_xlfn.IFS(V1013=1,"Low",V1013=2,"Medium",V1013=3,"High",V1013=4,"Very High")</f>
        <v>Very High</v>
      </c>
      <c r="AL1013" t="str" cm="1">
        <f t="array" ref="AL1013">_xlfn.IFS(Z1013=1,"Bad",Z1013=2,"Good",Z1013=3,"Better",Z1013=4,"Best")</f>
        <v>Better</v>
      </c>
      <c r="AM1013" t="str" cm="1">
        <f t="array" ref="AM1013">_xlfn.IFS(W1013=0,"No_stock",W1013=1,"Low",W1013=2,"Medium",W1013=3,"High")</f>
        <v>No_stock</v>
      </c>
      <c r="AN1013" t="str">
        <f t="shared" si="15"/>
        <v>Near</v>
      </c>
    </row>
    <row r="1014" spans="1:40" x14ac:dyDescent="0.45">
      <c r="A1014">
        <v>31</v>
      </c>
      <c r="B1014" t="s">
        <v>30</v>
      </c>
      <c r="C1014" t="s">
        <v>38</v>
      </c>
      <c r="D1014">
        <v>667</v>
      </c>
      <c r="E1014" t="s">
        <v>32</v>
      </c>
      <c r="F1014">
        <v>1</v>
      </c>
      <c r="G1014">
        <v>4</v>
      </c>
      <c r="H1014" t="s">
        <v>33</v>
      </c>
      <c r="I1014">
        <v>1427</v>
      </c>
      <c r="J1014">
        <v>2</v>
      </c>
      <c r="K1014" t="s">
        <v>34</v>
      </c>
      <c r="L1014">
        <v>1</v>
      </c>
      <c r="M1014">
        <v>1</v>
      </c>
      <c r="N1014" t="s">
        <v>51</v>
      </c>
      <c r="O1014">
        <v>3</v>
      </c>
      <c r="P1014" t="s">
        <v>36</v>
      </c>
      <c r="Q1014">
        <v>1359</v>
      </c>
      <c r="R1014">
        <v>1</v>
      </c>
      <c r="S1014" t="s">
        <v>37</v>
      </c>
      <c r="T1014">
        <v>12</v>
      </c>
      <c r="U1014">
        <v>3</v>
      </c>
      <c r="V1014">
        <v>2</v>
      </c>
      <c r="W1014">
        <v>0</v>
      </c>
      <c r="X1014">
        <v>1</v>
      </c>
      <c r="Y1014">
        <v>3</v>
      </c>
      <c r="Z1014">
        <v>3</v>
      </c>
      <c r="AA1014">
        <v>1</v>
      </c>
      <c r="AB1014">
        <v>0</v>
      </c>
      <c r="AC1014">
        <v>0</v>
      </c>
      <c r="AD1014">
        <v>0</v>
      </c>
      <c r="AE1014" t="str" cm="1">
        <f t="array" ref="AE1014">_xlfn.IFS(G1014=1,"Before College",G1014=2,"College",G1014=3,"Bachelor",G1014=4,"Master",G1014=5,"Doctor")</f>
        <v>Master</v>
      </c>
      <c r="AF1014" t="str" cm="1">
        <f t="array" ref="AF1014">_xlfn.IFS(J1014=1,"Low",J1014=2,"Medium",J1014=3,"High",J1014=4,"Very High")</f>
        <v>Medium</v>
      </c>
      <c r="AG1014" t="str" cm="1">
        <f t="array" ref="AG1014">_xlfn.IFS(L1014=1,"Low",L1014=2,"Medium",L1014=3,"High",L1014=4,"Very High")</f>
        <v>Low</v>
      </c>
      <c r="AH1014" t="str" cm="1">
        <f t="array" ref="AH1014">_xlfn.IFS(M1014=1,"Junior employee",M1014=2,"Mid-level",M1014=3,"Senior",M1014=4,"Manager",M1014=5,"Executive")</f>
        <v>Junior employee</v>
      </c>
      <c r="AI1014" t="str" cm="1">
        <f t="array" ref="AI1014">_xlfn.IFS(O1014=1,"Low",O1014=2,"Medium",O1014=3,"High",O1014=4,"Very High")</f>
        <v>High</v>
      </c>
      <c r="AJ1014" t="str" cm="1">
        <f t="array" ref="AJ1014">_xlfn.IFS(U1014=1,"Low",U1014=2,"Good",U1014=3,"Excellent",U1014=4,"Outstanding")</f>
        <v>Excellent</v>
      </c>
      <c r="AK1014" t="str" cm="1">
        <f t="array" ref="AK1014">_xlfn.IFS(V1014=1,"Low",V1014=2,"Medium",V1014=3,"High",V1014=4,"Very High")</f>
        <v>Medium</v>
      </c>
      <c r="AL1014" t="str" cm="1">
        <f t="array" ref="AL1014">_xlfn.IFS(Z1014=1,"Bad",Z1014=2,"Good",Z1014=3,"Better",Z1014=4,"Best")</f>
        <v>Better</v>
      </c>
      <c r="AM1014" t="str" cm="1">
        <f t="array" ref="AM1014">_xlfn.IFS(W1014=0,"No_stock",W1014=1,"Low",W1014=2,"Medium",W1014=3,"High")</f>
        <v>No_stock</v>
      </c>
      <c r="AN1014" t="str">
        <f t="shared" si="15"/>
        <v>Near</v>
      </c>
    </row>
    <row r="1015" spans="1:40" x14ac:dyDescent="0.45">
      <c r="A1015">
        <v>30</v>
      </c>
      <c r="B1015" t="s">
        <v>37</v>
      </c>
      <c r="C1015" t="s">
        <v>31</v>
      </c>
      <c r="D1015">
        <v>855</v>
      </c>
      <c r="E1015" t="s">
        <v>32</v>
      </c>
      <c r="F1015">
        <v>7</v>
      </c>
      <c r="G1015">
        <v>4</v>
      </c>
      <c r="H1015" t="s">
        <v>53</v>
      </c>
      <c r="I1015">
        <v>1428</v>
      </c>
      <c r="J1015">
        <v>4</v>
      </c>
      <c r="K1015" t="s">
        <v>34</v>
      </c>
      <c r="L1015">
        <v>3</v>
      </c>
      <c r="M1015">
        <v>2</v>
      </c>
      <c r="N1015" t="s">
        <v>35</v>
      </c>
      <c r="O1015">
        <v>1</v>
      </c>
      <c r="P1015" t="s">
        <v>46</v>
      </c>
      <c r="Q1015">
        <v>4779</v>
      </c>
      <c r="R1015">
        <v>7</v>
      </c>
      <c r="S1015" t="s">
        <v>37</v>
      </c>
      <c r="T1015">
        <v>14</v>
      </c>
      <c r="U1015">
        <v>3</v>
      </c>
      <c r="V1015">
        <v>2</v>
      </c>
      <c r="W1015">
        <v>2</v>
      </c>
      <c r="X1015">
        <v>8</v>
      </c>
      <c r="Y1015">
        <v>3</v>
      </c>
      <c r="Z1015">
        <v>3</v>
      </c>
      <c r="AA1015">
        <v>3</v>
      </c>
      <c r="AB1015">
        <v>2</v>
      </c>
      <c r="AC1015">
        <v>0</v>
      </c>
      <c r="AD1015">
        <v>2</v>
      </c>
      <c r="AE1015" t="str" cm="1">
        <f t="array" ref="AE1015">_xlfn.IFS(G1015=1,"Before College",G1015=2,"College",G1015=3,"Bachelor",G1015=4,"Master",G1015=5,"Doctor")</f>
        <v>Master</v>
      </c>
      <c r="AF1015" t="str" cm="1">
        <f t="array" ref="AF1015">_xlfn.IFS(J1015=1,"Low",J1015=2,"Medium",J1015=3,"High",J1015=4,"Very High")</f>
        <v>Very High</v>
      </c>
      <c r="AG1015" t="str" cm="1">
        <f t="array" ref="AG1015">_xlfn.IFS(L1015=1,"Low",L1015=2,"Medium",L1015=3,"High",L1015=4,"Very High")</f>
        <v>High</v>
      </c>
      <c r="AH1015" t="str" cm="1">
        <f t="array" ref="AH1015">_xlfn.IFS(M1015=1,"Junior employee",M1015=2,"Mid-level",M1015=3,"Senior",M1015=4,"Manager",M1015=5,"Executive")</f>
        <v>Mid-level</v>
      </c>
      <c r="AI1015" t="str" cm="1">
        <f t="array" ref="AI1015">_xlfn.IFS(O1015=1,"Low",O1015=2,"Medium",O1015=3,"High",O1015=4,"Very High")</f>
        <v>Low</v>
      </c>
      <c r="AJ1015" t="str" cm="1">
        <f t="array" ref="AJ1015">_xlfn.IFS(U1015=1,"Low",U1015=2,"Good",U1015=3,"Excellent",U1015=4,"Outstanding")</f>
        <v>Excellent</v>
      </c>
      <c r="AK1015" t="str" cm="1">
        <f t="array" ref="AK1015">_xlfn.IFS(V1015=1,"Low",V1015=2,"Medium",V1015=3,"High",V1015=4,"Very High")</f>
        <v>Medium</v>
      </c>
      <c r="AL1015" t="str" cm="1">
        <f t="array" ref="AL1015">_xlfn.IFS(Z1015=1,"Bad",Z1015=2,"Good",Z1015=3,"Better",Z1015=4,"Best")</f>
        <v>Better</v>
      </c>
      <c r="AM1015" t="str" cm="1">
        <f t="array" ref="AM1015">_xlfn.IFS(W1015=0,"No_stock",W1015=1,"Low",W1015=2,"Medium",W1015=3,"High")</f>
        <v>Medium</v>
      </c>
      <c r="AN1015" t="str">
        <f t="shared" si="15"/>
        <v>Medium</v>
      </c>
    </row>
    <row r="1016" spans="1:40" x14ac:dyDescent="0.45">
      <c r="A1016">
        <v>31</v>
      </c>
      <c r="B1016" t="s">
        <v>37</v>
      </c>
      <c r="C1016" t="s">
        <v>31</v>
      </c>
      <c r="D1016">
        <v>182</v>
      </c>
      <c r="E1016" t="s">
        <v>39</v>
      </c>
      <c r="F1016">
        <v>8</v>
      </c>
      <c r="G1016">
        <v>5</v>
      </c>
      <c r="H1016" t="s">
        <v>33</v>
      </c>
      <c r="I1016">
        <v>1430</v>
      </c>
      <c r="J1016">
        <v>1</v>
      </c>
      <c r="K1016" t="s">
        <v>34</v>
      </c>
      <c r="L1016">
        <v>3</v>
      </c>
      <c r="M1016">
        <v>4</v>
      </c>
      <c r="N1016" t="s">
        <v>52</v>
      </c>
      <c r="O1016">
        <v>2</v>
      </c>
      <c r="P1016" t="s">
        <v>36</v>
      </c>
      <c r="Q1016">
        <v>16422</v>
      </c>
      <c r="R1016">
        <v>3</v>
      </c>
      <c r="S1016" t="s">
        <v>37</v>
      </c>
      <c r="T1016">
        <v>11</v>
      </c>
      <c r="U1016">
        <v>3</v>
      </c>
      <c r="V1016">
        <v>3</v>
      </c>
      <c r="W1016">
        <v>0</v>
      </c>
      <c r="X1016">
        <v>9</v>
      </c>
      <c r="Y1016">
        <v>3</v>
      </c>
      <c r="Z1016">
        <v>4</v>
      </c>
      <c r="AA1016">
        <v>3</v>
      </c>
      <c r="AB1016">
        <v>2</v>
      </c>
      <c r="AC1016">
        <v>1</v>
      </c>
      <c r="AD1016">
        <v>0</v>
      </c>
      <c r="AE1016" t="str" cm="1">
        <f t="array" ref="AE1016">_xlfn.IFS(G1016=1,"Before College",G1016=2,"College",G1016=3,"Bachelor",G1016=4,"Master",G1016=5,"Doctor")</f>
        <v>Doctor</v>
      </c>
      <c r="AF1016" t="str" cm="1">
        <f t="array" ref="AF1016">_xlfn.IFS(J1016=1,"Low",J1016=2,"Medium",J1016=3,"High",J1016=4,"Very High")</f>
        <v>Low</v>
      </c>
      <c r="AG1016" t="str" cm="1">
        <f t="array" ref="AG1016">_xlfn.IFS(L1016=1,"Low",L1016=2,"Medium",L1016=3,"High",L1016=4,"Very High")</f>
        <v>High</v>
      </c>
      <c r="AH1016" t="str" cm="1">
        <f t="array" ref="AH1016">_xlfn.IFS(M1016=1,"Junior employee",M1016=2,"Mid-level",M1016=3,"Senior",M1016=4,"Manager",M1016=5,"Executive")</f>
        <v>Manager</v>
      </c>
      <c r="AI1016" t="str" cm="1">
        <f t="array" ref="AI1016">_xlfn.IFS(O1016=1,"Low",O1016=2,"Medium",O1016=3,"High",O1016=4,"Very High")</f>
        <v>Medium</v>
      </c>
      <c r="AJ1016" t="str" cm="1">
        <f t="array" ref="AJ1016">_xlfn.IFS(U1016=1,"Low",U1016=2,"Good",U1016=3,"Excellent",U1016=4,"Outstanding")</f>
        <v>Excellent</v>
      </c>
      <c r="AK1016" t="str" cm="1">
        <f t="array" ref="AK1016">_xlfn.IFS(V1016=1,"Low",V1016=2,"Medium",V1016=3,"High",V1016=4,"Very High")</f>
        <v>High</v>
      </c>
      <c r="AL1016" t="str" cm="1">
        <f t="array" ref="AL1016">_xlfn.IFS(Z1016=1,"Bad",Z1016=2,"Good",Z1016=3,"Better",Z1016=4,"Best")</f>
        <v>Best</v>
      </c>
      <c r="AM1016" t="str" cm="1">
        <f t="array" ref="AM1016">_xlfn.IFS(W1016=0,"No_stock",W1016=1,"Low",W1016=2,"Medium",W1016=3,"High")</f>
        <v>No_stock</v>
      </c>
      <c r="AN1016" t="str">
        <f t="shared" si="15"/>
        <v>Medium</v>
      </c>
    </row>
    <row r="1017" spans="1:40" x14ac:dyDescent="0.45">
      <c r="A1017">
        <v>34</v>
      </c>
      <c r="B1017" t="s">
        <v>37</v>
      </c>
      <c r="C1017" t="s">
        <v>38</v>
      </c>
      <c r="D1017">
        <v>560</v>
      </c>
      <c r="E1017" t="s">
        <v>39</v>
      </c>
      <c r="F1017">
        <v>1</v>
      </c>
      <c r="G1017">
        <v>4</v>
      </c>
      <c r="H1017" t="s">
        <v>43</v>
      </c>
      <c r="I1017">
        <v>1431</v>
      </c>
      <c r="J1017">
        <v>4</v>
      </c>
      <c r="K1017" t="s">
        <v>40</v>
      </c>
      <c r="L1017">
        <v>3</v>
      </c>
      <c r="M1017">
        <v>1</v>
      </c>
      <c r="N1017" t="s">
        <v>41</v>
      </c>
      <c r="O1017">
        <v>1</v>
      </c>
      <c r="P1017" t="s">
        <v>46</v>
      </c>
      <c r="Q1017">
        <v>2996</v>
      </c>
      <c r="R1017">
        <v>5</v>
      </c>
      <c r="S1017" t="s">
        <v>37</v>
      </c>
      <c r="T1017">
        <v>14</v>
      </c>
      <c r="U1017">
        <v>3</v>
      </c>
      <c r="V1017">
        <v>3</v>
      </c>
      <c r="W1017">
        <v>2</v>
      </c>
      <c r="X1017">
        <v>10</v>
      </c>
      <c r="Y1017">
        <v>2</v>
      </c>
      <c r="Z1017">
        <v>3</v>
      </c>
      <c r="AA1017">
        <v>4</v>
      </c>
      <c r="AB1017">
        <v>3</v>
      </c>
      <c r="AC1017">
        <v>1</v>
      </c>
      <c r="AD1017">
        <v>3</v>
      </c>
      <c r="AE1017" t="str" cm="1">
        <f t="array" ref="AE1017">_xlfn.IFS(G1017=1,"Before College",G1017=2,"College",G1017=3,"Bachelor",G1017=4,"Master",G1017=5,"Doctor")</f>
        <v>Master</v>
      </c>
      <c r="AF1017" t="str" cm="1">
        <f t="array" ref="AF1017">_xlfn.IFS(J1017=1,"Low",J1017=2,"Medium",J1017=3,"High",J1017=4,"Very High")</f>
        <v>Very High</v>
      </c>
      <c r="AG1017" t="str" cm="1">
        <f t="array" ref="AG1017">_xlfn.IFS(L1017=1,"Low",L1017=2,"Medium",L1017=3,"High",L1017=4,"Very High")</f>
        <v>High</v>
      </c>
      <c r="AH1017" t="str" cm="1">
        <f t="array" ref="AH1017">_xlfn.IFS(M1017=1,"Junior employee",M1017=2,"Mid-level",M1017=3,"Senior",M1017=4,"Manager",M1017=5,"Executive")</f>
        <v>Junior employee</v>
      </c>
      <c r="AI1017" t="str" cm="1">
        <f t="array" ref="AI1017">_xlfn.IFS(O1017=1,"Low",O1017=2,"Medium",O1017=3,"High",O1017=4,"Very High")</f>
        <v>Low</v>
      </c>
      <c r="AJ1017" t="str" cm="1">
        <f t="array" ref="AJ1017">_xlfn.IFS(U1017=1,"Low",U1017=2,"Good",U1017=3,"Excellent",U1017=4,"Outstanding")</f>
        <v>Excellent</v>
      </c>
      <c r="AK1017" t="str" cm="1">
        <f t="array" ref="AK1017">_xlfn.IFS(V1017=1,"Low",V1017=2,"Medium",V1017=3,"High",V1017=4,"Very High")</f>
        <v>High</v>
      </c>
      <c r="AL1017" t="str" cm="1">
        <f t="array" ref="AL1017">_xlfn.IFS(Z1017=1,"Bad",Z1017=2,"Good",Z1017=3,"Better",Z1017=4,"Best")</f>
        <v>Better</v>
      </c>
      <c r="AM1017" t="str" cm="1">
        <f t="array" ref="AM1017">_xlfn.IFS(W1017=0,"No_stock",W1017=1,"Low",W1017=2,"Medium",W1017=3,"High")</f>
        <v>Medium</v>
      </c>
      <c r="AN1017" t="str">
        <f t="shared" si="15"/>
        <v>Near</v>
      </c>
    </row>
    <row r="1018" spans="1:40" x14ac:dyDescent="0.45">
      <c r="A1018">
        <v>31</v>
      </c>
      <c r="B1018" t="s">
        <v>30</v>
      </c>
      <c r="C1018" t="s">
        <v>31</v>
      </c>
      <c r="D1018">
        <v>202</v>
      </c>
      <c r="E1018" t="s">
        <v>39</v>
      </c>
      <c r="F1018">
        <v>8</v>
      </c>
      <c r="G1018">
        <v>3</v>
      </c>
      <c r="H1018" t="s">
        <v>33</v>
      </c>
      <c r="I1018">
        <v>1433</v>
      </c>
      <c r="J1018">
        <v>1</v>
      </c>
      <c r="K1018" t="s">
        <v>34</v>
      </c>
      <c r="L1018">
        <v>2</v>
      </c>
      <c r="M1018">
        <v>1</v>
      </c>
      <c r="N1018" t="s">
        <v>41</v>
      </c>
      <c r="O1018">
        <v>2</v>
      </c>
      <c r="P1018" t="s">
        <v>36</v>
      </c>
      <c r="Q1018">
        <v>1261</v>
      </c>
      <c r="R1018">
        <v>1</v>
      </c>
      <c r="S1018" t="s">
        <v>37</v>
      </c>
      <c r="T1018">
        <v>12</v>
      </c>
      <c r="U1018">
        <v>3</v>
      </c>
      <c r="V1018">
        <v>3</v>
      </c>
      <c r="W1018">
        <v>0</v>
      </c>
      <c r="X1018">
        <v>1</v>
      </c>
      <c r="Y1018">
        <v>3</v>
      </c>
      <c r="Z1018">
        <v>4</v>
      </c>
      <c r="AA1018">
        <v>1</v>
      </c>
      <c r="AB1018">
        <v>0</v>
      </c>
      <c r="AC1018">
        <v>0</v>
      </c>
      <c r="AD1018">
        <v>0</v>
      </c>
      <c r="AE1018" t="str" cm="1">
        <f t="array" ref="AE1018">_xlfn.IFS(G1018=1,"Before College",G1018=2,"College",G1018=3,"Bachelor",G1018=4,"Master",G1018=5,"Doctor")</f>
        <v>Bachelor</v>
      </c>
      <c r="AF1018" t="str" cm="1">
        <f t="array" ref="AF1018">_xlfn.IFS(J1018=1,"Low",J1018=2,"Medium",J1018=3,"High",J1018=4,"Very High")</f>
        <v>Low</v>
      </c>
      <c r="AG1018" t="str" cm="1">
        <f t="array" ref="AG1018">_xlfn.IFS(L1018=1,"Low",L1018=2,"Medium",L1018=3,"High",L1018=4,"Very High")</f>
        <v>Medium</v>
      </c>
      <c r="AH1018" t="str" cm="1">
        <f t="array" ref="AH1018">_xlfn.IFS(M1018=1,"Junior employee",M1018=2,"Mid-level",M1018=3,"Senior",M1018=4,"Manager",M1018=5,"Executive")</f>
        <v>Junior employee</v>
      </c>
      <c r="AI1018" t="str" cm="1">
        <f t="array" ref="AI1018">_xlfn.IFS(O1018=1,"Low",O1018=2,"Medium",O1018=3,"High",O1018=4,"Very High")</f>
        <v>Medium</v>
      </c>
      <c r="AJ1018" t="str" cm="1">
        <f t="array" ref="AJ1018">_xlfn.IFS(U1018=1,"Low",U1018=2,"Good",U1018=3,"Excellent",U1018=4,"Outstanding")</f>
        <v>Excellent</v>
      </c>
      <c r="AK1018" t="str" cm="1">
        <f t="array" ref="AK1018">_xlfn.IFS(V1018=1,"Low",V1018=2,"Medium",V1018=3,"High",V1018=4,"Very High")</f>
        <v>High</v>
      </c>
      <c r="AL1018" t="str" cm="1">
        <f t="array" ref="AL1018">_xlfn.IFS(Z1018=1,"Bad",Z1018=2,"Good",Z1018=3,"Better",Z1018=4,"Best")</f>
        <v>Best</v>
      </c>
      <c r="AM1018" t="str" cm="1">
        <f t="array" ref="AM1018">_xlfn.IFS(W1018=0,"No_stock",W1018=1,"Low",W1018=2,"Medium",W1018=3,"High")</f>
        <v>No_stock</v>
      </c>
      <c r="AN1018" t="str">
        <f t="shared" si="15"/>
        <v>Medium</v>
      </c>
    </row>
    <row r="1019" spans="1:40" x14ac:dyDescent="0.45">
      <c r="A1019">
        <v>27</v>
      </c>
      <c r="B1019" t="s">
        <v>37</v>
      </c>
      <c r="C1019" t="s">
        <v>31</v>
      </c>
      <c r="D1019">
        <v>1377</v>
      </c>
      <c r="E1019" t="s">
        <v>39</v>
      </c>
      <c r="F1019">
        <v>11</v>
      </c>
      <c r="G1019">
        <v>1</v>
      </c>
      <c r="H1019" t="s">
        <v>33</v>
      </c>
      <c r="I1019">
        <v>1434</v>
      </c>
      <c r="J1019">
        <v>2</v>
      </c>
      <c r="K1019" t="s">
        <v>40</v>
      </c>
      <c r="L1019">
        <v>3</v>
      </c>
      <c r="M1019">
        <v>1</v>
      </c>
      <c r="N1019" t="s">
        <v>44</v>
      </c>
      <c r="O1019">
        <v>1</v>
      </c>
      <c r="P1019" t="s">
        <v>42</v>
      </c>
      <c r="Q1019">
        <v>2099</v>
      </c>
      <c r="R1019">
        <v>0</v>
      </c>
      <c r="S1019" t="s">
        <v>37</v>
      </c>
      <c r="T1019">
        <v>14</v>
      </c>
      <c r="U1019">
        <v>3</v>
      </c>
      <c r="V1019">
        <v>2</v>
      </c>
      <c r="W1019">
        <v>0</v>
      </c>
      <c r="X1019">
        <v>6</v>
      </c>
      <c r="Y1019">
        <v>3</v>
      </c>
      <c r="Z1019">
        <v>4</v>
      </c>
      <c r="AA1019">
        <v>5</v>
      </c>
      <c r="AB1019">
        <v>0</v>
      </c>
      <c r="AC1019">
        <v>1</v>
      </c>
      <c r="AD1019">
        <v>4</v>
      </c>
      <c r="AE1019" t="str" cm="1">
        <f t="array" ref="AE1019">_xlfn.IFS(G1019=1,"Before College",G1019=2,"College",G1019=3,"Bachelor",G1019=4,"Master",G1019=5,"Doctor")</f>
        <v>Before College</v>
      </c>
      <c r="AF1019" t="str" cm="1">
        <f t="array" ref="AF1019">_xlfn.IFS(J1019=1,"Low",J1019=2,"Medium",J1019=3,"High",J1019=4,"Very High")</f>
        <v>Medium</v>
      </c>
      <c r="AG1019" t="str" cm="1">
        <f t="array" ref="AG1019">_xlfn.IFS(L1019=1,"Low",L1019=2,"Medium",L1019=3,"High",L1019=4,"Very High")</f>
        <v>High</v>
      </c>
      <c r="AH1019" t="str" cm="1">
        <f t="array" ref="AH1019">_xlfn.IFS(M1019=1,"Junior employee",M1019=2,"Mid-level",M1019=3,"Senior",M1019=4,"Manager",M1019=5,"Executive")</f>
        <v>Junior employee</v>
      </c>
      <c r="AI1019" t="str" cm="1">
        <f t="array" ref="AI1019">_xlfn.IFS(O1019=1,"Low",O1019=2,"Medium",O1019=3,"High",O1019=4,"Very High")</f>
        <v>Low</v>
      </c>
      <c r="AJ1019" t="str" cm="1">
        <f t="array" ref="AJ1019">_xlfn.IFS(U1019=1,"Low",U1019=2,"Good",U1019=3,"Excellent",U1019=4,"Outstanding")</f>
        <v>Excellent</v>
      </c>
      <c r="AK1019" t="str" cm="1">
        <f t="array" ref="AK1019">_xlfn.IFS(V1019=1,"Low",V1019=2,"Medium",V1019=3,"High",V1019=4,"Very High")</f>
        <v>Medium</v>
      </c>
      <c r="AL1019" t="str" cm="1">
        <f t="array" ref="AL1019">_xlfn.IFS(Z1019=1,"Bad",Z1019=2,"Good",Z1019=3,"Better",Z1019=4,"Best")</f>
        <v>Best</v>
      </c>
      <c r="AM1019" t="str" cm="1">
        <f t="array" ref="AM1019">_xlfn.IFS(W1019=0,"No_stock",W1019=1,"Low",W1019=2,"Medium",W1019=3,"High")</f>
        <v>No_stock</v>
      </c>
      <c r="AN1019" t="str">
        <f t="shared" si="15"/>
        <v>Medium</v>
      </c>
    </row>
    <row r="1020" spans="1:40" x14ac:dyDescent="0.45">
      <c r="A1020">
        <v>36</v>
      </c>
      <c r="B1020" t="s">
        <v>37</v>
      </c>
      <c r="C1020" t="s">
        <v>31</v>
      </c>
      <c r="D1020">
        <v>172</v>
      </c>
      <c r="E1020" t="s">
        <v>39</v>
      </c>
      <c r="F1020">
        <v>4</v>
      </c>
      <c r="G1020">
        <v>4</v>
      </c>
      <c r="H1020" t="s">
        <v>33</v>
      </c>
      <c r="I1020">
        <v>1435</v>
      </c>
      <c r="J1020">
        <v>1</v>
      </c>
      <c r="K1020" t="s">
        <v>40</v>
      </c>
      <c r="L1020">
        <v>2</v>
      </c>
      <c r="M1020">
        <v>2</v>
      </c>
      <c r="N1020" t="s">
        <v>44</v>
      </c>
      <c r="O1020">
        <v>4</v>
      </c>
      <c r="P1020" t="s">
        <v>36</v>
      </c>
      <c r="Q1020">
        <v>5810</v>
      </c>
      <c r="R1020">
        <v>1</v>
      </c>
      <c r="S1020" t="s">
        <v>37</v>
      </c>
      <c r="T1020">
        <v>16</v>
      </c>
      <c r="U1020">
        <v>3</v>
      </c>
      <c r="V1020">
        <v>3</v>
      </c>
      <c r="W1020">
        <v>0</v>
      </c>
      <c r="X1020">
        <v>10</v>
      </c>
      <c r="Y1020">
        <v>2</v>
      </c>
      <c r="Z1020">
        <v>2</v>
      </c>
      <c r="AA1020">
        <v>10</v>
      </c>
      <c r="AB1020">
        <v>4</v>
      </c>
      <c r="AC1020">
        <v>1</v>
      </c>
      <c r="AD1020">
        <v>8</v>
      </c>
      <c r="AE1020" t="str" cm="1">
        <f t="array" ref="AE1020">_xlfn.IFS(G1020=1,"Before College",G1020=2,"College",G1020=3,"Bachelor",G1020=4,"Master",G1020=5,"Doctor")</f>
        <v>Master</v>
      </c>
      <c r="AF1020" t="str" cm="1">
        <f t="array" ref="AF1020">_xlfn.IFS(J1020=1,"Low",J1020=2,"Medium",J1020=3,"High",J1020=4,"Very High")</f>
        <v>Low</v>
      </c>
      <c r="AG1020" t="str" cm="1">
        <f t="array" ref="AG1020">_xlfn.IFS(L1020=1,"Low",L1020=2,"Medium",L1020=3,"High",L1020=4,"Very High")</f>
        <v>Medium</v>
      </c>
      <c r="AH1020" t="str" cm="1">
        <f t="array" ref="AH1020">_xlfn.IFS(M1020=1,"Junior employee",M1020=2,"Mid-level",M1020=3,"Senior",M1020=4,"Manager",M1020=5,"Executive")</f>
        <v>Mid-level</v>
      </c>
      <c r="AI1020" t="str" cm="1">
        <f t="array" ref="AI1020">_xlfn.IFS(O1020=1,"Low",O1020=2,"Medium",O1020=3,"High",O1020=4,"Very High")</f>
        <v>Very High</v>
      </c>
      <c r="AJ1020" t="str" cm="1">
        <f t="array" ref="AJ1020">_xlfn.IFS(U1020=1,"Low",U1020=2,"Good",U1020=3,"Excellent",U1020=4,"Outstanding")</f>
        <v>Excellent</v>
      </c>
      <c r="AK1020" t="str" cm="1">
        <f t="array" ref="AK1020">_xlfn.IFS(V1020=1,"Low",V1020=2,"Medium",V1020=3,"High",V1020=4,"Very High")</f>
        <v>High</v>
      </c>
      <c r="AL1020" t="str" cm="1">
        <f t="array" ref="AL1020">_xlfn.IFS(Z1020=1,"Bad",Z1020=2,"Good",Z1020=3,"Better",Z1020=4,"Best")</f>
        <v>Good</v>
      </c>
      <c r="AM1020" t="str" cm="1">
        <f t="array" ref="AM1020">_xlfn.IFS(W1020=0,"No_stock",W1020=1,"Low",W1020=2,"Medium",W1020=3,"High")</f>
        <v>No_stock</v>
      </c>
      <c r="AN1020" t="str">
        <f t="shared" si="15"/>
        <v>Near</v>
      </c>
    </row>
    <row r="1021" spans="1:40" x14ac:dyDescent="0.45">
      <c r="A1021">
        <v>36</v>
      </c>
      <c r="B1021" t="s">
        <v>37</v>
      </c>
      <c r="C1021" t="s">
        <v>31</v>
      </c>
      <c r="D1021">
        <v>329</v>
      </c>
      <c r="E1021" t="s">
        <v>32</v>
      </c>
      <c r="F1021">
        <v>16</v>
      </c>
      <c r="G1021">
        <v>4</v>
      </c>
      <c r="H1021" t="s">
        <v>53</v>
      </c>
      <c r="I1021">
        <v>1436</v>
      </c>
      <c r="J1021">
        <v>3</v>
      </c>
      <c r="K1021" t="s">
        <v>34</v>
      </c>
      <c r="L1021">
        <v>2</v>
      </c>
      <c r="M1021">
        <v>2</v>
      </c>
      <c r="N1021" t="s">
        <v>35</v>
      </c>
      <c r="O1021">
        <v>1</v>
      </c>
      <c r="P1021" t="s">
        <v>42</v>
      </c>
      <c r="Q1021">
        <v>5647</v>
      </c>
      <c r="R1021">
        <v>4</v>
      </c>
      <c r="S1021" t="s">
        <v>37</v>
      </c>
      <c r="T1021">
        <v>13</v>
      </c>
      <c r="U1021">
        <v>3</v>
      </c>
      <c r="V1021">
        <v>1</v>
      </c>
      <c r="W1021">
        <v>2</v>
      </c>
      <c r="X1021">
        <v>11</v>
      </c>
      <c r="Y1021">
        <v>3</v>
      </c>
      <c r="Z1021">
        <v>2</v>
      </c>
      <c r="AA1021">
        <v>3</v>
      </c>
      <c r="AB1021">
        <v>2</v>
      </c>
      <c r="AC1021">
        <v>0</v>
      </c>
      <c r="AD1021">
        <v>2</v>
      </c>
      <c r="AE1021" t="str" cm="1">
        <f t="array" ref="AE1021">_xlfn.IFS(G1021=1,"Before College",G1021=2,"College",G1021=3,"Bachelor",G1021=4,"Master",G1021=5,"Doctor")</f>
        <v>Master</v>
      </c>
      <c r="AF1021" t="str" cm="1">
        <f t="array" ref="AF1021">_xlfn.IFS(J1021=1,"Low",J1021=2,"Medium",J1021=3,"High",J1021=4,"Very High")</f>
        <v>High</v>
      </c>
      <c r="AG1021" t="str" cm="1">
        <f t="array" ref="AG1021">_xlfn.IFS(L1021=1,"Low",L1021=2,"Medium",L1021=3,"High",L1021=4,"Very High")</f>
        <v>Medium</v>
      </c>
      <c r="AH1021" t="str" cm="1">
        <f t="array" ref="AH1021">_xlfn.IFS(M1021=1,"Junior employee",M1021=2,"Mid-level",M1021=3,"Senior",M1021=4,"Manager",M1021=5,"Executive")</f>
        <v>Mid-level</v>
      </c>
      <c r="AI1021" t="str" cm="1">
        <f t="array" ref="AI1021">_xlfn.IFS(O1021=1,"Low",O1021=2,"Medium",O1021=3,"High",O1021=4,"Very High")</f>
        <v>Low</v>
      </c>
      <c r="AJ1021" t="str" cm="1">
        <f t="array" ref="AJ1021">_xlfn.IFS(U1021=1,"Low",U1021=2,"Good",U1021=3,"Excellent",U1021=4,"Outstanding")</f>
        <v>Excellent</v>
      </c>
      <c r="AK1021" t="str" cm="1">
        <f t="array" ref="AK1021">_xlfn.IFS(V1021=1,"Low",V1021=2,"Medium",V1021=3,"High",V1021=4,"Very High")</f>
        <v>Low</v>
      </c>
      <c r="AL1021" t="str" cm="1">
        <f t="array" ref="AL1021">_xlfn.IFS(Z1021=1,"Bad",Z1021=2,"Good",Z1021=3,"Better",Z1021=4,"Best")</f>
        <v>Good</v>
      </c>
      <c r="AM1021" t="str" cm="1">
        <f t="array" ref="AM1021">_xlfn.IFS(W1021=0,"No_stock",W1021=1,"Low",W1021=2,"Medium",W1021=3,"High")</f>
        <v>Medium</v>
      </c>
      <c r="AN1021" t="str">
        <f t="shared" si="15"/>
        <v>Far</v>
      </c>
    </row>
    <row r="1022" spans="1:40" x14ac:dyDescent="0.45">
      <c r="A1022">
        <v>47</v>
      </c>
      <c r="B1022" t="s">
        <v>37</v>
      </c>
      <c r="C1022" t="s">
        <v>31</v>
      </c>
      <c r="D1022">
        <v>465</v>
      </c>
      <c r="E1022" t="s">
        <v>39</v>
      </c>
      <c r="F1022">
        <v>1</v>
      </c>
      <c r="G1022">
        <v>3</v>
      </c>
      <c r="H1022" t="s">
        <v>54</v>
      </c>
      <c r="I1022">
        <v>1438</v>
      </c>
      <c r="J1022">
        <v>1</v>
      </c>
      <c r="K1022" t="s">
        <v>40</v>
      </c>
      <c r="L1022">
        <v>3</v>
      </c>
      <c r="M1022">
        <v>1</v>
      </c>
      <c r="N1022" t="s">
        <v>41</v>
      </c>
      <c r="O1022">
        <v>4</v>
      </c>
      <c r="P1022" t="s">
        <v>42</v>
      </c>
      <c r="Q1022">
        <v>3420</v>
      </c>
      <c r="R1022">
        <v>7</v>
      </c>
      <c r="S1022" t="s">
        <v>37</v>
      </c>
      <c r="T1022">
        <v>12</v>
      </c>
      <c r="U1022">
        <v>3</v>
      </c>
      <c r="V1022">
        <v>3</v>
      </c>
      <c r="W1022">
        <v>1</v>
      </c>
      <c r="X1022">
        <v>17</v>
      </c>
      <c r="Y1022">
        <v>2</v>
      </c>
      <c r="Z1022">
        <v>2</v>
      </c>
      <c r="AA1022">
        <v>6</v>
      </c>
      <c r="AB1022">
        <v>5</v>
      </c>
      <c r="AC1022">
        <v>1</v>
      </c>
      <c r="AD1022">
        <v>2</v>
      </c>
      <c r="AE1022" t="str" cm="1">
        <f t="array" ref="AE1022">_xlfn.IFS(G1022=1,"Before College",G1022=2,"College",G1022=3,"Bachelor",G1022=4,"Master",G1022=5,"Doctor")</f>
        <v>Bachelor</v>
      </c>
      <c r="AF1022" t="str" cm="1">
        <f t="array" ref="AF1022">_xlfn.IFS(J1022=1,"Low",J1022=2,"Medium",J1022=3,"High",J1022=4,"Very High")</f>
        <v>Low</v>
      </c>
      <c r="AG1022" t="str" cm="1">
        <f t="array" ref="AG1022">_xlfn.IFS(L1022=1,"Low",L1022=2,"Medium",L1022=3,"High",L1022=4,"Very High")</f>
        <v>High</v>
      </c>
      <c r="AH1022" t="str" cm="1">
        <f t="array" ref="AH1022">_xlfn.IFS(M1022=1,"Junior employee",M1022=2,"Mid-level",M1022=3,"Senior",M1022=4,"Manager",M1022=5,"Executive")</f>
        <v>Junior employee</v>
      </c>
      <c r="AI1022" t="str" cm="1">
        <f t="array" ref="AI1022">_xlfn.IFS(O1022=1,"Low",O1022=2,"Medium",O1022=3,"High",O1022=4,"Very High")</f>
        <v>Very High</v>
      </c>
      <c r="AJ1022" t="str" cm="1">
        <f t="array" ref="AJ1022">_xlfn.IFS(U1022=1,"Low",U1022=2,"Good",U1022=3,"Excellent",U1022=4,"Outstanding")</f>
        <v>Excellent</v>
      </c>
      <c r="AK1022" t="str" cm="1">
        <f t="array" ref="AK1022">_xlfn.IFS(V1022=1,"Low",V1022=2,"Medium",V1022=3,"High",V1022=4,"Very High")</f>
        <v>High</v>
      </c>
      <c r="AL1022" t="str" cm="1">
        <f t="array" ref="AL1022">_xlfn.IFS(Z1022=1,"Bad",Z1022=2,"Good",Z1022=3,"Better",Z1022=4,"Best")</f>
        <v>Good</v>
      </c>
      <c r="AM1022" t="str" cm="1">
        <f t="array" ref="AM1022">_xlfn.IFS(W1022=0,"No_stock",W1022=1,"Low",W1022=2,"Medium",W1022=3,"High")</f>
        <v>Low</v>
      </c>
      <c r="AN1022" t="str">
        <f t="shared" si="15"/>
        <v>Near</v>
      </c>
    </row>
    <row r="1023" spans="1:40" x14ac:dyDescent="0.45">
      <c r="A1023">
        <v>25</v>
      </c>
      <c r="B1023" t="s">
        <v>30</v>
      </c>
      <c r="C1023" t="s">
        <v>31</v>
      </c>
      <c r="D1023">
        <v>383</v>
      </c>
      <c r="E1023" t="s">
        <v>32</v>
      </c>
      <c r="F1023">
        <v>9</v>
      </c>
      <c r="G1023">
        <v>2</v>
      </c>
      <c r="H1023" t="s">
        <v>33</v>
      </c>
      <c r="I1023">
        <v>1439</v>
      </c>
      <c r="J1023">
        <v>1</v>
      </c>
      <c r="K1023" t="s">
        <v>40</v>
      </c>
      <c r="L1023">
        <v>2</v>
      </c>
      <c r="M1023">
        <v>1</v>
      </c>
      <c r="N1023" t="s">
        <v>51</v>
      </c>
      <c r="O1023">
        <v>1</v>
      </c>
      <c r="P1023" t="s">
        <v>42</v>
      </c>
      <c r="Q1023">
        <v>4400</v>
      </c>
      <c r="R1023">
        <v>3</v>
      </c>
      <c r="S1023" t="s">
        <v>37</v>
      </c>
      <c r="T1023">
        <v>12</v>
      </c>
      <c r="U1023">
        <v>3</v>
      </c>
      <c r="V1023">
        <v>1</v>
      </c>
      <c r="W1023">
        <v>0</v>
      </c>
      <c r="X1023">
        <v>6</v>
      </c>
      <c r="Y1023">
        <v>2</v>
      </c>
      <c r="Z1023">
        <v>3</v>
      </c>
      <c r="AA1023">
        <v>3</v>
      </c>
      <c r="AB1023">
        <v>2</v>
      </c>
      <c r="AC1023">
        <v>2</v>
      </c>
      <c r="AD1023">
        <v>2</v>
      </c>
      <c r="AE1023" t="str" cm="1">
        <f t="array" ref="AE1023">_xlfn.IFS(G1023=1,"Before College",G1023=2,"College",G1023=3,"Bachelor",G1023=4,"Master",G1023=5,"Doctor")</f>
        <v>College</v>
      </c>
      <c r="AF1023" t="str" cm="1">
        <f t="array" ref="AF1023">_xlfn.IFS(J1023=1,"Low",J1023=2,"Medium",J1023=3,"High",J1023=4,"Very High")</f>
        <v>Low</v>
      </c>
      <c r="AG1023" t="str" cm="1">
        <f t="array" ref="AG1023">_xlfn.IFS(L1023=1,"Low",L1023=2,"Medium",L1023=3,"High",L1023=4,"Very High")</f>
        <v>Medium</v>
      </c>
      <c r="AH1023" t="str" cm="1">
        <f t="array" ref="AH1023">_xlfn.IFS(M1023=1,"Junior employee",M1023=2,"Mid-level",M1023=3,"Senior",M1023=4,"Manager",M1023=5,"Executive")</f>
        <v>Junior employee</v>
      </c>
      <c r="AI1023" t="str" cm="1">
        <f t="array" ref="AI1023">_xlfn.IFS(O1023=1,"Low",O1023=2,"Medium",O1023=3,"High",O1023=4,"Very High")</f>
        <v>Low</v>
      </c>
      <c r="AJ1023" t="str" cm="1">
        <f t="array" ref="AJ1023">_xlfn.IFS(U1023=1,"Low",U1023=2,"Good",U1023=3,"Excellent",U1023=4,"Outstanding")</f>
        <v>Excellent</v>
      </c>
      <c r="AK1023" t="str" cm="1">
        <f t="array" ref="AK1023">_xlfn.IFS(V1023=1,"Low",V1023=2,"Medium",V1023=3,"High",V1023=4,"Very High")</f>
        <v>Low</v>
      </c>
      <c r="AL1023" t="str" cm="1">
        <f t="array" ref="AL1023">_xlfn.IFS(Z1023=1,"Bad",Z1023=2,"Good",Z1023=3,"Better",Z1023=4,"Best")</f>
        <v>Better</v>
      </c>
      <c r="AM1023" t="str" cm="1">
        <f t="array" ref="AM1023">_xlfn.IFS(W1023=0,"No_stock",W1023=1,"Low",W1023=2,"Medium",W1023=3,"High")</f>
        <v>No_stock</v>
      </c>
      <c r="AN1023" t="str">
        <f t="shared" si="15"/>
        <v>Medium</v>
      </c>
    </row>
    <row r="1024" spans="1:40" x14ac:dyDescent="0.45">
      <c r="A1024">
        <v>37</v>
      </c>
      <c r="B1024" t="s">
        <v>37</v>
      </c>
      <c r="C1024" t="s">
        <v>49</v>
      </c>
      <c r="D1024">
        <v>1413</v>
      </c>
      <c r="E1024" t="s">
        <v>39</v>
      </c>
      <c r="F1024">
        <v>5</v>
      </c>
      <c r="G1024">
        <v>2</v>
      </c>
      <c r="H1024" t="s">
        <v>54</v>
      </c>
      <c r="I1024">
        <v>1440</v>
      </c>
      <c r="J1024">
        <v>3</v>
      </c>
      <c r="K1024" t="s">
        <v>40</v>
      </c>
      <c r="L1024">
        <v>4</v>
      </c>
      <c r="M1024">
        <v>1</v>
      </c>
      <c r="N1024" t="s">
        <v>44</v>
      </c>
      <c r="O1024">
        <v>3</v>
      </c>
      <c r="P1024" t="s">
        <v>36</v>
      </c>
      <c r="Q1024">
        <v>3500</v>
      </c>
      <c r="R1024">
        <v>0</v>
      </c>
      <c r="S1024" t="s">
        <v>37</v>
      </c>
      <c r="T1024">
        <v>14</v>
      </c>
      <c r="U1024">
        <v>3</v>
      </c>
      <c r="V1024">
        <v>1</v>
      </c>
      <c r="W1024">
        <v>0</v>
      </c>
      <c r="X1024">
        <v>7</v>
      </c>
      <c r="Y1024">
        <v>2</v>
      </c>
      <c r="Z1024">
        <v>1</v>
      </c>
      <c r="AA1024">
        <v>6</v>
      </c>
      <c r="AB1024">
        <v>5</v>
      </c>
      <c r="AC1024">
        <v>1</v>
      </c>
      <c r="AD1024">
        <v>3</v>
      </c>
      <c r="AE1024" t="str" cm="1">
        <f t="array" ref="AE1024">_xlfn.IFS(G1024=1,"Before College",G1024=2,"College",G1024=3,"Bachelor",G1024=4,"Master",G1024=5,"Doctor")</f>
        <v>College</v>
      </c>
      <c r="AF1024" t="str" cm="1">
        <f t="array" ref="AF1024">_xlfn.IFS(J1024=1,"Low",J1024=2,"Medium",J1024=3,"High",J1024=4,"Very High")</f>
        <v>High</v>
      </c>
      <c r="AG1024" t="str" cm="1">
        <f t="array" ref="AG1024">_xlfn.IFS(L1024=1,"Low",L1024=2,"Medium",L1024=3,"High",L1024=4,"Very High")</f>
        <v>Very High</v>
      </c>
      <c r="AH1024" t="str" cm="1">
        <f t="array" ref="AH1024">_xlfn.IFS(M1024=1,"Junior employee",M1024=2,"Mid-level",M1024=3,"Senior",M1024=4,"Manager",M1024=5,"Executive")</f>
        <v>Junior employee</v>
      </c>
      <c r="AI1024" t="str" cm="1">
        <f t="array" ref="AI1024">_xlfn.IFS(O1024=1,"Low",O1024=2,"Medium",O1024=3,"High",O1024=4,"Very High")</f>
        <v>High</v>
      </c>
      <c r="AJ1024" t="str" cm="1">
        <f t="array" ref="AJ1024">_xlfn.IFS(U1024=1,"Low",U1024=2,"Good",U1024=3,"Excellent",U1024=4,"Outstanding")</f>
        <v>Excellent</v>
      </c>
      <c r="AK1024" t="str" cm="1">
        <f t="array" ref="AK1024">_xlfn.IFS(V1024=1,"Low",V1024=2,"Medium",V1024=3,"High",V1024=4,"Very High")</f>
        <v>Low</v>
      </c>
      <c r="AL1024" t="str" cm="1">
        <f t="array" ref="AL1024">_xlfn.IFS(Z1024=1,"Bad",Z1024=2,"Good",Z1024=3,"Better",Z1024=4,"Best")</f>
        <v>Bad</v>
      </c>
      <c r="AM1024" t="str" cm="1">
        <f t="array" ref="AM1024">_xlfn.IFS(W1024=0,"No_stock",W1024=1,"Low",W1024=2,"Medium",W1024=3,"High")</f>
        <v>No_stock</v>
      </c>
      <c r="AN1024" t="str">
        <f t="shared" si="15"/>
        <v>Near</v>
      </c>
    </row>
    <row r="1025" spans="1:40" x14ac:dyDescent="0.45">
      <c r="A1025">
        <v>56</v>
      </c>
      <c r="B1025" t="s">
        <v>37</v>
      </c>
      <c r="C1025" t="s">
        <v>31</v>
      </c>
      <c r="D1025">
        <v>1255</v>
      </c>
      <c r="E1025" t="s">
        <v>39</v>
      </c>
      <c r="F1025">
        <v>1</v>
      </c>
      <c r="G1025">
        <v>2</v>
      </c>
      <c r="H1025" t="s">
        <v>33</v>
      </c>
      <c r="I1025">
        <v>1441</v>
      </c>
      <c r="J1025">
        <v>1</v>
      </c>
      <c r="K1025" t="s">
        <v>34</v>
      </c>
      <c r="L1025">
        <v>3</v>
      </c>
      <c r="M1025">
        <v>1</v>
      </c>
      <c r="N1025" t="s">
        <v>41</v>
      </c>
      <c r="O1025">
        <v>1</v>
      </c>
      <c r="P1025" t="s">
        <v>42</v>
      </c>
      <c r="Q1025">
        <v>2066</v>
      </c>
      <c r="R1025">
        <v>2</v>
      </c>
      <c r="S1025" t="s">
        <v>37</v>
      </c>
      <c r="T1025">
        <v>22</v>
      </c>
      <c r="U1025">
        <v>4</v>
      </c>
      <c r="V1025">
        <v>4</v>
      </c>
      <c r="W1025">
        <v>1</v>
      </c>
      <c r="X1025">
        <v>5</v>
      </c>
      <c r="Y1025">
        <v>3</v>
      </c>
      <c r="Z1025">
        <v>4</v>
      </c>
      <c r="AA1025">
        <v>3</v>
      </c>
      <c r="AB1025">
        <v>2</v>
      </c>
      <c r="AC1025">
        <v>1</v>
      </c>
      <c r="AD1025">
        <v>0</v>
      </c>
      <c r="AE1025" t="str" cm="1">
        <f t="array" ref="AE1025">_xlfn.IFS(G1025=1,"Before College",G1025=2,"College",G1025=3,"Bachelor",G1025=4,"Master",G1025=5,"Doctor")</f>
        <v>College</v>
      </c>
      <c r="AF1025" t="str" cm="1">
        <f t="array" ref="AF1025">_xlfn.IFS(J1025=1,"Low",J1025=2,"Medium",J1025=3,"High",J1025=4,"Very High")</f>
        <v>Low</v>
      </c>
      <c r="AG1025" t="str" cm="1">
        <f t="array" ref="AG1025">_xlfn.IFS(L1025=1,"Low",L1025=2,"Medium",L1025=3,"High",L1025=4,"Very High")</f>
        <v>High</v>
      </c>
      <c r="AH1025" t="str" cm="1">
        <f t="array" ref="AH1025">_xlfn.IFS(M1025=1,"Junior employee",M1025=2,"Mid-level",M1025=3,"Senior",M1025=4,"Manager",M1025=5,"Executive")</f>
        <v>Junior employee</v>
      </c>
      <c r="AI1025" t="str" cm="1">
        <f t="array" ref="AI1025">_xlfn.IFS(O1025=1,"Low",O1025=2,"Medium",O1025=3,"High",O1025=4,"Very High")</f>
        <v>Low</v>
      </c>
      <c r="AJ1025" t="str" cm="1">
        <f t="array" ref="AJ1025">_xlfn.IFS(U1025=1,"Low",U1025=2,"Good",U1025=3,"Excellent",U1025=4,"Outstanding")</f>
        <v>Outstanding</v>
      </c>
      <c r="AK1025" t="str" cm="1">
        <f t="array" ref="AK1025">_xlfn.IFS(V1025=1,"Low",V1025=2,"Medium",V1025=3,"High",V1025=4,"Very High")</f>
        <v>Very High</v>
      </c>
      <c r="AL1025" t="str" cm="1">
        <f t="array" ref="AL1025">_xlfn.IFS(Z1025=1,"Bad",Z1025=2,"Good",Z1025=3,"Better",Z1025=4,"Best")</f>
        <v>Best</v>
      </c>
      <c r="AM1025" t="str" cm="1">
        <f t="array" ref="AM1025">_xlfn.IFS(W1025=0,"No_stock",W1025=1,"Low",W1025=2,"Medium",W1025=3,"High")</f>
        <v>Low</v>
      </c>
      <c r="AN1025" t="str">
        <f t="shared" si="15"/>
        <v>Near</v>
      </c>
    </row>
    <row r="1026" spans="1:40" x14ac:dyDescent="0.45">
      <c r="A1026">
        <v>47</v>
      </c>
      <c r="B1026" t="s">
        <v>37</v>
      </c>
      <c r="C1026" t="s">
        <v>31</v>
      </c>
      <c r="D1026">
        <v>359</v>
      </c>
      <c r="E1026" t="s">
        <v>39</v>
      </c>
      <c r="F1026">
        <v>2</v>
      </c>
      <c r="G1026">
        <v>4</v>
      </c>
      <c r="H1026" t="s">
        <v>45</v>
      </c>
      <c r="I1026">
        <v>1443</v>
      </c>
      <c r="J1026">
        <v>1</v>
      </c>
      <c r="K1026" t="s">
        <v>34</v>
      </c>
      <c r="L1026">
        <v>3</v>
      </c>
      <c r="M1026">
        <v>4</v>
      </c>
      <c r="N1026" t="s">
        <v>52</v>
      </c>
      <c r="O1026">
        <v>3</v>
      </c>
      <c r="P1026" t="s">
        <v>42</v>
      </c>
      <c r="Q1026">
        <v>17169</v>
      </c>
      <c r="R1026">
        <v>3</v>
      </c>
      <c r="S1026" t="s">
        <v>37</v>
      </c>
      <c r="T1026">
        <v>19</v>
      </c>
      <c r="U1026">
        <v>3</v>
      </c>
      <c r="V1026">
        <v>2</v>
      </c>
      <c r="W1026">
        <v>2</v>
      </c>
      <c r="X1026">
        <v>26</v>
      </c>
      <c r="Y1026">
        <v>2</v>
      </c>
      <c r="Z1026">
        <v>4</v>
      </c>
      <c r="AA1026">
        <v>20</v>
      </c>
      <c r="AB1026">
        <v>17</v>
      </c>
      <c r="AC1026">
        <v>5</v>
      </c>
      <c r="AD1026">
        <v>6</v>
      </c>
      <c r="AE1026" t="str" cm="1">
        <f t="array" ref="AE1026">_xlfn.IFS(G1026=1,"Before College",G1026=2,"College",G1026=3,"Bachelor",G1026=4,"Master",G1026=5,"Doctor")</f>
        <v>Master</v>
      </c>
      <c r="AF1026" t="str" cm="1">
        <f t="array" ref="AF1026">_xlfn.IFS(J1026=1,"Low",J1026=2,"Medium",J1026=3,"High",J1026=4,"Very High")</f>
        <v>Low</v>
      </c>
      <c r="AG1026" t="str" cm="1">
        <f t="array" ref="AG1026">_xlfn.IFS(L1026=1,"Low",L1026=2,"Medium",L1026=3,"High",L1026=4,"Very High")</f>
        <v>High</v>
      </c>
      <c r="AH1026" t="str" cm="1">
        <f t="array" ref="AH1026">_xlfn.IFS(M1026=1,"Junior employee",M1026=2,"Mid-level",M1026=3,"Senior",M1026=4,"Manager",M1026=5,"Executive")</f>
        <v>Manager</v>
      </c>
      <c r="AI1026" t="str" cm="1">
        <f t="array" ref="AI1026">_xlfn.IFS(O1026=1,"Low",O1026=2,"Medium",O1026=3,"High",O1026=4,"Very High")</f>
        <v>High</v>
      </c>
      <c r="AJ1026" t="str" cm="1">
        <f t="array" ref="AJ1026">_xlfn.IFS(U1026=1,"Low",U1026=2,"Good",U1026=3,"Excellent",U1026=4,"Outstanding")</f>
        <v>Excellent</v>
      </c>
      <c r="AK1026" t="str" cm="1">
        <f t="array" ref="AK1026">_xlfn.IFS(V1026=1,"Low",V1026=2,"Medium",V1026=3,"High",V1026=4,"Very High")</f>
        <v>Medium</v>
      </c>
      <c r="AL1026" t="str" cm="1">
        <f t="array" ref="AL1026">_xlfn.IFS(Z1026=1,"Bad",Z1026=2,"Good",Z1026=3,"Better",Z1026=4,"Best")</f>
        <v>Best</v>
      </c>
      <c r="AM1026" t="str" cm="1">
        <f t="array" ref="AM1026">_xlfn.IFS(W1026=0,"No_stock",W1026=1,"Low",W1026=2,"Medium",W1026=3,"High")</f>
        <v>Medium</v>
      </c>
      <c r="AN1026" t="str">
        <f t="shared" ref="AN1026:AN1089" si="16">IF(F1026&lt;=5,"Near",IF(F1026&lt;=15,"Medium","Far"))</f>
        <v>Near</v>
      </c>
    </row>
    <row r="1027" spans="1:40" x14ac:dyDescent="0.45">
      <c r="A1027">
        <v>24</v>
      </c>
      <c r="B1027" t="s">
        <v>37</v>
      </c>
      <c r="C1027" t="s">
        <v>31</v>
      </c>
      <c r="D1027">
        <v>1476</v>
      </c>
      <c r="E1027" t="s">
        <v>32</v>
      </c>
      <c r="F1027">
        <v>4</v>
      </c>
      <c r="G1027">
        <v>1</v>
      </c>
      <c r="H1027" t="s">
        <v>45</v>
      </c>
      <c r="I1027">
        <v>1445</v>
      </c>
      <c r="J1027">
        <v>4</v>
      </c>
      <c r="K1027" t="s">
        <v>34</v>
      </c>
      <c r="L1027">
        <v>3</v>
      </c>
      <c r="M1027">
        <v>2</v>
      </c>
      <c r="N1027" t="s">
        <v>35</v>
      </c>
      <c r="O1027">
        <v>3</v>
      </c>
      <c r="P1027" t="s">
        <v>42</v>
      </c>
      <c r="Q1027">
        <v>4162</v>
      </c>
      <c r="R1027">
        <v>1</v>
      </c>
      <c r="S1027" t="s">
        <v>30</v>
      </c>
      <c r="T1027">
        <v>12</v>
      </c>
      <c r="U1027">
        <v>3</v>
      </c>
      <c r="V1027">
        <v>3</v>
      </c>
      <c r="W1027">
        <v>2</v>
      </c>
      <c r="X1027">
        <v>5</v>
      </c>
      <c r="Y1027">
        <v>3</v>
      </c>
      <c r="Z1027">
        <v>3</v>
      </c>
      <c r="AA1027">
        <v>5</v>
      </c>
      <c r="AB1027">
        <v>4</v>
      </c>
      <c r="AC1027">
        <v>0</v>
      </c>
      <c r="AD1027">
        <v>3</v>
      </c>
      <c r="AE1027" t="str" cm="1">
        <f t="array" ref="AE1027">_xlfn.IFS(G1027=1,"Before College",G1027=2,"College",G1027=3,"Bachelor",G1027=4,"Master",G1027=5,"Doctor")</f>
        <v>Before College</v>
      </c>
      <c r="AF1027" t="str" cm="1">
        <f t="array" ref="AF1027">_xlfn.IFS(J1027=1,"Low",J1027=2,"Medium",J1027=3,"High",J1027=4,"Very High")</f>
        <v>Very High</v>
      </c>
      <c r="AG1027" t="str" cm="1">
        <f t="array" ref="AG1027">_xlfn.IFS(L1027=1,"Low",L1027=2,"Medium",L1027=3,"High",L1027=4,"Very High")</f>
        <v>High</v>
      </c>
      <c r="AH1027" t="str" cm="1">
        <f t="array" ref="AH1027">_xlfn.IFS(M1027=1,"Junior employee",M1027=2,"Mid-level",M1027=3,"Senior",M1027=4,"Manager",M1027=5,"Executive")</f>
        <v>Mid-level</v>
      </c>
      <c r="AI1027" t="str" cm="1">
        <f t="array" ref="AI1027">_xlfn.IFS(O1027=1,"Low",O1027=2,"Medium",O1027=3,"High",O1027=4,"Very High")</f>
        <v>High</v>
      </c>
      <c r="AJ1027" t="str" cm="1">
        <f t="array" ref="AJ1027">_xlfn.IFS(U1027=1,"Low",U1027=2,"Good",U1027=3,"Excellent",U1027=4,"Outstanding")</f>
        <v>Excellent</v>
      </c>
      <c r="AK1027" t="str" cm="1">
        <f t="array" ref="AK1027">_xlfn.IFS(V1027=1,"Low",V1027=2,"Medium",V1027=3,"High",V1027=4,"Very High")</f>
        <v>High</v>
      </c>
      <c r="AL1027" t="str" cm="1">
        <f t="array" ref="AL1027">_xlfn.IFS(Z1027=1,"Bad",Z1027=2,"Good",Z1027=3,"Better",Z1027=4,"Best")</f>
        <v>Better</v>
      </c>
      <c r="AM1027" t="str" cm="1">
        <f t="array" ref="AM1027">_xlfn.IFS(W1027=0,"No_stock",W1027=1,"Low",W1027=2,"Medium",W1027=3,"High")</f>
        <v>Medium</v>
      </c>
      <c r="AN1027" t="str">
        <f t="shared" si="16"/>
        <v>Near</v>
      </c>
    </row>
    <row r="1028" spans="1:40" x14ac:dyDescent="0.45">
      <c r="A1028">
        <v>32</v>
      </c>
      <c r="B1028" t="s">
        <v>37</v>
      </c>
      <c r="C1028" t="s">
        <v>31</v>
      </c>
      <c r="D1028">
        <v>601</v>
      </c>
      <c r="E1028" t="s">
        <v>32</v>
      </c>
      <c r="F1028">
        <v>7</v>
      </c>
      <c r="G1028">
        <v>5</v>
      </c>
      <c r="H1028" t="s">
        <v>53</v>
      </c>
      <c r="I1028">
        <v>1446</v>
      </c>
      <c r="J1028">
        <v>4</v>
      </c>
      <c r="K1028" t="s">
        <v>40</v>
      </c>
      <c r="L1028">
        <v>3</v>
      </c>
      <c r="M1028">
        <v>2</v>
      </c>
      <c r="N1028" t="s">
        <v>35</v>
      </c>
      <c r="O1028">
        <v>4</v>
      </c>
      <c r="P1028" t="s">
        <v>42</v>
      </c>
      <c r="Q1028">
        <v>9204</v>
      </c>
      <c r="R1028">
        <v>4</v>
      </c>
      <c r="S1028" t="s">
        <v>37</v>
      </c>
      <c r="T1028">
        <v>12</v>
      </c>
      <c r="U1028">
        <v>3</v>
      </c>
      <c r="V1028">
        <v>3</v>
      </c>
      <c r="W1028">
        <v>1</v>
      </c>
      <c r="X1028">
        <v>7</v>
      </c>
      <c r="Y1028">
        <v>3</v>
      </c>
      <c r="Z1028">
        <v>2</v>
      </c>
      <c r="AA1028">
        <v>4</v>
      </c>
      <c r="AB1028">
        <v>3</v>
      </c>
      <c r="AC1028">
        <v>0</v>
      </c>
      <c r="AD1028">
        <v>3</v>
      </c>
      <c r="AE1028" t="str" cm="1">
        <f t="array" ref="AE1028">_xlfn.IFS(G1028=1,"Before College",G1028=2,"College",G1028=3,"Bachelor",G1028=4,"Master",G1028=5,"Doctor")</f>
        <v>Doctor</v>
      </c>
      <c r="AF1028" t="str" cm="1">
        <f t="array" ref="AF1028">_xlfn.IFS(J1028=1,"Low",J1028=2,"Medium",J1028=3,"High",J1028=4,"Very High")</f>
        <v>Very High</v>
      </c>
      <c r="AG1028" t="str" cm="1">
        <f t="array" ref="AG1028">_xlfn.IFS(L1028=1,"Low",L1028=2,"Medium",L1028=3,"High",L1028=4,"Very High")</f>
        <v>High</v>
      </c>
      <c r="AH1028" t="str" cm="1">
        <f t="array" ref="AH1028">_xlfn.IFS(M1028=1,"Junior employee",M1028=2,"Mid-level",M1028=3,"Senior",M1028=4,"Manager",M1028=5,"Executive")</f>
        <v>Mid-level</v>
      </c>
      <c r="AI1028" t="str" cm="1">
        <f t="array" ref="AI1028">_xlfn.IFS(O1028=1,"Low",O1028=2,"Medium",O1028=3,"High",O1028=4,"Very High")</f>
        <v>Very High</v>
      </c>
      <c r="AJ1028" t="str" cm="1">
        <f t="array" ref="AJ1028">_xlfn.IFS(U1028=1,"Low",U1028=2,"Good",U1028=3,"Excellent",U1028=4,"Outstanding")</f>
        <v>Excellent</v>
      </c>
      <c r="AK1028" t="str" cm="1">
        <f t="array" ref="AK1028">_xlfn.IFS(V1028=1,"Low",V1028=2,"Medium",V1028=3,"High",V1028=4,"Very High")</f>
        <v>High</v>
      </c>
      <c r="AL1028" t="str" cm="1">
        <f t="array" ref="AL1028">_xlfn.IFS(Z1028=1,"Bad",Z1028=2,"Good",Z1028=3,"Better",Z1028=4,"Best")</f>
        <v>Good</v>
      </c>
      <c r="AM1028" t="str" cm="1">
        <f t="array" ref="AM1028">_xlfn.IFS(W1028=0,"No_stock",W1028=1,"Low",W1028=2,"Medium",W1028=3,"High")</f>
        <v>Low</v>
      </c>
      <c r="AN1028" t="str">
        <f t="shared" si="16"/>
        <v>Medium</v>
      </c>
    </row>
    <row r="1029" spans="1:40" x14ac:dyDescent="0.45">
      <c r="A1029">
        <v>34</v>
      </c>
      <c r="B1029" t="s">
        <v>37</v>
      </c>
      <c r="C1029" t="s">
        <v>31</v>
      </c>
      <c r="D1029">
        <v>401</v>
      </c>
      <c r="E1029" t="s">
        <v>39</v>
      </c>
      <c r="F1029">
        <v>1</v>
      </c>
      <c r="G1029">
        <v>3</v>
      </c>
      <c r="H1029" t="s">
        <v>33</v>
      </c>
      <c r="I1029">
        <v>1447</v>
      </c>
      <c r="J1029">
        <v>4</v>
      </c>
      <c r="K1029" t="s">
        <v>34</v>
      </c>
      <c r="L1029">
        <v>2</v>
      </c>
      <c r="M1029">
        <v>1</v>
      </c>
      <c r="N1029" t="s">
        <v>44</v>
      </c>
      <c r="O1029">
        <v>2</v>
      </c>
      <c r="P1029" t="s">
        <v>42</v>
      </c>
      <c r="Q1029">
        <v>3294</v>
      </c>
      <c r="R1029">
        <v>5</v>
      </c>
      <c r="S1029" t="s">
        <v>37</v>
      </c>
      <c r="T1029">
        <v>17</v>
      </c>
      <c r="U1029">
        <v>3</v>
      </c>
      <c r="V1029">
        <v>1</v>
      </c>
      <c r="W1029">
        <v>1</v>
      </c>
      <c r="X1029">
        <v>7</v>
      </c>
      <c r="Y1029">
        <v>2</v>
      </c>
      <c r="Z1029">
        <v>2</v>
      </c>
      <c r="AA1029">
        <v>5</v>
      </c>
      <c r="AB1029">
        <v>4</v>
      </c>
      <c r="AC1029">
        <v>0</v>
      </c>
      <c r="AD1029">
        <v>2</v>
      </c>
      <c r="AE1029" t="str" cm="1">
        <f t="array" ref="AE1029">_xlfn.IFS(G1029=1,"Before College",G1029=2,"College",G1029=3,"Bachelor",G1029=4,"Master",G1029=5,"Doctor")</f>
        <v>Bachelor</v>
      </c>
      <c r="AF1029" t="str" cm="1">
        <f t="array" ref="AF1029">_xlfn.IFS(J1029=1,"Low",J1029=2,"Medium",J1029=3,"High",J1029=4,"Very High")</f>
        <v>Very High</v>
      </c>
      <c r="AG1029" t="str" cm="1">
        <f t="array" ref="AG1029">_xlfn.IFS(L1029=1,"Low",L1029=2,"Medium",L1029=3,"High",L1029=4,"Very High")</f>
        <v>Medium</v>
      </c>
      <c r="AH1029" t="str" cm="1">
        <f t="array" ref="AH1029">_xlfn.IFS(M1029=1,"Junior employee",M1029=2,"Mid-level",M1029=3,"Senior",M1029=4,"Manager",M1029=5,"Executive")</f>
        <v>Junior employee</v>
      </c>
      <c r="AI1029" t="str" cm="1">
        <f t="array" ref="AI1029">_xlfn.IFS(O1029=1,"Low",O1029=2,"Medium",O1029=3,"High",O1029=4,"Very High")</f>
        <v>Medium</v>
      </c>
      <c r="AJ1029" t="str" cm="1">
        <f t="array" ref="AJ1029">_xlfn.IFS(U1029=1,"Low",U1029=2,"Good",U1029=3,"Excellent",U1029=4,"Outstanding")</f>
        <v>Excellent</v>
      </c>
      <c r="AK1029" t="str" cm="1">
        <f t="array" ref="AK1029">_xlfn.IFS(V1029=1,"Low",V1029=2,"Medium",V1029=3,"High",V1029=4,"Very High")</f>
        <v>Low</v>
      </c>
      <c r="AL1029" t="str" cm="1">
        <f t="array" ref="AL1029">_xlfn.IFS(Z1029=1,"Bad",Z1029=2,"Good",Z1029=3,"Better",Z1029=4,"Best")</f>
        <v>Good</v>
      </c>
      <c r="AM1029" t="str" cm="1">
        <f t="array" ref="AM1029">_xlfn.IFS(W1029=0,"No_stock",W1029=1,"Low",W1029=2,"Medium",W1029=3,"High")</f>
        <v>Low</v>
      </c>
      <c r="AN1029" t="str">
        <f t="shared" si="16"/>
        <v>Near</v>
      </c>
    </row>
    <row r="1030" spans="1:40" x14ac:dyDescent="0.45">
      <c r="A1030">
        <v>41</v>
      </c>
      <c r="B1030" t="s">
        <v>37</v>
      </c>
      <c r="C1030" t="s">
        <v>31</v>
      </c>
      <c r="D1030">
        <v>1283</v>
      </c>
      <c r="E1030" t="s">
        <v>39</v>
      </c>
      <c r="F1030">
        <v>5</v>
      </c>
      <c r="G1030">
        <v>5</v>
      </c>
      <c r="H1030" t="s">
        <v>45</v>
      </c>
      <c r="I1030">
        <v>1448</v>
      </c>
      <c r="J1030">
        <v>2</v>
      </c>
      <c r="K1030" t="s">
        <v>40</v>
      </c>
      <c r="L1030">
        <v>4</v>
      </c>
      <c r="M1030">
        <v>1</v>
      </c>
      <c r="N1030" t="s">
        <v>41</v>
      </c>
      <c r="O1030">
        <v>3</v>
      </c>
      <c r="P1030" t="s">
        <v>42</v>
      </c>
      <c r="Q1030">
        <v>2127</v>
      </c>
      <c r="R1030">
        <v>2</v>
      </c>
      <c r="S1030" t="s">
        <v>30</v>
      </c>
      <c r="T1030">
        <v>12</v>
      </c>
      <c r="U1030">
        <v>3</v>
      </c>
      <c r="V1030">
        <v>1</v>
      </c>
      <c r="W1030">
        <v>0</v>
      </c>
      <c r="X1030">
        <v>7</v>
      </c>
      <c r="Y1030">
        <v>5</v>
      </c>
      <c r="Z1030">
        <v>2</v>
      </c>
      <c r="AA1030">
        <v>4</v>
      </c>
      <c r="AB1030">
        <v>2</v>
      </c>
      <c r="AC1030">
        <v>0</v>
      </c>
      <c r="AD1030">
        <v>3</v>
      </c>
      <c r="AE1030" t="str" cm="1">
        <f t="array" ref="AE1030">_xlfn.IFS(G1030=1,"Before College",G1030=2,"College",G1030=3,"Bachelor",G1030=4,"Master",G1030=5,"Doctor")</f>
        <v>Doctor</v>
      </c>
      <c r="AF1030" t="str" cm="1">
        <f t="array" ref="AF1030">_xlfn.IFS(J1030=1,"Low",J1030=2,"Medium",J1030=3,"High",J1030=4,"Very High")</f>
        <v>Medium</v>
      </c>
      <c r="AG1030" t="str" cm="1">
        <f t="array" ref="AG1030">_xlfn.IFS(L1030=1,"Low",L1030=2,"Medium",L1030=3,"High",L1030=4,"Very High")</f>
        <v>Very High</v>
      </c>
      <c r="AH1030" t="str" cm="1">
        <f t="array" ref="AH1030">_xlfn.IFS(M1030=1,"Junior employee",M1030=2,"Mid-level",M1030=3,"Senior",M1030=4,"Manager",M1030=5,"Executive")</f>
        <v>Junior employee</v>
      </c>
      <c r="AI1030" t="str" cm="1">
        <f t="array" ref="AI1030">_xlfn.IFS(O1030=1,"Low",O1030=2,"Medium",O1030=3,"High",O1030=4,"Very High")</f>
        <v>High</v>
      </c>
      <c r="AJ1030" t="str" cm="1">
        <f t="array" ref="AJ1030">_xlfn.IFS(U1030=1,"Low",U1030=2,"Good",U1030=3,"Excellent",U1030=4,"Outstanding")</f>
        <v>Excellent</v>
      </c>
      <c r="AK1030" t="str" cm="1">
        <f t="array" ref="AK1030">_xlfn.IFS(V1030=1,"Low",V1030=2,"Medium",V1030=3,"High",V1030=4,"Very High")</f>
        <v>Low</v>
      </c>
      <c r="AL1030" t="str" cm="1">
        <f t="array" ref="AL1030">_xlfn.IFS(Z1030=1,"Bad",Z1030=2,"Good",Z1030=3,"Better",Z1030=4,"Best")</f>
        <v>Good</v>
      </c>
      <c r="AM1030" t="str" cm="1">
        <f t="array" ref="AM1030">_xlfn.IFS(W1030=0,"No_stock",W1030=1,"Low",W1030=2,"Medium",W1030=3,"High")</f>
        <v>No_stock</v>
      </c>
      <c r="AN1030" t="str">
        <f t="shared" si="16"/>
        <v>Near</v>
      </c>
    </row>
    <row r="1031" spans="1:40" x14ac:dyDescent="0.45">
      <c r="A1031">
        <v>40</v>
      </c>
      <c r="B1031" t="s">
        <v>37</v>
      </c>
      <c r="C1031" t="s">
        <v>49</v>
      </c>
      <c r="D1031">
        <v>663</v>
      </c>
      <c r="E1031" t="s">
        <v>39</v>
      </c>
      <c r="F1031">
        <v>9</v>
      </c>
      <c r="G1031">
        <v>4</v>
      </c>
      <c r="H1031" t="s">
        <v>43</v>
      </c>
      <c r="I1031">
        <v>1449</v>
      </c>
      <c r="J1031">
        <v>3</v>
      </c>
      <c r="K1031" t="s">
        <v>40</v>
      </c>
      <c r="L1031">
        <v>3</v>
      </c>
      <c r="M1031">
        <v>2</v>
      </c>
      <c r="N1031" t="s">
        <v>44</v>
      </c>
      <c r="O1031">
        <v>3</v>
      </c>
      <c r="P1031" t="s">
        <v>46</v>
      </c>
      <c r="Q1031">
        <v>3975</v>
      </c>
      <c r="R1031">
        <v>3</v>
      </c>
      <c r="S1031" t="s">
        <v>37</v>
      </c>
      <c r="T1031">
        <v>11</v>
      </c>
      <c r="U1031">
        <v>3</v>
      </c>
      <c r="V1031">
        <v>3</v>
      </c>
      <c r="W1031">
        <v>2</v>
      </c>
      <c r="X1031">
        <v>11</v>
      </c>
      <c r="Y1031">
        <v>2</v>
      </c>
      <c r="Z1031">
        <v>4</v>
      </c>
      <c r="AA1031">
        <v>8</v>
      </c>
      <c r="AB1031">
        <v>7</v>
      </c>
      <c r="AC1031">
        <v>0</v>
      </c>
      <c r="AD1031">
        <v>7</v>
      </c>
      <c r="AE1031" t="str" cm="1">
        <f t="array" ref="AE1031">_xlfn.IFS(G1031=1,"Before College",G1031=2,"College",G1031=3,"Bachelor",G1031=4,"Master",G1031=5,"Doctor")</f>
        <v>Master</v>
      </c>
      <c r="AF1031" t="str" cm="1">
        <f t="array" ref="AF1031">_xlfn.IFS(J1031=1,"Low",J1031=2,"Medium",J1031=3,"High",J1031=4,"Very High")</f>
        <v>High</v>
      </c>
      <c r="AG1031" t="str" cm="1">
        <f t="array" ref="AG1031">_xlfn.IFS(L1031=1,"Low",L1031=2,"Medium",L1031=3,"High",L1031=4,"Very High")</f>
        <v>High</v>
      </c>
      <c r="AH1031" t="str" cm="1">
        <f t="array" ref="AH1031">_xlfn.IFS(M1031=1,"Junior employee",M1031=2,"Mid-level",M1031=3,"Senior",M1031=4,"Manager",M1031=5,"Executive")</f>
        <v>Mid-level</v>
      </c>
      <c r="AI1031" t="str" cm="1">
        <f t="array" ref="AI1031">_xlfn.IFS(O1031=1,"Low",O1031=2,"Medium",O1031=3,"High",O1031=4,"Very High")</f>
        <v>High</v>
      </c>
      <c r="AJ1031" t="str" cm="1">
        <f t="array" ref="AJ1031">_xlfn.IFS(U1031=1,"Low",U1031=2,"Good",U1031=3,"Excellent",U1031=4,"Outstanding")</f>
        <v>Excellent</v>
      </c>
      <c r="AK1031" t="str" cm="1">
        <f t="array" ref="AK1031">_xlfn.IFS(V1031=1,"Low",V1031=2,"Medium",V1031=3,"High",V1031=4,"Very High")</f>
        <v>High</v>
      </c>
      <c r="AL1031" t="str" cm="1">
        <f t="array" ref="AL1031">_xlfn.IFS(Z1031=1,"Bad",Z1031=2,"Good",Z1031=3,"Better",Z1031=4,"Best")</f>
        <v>Best</v>
      </c>
      <c r="AM1031" t="str" cm="1">
        <f t="array" ref="AM1031">_xlfn.IFS(W1031=0,"No_stock",W1031=1,"Low",W1031=2,"Medium",W1031=3,"High")</f>
        <v>Medium</v>
      </c>
      <c r="AN1031" t="str">
        <f t="shared" si="16"/>
        <v>Medium</v>
      </c>
    </row>
    <row r="1032" spans="1:40" x14ac:dyDescent="0.45">
      <c r="A1032">
        <v>31</v>
      </c>
      <c r="B1032" t="s">
        <v>37</v>
      </c>
      <c r="C1032" t="s">
        <v>31</v>
      </c>
      <c r="D1032">
        <v>326</v>
      </c>
      <c r="E1032" t="s">
        <v>32</v>
      </c>
      <c r="F1032">
        <v>8</v>
      </c>
      <c r="G1032">
        <v>2</v>
      </c>
      <c r="H1032" t="s">
        <v>33</v>
      </c>
      <c r="I1032">
        <v>1453</v>
      </c>
      <c r="J1032">
        <v>1</v>
      </c>
      <c r="K1032" t="s">
        <v>40</v>
      </c>
      <c r="L1032">
        <v>3</v>
      </c>
      <c r="M1032">
        <v>3</v>
      </c>
      <c r="N1032" t="s">
        <v>35</v>
      </c>
      <c r="O1032">
        <v>4</v>
      </c>
      <c r="P1032" t="s">
        <v>46</v>
      </c>
      <c r="Q1032">
        <v>10793</v>
      </c>
      <c r="R1032">
        <v>1</v>
      </c>
      <c r="S1032" t="s">
        <v>37</v>
      </c>
      <c r="T1032">
        <v>18</v>
      </c>
      <c r="U1032">
        <v>3</v>
      </c>
      <c r="V1032">
        <v>1</v>
      </c>
      <c r="W1032">
        <v>1</v>
      </c>
      <c r="X1032">
        <v>13</v>
      </c>
      <c r="Y1032">
        <v>5</v>
      </c>
      <c r="Z1032">
        <v>3</v>
      </c>
      <c r="AA1032">
        <v>13</v>
      </c>
      <c r="AB1032">
        <v>7</v>
      </c>
      <c r="AC1032">
        <v>9</v>
      </c>
      <c r="AD1032">
        <v>9</v>
      </c>
      <c r="AE1032" t="str" cm="1">
        <f t="array" ref="AE1032">_xlfn.IFS(G1032=1,"Before College",G1032=2,"College",G1032=3,"Bachelor",G1032=4,"Master",G1032=5,"Doctor")</f>
        <v>College</v>
      </c>
      <c r="AF1032" t="str" cm="1">
        <f t="array" ref="AF1032">_xlfn.IFS(J1032=1,"Low",J1032=2,"Medium",J1032=3,"High",J1032=4,"Very High")</f>
        <v>Low</v>
      </c>
      <c r="AG1032" t="str" cm="1">
        <f t="array" ref="AG1032">_xlfn.IFS(L1032=1,"Low",L1032=2,"Medium",L1032=3,"High",L1032=4,"Very High")</f>
        <v>High</v>
      </c>
      <c r="AH1032" t="str" cm="1">
        <f t="array" ref="AH1032">_xlfn.IFS(M1032=1,"Junior employee",M1032=2,"Mid-level",M1032=3,"Senior",M1032=4,"Manager",M1032=5,"Executive")</f>
        <v>Senior</v>
      </c>
      <c r="AI1032" t="str" cm="1">
        <f t="array" ref="AI1032">_xlfn.IFS(O1032=1,"Low",O1032=2,"Medium",O1032=3,"High",O1032=4,"Very High")</f>
        <v>Very High</v>
      </c>
      <c r="AJ1032" t="str" cm="1">
        <f t="array" ref="AJ1032">_xlfn.IFS(U1032=1,"Low",U1032=2,"Good",U1032=3,"Excellent",U1032=4,"Outstanding")</f>
        <v>Excellent</v>
      </c>
      <c r="AK1032" t="str" cm="1">
        <f t="array" ref="AK1032">_xlfn.IFS(V1032=1,"Low",V1032=2,"Medium",V1032=3,"High",V1032=4,"Very High")</f>
        <v>Low</v>
      </c>
      <c r="AL1032" t="str" cm="1">
        <f t="array" ref="AL1032">_xlfn.IFS(Z1032=1,"Bad",Z1032=2,"Good",Z1032=3,"Better",Z1032=4,"Best")</f>
        <v>Better</v>
      </c>
      <c r="AM1032" t="str" cm="1">
        <f t="array" ref="AM1032">_xlfn.IFS(W1032=0,"No_stock",W1032=1,"Low",W1032=2,"Medium",W1032=3,"High")</f>
        <v>Low</v>
      </c>
      <c r="AN1032" t="str">
        <f t="shared" si="16"/>
        <v>Medium</v>
      </c>
    </row>
    <row r="1033" spans="1:40" x14ac:dyDescent="0.45">
      <c r="A1033">
        <v>46</v>
      </c>
      <c r="B1033" t="s">
        <v>30</v>
      </c>
      <c r="C1033" t="s">
        <v>31</v>
      </c>
      <c r="D1033">
        <v>377</v>
      </c>
      <c r="E1033" t="s">
        <v>32</v>
      </c>
      <c r="F1033">
        <v>9</v>
      </c>
      <c r="G1033">
        <v>3</v>
      </c>
      <c r="H1033" t="s">
        <v>53</v>
      </c>
      <c r="I1033">
        <v>1457</v>
      </c>
      <c r="J1033">
        <v>1</v>
      </c>
      <c r="K1033" t="s">
        <v>40</v>
      </c>
      <c r="L1033">
        <v>3</v>
      </c>
      <c r="M1033">
        <v>3</v>
      </c>
      <c r="N1033" t="s">
        <v>35</v>
      </c>
      <c r="O1033">
        <v>4</v>
      </c>
      <c r="P1033" t="s">
        <v>46</v>
      </c>
      <c r="Q1033">
        <v>10096</v>
      </c>
      <c r="R1033">
        <v>4</v>
      </c>
      <c r="S1033" t="s">
        <v>37</v>
      </c>
      <c r="T1033">
        <v>11</v>
      </c>
      <c r="U1033">
        <v>3</v>
      </c>
      <c r="V1033">
        <v>1</v>
      </c>
      <c r="W1033">
        <v>1</v>
      </c>
      <c r="X1033">
        <v>28</v>
      </c>
      <c r="Y1033">
        <v>1</v>
      </c>
      <c r="Z1033">
        <v>4</v>
      </c>
      <c r="AA1033">
        <v>7</v>
      </c>
      <c r="AB1033">
        <v>7</v>
      </c>
      <c r="AC1033">
        <v>4</v>
      </c>
      <c r="AD1033">
        <v>3</v>
      </c>
      <c r="AE1033" t="str" cm="1">
        <f t="array" ref="AE1033">_xlfn.IFS(G1033=1,"Before College",G1033=2,"College",G1033=3,"Bachelor",G1033=4,"Master",G1033=5,"Doctor")</f>
        <v>Bachelor</v>
      </c>
      <c r="AF1033" t="str" cm="1">
        <f t="array" ref="AF1033">_xlfn.IFS(J1033=1,"Low",J1033=2,"Medium",J1033=3,"High",J1033=4,"Very High")</f>
        <v>Low</v>
      </c>
      <c r="AG1033" t="str" cm="1">
        <f t="array" ref="AG1033">_xlfn.IFS(L1033=1,"Low",L1033=2,"Medium",L1033=3,"High",L1033=4,"Very High")</f>
        <v>High</v>
      </c>
      <c r="AH1033" t="str" cm="1">
        <f t="array" ref="AH1033">_xlfn.IFS(M1033=1,"Junior employee",M1033=2,"Mid-level",M1033=3,"Senior",M1033=4,"Manager",M1033=5,"Executive")</f>
        <v>Senior</v>
      </c>
      <c r="AI1033" t="str" cm="1">
        <f t="array" ref="AI1033">_xlfn.IFS(O1033=1,"Low",O1033=2,"Medium",O1033=3,"High",O1033=4,"Very High")</f>
        <v>Very High</v>
      </c>
      <c r="AJ1033" t="str" cm="1">
        <f t="array" ref="AJ1033">_xlfn.IFS(U1033=1,"Low",U1033=2,"Good",U1033=3,"Excellent",U1033=4,"Outstanding")</f>
        <v>Excellent</v>
      </c>
      <c r="AK1033" t="str" cm="1">
        <f t="array" ref="AK1033">_xlfn.IFS(V1033=1,"Low",V1033=2,"Medium",V1033=3,"High",V1033=4,"Very High")</f>
        <v>Low</v>
      </c>
      <c r="AL1033" t="str" cm="1">
        <f t="array" ref="AL1033">_xlfn.IFS(Z1033=1,"Bad",Z1033=2,"Good",Z1033=3,"Better",Z1033=4,"Best")</f>
        <v>Best</v>
      </c>
      <c r="AM1033" t="str" cm="1">
        <f t="array" ref="AM1033">_xlfn.IFS(W1033=0,"No_stock",W1033=1,"Low",W1033=2,"Medium",W1033=3,"High")</f>
        <v>Low</v>
      </c>
      <c r="AN1033" t="str">
        <f t="shared" si="16"/>
        <v>Medium</v>
      </c>
    </row>
    <row r="1034" spans="1:40" x14ac:dyDescent="0.45">
      <c r="A1034">
        <v>39</v>
      </c>
      <c r="B1034" t="s">
        <v>30</v>
      </c>
      <c r="C1034" t="s">
        <v>49</v>
      </c>
      <c r="D1034">
        <v>592</v>
      </c>
      <c r="E1034" t="s">
        <v>39</v>
      </c>
      <c r="F1034">
        <v>2</v>
      </c>
      <c r="G1034">
        <v>3</v>
      </c>
      <c r="H1034" t="s">
        <v>33</v>
      </c>
      <c r="I1034">
        <v>1458</v>
      </c>
      <c r="J1034">
        <v>1</v>
      </c>
      <c r="K1034" t="s">
        <v>34</v>
      </c>
      <c r="L1034">
        <v>2</v>
      </c>
      <c r="M1034">
        <v>1</v>
      </c>
      <c r="N1034" t="s">
        <v>44</v>
      </c>
      <c r="O1034">
        <v>1</v>
      </c>
      <c r="P1034" t="s">
        <v>36</v>
      </c>
      <c r="Q1034">
        <v>3646</v>
      </c>
      <c r="R1034">
        <v>2</v>
      </c>
      <c r="S1034" t="s">
        <v>30</v>
      </c>
      <c r="T1034">
        <v>23</v>
      </c>
      <c r="U1034">
        <v>4</v>
      </c>
      <c r="V1034">
        <v>2</v>
      </c>
      <c r="W1034">
        <v>0</v>
      </c>
      <c r="X1034">
        <v>11</v>
      </c>
      <c r="Y1034">
        <v>2</v>
      </c>
      <c r="Z1034">
        <v>4</v>
      </c>
      <c r="AA1034">
        <v>1</v>
      </c>
      <c r="AB1034">
        <v>0</v>
      </c>
      <c r="AC1034">
        <v>0</v>
      </c>
      <c r="AD1034">
        <v>0</v>
      </c>
      <c r="AE1034" t="str" cm="1">
        <f t="array" ref="AE1034">_xlfn.IFS(G1034=1,"Before College",G1034=2,"College",G1034=3,"Bachelor",G1034=4,"Master",G1034=5,"Doctor")</f>
        <v>Bachelor</v>
      </c>
      <c r="AF1034" t="str" cm="1">
        <f t="array" ref="AF1034">_xlfn.IFS(J1034=1,"Low",J1034=2,"Medium",J1034=3,"High",J1034=4,"Very High")</f>
        <v>Low</v>
      </c>
      <c r="AG1034" t="str" cm="1">
        <f t="array" ref="AG1034">_xlfn.IFS(L1034=1,"Low",L1034=2,"Medium",L1034=3,"High",L1034=4,"Very High")</f>
        <v>Medium</v>
      </c>
      <c r="AH1034" t="str" cm="1">
        <f t="array" ref="AH1034">_xlfn.IFS(M1034=1,"Junior employee",M1034=2,"Mid-level",M1034=3,"Senior",M1034=4,"Manager",M1034=5,"Executive")</f>
        <v>Junior employee</v>
      </c>
      <c r="AI1034" t="str" cm="1">
        <f t="array" ref="AI1034">_xlfn.IFS(O1034=1,"Low",O1034=2,"Medium",O1034=3,"High",O1034=4,"Very High")</f>
        <v>Low</v>
      </c>
      <c r="AJ1034" t="str" cm="1">
        <f t="array" ref="AJ1034">_xlfn.IFS(U1034=1,"Low",U1034=2,"Good",U1034=3,"Excellent",U1034=4,"Outstanding")</f>
        <v>Outstanding</v>
      </c>
      <c r="AK1034" t="str" cm="1">
        <f t="array" ref="AK1034">_xlfn.IFS(V1034=1,"Low",V1034=2,"Medium",V1034=3,"High",V1034=4,"Very High")</f>
        <v>Medium</v>
      </c>
      <c r="AL1034" t="str" cm="1">
        <f t="array" ref="AL1034">_xlfn.IFS(Z1034=1,"Bad",Z1034=2,"Good",Z1034=3,"Better",Z1034=4,"Best")</f>
        <v>Best</v>
      </c>
      <c r="AM1034" t="str" cm="1">
        <f t="array" ref="AM1034">_xlfn.IFS(W1034=0,"No_stock",W1034=1,"Low",W1034=2,"Medium",W1034=3,"High")</f>
        <v>No_stock</v>
      </c>
      <c r="AN1034" t="str">
        <f t="shared" si="16"/>
        <v>Near</v>
      </c>
    </row>
    <row r="1035" spans="1:40" x14ac:dyDescent="0.45">
      <c r="A1035">
        <v>31</v>
      </c>
      <c r="B1035" t="s">
        <v>30</v>
      </c>
      <c r="C1035" t="s">
        <v>38</v>
      </c>
      <c r="D1035">
        <v>1445</v>
      </c>
      <c r="E1035" t="s">
        <v>39</v>
      </c>
      <c r="F1035">
        <v>1</v>
      </c>
      <c r="G1035">
        <v>5</v>
      </c>
      <c r="H1035" t="s">
        <v>33</v>
      </c>
      <c r="I1035">
        <v>1459</v>
      </c>
      <c r="J1035">
        <v>3</v>
      </c>
      <c r="K1035" t="s">
        <v>34</v>
      </c>
      <c r="L1035">
        <v>4</v>
      </c>
      <c r="M1035">
        <v>3</v>
      </c>
      <c r="N1035" t="s">
        <v>47</v>
      </c>
      <c r="O1035">
        <v>2</v>
      </c>
      <c r="P1035" t="s">
        <v>36</v>
      </c>
      <c r="Q1035">
        <v>7446</v>
      </c>
      <c r="R1035">
        <v>1</v>
      </c>
      <c r="S1035" t="s">
        <v>37</v>
      </c>
      <c r="T1035">
        <v>11</v>
      </c>
      <c r="U1035">
        <v>3</v>
      </c>
      <c r="V1035">
        <v>1</v>
      </c>
      <c r="W1035">
        <v>0</v>
      </c>
      <c r="X1035">
        <v>10</v>
      </c>
      <c r="Y1035">
        <v>2</v>
      </c>
      <c r="Z1035">
        <v>3</v>
      </c>
      <c r="AA1035">
        <v>10</v>
      </c>
      <c r="AB1035">
        <v>8</v>
      </c>
      <c r="AC1035">
        <v>4</v>
      </c>
      <c r="AD1035">
        <v>7</v>
      </c>
      <c r="AE1035" t="str" cm="1">
        <f t="array" ref="AE1035">_xlfn.IFS(G1035=1,"Before College",G1035=2,"College",G1035=3,"Bachelor",G1035=4,"Master",G1035=5,"Doctor")</f>
        <v>Doctor</v>
      </c>
      <c r="AF1035" t="str" cm="1">
        <f t="array" ref="AF1035">_xlfn.IFS(J1035=1,"Low",J1035=2,"Medium",J1035=3,"High",J1035=4,"Very High")</f>
        <v>High</v>
      </c>
      <c r="AG1035" t="str" cm="1">
        <f t="array" ref="AG1035">_xlfn.IFS(L1035=1,"Low",L1035=2,"Medium",L1035=3,"High",L1035=4,"Very High")</f>
        <v>Very High</v>
      </c>
      <c r="AH1035" t="str" cm="1">
        <f t="array" ref="AH1035">_xlfn.IFS(M1035=1,"Junior employee",M1035=2,"Mid-level",M1035=3,"Senior",M1035=4,"Manager",M1035=5,"Executive")</f>
        <v>Senior</v>
      </c>
      <c r="AI1035" t="str" cm="1">
        <f t="array" ref="AI1035">_xlfn.IFS(O1035=1,"Low",O1035=2,"Medium",O1035=3,"High",O1035=4,"Very High")</f>
        <v>Medium</v>
      </c>
      <c r="AJ1035" t="str" cm="1">
        <f t="array" ref="AJ1035">_xlfn.IFS(U1035=1,"Low",U1035=2,"Good",U1035=3,"Excellent",U1035=4,"Outstanding")</f>
        <v>Excellent</v>
      </c>
      <c r="AK1035" t="str" cm="1">
        <f t="array" ref="AK1035">_xlfn.IFS(V1035=1,"Low",V1035=2,"Medium",V1035=3,"High",V1035=4,"Very High")</f>
        <v>Low</v>
      </c>
      <c r="AL1035" t="str" cm="1">
        <f t="array" ref="AL1035">_xlfn.IFS(Z1035=1,"Bad",Z1035=2,"Good",Z1035=3,"Better",Z1035=4,"Best")</f>
        <v>Better</v>
      </c>
      <c r="AM1035" t="str" cm="1">
        <f t="array" ref="AM1035">_xlfn.IFS(W1035=0,"No_stock",W1035=1,"Low",W1035=2,"Medium",W1035=3,"High")</f>
        <v>No_stock</v>
      </c>
      <c r="AN1035" t="str">
        <f t="shared" si="16"/>
        <v>Near</v>
      </c>
    </row>
    <row r="1036" spans="1:40" x14ac:dyDescent="0.45">
      <c r="A1036">
        <v>45</v>
      </c>
      <c r="B1036" t="s">
        <v>37</v>
      </c>
      <c r="C1036" t="s">
        <v>31</v>
      </c>
      <c r="D1036">
        <v>1038</v>
      </c>
      <c r="E1036" t="s">
        <v>39</v>
      </c>
      <c r="F1036">
        <v>20</v>
      </c>
      <c r="G1036">
        <v>3</v>
      </c>
      <c r="H1036" t="s">
        <v>45</v>
      </c>
      <c r="I1036">
        <v>1460</v>
      </c>
      <c r="J1036">
        <v>2</v>
      </c>
      <c r="K1036" t="s">
        <v>40</v>
      </c>
      <c r="L1036">
        <v>1</v>
      </c>
      <c r="M1036">
        <v>3</v>
      </c>
      <c r="N1036" t="s">
        <v>48</v>
      </c>
      <c r="O1036">
        <v>1</v>
      </c>
      <c r="P1036" t="s">
        <v>46</v>
      </c>
      <c r="Q1036">
        <v>10851</v>
      </c>
      <c r="R1036">
        <v>2</v>
      </c>
      <c r="S1036" t="s">
        <v>30</v>
      </c>
      <c r="T1036">
        <v>18</v>
      </c>
      <c r="U1036">
        <v>3</v>
      </c>
      <c r="V1036">
        <v>2</v>
      </c>
      <c r="W1036">
        <v>1</v>
      </c>
      <c r="X1036">
        <v>24</v>
      </c>
      <c r="Y1036">
        <v>2</v>
      </c>
      <c r="Z1036">
        <v>3</v>
      </c>
      <c r="AA1036">
        <v>7</v>
      </c>
      <c r="AB1036">
        <v>7</v>
      </c>
      <c r="AC1036">
        <v>0</v>
      </c>
      <c r="AD1036">
        <v>7</v>
      </c>
      <c r="AE1036" t="str" cm="1">
        <f t="array" ref="AE1036">_xlfn.IFS(G1036=1,"Before College",G1036=2,"College",G1036=3,"Bachelor",G1036=4,"Master",G1036=5,"Doctor")</f>
        <v>Bachelor</v>
      </c>
      <c r="AF1036" t="str" cm="1">
        <f t="array" ref="AF1036">_xlfn.IFS(J1036=1,"Low",J1036=2,"Medium",J1036=3,"High",J1036=4,"Very High")</f>
        <v>Medium</v>
      </c>
      <c r="AG1036" t="str" cm="1">
        <f t="array" ref="AG1036">_xlfn.IFS(L1036=1,"Low",L1036=2,"Medium",L1036=3,"High",L1036=4,"Very High")</f>
        <v>Low</v>
      </c>
      <c r="AH1036" t="str" cm="1">
        <f t="array" ref="AH1036">_xlfn.IFS(M1036=1,"Junior employee",M1036=2,"Mid-level",M1036=3,"Senior",M1036=4,"Manager",M1036=5,"Executive")</f>
        <v>Senior</v>
      </c>
      <c r="AI1036" t="str" cm="1">
        <f t="array" ref="AI1036">_xlfn.IFS(O1036=1,"Low",O1036=2,"Medium",O1036=3,"High",O1036=4,"Very High")</f>
        <v>Low</v>
      </c>
      <c r="AJ1036" t="str" cm="1">
        <f t="array" ref="AJ1036">_xlfn.IFS(U1036=1,"Low",U1036=2,"Good",U1036=3,"Excellent",U1036=4,"Outstanding")</f>
        <v>Excellent</v>
      </c>
      <c r="AK1036" t="str" cm="1">
        <f t="array" ref="AK1036">_xlfn.IFS(V1036=1,"Low",V1036=2,"Medium",V1036=3,"High",V1036=4,"Very High")</f>
        <v>Medium</v>
      </c>
      <c r="AL1036" t="str" cm="1">
        <f t="array" ref="AL1036">_xlfn.IFS(Z1036=1,"Bad",Z1036=2,"Good",Z1036=3,"Better",Z1036=4,"Best")</f>
        <v>Better</v>
      </c>
      <c r="AM1036" t="str" cm="1">
        <f t="array" ref="AM1036">_xlfn.IFS(W1036=0,"No_stock",W1036=1,"Low",W1036=2,"Medium",W1036=3,"High")</f>
        <v>Low</v>
      </c>
      <c r="AN1036" t="str">
        <f t="shared" si="16"/>
        <v>Far</v>
      </c>
    </row>
    <row r="1037" spans="1:40" x14ac:dyDescent="0.45">
      <c r="A1037">
        <v>31</v>
      </c>
      <c r="B1037" t="s">
        <v>37</v>
      </c>
      <c r="C1037" t="s">
        <v>31</v>
      </c>
      <c r="D1037">
        <v>1398</v>
      </c>
      <c r="E1037" t="s">
        <v>55</v>
      </c>
      <c r="F1037">
        <v>8</v>
      </c>
      <c r="G1037">
        <v>2</v>
      </c>
      <c r="H1037" t="s">
        <v>45</v>
      </c>
      <c r="I1037">
        <v>1461</v>
      </c>
      <c r="J1037">
        <v>4</v>
      </c>
      <c r="K1037" t="s">
        <v>34</v>
      </c>
      <c r="L1037">
        <v>4</v>
      </c>
      <c r="M1037">
        <v>1</v>
      </c>
      <c r="N1037" t="s">
        <v>55</v>
      </c>
      <c r="O1037">
        <v>2</v>
      </c>
      <c r="P1037" t="s">
        <v>36</v>
      </c>
      <c r="Q1037">
        <v>2109</v>
      </c>
      <c r="R1037">
        <v>9</v>
      </c>
      <c r="S1037" t="s">
        <v>37</v>
      </c>
      <c r="T1037">
        <v>18</v>
      </c>
      <c r="U1037">
        <v>3</v>
      </c>
      <c r="V1037">
        <v>4</v>
      </c>
      <c r="W1037">
        <v>0</v>
      </c>
      <c r="X1037">
        <v>8</v>
      </c>
      <c r="Y1037">
        <v>3</v>
      </c>
      <c r="Z1037">
        <v>3</v>
      </c>
      <c r="AA1037">
        <v>3</v>
      </c>
      <c r="AB1037">
        <v>2</v>
      </c>
      <c r="AC1037">
        <v>0</v>
      </c>
      <c r="AD1037">
        <v>2</v>
      </c>
      <c r="AE1037" t="str" cm="1">
        <f t="array" ref="AE1037">_xlfn.IFS(G1037=1,"Before College",G1037=2,"College",G1037=3,"Bachelor",G1037=4,"Master",G1037=5,"Doctor")</f>
        <v>College</v>
      </c>
      <c r="AF1037" t="str" cm="1">
        <f t="array" ref="AF1037">_xlfn.IFS(J1037=1,"Low",J1037=2,"Medium",J1037=3,"High",J1037=4,"Very High")</f>
        <v>Very High</v>
      </c>
      <c r="AG1037" t="str" cm="1">
        <f t="array" ref="AG1037">_xlfn.IFS(L1037=1,"Low",L1037=2,"Medium",L1037=3,"High",L1037=4,"Very High")</f>
        <v>Very High</v>
      </c>
      <c r="AH1037" t="str" cm="1">
        <f t="array" ref="AH1037">_xlfn.IFS(M1037=1,"Junior employee",M1037=2,"Mid-level",M1037=3,"Senior",M1037=4,"Manager",M1037=5,"Executive")</f>
        <v>Junior employee</v>
      </c>
      <c r="AI1037" t="str" cm="1">
        <f t="array" ref="AI1037">_xlfn.IFS(O1037=1,"Low",O1037=2,"Medium",O1037=3,"High",O1037=4,"Very High")</f>
        <v>Medium</v>
      </c>
      <c r="AJ1037" t="str" cm="1">
        <f t="array" ref="AJ1037">_xlfn.IFS(U1037=1,"Low",U1037=2,"Good",U1037=3,"Excellent",U1037=4,"Outstanding")</f>
        <v>Excellent</v>
      </c>
      <c r="AK1037" t="str" cm="1">
        <f t="array" ref="AK1037">_xlfn.IFS(V1037=1,"Low",V1037=2,"Medium",V1037=3,"High",V1037=4,"Very High")</f>
        <v>Very High</v>
      </c>
      <c r="AL1037" t="str" cm="1">
        <f t="array" ref="AL1037">_xlfn.IFS(Z1037=1,"Bad",Z1037=2,"Good",Z1037=3,"Better",Z1037=4,"Best")</f>
        <v>Better</v>
      </c>
      <c r="AM1037" t="str" cm="1">
        <f t="array" ref="AM1037">_xlfn.IFS(W1037=0,"No_stock",W1037=1,"Low",W1037=2,"Medium",W1037=3,"High")</f>
        <v>No_stock</v>
      </c>
      <c r="AN1037" t="str">
        <f t="shared" si="16"/>
        <v>Medium</v>
      </c>
    </row>
    <row r="1038" spans="1:40" x14ac:dyDescent="0.45">
      <c r="A1038">
        <v>31</v>
      </c>
      <c r="B1038" t="s">
        <v>30</v>
      </c>
      <c r="C1038" t="s">
        <v>38</v>
      </c>
      <c r="D1038">
        <v>523</v>
      </c>
      <c r="E1038" t="s">
        <v>39</v>
      </c>
      <c r="F1038">
        <v>2</v>
      </c>
      <c r="G1038">
        <v>3</v>
      </c>
      <c r="H1038" t="s">
        <v>33</v>
      </c>
      <c r="I1038">
        <v>1464</v>
      </c>
      <c r="J1038">
        <v>2</v>
      </c>
      <c r="K1038" t="s">
        <v>40</v>
      </c>
      <c r="L1038">
        <v>3</v>
      </c>
      <c r="M1038">
        <v>1</v>
      </c>
      <c r="N1038" t="s">
        <v>44</v>
      </c>
      <c r="O1038">
        <v>4</v>
      </c>
      <c r="P1038" t="s">
        <v>42</v>
      </c>
      <c r="Q1038">
        <v>3722</v>
      </c>
      <c r="R1038">
        <v>6</v>
      </c>
      <c r="S1038" t="s">
        <v>30</v>
      </c>
      <c r="T1038">
        <v>13</v>
      </c>
      <c r="U1038">
        <v>3</v>
      </c>
      <c r="V1038">
        <v>3</v>
      </c>
      <c r="W1038">
        <v>1</v>
      </c>
      <c r="X1038">
        <v>7</v>
      </c>
      <c r="Y1038">
        <v>2</v>
      </c>
      <c r="Z1038">
        <v>1</v>
      </c>
      <c r="AA1038">
        <v>2</v>
      </c>
      <c r="AB1038">
        <v>2</v>
      </c>
      <c r="AC1038">
        <v>2</v>
      </c>
      <c r="AD1038">
        <v>2</v>
      </c>
      <c r="AE1038" t="str" cm="1">
        <f t="array" ref="AE1038">_xlfn.IFS(G1038=1,"Before College",G1038=2,"College",G1038=3,"Bachelor",G1038=4,"Master",G1038=5,"Doctor")</f>
        <v>Bachelor</v>
      </c>
      <c r="AF1038" t="str" cm="1">
        <f t="array" ref="AF1038">_xlfn.IFS(J1038=1,"Low",J1038=2,"Medium",J1038=3,"High",J1038=4,"Very High")</f>
        <v>Medium</v>
      </c>
      <c r="AG1038" t="str" cm="1">
        <f t="array" ref="AG1038">_xlfn.IFS(L1038=1,"Low",L1038=2,"Medium",L1038=3,"High",L1038=4,"Very High")</f>
        <v>High</v>
      </c>
      <c r="AH1038" t="str" cm="1">
        <f t="array" ref="AH1038">_xlfn.IFS(M1038=1,"Junior employee",M1038=2,"Mid-level",M1038=3,"Senior",M1038=4,"Manager",M1038=5,"Executive")</f>
        <v>Junior employee</v>
      </c>
      <c r="AI1038" t="str" cm="1">
        <f t="array" ref="AI1038">_xlfn.IFS(O1038=1,"Low",O1038=2,"Medium",O1038=3,"High",O1038=4,"Very High")</f>
        <v>Very High</v>
      </c>
      <c r="AJ1038" t="str" cm="1">
        <f t="array" ref="AJ1038">_xlfn.IFS(U1038=1,"Low",U1038=2,"Good",U1038=3,"Excellent",U1038=4,"Outstanding")</f>
        <v>Excellent</v>
      </c>
      <c r="AK1038" t="str" cm="1">
        <f t="array" ref="AK1038">_xlfn.IFS(V1038=1,"Low",V1038=2,"Medium",V1038=3,"High",V1038=4,"Very High")</f>
        <v>High</v>
      </c>
      <c r="AL1038" t="str" cm="1">
        <f t="array" ref="AL1038">_xlfn.IFS(Z1038=1,"Bad",Z1038=2,"Good",Z1038=3,"Better",Z1038=4,"Best")</f>
        <v>Bad</v>
      </c>
      <c r="AM1038" t="str" cm="1">
        <f t="array" ref="AM1038">_xlfn.IFS(W1038=0,"No_stock",W1038=1,"Low",W1038=2,"Medium",W1038=3,"High")</f>
        <v>Low</v>
      </c>
      <c r="AN1038" t="str">
        <f t="shared" si="16"/>
        <v>Near</v>
      </c>
    </row>
    <row r="1039" spans="1:40" x14ac:dyDescent="0.45">
      <c r="A1039">
        <v>45</v>
      </c>
      <c r="B1039" t="s">
        <v>37</v>
      </c>
      <c r="C1039" t="s">
        <v>31</v>
      </c>
      <c r="D1039">
        <v>1448</v>
      </c>
      <c r="E1039" t="s">
        <v>39</v>
      </c>
      <c r="F1039">
        <v>29</v>
      </c>
      <c r="G1039">
        <v>3</v>
      </c>
      <c r="H1039" t="s">
        <v>54</v>
      </c>
      <c r="I1039">
        <v>1465</v>
      </c>
      <c r="J1039">
        <v>2</v>
      </c>
      <c r="K1039" t="s">
        <v>40</v>
      </c>
      <c r="L1039">
        <v>3</v>
      </c>
      <c r="M1039">
        <v>3</v>
      </c>
      <c r="N1039" t="s">
        <v>47</v>
      </c>
      <c r="O1039">
        <v>4</v>
      </c>
      <c r="P1039" t="s">
        <v>42</v>
      </c>
      <c r="Q1039">
        <v>9380</v>
      </c>
      <c r="R1039">
        <v>4</v>
      </c>
      <c r="S1039" t="s">
        <v>30</v>
      </c>
      <c r="T1039">
        <v>18</v>
      </c>
      <c r="U1039">
        <v>3</v>
      </c>
      <c r="V1039">
        <v>4</v>
      </c>
      <c r="W1039">
        <v>2</v>
      </c>
      <c r="X1039">
        <v>10</v>
      </c>
      <c r="Y1039">
        <v>4</v>
      </c>
      <c r="Z1039">
        <v>4</v>
      </c>
      <c r="AA1039">
        <v>3</v>
      </c>
      <c r="AB1039">
        <v>1</v>
      </c>
      <c r="AC1039">
        <v>1</v>
      </c>
      <c r="AD1039">
        <v>2</v>
      </c>
      <c r="AE1039" t="str" cm="1">
        <f t="array" ref="AE1039">_xlfn.IFS(G1039=1,"Before College",G1039=2,"College",G1039=3,"Bachelor",G1039=4,"Master",G1039=5,"Doctor")</f>
        <v>Bachelor</v>
      </c>
      <c r="AF1039" t="str" cm="1">
        <f t="array" ref="AF1039">_xlfn.IFS(J1039=1,"Low",J1039=2,"Medium",J1039=3,"High",J1039=4,"Very High")</f>
        <v>Medium</v>
      </c>
      <c r="AG1039" t="str" cm="1">
        <f t="array" ref="AG1039">_xlfn.IFS(L1039=1,"Low",L1039=2,"Medium",L1039=3,"High",L1039=4,"Very High")</f>
        <v>High</v>
      </c>
      <c r="AH1039" t="str" cm="1">
        <f t="array" ref="AH1039">_xlfn.IFS(M1039=1,"Junior employee",M1039=2,"Mid-level",M1039=3,"Senior",M1039=4,"Manager",M1039=5,"Executive")</f>
        <v>Senior</v>
      </c>
      <c r="AI1039" t="str" cm="1">
        <f t="array" ref="AI1039">_xlfn.IFS(O1039=1,"Low",O1039=2,"Medium",O1039=3,"High",O1039=4,"Very High")</f>
        <v>Very High</v>
      </c>
      <c r="AJ1039" t="str" cm="1">
        <f t="array" ref="AJ1039">_xlfn.IFS(U1039=1,"Low",U1039=2,"Good",U1039=3,"Excellent",U1039=4,"Outstanding")</f>
        <v>Excellent</v>
      </c>
      <c r="AK1039" t="str" cm="1">
        <f t="array" ref="AK1039">_xlfn.IFS(V1039=1,"Low",V1039=2,"Medium",V1039=3,"High",V1039=4,"Very High")</f>
        <v>Very High</v>
      </c>
      <c r="AL1039" t="str" cm="1">
        <f t="array" ref="AL1039">_xlfn.IFS(Z1039=1,"Bad",Z1039=2,"Good",Z1039=3,"Better",Z1039=4,"Best")</f>
        <v>Best</v>
      </c>
      <c r="AM1039" t="str" cm="1">
        <f t="array" ref="AM1039">_xlfn.IFS(W1039=0,"No_stock",W1039=1,"Low",W1039=2,"Medium",W1039=3,"High")</f>
        <v>Medium</v>
      </c>
      <c r="AN1039" t="str">
        <f t="shared" si="16"/>
        <v>Far</v>
      </c>
    </row>
    <row r="1040" spans="1:40" x14ac:dyDescent="0.45">
      <c r="A1040">
        <v>48</v>
      </c>
      <c r="B1040" t="s">
        <v>37</v>
      </c>
      <c r="C1040" t="s">
        <v>31</v>
      </c>
      <c r="D1040">
        <v>1221</v>
      </c>
      <c r="E1040" t="s">
        <v>32</v>
      </c>
      <c r="F1040">
        <v>7</v>
      </c>
      <c r="G1040">
        <v>3</v>
      </c>
      <c r="H1040" t="s">
        <v>53</v>
      </c>
      <c r="I1040">
        <v>1466</v>
      </c>
      <c r="J1040">
        <v>3</v>
      </c>
      <c r="K1040" t="s">
        <v>40</v>
      </c>
      <c r="L1040">
        <v>3</v>
      </c>
      <c r="M1040">
        <v>2</v>
      </c>
      <c r="N1040" t="s">
        <v>35</v>
      </c>
      <c r="O1040">
        <v>1</v>
      </c>
      <c r="P1040" t="s">
        <v>46</v>
      </c>
      <c r="Q1040">
        <v>5486</v>
      </c>
      <c r="R1040">
        <v>4</v>
      </c>
      <c r="S1040" t="s">
        <v>37</v>
      </c>
      <c r="T1040">
        <v>11</v>
      </c>
      <c r="U1040">
        <v>3</v>
      </c>
      <c r="V1040">
        <v>1</v>
      </c>
      <c r="W1040">
        <v>3</v>
      </c>
      <c r="X1040">
        <v>15</v>
      </c>
      <c r="Y1040">
        <v>3</v>
      </c>
      <c r="Z1040">
        <v>3</v>
      </c>
      <c r="AA1040">
        <v>2</v>
      </c>
      <c r="AB1040">
        <v>2</v>
      </c>
      <c r="AC1040">
        <v>2</v>
      </c>
      <c r="AD1040">
        <v>2</v>
      </c>
      <c r="AE1040" t="str" cm="1">
        <f t="array" ref="AE1040">_xlfn.IFS(G1040=1,"Before College",G1040=2,"College",G1040=3,"Bachelor",G1040=4,"Master",G1040=5,"Doctor")</f>
        <v>Bachelor</v>
      </c>
      <c r="AF1040" t="str" cm="1">
        <f t="array" ref="AF1040">_xlfn.IFS(J1040=1,"Low",J1040=2,"Medium",J1040=3,"High",J1040=4,"Very High")</f>
        <v>High</v>
      </c>
      <c r="AG1040" t="str" cm="1">
        <f t="array" ref="AG1040">_xlfn.IFS(L1040=1,"Low",L1040=2,"Medium",L1040=3,"High",L1040=4,"Very High")</f>
        <v>High</v>
      </c>
      <c r="AH1040" t="str" cm="1">
        <f t="array" ref="AH1040">_xlfn.IFS(M1040=1,"Junior employee",M1040=2,"Mid-level",M1040=3,"Senior",M1040=4,"Manager",M1040=5,"Executive")</f>
        <v>Mid-level</v>
      </c>
      <c r="AI1040" t="str" cm="1">
        <f t="array" ref="AI1040">_xlfn.IFS(O1040=1,"Low",O1040=2,"Medium",O1040=3,"High",O1040=4,"Very High")</f>
        <v>Low</v>
      </c>
      <c r="AJ1040" t="str" cm="1">
        <f t="array" ref="AJ1040">_xlfn.IFS(U1040=1,"Low",U1040=2,"Good",U1040=3,"Excellent",U1040=4,"Outstanding")</f>
        <v>Excellent</v>
      </c>
      <c r="AK1040" t="str" cm="1">
        <f t="array" ref="AK1040">_xlfn.IFS(V1040=1,"Low",V1040=2,"Medium",V1040=3,"High",V1040=4,"Very High")</f>
        <v>Low</v>
      </c>
      <c r="AL1040" t="str" cm="1">
        <f t="array" ref="AL1040">_xlfn.IFS(Z1040=1,"Bad",Z1040=2,"Good",Z1040=3,"Better",Z1040=4,"Best")</f>
        <v>Better</v>
      </c>
      <c r="AM1040" t="str" cm="1">
        <f t="array" ref="AM1040">_xlfn.IFS(W1040=0,"No_stock",W1040=1,"Low",W1040=2,"Medium",W1040=3,"High")</f>
        <v>High</v>
      </c>
      <c r="AN1040" t="str">
        <f t="shared" si="16"/>
        <v>Medium</v>
      </c>
    </row>
    <row r="1041" spans="1:40" x14ac:dyDescent="0.45">
      <c r="A1041">
        <v>34</v>
      </c>
      <c r="B1041" t="s">
        <v>30</v>
      </c>
      <c r="C1041" t="s">
        <v>31</v>
      </c>
      <c r="D1041">
        <v>1107</v>
      </c>
      <c r="E1041" t="s">
        <v>55</v>
      </c>
      <c r="F1041">
        <v>9</v>
      </c>
      <c r="G1041">
        <v>4</v>
      </c>
      <c r="H1041" t="s">
        <v>54</v>
      </c>
      <c r="I1041">
        <v>1467</v>
      </c>
      <c r="J1041">
        <v>1</v>
      </c>
      <c r="K1041" t="s">
        <v>34</v>
      </c>
      <c r="L1041">
        <v>3</v>
      </c>
      <c r="M1041">
        <v>1</v>
      </c>
      <c r="N1041" t="s">
        <v>55</v>
      </c>
      <c r="O1041">
        <v>3</v>
      </c>
      <c r="P1041" t="s">
        <v>42</v>
      </c>
      <c r="Q1041">
        <v>2742</v>
      </c>
      <c r="R1041">
        <v>1</v>
      </c>
      <c r="S1041" t="s">
        <v>37</v>
      </c>
      <c r="T1041">
        <v>15</v>
      </c>
      <c r="U1041">
        <v>3</v>
      </c>
      <c r="V1041">
        <v>4</v>
      </c>
      <c r="W1041">
        <v>0</v>
      </c>
      <c r="X1041">
        <v>2</v>
      </c>
      <c r="Y1041">
        <v>0</v>
      </c>
      <c r="Z1041">
        <v>3</v>
      </c>
      <c r="AA1041">
        <v>2</v>
      </c>
      <c r="AB1041">
        <v>2</v>
      </c>
      <c r="AC1041">
        <v>2</v>
      </c>
      <c r="AD1041">
        <v>2</v>
      </c>
      <c r="AE1041" t="str" cm="1">
        <f t="array" ref="AE1041">_xlfn.IFS(G1041=1,"Before College",G1041=2,"College",G1041=3,"Bachelor",G1041=4,"Master",G1041=5,"Doctor")</f>
        <v>Master</v>
      </c>
      <c r="AF1041" t="str" cm="1">
        <f t="array" ref="AF1041">_xlfn.IFS(J1041=1,"Low",J1041=2,"Medium",J1041=3,"High",J1041=4,"Very High")</f>
        <v>Low</v>
      </c>
      <c r="AG1041" t="str" cm="1">
        <f t="array" ref="AG1041">_xlfn.IFS(L1041=1,"Low",L1041=2,"Medium",L1041=3,"High",L1041=4,"Very High")</f>
        <v>High</v>
      </c>
      <c r="AH1041" t="str" cm="1">
        <f t="array" ref="AH1041">_xlfn.IFS(M1041=1,"Junior employee",M1041=2,"Mid-level",M1041=3,"Senior",M1041=4,"Manager",M1041=5,"Executive")</f>
        <v>Junior employee</v>
      </c>
      <c r="AI1041" t="str" cm="1">
        <f t="array" ref="AI1041">_xlfn.IFS(O1041=1,"Low",O1041=2,"Medium",O1041=3,"High",O1041=4,"Very High")</f>
        <v>High</v>
      </c>
      <c r="AJ1041" t="str" cm="1">
        <f t="array" ref="AJ1041">_xlfn.IFS(U1041=1,"Low",U1041=2,"Good",U1041=3,"Excellent",U1041=4,"Outstanding")</f>
        <v>Excellent</v>
      </c>
      <c r="AK1041" t="str" cm="1">
        <f t="array" ref="AK1041">_xlfn.IFS(V1041=1,"Low",V1041=2,"Medium",V1041=3,"High",V1041=4,"Very High")</f>
        <v>Very High</v>
      </c>
      <c r="AL1041" t="str" cm="1">
        <f t="array" ref="AL1041">_xlfn.IFS(Z1041=1,"Bad",Z1041=2,"Good",Z1041=3,"Better",Z1041=4,"Best")</f>
        <v>Better</v>
      </c>
      <c r="AM1041" t="str" cm="1">
        <f t="array" ref="AM1041">_xlfn.IFS(W1041=0,"No_stock",W1041=1,"Low",W1041=2,"Medium",W1041=3,"High")</f>
        <v>No_stock</v>
      </c>
      <c r="AN1041" t="str">
        <f t="shared" si="16"/>
        <v>Medium</v>
      </c>
    </row>
    <row r="1042" spans="1:40" x14ac:dyDescent="0.45">
      <c r="A1042">
        <v>40</v>
      </c>
      <c r="B1042" t="s">
        <v>37</v>
      </c>
      <c r="C1042" t="s">
        <v>49</v>
      </c>
      <c r="D1042">
        <v>218</v>
      </c>
      <c r="E1042" t="s">
        <v>39</v>
      </c>
      <c r="F1042">
        <v>8</v>
      </c>
      <c r="G1042">
        <v>1</v>
      </c>
      <c r="H1042" t="s">
        <v>45</v>
      </c>
      <c r="I1042">
        <v>1468</v>
      </c>
      <c r="J1042">
        <v>4</v>
      </c>
      <c r="K1042" t="s">
        <v>40</v>
      </c>
      <c r="L1042">
        <v>2</v>
      </c>
      <c r="M1042">
        <v>3</v>
      </c>
      <c r="N1042" t="s">
        <v>52</v>
      </c>
      <c r="O1042">
        <v>2</v>
      </c>
      <c r="P1042" t="s">
        <v>46</v>
      </c>
      <c r="Q1042">
        <v>13757</v>
      </c>
      <c r="R1042">
        <v>2</v>
      </c>
      <c r="S1042" t="s">
        <v>37</v>
      </c>
      <c r="T1042">
        <v>11</v>
      </c>
      <c r="U1042">
        <v>3</v>
      </c>
      <c r="V1042">
        <v>3</v>
      </c>
      <c r="W1042">
        <v>1</v>
      </c>
      <c r="X1042">
        <v>16</v>
      </c>
      <c r="Y1042">
        <v>5</v>
      </c>
      <c r="Z1042">
        <v>3</v>
      </c>
      <c r="AA1042">
        <v>9</v>
      </c>
      <c r="AB1042">
        <v>8</v>
      </c>
      <c r="AC1042">
        <v>4</v>
      </c>
      <c r="AD1042">
        <v>8</v>
      </c>
      <c r="AE1042" t="str" cm="1">
        <f t="array" ref="AE1042">_xlfn.IFS(G1042=1,"Before College",G1042=2,"College",G1042=3,"Bachelor",G1042=4,"Master",G1042=5,"Doctor")</f>
        <v>Before College</v>
      </c>
      <c r="AF1042" t="str" cm="1">
        <f t="array" ref="AF1042">_xlfn.IFS(J1042=1,"Low",J1042=2,"Medium",J1042=3,"High",J1042=4,"Very High")</f>
        <v>Very High</v>
      </c>
      <c r="AG1042" t="str" cm="1">
        <f t="array" ref="AG1042">_xlfn.IFS(L1042=1,"Low",L1042=2,"Medium",L1042=3,"High",L1042=4,"Very High")</f>
        <v>Medium</v>
      </c>
      <c r="AH1042" t="str" cm="1">
        <f t="array" ref="AH1042">_xlfn.IFS(M1042=1,"Junior employee",M1042=2,"Mid-level",M1042=3,"Senior",M1042=4,"Manager",M1042=5,"Executive")</f>
        <v>Senior</v>
      </c>
      <c r="AI1042" t="str" cm="1">
        <f t="array" ref="AI1042">_xlfn.IFS(O1042=1,"Low",O1042=2,"Medium",O1042=3,"High",O1042=4,"Very High")</f>
        <v>Medium</v>
      </c>
      <c r="AJ1042" t="str" cm="1">
        <f t="array" ref="AJ1042">_xlfn.IFS(U1042=1,"Low",U1042=2,"Good",U1042=3,"Excellent",U1042=4,"Outstanding")</f>
        <v>Excellent</v>
      </c>
      <c r="AK1042" t="str" cm="1">
        <f t="array" ref="AK1042">_xlfn.IFS(V1042=1,"Low",V1042=2,"Medium",V1042=3,"High",V1042=4,"Very High")</f>
        <v>High</v>
      </c>
      <c r="AL1042" t="str" cm="1">
        <f t="array" ref="AL1042">_xlfn.IFS(Z1042=1,"Bad",Z1042=2,"Good",Z1042=3,"Better",Z1042=4,"Best")</f>
        <v>Better</v>
      </c>
      <c r="AM1042" t="str" cm="1">
        <f t="array" ref="AM1042">_xlfn.IFS(W1042=0,"No_stock",W1042=1,"Low",W1042=2,"Medium",W1042=3,"High")</f>
        <v>Low</v>
      </c>
      <c r="AN1042" t="str">
        <f t="shared" si="16"/>
        <v>Medium</v>
      </c>
    </row>
    <row r="1043" spans="1:40" x14ac:dyDescent="0.45">
      <c r="A1043">
        <v>28</v>
      </c>
      <c r="B1043" t="s">
        <v>37</v>
      </c>
      <c r="C1043" t="s">
        <v>31</v>
      </c>
      <c r="D1043">
        <v>866</v>
      </c>
      <c r="E1043" t="s">
        <v>32</v>
      </c>
      <c r="F1043">
        <v>5</v>
      </c>
      <c r="G1043">
        <v>3</v>
      </c>
      <c r="H1043" t="s">
        <v>45</v>
      </c>
      <c r="I1043">
        <v>1469</v>
      </c>
      <c r="J1043">
        <v>4</v>
      </c>
      <c r="K1043" t="s">
        <v>40</v>
      </c>
      <c r="L1043">
        <v>3</v>
      </c>
      <c r="M1043">
        <v>2</v>
      </c>
      <c r="N1043" t="s">
        <v>35</v>
      </c>
      <c r="O1043">
        <v>1</v>
      </c>
      <c r="P1043" t="s">
        <v>36</v>
      </c>
      <c r="Q1043">
        <v>8463</v>
      </c>
      <c r="R1043">
        <v>0</v>
      </c>
      <c r="S1043" t="s">
        <v>37</v>
      </c>
      <c r="T1043">
        <v>18</v>
      </c>
      <c r="U1043">
        <v>3</v>
      </c>
      <c r="V1043">
        <v>4</v>
      </c>
      <c r="W1043">
        <v>0</v>
      </c>
      <c r="X1043">
        <v>6</v>
      </c>
      <c r="Y1043">
        <v>4</v>
      </c>
      <c r="Z1043">
        <v>3</v>
      </c>
      <c r="AA1043">
        <v>5</v>
      </c>
      <c r="AB1043">
        <v>4</v>
      </c>
      <c r="AC1043">
        <v>1</v>
      </c>
      <c r="AD1043">
        <v>3</v>
      </c>
      <c r="AE1043" t="str" cm="1">
        <f t="array" ref="AE1043">_xlfn.IFS(G1043=1,"Before College",G1043=2,"College",G1043=3,"Bachelor",G1043=4,"Master",G1043=5,"Doctor")</f>
        <v>Bachelor</v>
      </c>
      <c r="AF1043" t="str" cm="1">
        <f t="array" ref="AF1043">_xlfn.IFS(J1043=1,"Low",J1043=2,"Medium",J1043=3,"High",J1043=4,"Very High")</f>
        <v>Very High</v>
      </c>
      <c r="AG1043" t="str" cm="1">
        <f t="array" ref="AG1043">_xlfn.IFS(L1043=1,"Low",L1043=2,"Medium",L1043=3,"High",L1043=4,"Very High")</f>
        <v>High</v>
      </c>
      <c r="AH1043" t="str" cm="1">
        <f t="array" ref="AH1043">_xlfn.IFS(M1043=1,"Junior employee",M1043=2,"Mid-level",M1043=3,"Senior",M1043=4,"Manager",M1043=5,"Executive")</f>
        <v>Mid-level</v>
      </c>
      <c r="AI1043" t="str" cm="1">
        <f t="array" ref="AI1043">_xlfn.IFS(O1043=1,"Low",O1043=2,"Medium",O1043=3,"High",O1043=4,"Very High")</f>
        <v>Low</v>
      </c>
      <c r="AJ1043" t="str" cm="1">
        <f t="array" ref="AJ1043">_xlfn.IFS(U1043=1,"Low",U1043=2,"Good",U1043=3,"Excellent",U1043=4,"Outstanding")</f>
        <v>Excellent</v>
      </c>
      <c r="AK1043" t="str" cm="1">
        <f t="array" ref="AK1043">_xlfn.IFS(V1043=1,"Low",V1043=2,"Medium",V1043=3,"High",V1043=4,"Very High")</f>
        <v>Very High</v>
      </c>
      <c r="AL1043" t="str" cm="1">
        <f t="array" ref="AL1043">_xlfn.IFS(Z1043=1,"Bad",Z1043=2,"Good",Z1043=3,"Better",Z1043=4,"Best")</f>
        <v>Better</v>
      </c>
      <c r="AM1043" t="str" cm="1">
        <f t="array" ref="AM1043">_xlfn.IFS(W1043=0,"No_stock",W1043=1,"Low",W1043=2,"Medium",W1043=3,"High")</f>
        <v>No_stock</v>
      </c>
      <c r="AN1043" t="str">
        <f t="shared" si="16"/>
        <v>Near</v>
      </c>
    </row>
    <row r="1044" spans="1:40" x14ac:dyDescent="0.45">
      <c r="A1044">
        <v>44</v>
      </c>
      <c r="B1044" t="s">
        <v>37</v>
      </c>
      <c r="C1044" t="s">
        <v>49</v>
      </c>
      <c r="D1044">
        <v>981</v>
      </c>
      <c r="E1044" t="s">
        <v>39</v>
      </c>
      <c r="F1044">
        <v>5</v>
      </c>
      <c r="G1044">
        <v>3</v>
      </c>
      <c r="H1044" t="s">
        <v>33</v>
      </c>
      <c r="I1044">
        <v>1471</v>
      </c>
      <c r="J1044">
        <v>3</v>
      </c>
      <c r="K1044" t="s">
        <v>40</v>
      </c>
      <c r="L1044">
        <v>2</v>
      </c>
      <c r="M1044">
        <v>1</v>
      </c>
      <c r="N1044" t="s">
        <v>44</v>
      </c>
      <c r="O1044">
        <v>3</v>
      </c>
      <c r="P1044" t="s">
        <v>36</v>
      </c>
      <c r="Q1044">
        <v>3162</v>
      </c>
      <c r="R1044">
        <v>3</v>
      </c>
      <c r="S1044" t="s">
        <v>37</v>
      </c>
      <c r="T1044">
        <v>14</v>
      </c>
      <c r="U1044">
        <v>3</v>
      </c>
      <c r="V1044">
        <v>4</v>
      </c>
      <c r="W1044">
        <v>0</v>
      </c>
      <c r="X1044">
        <v>7</v>
      </c>
      <c r="Y1044">
        <v>5</v>
      </c>
      <c r="Z1044">
        <v>3</v>
      </c>
      <c r="AA1044">
        <v>5</v>
      </c>
      <c r="AB1044">
        <v>2</v>
      </c>
      <c r="AC1044">
        <v>0</v>
      </c>
      <c r="AD1044">
        <v>3</v>
      </c>
      <c r="AE1044" t="str" cm="1">
        <f t="array" ref="AE1044">_xlfn.IFS(G1044=1,"Before College",G1044=2,"College",G1044=3,"Bachelor",G1044=4,"Master",G1044=5,"Doctor")</f>
        <v>Bachelor</v>
      </c>
      <c r="AF1044" t="str" cm="1">
        <f t="array" ref="AF1044">_xlfn.IFS(J1044=1,"Low",J1044=2,"Medium",J1044=3,"High",J1044=4,"Very High")</f>
        <v>High</v>
      </c>
      <c r="AG1044" t="str" cm="1">
        <f t="array" ref="AG1044">_xlfn.IFS(L1044=1,"Low",L1044=2,"Medium",L1044=3,"High",L1044=4,"Very High")</f>
        <v>Medium</v>
      </c>
      <c r="AH1044" t="str" cm="1">
        <f t="array" ref="AH1044">_xlfn.IFS(M1044=1,"Junior employee",M1044=2,"Mid-level",M1044=3,"Senior",M1044=4,"Manager",M1044=5,"Executive")</f>
        <v>Junior employee</v>
      </c>
      <c r="AI1044" t="str" cm="1">
        <f t="array" ref="AI1044">_xlfn.IFS(O1044=1,"Low",O1044=2,"Medium",O1044=3,"High",O1044=4,"Very High")</f>
        <v>High</v>
      </c>
      <c r="AJ1044" t="str" cm="1">
        <f t="array" ref="AJ1044">_xlfn.IFS(U1044=1,"Low",U1044=2,"Good",U1044=3,"Excellent",U1044=4,"Outstanding")</f>
        <v>Excellent</v>
      </c>
      <c r="AK1044" t="str" cm="1">
        <f t="array" ref="AK1044">_xlfn.IFS(V1044=1,"Low",V1044=2,"Medium",V1044=3,"High",V1044=4,"Very High")</f>
        <v>Very High</v>
      </c>
      <c r="AL1044" t="str" cm="1">
        <f t="array" ref="AL1044">_xlfn.IFS(Z1044=1,"Bad",Z1044=2,"Good",Z1044=3,"Better",Z1044=4,"Best")</f>
        <v>Better</v>
      </c>
      <c r="AM1044" t="str" cm="1">
        <f t="array" ref="AM1044">_xlfn.IFS(W1044=0,"No_stock",W1044=1,"Low",W1044=2,"Medium",W1044=3,"High")</f>
        <v>No_stock</v>
      </c>
      <c r="AN1044" t="str">
        <f t="shared" si="16"/>
        <v>Near</v>
      </c>
    </row>
    <row r="1045" spans="1:40" x14ac:dyDescent="0.45">
      <c r="A1045">
        <v>53</v>
      </c>
      <c r="B1045" t="s">
        <v>37</v>
      </c>
      <c r="C1045" t="s">
        <v>31</v>
      </c>
      <c r="D1045">
        <v>447</v>
      </c>
      <c r="E1045" t="s">
        <v>39</v>
      </c>
      <c r="F1045">
        <v>2</v>
      </c>
      <c r="G1045">
        <v>3</v>
      </c>
      <c r="H1045" t="s">
        <v>45</v>
      </c>
      <c r="I1045">
        <v>1472</v>
      </c>
      <c r="J1045">
        <v>4</v>
      </c>
      <c r="K1045" t="s">
        <v>40</v>
      </c>
      <c r="L1045">
        <v>4</v>
      </c>
      <c r="M1045">
        <v>4</v>
      </c>
      <c r="N1045" t="s">
        <v>52</v>
      </c>
      <c r="O1045">
        <v>2</v>
      </c>
      <c r="P1045" t="s">
        <v>36</v>
      </c>
      <c r="Q1045">
        <v>16598</v>
      </c>
      <c r="R1045">
        <v>4</v>
      </c>
      <c r="S1045" t="s">
        <v>37</v>
      </c>
      <c r="T1045">
        <v>12</v>
      </c>
      <c r="U1045">
        <v>3</v>
      </c>
      <c r="V1045">
        <v>2</v>
      </c>
      <c r="W1045">
        <v>0</v>
      </c>
      <c r="X1045">
        <v>35</v>
      </c>
      <c r="Y1045">
        <v>2</v>
      </c>
      <c r="Z1045">
        <v>2</v>
      </c>
      <c r="AA1045">
        <v>9</v>
      </c>
      <c r="AB1045">
        <v>8</v>
      </c>
      <c r="AC1045">
        <v>8</v>
      </c>
      <c r="AD1045">
        <v>8</v>
      </c>
      <c r="AE1045" t="str" cm="1">
        <f t="array" ref="AE1045">_xlfn.IFS(G1045=1,"Before College",G1045=2,"College",G1045=3,"Bachelor",G1045=4,"Master",G1045=5,"Doctor")</f>
        <v>Bachelor</v>
      </c>
      <c r="AF1045" t="str" cm="1">
        <f t="array" ref="AF1045">_xlfn.IFS(J1045=1,"Low",J1045=2,"Medium",J1045=3,"High",J1045=4,"Very High")</f>
        <v>Very High</v>
      </c>
      <c r="AG1045" t="str" cm="1">
        <f t="array" ref="AG1045">_xlfn.IFS(L1045=1,"Low",L1045=2,"Medium",L1045=3,"High",L1045=4,"Very High")</f>
        <v>Very High</v>
      </c>
      <c r="AH1045" t="str" cm="1">
        <f t="array" ref="AH1045">_xlfn.IFS(M1045=1,"Junior employee",M1045=2,"Mid-level",M1045=3,"Senior",M1045=4,"Manager",M1045=5,"Executive")</f>
        <v>Manager</v>
      </c>
      <c r="AI1045" t="str" cm="1">
        <f t="array" ref="AI1045">_xlfn.IFS(O1045=1,"Low",O1045=2,"Medium",O1045=3,"High",O1045=4,"Very High")</f>
        <v>Medium</v>
      </c>
      <c r="AJ1045" t="str" cm="1">
        <f t="array" ref="AJ1045">_xlfn.IFS(U1045=1,"Low",U1045=2,"Good",U1045=3,"Excellent",U1045=4,"Outstanding")</f>
        <v>Excellent</v>
      </c>
      <c r="AK1045" t="str" cm="1">
        <f t="array" ref="AK1045">_xlfn.IFS(V1045=1,"Low",V1045=2,"Medium",V1045=3,"High",V1045=4,"Very High")</f>
        <v>Medium</v>
      </c>
      <c r="AL1045" t="str" cm="1">
        <f t="array" ref="AL1045">_xlfn.IFS(Z1045=1,"Bad",Z1045=2,"Good",Z1045=3,"Better",Z1045=4,"Best")</f>
        <v>Good</v>
      </c>
      <c r="AM1045" t="str" cm="1">
        <f t="array" ref="AM1045">_xlfn.IFS(W1045=0,"No_stock",W1045=1,"Low",W1045=2,"Medium",W1045=3,"High")</f>
        <v>No_stock</v>
      </c>
      <c r="AN1045" t="str">
        <f t="shared" si="16"/>
        <v>Near</v>
      </c>
    </row>
    <row r="1046" spans="1:40" x14ac:dyDescent="0.45">
      <c r="A1046">
        <v>49</v>
      </c>
      <c r="B1046" t="s">
        <v>37</v>
      </c>
      <c r="C1046" t="s">
        <v>31</v>
      </c>
      <c r="D1046">
        <v>1495</v>
      </c>
      <c r="E1046" t="s">
        <v>39</v>
      </c>
      <c r="F1046">
        <v>5</v>
      </c>
      <c r="G1046">
        <v>4</v>
      </c>
      <c r="H1046" t="s">
        <v>54</v>
      </c>
      <c r="I1046">
        <v>1473</v>
      </c>
      <c r="J1046">
        <v>1</v>
      </c>
      <c r="K1046" t="s">
        <v>40</v>
      </c>
      <c r="L1046">
        <v>3</v>
      </c>
      <c r="M1046">
        <v>2</v>
      </c>
      <c r="N1046" t="s">
        <v>48</v>
      </c>
      <c r="O1046">
        <v>3</v>
      </c>
      <c r="P1046" t="s">
        <v>42</v>
      </c>
      <c r="Q1046">
        <v>6651</v>
      </c>
      <c r="R1046">
        <v>2</v>
      </c>
      <c r="S1046" t="s">
        <v>37</v>
      </c>
      <c r="T1046">
        <v>14</v>
      </c>
      <c r="U1046">
        <v>3</v>
      </c>
      <c r="V1046">
        <v>2</v>
      </c>
      <c r="W1046">
        <v>1</v>
      </c>
      <c r="X1046">
        <v>20</v>
      </c>
      <c r="Y1046">
        <v>0</v>
      </c>
      <c r="Z1046">
        <v>2</v>
      </c>
      <c r="AA1046">
        <v>3</v>
      </c>
      <c r="AB1046">
        <v>2</v>
      </c>
      <c r="AC1046">
        <v>1</v>
      </c>
      <c r="AD1046">
        <v>2</v>
      </c>
      <c r="AE1046" t="str" cm="1">
        <f t="array" ref="AE1046">_xlfn.IFS(G1046=1,"Before College",G1046=2,"College",G1046=3,"Bachelor",G1046=4,"Master",G1046=5,"Doctor")</f>
        <v>Master</v>
      </c>
      <c r="AF1046" t="str" cm="1">
        <f t="array" ref="AF1046">_xlfn.IFS(J1046=1,"Low",J1046=2,"Medium",J1046=3,"High",J1046=4,"Very High")</f>
        <v>Low</v>
      </c>
      <c r="AG1046" t="str" cm="1">
        <f t="array" ref="AG1046">_xlfn.IFS(L1046=1,"Low",L1046=2,"Medium",L1046=3,"High",L1046=4,"Very High")</f>
        <v>High</v>
      </c>
      <c r="AH1046" t="str" cm="1">
        <f t="array" ref="AH1046">_xlfn.IFS(M1046=1,"Junior employee",M1046=2,"Mid-level",M1046=3,"Senior",M1046=4,"Manager",M1046=5,"Executive")</f>
        <v>Mid-level</v>
      </c>
      <c r="AI1046" t="str" cm="1">
        <f t="array" ref="AI1046">_xlfn.IFS(O1046=1,"Low",O1046=2,"Medium",O1046=3,"High",O1046=4,"Very High")</f>
        <v>High</v>
      </c>
      <c r="AJ1046" t="str" cm="1">
        <f t="array" ref="AJ1046">_xlfn.IFS(U1046=1,"Low",U1046=2,"Good",U1046=3,"Excellent",U1046=4,"Outstanding")</f>
        <v>Excellent</v>
      </c>
      <c r="AK1046" t="str" cm="1">
        <f t="array" ref="AK1046">_xlfn.IFS(V1046=1,"Low",V1046=2,"Medium",V1046=3,"High",V1046=4,"Very High")</f>
        <v>Medium</v>
      </c>
      <c r="AL1046" t="str" cm="1">
        <f t="array" ref="AL1046">_xlfn.IFS(Z1046=1,"Bad",Z1046=2,"Good",Z1046=3,"Better",Z1046=4,"Best")</f>
        <v>Good</v>
      </c>
      <c r="AM1046" t="str" cm="1">
        <f t="array" ref="AM1046">_xlfn.IFS(W1046=0,"No_stock",W1046=1,"Low",W1046=2,"Medium",W1046=3,"High")</f>
        <v>Low</v>
      </c>
      <c r="AN1046" t="str">
        <f t="shared" si="16"/>
        <v>Near</v>
      </c>
    </row>
    <row r="1047" spans="1:40" x14ac:dyDescent="0.45">
      <c r="A1047">
        <v>40</v>
      </c>
      <c r="B1047" t="s">
        <v>37</v>
      </c>
      <c r="C1047" t="s">
        <v>31</v>
      </c>
      <c r="D1047">
        <v>896</v>
      </c>
      <c r="E1047" t="s">
        <v>39</v>
      </c>
      <c r="F1047">
        <v>2</v>
      </c>
      <c r="G1047">
        <v>3</v>
      </c>
      <c r="H1047" t="s">
        <v>45</v>
      </c>
      <c r="I1047">
        <v>1474</v>
      </c>
      <c r="J1047">
        <v>3</v>
      </c>
      <c r="K1047" t="s">
        <v>40</v>
      </c>
      <c r="L1047">
        <v>3</v>
      </c>
      <c r="M1047">
        <v>1</v>
      </c>
      <c r="N1047" t="s">
        <v>41</v>
      </c>
      <c r="O1047">
        <v>3</v>
      </c>
      <c r="P1047" t="s">
        <v>46</v>
      </c>
      <c r="Q1047">
        <v>2345</v>
      </c>
      <c r="R1047">
        <v>2</v>
      </c>
      <c r="S1047" t="s">
        <v>37</v>
      </c>
      <c r="T1047">
        <v>14</v>
      </c>
      <c r="U1047">
        <v>3</v>
      </c>
      <c r="V1047">
        <v>3</v>
      </c>
      <c r="W1047">
        <v>1</v>
      </c>
      <c r="X1047">
        <v>8</v>
      </c>
      <c r="Y1047">
        <v>3</v>
      </c>
      <c r="Z1047">
        <v>4</v>
      </c>
      <c r="AA1047">
        <v>3</v>
      </c>
      <c r="AB1047">
        <v>1</v>
      </c>
      <c r="AC1047">
        <v>1</v>
      </c>
      <c r="AD1047">
        <v>2</v>
      </c>
      <c r="AE1047" t="str" cm="1">
        <f t="array" ref="AE1047">_xlfn.IFS(G1047=1,"Before College",G1047=2,"College",G1047=3,"Bachelor",G1047=4,"Master",G1047=5,"Doctor")</f>
        <v>Bachelor</v>
      </c>
      <c r="AF1047" t="str" cm="1">
        <f t="array" ref="AF1047">_xlfn.IFS(J1047=1,"Low",J1047=2,"Medium",J1047=3,"High",J1047=4,"Very High")</f>
        <v>High</v>
      </c>
      <c r="AG1047" t="str" cm="1">
        <f t="array" ref="AG1047">_xlfn.IFS(L1047=1,"Low",L1047=2,"Medium",L1047=3,"High",L1047=4,"Very High")</f>
        <v>High</v>
      </c>
      <c r="AH1047" t="str" cm="1">
        <f t="array" ref="AH1047">_xlfn.IFS(M1047=1,"Junior employee",M1047=2,"Mid-level",M1047=3,"Senior",M1047=4,"Manager",M1047=5,"Executive")</f>
        <v>Junior employee</v>
      </c>
      <c r="AI1047" t="str" cm="1">
        <f t="array" ref="AI1047">_xlfn.IFS(O1047=1,"Low",O1047=2,"Medium",O1047=3,"High",O1047=4,"Very High")</f>
        <v>High</v>
      </c>
      <c r="AJ1047" t="str" cm="1">
        <f t="array" ref="AJ1047">_xlfn.IFS(U1047=1,"Low",U1047=2,"Good",U1047=3,"Excellent",U1047=4,"Outstanding")</f>
        <v>Excellent</v>
      </c>
      <c r="AK1047" t="str" cm="1">
        <f t="array" ref="AK1047">_xlfn.IFS(V1047=1,"Low",V1047=2,"Medium",V1047=3,"High",V1047=4,"Very High")</f>
        <v>High</v>
      </c>
      <c r="AL1047" t="str" cm="1">
        <f t="array" ref="AL1047">_xlfn.IFS(Z1047=1,"Bad",Z1047=2,"Good",Z1047=3,"Better",Z1047=4,"Best")</f>
        <v>Best</v>
      </c>
      <c r="AM1047" t="str" cm="1">
        <f t="array" ref="AM1047">_xlfn.IFS(W1047=0,"No_stock",W1047=1,"Low",W1047=2,"Medium",W1047=3,"High")</f>
        <v>Low</v>
      </c>
      <c r="AN1047" t="str">
        <f t="shared" si="16"/>
        <v>Near</v>
      </c>
    </row>
    <row r="1048" spans="1:40" x14ac:dyDescent="0.45">
      <c r="A1048">
        <v>44</v>
      </c>
      <c r="B1048" t="s">
        <v>37</v>
      </c>
      <c r="C1048" t="s">
        <v>31</v>
      </c>
      <c r="D1048">
        <v>1467</v>
      </c>
      <c r="E1048" t="s">
        <v>39</v>
      </c>
      <c r="F1048">
        <v>20</v>
      </c>
      <c r="G1048">
        <v>3</v>
      </c>
      <c r="H1048" t="s">
        <v>33</v>
      </c>
      <c r="I1048">
        <v>1475</v>
      </c>
      <c r="J1048">
        <v>4</v>
      </c>
      <c r="K1048" t="s">
        <v>40</v>
      </c>
      <c r="L1048">
        <v>3</v>
      </c>
      <c r="M1048">
        <v>1</v>
      </c>
      <c r="N1048" t="s">
        <v>41</v>
      </c>
      <c r="O1048">
        <v>2</v>
      </c>
      <c r="P1048" t="s">
        <v>36</v>
      </c>
      <c r="Q1048">
        <v>3420</v>
      </c>
      <c r="R1048">
        <v>1</v>
      </c>
      <c r="S1048" t="s">
        <v>37</v>
      </c>
      <c r="T1048">
        <v>13</v>
      </c>
      <c r="U1048">
        <v>3</v>
      </c>
      <c r="V1048">
        <v>3</v>
      </c>
      <c r="W1048">
        <v>0</v>
      </c>
      <c r="X1048">
        <v>6</v>
      </c>
      <c r="Y1048">
        <v>3</v>
      </c>
      <c r="Z1048">
        <v>2</v>
      </c>
      <c r="AA1048">
        <v>5</v>
      </c>
      <c r="AB1048">
        <v>2</v>
      </c>
      <c r="AC1048">
        <v>1</v>
      </c>
      <c r="AD1048">
        <v>3</v>
      </c>
      <c r="AE1048" t="str" cm="1">
        <f t="array" ref="AE1048">_xlfn.IFS(G1048=1,"Before College",G1048=2,"College",G1048=3,"Bachelor",G1048=4,"Master",G1048=5,"Doctor")</f>
        <v>Bachelor</v>
      </c>
      <c r="AF1048" t="str" cm="1">
        <f t="array" ref="AF1048">_xlfn.IFS(J1048=1,"Low",J1048=2,"Medium",J1048=3,"High",J1048=4,"Very High")</f>
        <v>Very High</v>
      </c>
      <c r="AG1048" t="str" cm="1">
        <f t="array" ref="AG1048">_xlfn.IFS(L1048=1,"Low",L1048=2,"Medium",L1048=3,"High",L1048=4,"Very High")</f>
        <v>High</v>
      </c>
      <c r="AH1048" t="str" cm="1">
        <f t="array" ref="AH1048">_xlfn.IFS(M1048=1,"Junior employee",M1048=2,"Mid-level",M1048=3,"Senior",M1048=4,"Manager",M1048=5,"Executive")</f>
        <v>Junior employee</v>
      </c>
      <c r="AI1048" t="str" cm="1">
        <f t="array" ref="AI1048">_xlfn.IFS(O1048=1,"Low",O1048=2,"Medium",O1048=3,"High",O1048=4,"Very High")</f>
        <v>Medium</v>
      </c>
      <c r="AJ1048" t="str" cm="1">
        <f t="array" ref="AJ1048">_xlfn.IFS(U1048=1,"Low",U1048=2,"Good",U1048=3,"Excellent",U1048=4,"Outstanding")</f>
        <v>Excellent</v>
      </c>
      <c r="AK1048" t="str" cm="1">
        <f t="array" ref="AK1048">_xlfn.IFS(V1048=1,"Low",V1048=2,"Medium",V1048=3,"High",V1048=4,"Very High")</f>
        <v>High</v>
      </c>
      <c r="AL1048" t="str" cm="1">
        <f t="array" ref="AL1048">_xlfn.IFS(Z1048=1,"Bad",Z1048=2,"Good",Z1048=3,"Better",Z1048=4,"Best")</f>
        <v>Good</v>
      </c>
      <c r="AM1048" t="str" cm="1">
        <f t="array" ref="AM1048">_xlfn.IFS(W1048=0,"No_stock",W1048=1,"Low",W1048=2,"Medium",W1048=3,"High")</f>
        <v>No_stock</v>
      </c>
      <c r="AN1048" t="str">
        <f t="shared" si="16"/>
        <v>Far</v>
      </c>
    </row>
    <row r="1049" spans="1:40" x14ac:dyDescent="0.45">
      <c r="A1049">
        <v>33</v>
      </c>
      <c r="B1049" t="s">
        <v>37</v>
      </c>
      <c r="C1049" t="s">
        <v>38</v>
      </c>
      <c r="D1049">
        <v>430</v>
      </c>
      <c r="E1049" t="s">
        <v>32</v>
      </c>
      <c r="F1049">
        <v>7</v>
      </c>
      <c r="G1049">
        <v>3</v>
      </c>
      <c r="H1049" t="s">
        <v>45</v>
      </c>
      <c r="I1049">
        <v>1477</v>
      </c>
      <c r="J1049">
        <v>4</v>
      </c>
      <c r="K1049" t="s">
        <v>40</v>
      </c>
      <c r="L1049">
        <v>3</v>
      </c>
      <c r="M1049">
        <v>2</v>
      </c>
      <c r="N1049" t="s">
        <v>35</v>
      </c>
      <c r="O1049">
        <v>1</v>
      </c>
      <c r="P1049" t="s">
        <v>42</v>
      </c>
      <c r="Q1049">
        <v>4373</v>
      </c>
      <c r="R1049">
        <v>0</v>
      </c>
      <c r="S1049" t="s">
        <v>37</v>
      </c>
      <c r="T1049">
        <v>14</v>
      </c>
      <c r="U1049">
        <v>3</v>
      </c>
      <c r="V1049">
        <v>1</v>
      </c>
      <c r="W1049">
        <v>2</v>
      </c>
      <c r="X1049">
        <v>5</v>
      </c>
      <c r="Y1049">
        <v>2</v>
      </c>
      <c r="Z1049">
        <v>3</v>
      </c>
      <c r="AA1049">
        <v>4</v>
      </c>
      <c r="AB1049">
        <v>3</v>
      </c>
      <c r="AC1049">
        <v>0</v>
      </c>
      <c r="AD1049">
        <v>3</v>
      </c>
      <c r="AE1049" t="str" cm="1">
        <f t="array" ref="AE1049">_xlfn.IFS(G1049=1,"Before College",G1049=2,"College",G1049=3,"Bachelor",G1049=4,"Master",G1049=5,"Doctor")</f>
        <v>Bachelor</v>
      </c>
      <c r="AF1049" t="str" cm="1">
        <f t="array" ref="AF1049">_xlfn.IFS(J1049=1,"Low",J1049=2,"Medium",J1049=3,"High",J1049=4,"Very High")</f>
        <v>Very High</v>
      </c>
      <c r="AG1049" t="str" cm="1">
        <f t="array" ref="AG1049">_xlfn.IFS(L1049=1,"Low",L1049=2,"Medium",L1049=3,"High",L1049=4,"Very High")</f>
        <v>High</v>
      </c>
      <c r="AH1049" t="str" cm="1">
        <f t="array" ref="AH1049">_xlfn.IFS(M1049=1,"Junior employee",M1049=2,"Mid-level",M1049=3,"Senior",M1049=4,"Manager",M1049=5,"Executive")</f>
        <v>Mid-level</v>
      </c>
      <c r="AI1049" t="str" cm="1">
        <f t="array" ref="AI1049">_xlfn.IFS(O1049=1,"Low",O1049=2,"Medium",O1049=3,"High",O1049=4,"Very High")</f>
        <v>Low</v>
      </c>
      <c r="AJ1049" t="str" cm="1">
        <f t="array" ref="AJ1049">_xlfn.IFS(U1049=1,"Low",U1049=2,"Good",U1049=3,"Excellent",U1049=4,"Outstanding")</f>
        <v>Excellent</v>
      </c>
      <c r="AK1049" t="str" cm="1">
        <f t="array" ref="AK1049">_xlfn.IFS(V1049=1,"Low",V1049=2,"Medium",V1049=3,"High",V1049=4,"Very High")</f>
        <v>Low</v>
      </c>
      <c r="AL1049" t="str" cm="1">
        <f t="array" ref="AL1049">_xlfn.IFS(Z1049=1,"Bad",Z1049=2,"Good",Z1049=3,"Better",Z1049=4,"Best")</f>
        <v>Better</v>
      </c>
      <c r="AM1049" t="str" cm="1">
        <f t="array" ref="AM1049">_xlfn.IFS(W1049=0,"No_stock",W1049=1,"Low",W1049=2,"Medium",W1049=3,"High")</f>
        <v>Medium</v>
      </c>
      <c r="AN1049" t="str">
        <f t="shared" si="16"/>
        <v>Medium</v>
      </c>
    </row>
    <row r="1050" spans="1:40" x14ac:dyDescent="0.45">
      <c r="A1050">
        <v>34</v>
      </c>
      <c r="B1050" t="s">
        <v>37</v>
      </c>
      <c r="C1050" t="s">
        <v>31</v>
      </c>
      <c r="D1050">
        <v>1326</v>
      </c>
      <c r="E1050" t="s">
        <v>32</v>
      </c>
      <c r="F1050">
        <v>3</v>
      </c>
      <c r="G1050">
        <v>3</v>
      </c>
      <c r="H1050" t="s">
        <v>43</v>
      </c>
      <c r="I1050">
        <v>1478</v>
      </c>
      <c r="J1050">
        <v>4</v>
      </c>
      <c r="K1050" t="s">
        <v>40</v>
      </c>
      <c r="L1050">
        <v>1</v>
      </c>
      <c r="M1050">
        <v>2</v>
      </c>
      <c r="N1050" t="s">
        <v>35</v>
      </c>
      <c r="O1050">
        <v>1</v>
      </c>
      <c r="P1050" t="s">
        <v>36</v>
      </c>
      <c r="Q1050">
        <v>4759</v>
      </c>
      <c r="R1050">
        <v>3</v>
      </c>
      <c r="S1050" t="s">
        <v>37</v>
      </c>
      <c r="T1050">
        <v>18</v>
      </c>
      <c r="U1050">
        <v>3</v>
      </c>
      <c r="V1050">
        <v>4</v>
      </c>
      <c r="W1050">
        <v>0</v>
      </c>
      <c r="X1050">
        <v>15</v>
      </c>
      <c r="Y1050">
        <v>2</v>
      </c>
      <c r="Z1050">
        <v>3</v>
      </c>
      <c r="AA1050">
        <v>13</v>
      </c>
      <c r="AB1050">
        <v>9</v>
      </c>
      <c r="AC1050">
        <v>3</v>
      </c>
      <c r="AD1050">
        <v>12</v>
      </c>
      <c r="AE1050" t="str" cm="1">
        <f t="array" ref="AE1050">_xlfn.IFS(G1050=1,"Before College",G1050=2,"College",G1050=3,"Bachelor",G1050=4,"Master",G1050=5,"Doctor")</f>
        <v>Bachelor</v>
      </c>
      <c r="AF1050" t="str" cm="1">
        <f t="array" ref="AF1050">_xlfn.IFS(J1050=1,"Low",J1050=2,"Medium",J1050=3,"High",J1050=4,"Very High")</f>
        <v>Very High</v>
      </c>
      <c r="AG1050" t="str" cm="1">
        <f t="array" ref="AG1050">_xlfn.IFS(L1050=1,"Low",L1050=2,"Medium",L1050=3,"High",L1050=4,"Very High")</f>
        <v>Low</v>
      </c>
      <c r="AH1050" t="str" cm="1">
        <f t="array" ref="AH1050">_xlfn.IFS(M1050=1,"Junior employee",M1050=2,"Mid-level",M1050=3,"Senior",M1050=4,"Manager",M1050=5,"Executive")</f>
        <v>Mid-level</v>
      </c>
      <c r="AI1050" t="str" cm="1">
        <f t="array" ref="AI1050">_xlfn.IFS(O1050=1,"Low",O1050=2,"Medium",O1050=3,"High",O1050=4,"Very High")</f>
        <v>Low</v>
      </c>
      <c r="AJ1050" t="str" cm="1">
        <f t="array" ref="AJ1050">_xlfn.IFS(U1050=1,"Low",U1050=2,"Good",U1050=3,"Excellent",U1050=4,"Outstanding")</f>
        <v>Excellent</v>
      </c>
      <c r="AK1050" t="str" cm="1">
        <f t="array" ref="AK1050">_xlfn.IFS(V1050=1,"Low",V1050=2,"Medium",V1050=3,"High",V1050=4,"Very High")</f>
        <v>Very High</v>
      </c>
      <c r="AL1050" t="str" cm="1">
        <f t="array" ref="AL1050">_xlfn.IFS(Z1050=1,"Bad",Z1050=2,"Good",Z1050=3,"Better",Z1050=4,"Best")</f>
        <v>Better</v>
      </c>
      <c r="AM1050" t="str" cm="1">
        <f t="array" ref="AM1050">_xlfn.IFS(W1050=0,"No_stock",W1050=1,"Low",W1050=2,"Medium",W1050=3,"High")</f>
        <v>No_stock</v>
      </c>
      <c r="AN1050" t="str">
        <f t="shared" si="16"/>
        <v>Near</v>
      </c>
    </row>
    <row r="1051" spans="1:40" x14ac:dyDescent="0.45">
      <c r="A1051">
        <v>30</v>
      </c>
      <c r="B1051" t="s">
        <v>37</v>
      </c>
      <c r="C1051" t="s">
        <v>31</v>
      </c>
      <c r="D1051">
        <v>1358</v>
      </c>
      <c r="E1051" t="s">
        <v>32</v>
      </c>
      <c r="F1051">
        <v>16</v>
      </c>
      <c r="G1051">
        <v>1</v>
      </c>
      <c r="H1051" t="s">
        <v>33</v>
      </c>
      <c r="I1051">
        <v>1479</v>
      </c>
      <c r="J1051">
        <v>4</v>
      </c>
      <c r="K1051" t="s">
        <v>40</v>
      </c>
      <c r="L1051">
        <v>3</v>
      </c>
      <c r="M1051">
        <v>2</v>
      </c>
      <c r="N1051" t="s">
        <v>35</v>
      </c>
      <c r="O1051">
        <v>3</v>
      </c>
      <c r="P1051" t="s">
        <v>42</v>
      </c>
      <c r="Q1051">
        <v>5301</v>
      </c>
      <c r="R1051">
        <v>8</v>
      </c>
      <c r="S1051" t="s">
        <v>37</v>
      </c>
      <c r="T1051">
        <v>15</v>
      </c>
      <c r="U1051">
        <v>3</v>
      </c>
      <c r="V1051">
        <v>3</v>
      </c>
      <c r="W1051">
        <v>2</v>
      </c>
      <c r="X1051">
        <v>4</v>
      </c>
      <c r="Y1051">
        <v>2</v>
      </c>
      <c r="Z1051">
        <v>2</v>
      </c>
      <c r="AA1051">
        <v>2</v>
      </c>
      <c r="AB1051">
        <v>1</v>
      </c>
      <c r="AC1051">
        <v>2</v>
      </c>
      <c r="AD1051">
        <v>2</v>
      </c>
      <c r="AE1051" t="str" cm="1">
        <f t="array" ref="AE1051">_xlfn.IFS(G1051=1,"Before College",G1051=2,"College",G1051=3,"Bachelor",G1051=4,"Master",G1051=5,"Doctor")</f>
        <v>Before College</v>
      </c>
      <c r="AF1051" t="str" cm="1">
        <f t="array" ref="AF1051">_xlfn.IFS(J1051=1,"Low",J1051=2,"Medium",J1051=3,"High",J1051=4,"Very High")</f>
        <v>Very High</v>
      </c>
      <c r="AG1051" t="str" cm="1">
        <f t="array" ref="AG1051">_xlfn.IFS(L1051=1,"Low",L1051=2,"Medium",L1051=3,"High",L1051=4,"Very High")</f>
        <v>High</v>
      </c>
      <c r="AH1051" t="str" cm="1">
        <f t="array" ref="AH1051">_xlfn.IFS(M1051=1,"Junior employee",M1051=2,"Mid-level",M1051=3,"Senior",M1051=4,"Manager",M1051=5,"Executive")</f>
        <v>Mid-level</v>
      </c>
      <c r="AI1051" t="str" cm="1">
        <f t="array" ref="AI1051">_xlfn.IFS(O1051=1,"Low",O1051=2,"Medium",O1051=3,"High",O1051=4,"Very High")</f>
        <v>High</v>
      </c>
      <c r="AJ1051" t="str" cm="1">
        <f t="array" ref="AJ1051">_xlfn.IFS(U1051=1,"Low",U1051=2,"Good",U1051=3,"Excellent",U1051=4,"Outstanding")</f>
        <v>Excellent</v>
      </c>
      <c r="AK1051" t="str" cm="1">
        <f t="array" ref="AK1051">_xlfn.IFS(V1051=1,"Low",V1051=2,"Medium",V1051=3,"High",V1051=4,"Very High")</f>
        <v>High</v>
      </c>
      <c r="AL1051" t="str" cm="1">
        <f t="array" ref="AL1051">_xlfn.IFS(Z1051=1,"Bad",Z1051=2,"Good",Z1051=3,"Better",Z1051=4,"Best")</f>
        <v>Good</v>
      </c>
      <c r="AM1051" t="str" cm="1">
        <f t="array" ref="AM1051">_xlfn.IFS(W1051=0,"No_stock",W1051=1,"Low",W1051=2,"Medium",W1051=3,"High")</f>
        <v>Medium</v>
      </c>
      <c r="AN1051" t="str">
        <f t="shared" si="16"/>
        <v>Far</v>
      </c>
    </row>
    <row r="1052" spans="1:40" x14ac:dyDescent="0.45">
      <c r="A1052">
        <v>42</v>
      </c>
      <c r="B1052" t="s">
        <v>37</v>
      </c>
      <c r="C1052" t="s">
        <v>38</v>
      </c>
      <c r="D1052">
        <v>748</v>
      </c>
      <c r="E1052" t="s">
        <v>39</v>
      </c>
      <c r="F1052">
        <v>9</v>
      </c>
      <c r="G1052">
        <v>2</v>
      </c>
      <c r="H1052" t="s">
        <v>45</v>
      </c>
      <c r="I1052">
        <v>1480</v>
      </c>
      <c r="J1052">
        <v>1</v>
      </c>
      <c r="K1052" t="s">
        <v>34</v>
      </c>
      <c r="L1052">
        <v>3</v>
      </c>
      <c r="M1052">
        <v>1</v>
      </c>
      <c r="N1052" t="s">
        <v>44</v>
      </c>
      <c r="O1052">
        <v>4</v>
      </c>
      <c r="P1052" t="s">
        <v>36</v>
      </c>
      <c r="Q1052">
        <v>3673</v>
      </c>
      <c r="R1052">
        <v>1</v>
      </c>
      <c r="S1052" t="s">
        <v>37</v>
      </c>
      <c r="T1052">
        <v>13</v>
      </c>
      <c r="U1052">
        <v>3</v>
      </c>
      <c r="V1052">
        <v>3</v>
      </c>
      <c r="W1052">
        <v>0</v>
      </c>
      <c r="X1052">
        <v>12</v>
      </c>
      <c r="Y1052">
        <v>3</v>
      </c>
      <c r="Z1052">
        <v>3</v>
      </c>
      <c r="AA1052">
        <v>12</v>
      </c>
      <c r="AB1052">
        <v>9</v>
      </c>
      <c r="AC1052">
        <v>5</v>
      </c>
      <c r="AD1052">
        <v>8</v>
      </c>
      <c r="AE1052" t="str" cm="1">
        <f t="array" ref="AE1052">_xlfn.IFS(G1052=1,"Before College",G1052=2,"College",G1052=3,"Bachelor",G1052=4,"Master",G1052=5,"Doctor")</f>
        <v>College</v>
      </c>
      <c r="AF1052" t="str" cm="1">
        <f t="array" ref="AF1052">_xlfn.IFS(J1052=1,"Low",J1052=2,"Medium",J1052=3,"High",J1052=4,"Very High")</f>
        <v>Low</v>
      </c>
      <c r="AG1052" t="str" cm="1">
        <f t="array" ref="AG1052">_xlfn.IFS(L1052=1,"Low",L1052=2,"Medium",L1052=3,"High",L1052=4,"Very High")</f>
        <v>High</v>
      </c>
      <c r="AH1052" t="str" cm="1">
        <f t="array" ref="AH1052">_xlfn.IFS(M1052=1,"Junior employee",M1052=2,"Mid-level",M1052=3,"Senior",M1052=4,"Manager",M1052=5,"Executive")</f>
        <v>Junior employee</v>
      </c>
      <c r="AI1052" t="str" cm="1">
        <f t="array" ref="AI1052">_xlfn.IFS(O1052=1,"Low",O1052=2,"Medium",O1052=3,"High",O1052=4,"Very High")</f>
        <v>Very High</v>
      </c>
      <c r="AJ1052" t="str" cm="1">
        <f t="array" ref="AJ1052">_xlfn.IFS(U1052=1,"Low",U1052=2,"Good",U1052=3,"Excellent",U1052=4,"Outstanding")</f>
        <v>Excellent</v>
      </c>
      <c r="AK1052" t="str" cm="1">
        <f t="array" ref="AK1052">_xlfn.IFS(V1052=1,"Low",V1052=2,"Medium",V1052=3,"High",V1052=4,"Very High")</f>
        <v>High</v>
      </c>
      <c r="AL1052" t="str" cm="1">
        <f t="array" ref="AL1052">_xlfn.IFS(Z1052=1,"Bad",Z1052=2,"Good",Z1052=3,"Better",Z1052=4,"Best")</f>
        <v>Better</v>
      </c>
      <c r="AM1052" t="str" cm="1">
        <f t="array" ref="AM1052">_xlfn.IFS(W1052=0,"No_stock",W1052=1,"Low",W1052=2,"Medium",W1052=3,"High")</f>
        <v>No_stock</v>
      </c>
      <c r="AN1052" t="str">
        <f t="shared" si="16"/>
        <v>Medium</v>
      </c>
    </row>
    <row r="1053" spans="1:40" x14ac:dyDescent="0.45">
      <c r="A1053">
        <v>44</v>
      </c>
      <c r="B1053" t="s">
        <v>37</v>
      </c>
      <c r="C1053" t="s">
        <v>38</v>
      </c>
      <c r="D1053">
        <v>383</v>
      </c>
      <c r="E1053" t="s">
        <v>32</v>
      </c>
      <c r="F1053">
        <v>1</v>
      </c>
      <c r="G1053">
        <v>5</v>
      </c>
      <c r="H1053" t="s">
        <v>53</v>
      </c>
      <c r="I1053">
        <v>1481</v>
      </c>
      <c r="J1053">
        <v>1</v>
      </c>
      <c r="K1053" t="s">
        <v>34</v>
      </c>
      <c r="L1053">
        <v>3</v>
      </c>
      <c r="M1053">
        <v>2</v>
      </c>
      <c r="N1053" t="s">
        <v>35</v>
      </c>
      <c r="O1053">
        <v>3</v>
      </c>
      <c r="P1053" t="s">
        <v>42</v>
      </c>
      <c r="Q1053">
        <v>4768</v>
      </c>
      <c r="R1053">
        <v>7</v>
      </c>
      <c r="S1053" t="s">
        <v>37</v>
      </c>
      <c r="T1053">
        <v>12</v>
      </c>
      <c r="U1053">
        <v>3</v>
      </c>
      <c r="V1053">
        <v>3</v>
      </c>
      <c r="W1053">
        <v>1</v>
      </c>
      <c r="X1053">
        <v>11</v>
      </c>
      <c r="Y1053">
        <v>4</v>
      </c>
      <c r="Z1053">
        <v>2</v>
      </c>
      <c r="AA1053">
        <v>1</v>
      </c>
      <c r="AB1053">
        <v>0</v>
      </c>
      <c r="AC1053">
        <v>0</v>
      </c>
      <c r="AD1053">
        <v>0</v>
      </c>
      <c r="AE1053" t="str" cm="1">
        <f t="array" ref="AE1053">_xlfn.IFS(G1053=1,"Before College",G1053=2,"College",G1053=3,"Bachelor",G1053=4,"Master",G1053=5,"Doctor")</f>
        <v>Doctor</v>
      </c>
      <c r="AF1053" t="str" cm="1">
        <f t="array" ref="AF1053">_xlfn.IFS(J1053=1,"Low",J1053=2,"Medium",J1053=3,"High",J1053=4,"Very High")</f>
        <v>Low</v>
      </c>
      <c r="AG1053" t="str" cm="1">
        <f t="array" ref="AG1053">_xlfn.IFS(L1053=1,"Low",L1053=2,"Medium",L1053=3,"High",L1053=4,"Very High")</f>
        <v>High</v>
      </c>
      <c r="AH1053" t="str" cm="1">
        <f t="array" ref="AH1053">_xlfn.IFS(M1053=1,"Junior employee",M1053=2,"Mid-level",M1053=3,"Senior",M1053=4,"Manager",M1053=5,"Executive")</f>
        <v>Mid-level</v>
      </c>
      <c r="AI1053" t="str" cm="1">
        <f t="array" ref="AI1053">_xlfn.IFS(O1053=1,"Low",O1053=2,"Medium",O1053=3,"High",O1053=4,"Very High")</f>
        <v>High</v>
      </c>
      <c r="AJ1053" t="str" cm="1">
        <f t="array" ref="AJ1053">_xlfn.IFS(U1053=1,"Low",U1053=2,"Good",U1053=3,"Excellent",U1053=4,"Outstanding")</f>
        <v>Excellent</v>
      </c>
      <c r="AK1053" t="str" cm="1">
        <f t="array" ref="AK1053">_xlfn.IFS(V1053=1,"Low",V1053=2,"Medium",V1053=3,"High",V1053=4,"Very High")</f>
        <v>High</v>
      </c>
      <c r="AL1053" t="str" cm="1">
        <f t="array" ref="AL1053">_xlfn.IFS(Z1053=1,"Bad",Z1053=2,"Good",Z1053=3,"Better",Z1053=4,"Best")</f>
        <v>Good</v>
      </c>
      <c r="AM1053" t="str" cm="1">
        <f t="array" ref="AM1053">_xlfn.IFS(W1053=0,"No_stock",W1053=1,"Low",W1053=2,"Medium",W1053=3,"High")</f>
        <v>Low</v>
      </c>
      <c r="AN1053" t="str">
        <f t="shared" si="16"/>
        <v>Near</v>
      </c>
    </row>
    <row r="1054" spans="1:40" x14ac:dyDescent="0.45">
      <c r="A1054">
        <v>30</v>
      </c>
      <c r="B1054" t="s">
        <v>37</v>
      </c>
      <c r="C1054" t="s">
        <v>49</v>
      </c>
      <c r="D1054">
        <v>990</v>
      </c>
      <c r="E1054" t="s">
        <v>39</v>
      </c>
      <c r="F1054">
        <v>7</v>
      </c>
      <c r="G1054">
        <v>3</v>
      </c>
      <c r="H1054" t="s">
        <v>54</v>
      </c>
      <c r="I1054">
        <v>1482</v>
      </c>
      <c r="J1054">
        <v>3</v>
      </c>
      <c r="K1054" t="s">
        <v>40</v>
      </c>
      <c r="L1054">
        <v>3</v>
      </c>
      <c r="M1054">
        <v>1</v>
      </c>
      <c r="N1054" t="s">
        <v>41</v>
      </c>
      <c r="O1054">
        <v>3</v>
      </c>
      <c r="P1054" t="s">
        <v>46</v>
      </c>
      <c r="Q1054">
        <v>1274</v>
      </c>
      <c r="R1054">
        <v>1</v>
      </c>
      <c r="S1054" t="s">
        <v>37</v>
      </c>
      <c r="T1054">
        <v>13</v>
      </c>
      <c r="U1054">
        <v>3</v>
      </c>
      <c r="V1054">
        <v>2</v>
      </c>
      <c r="W1054">
        <v>2</v>
      </c>
      <c r="X1054">
        <v>1</v>
      </c>
      <c r="Y1054">
        <v>2</v>
      </c>
      <c r="Z1054">
        <v>2</v>
      </c>
      <c r="AA1054">
        <v>1</v>
      </c>
      <c r="AB1054">
        <v>0</v>
      </c>
      <c r="AC1054">
        <v>0</v>
      </c>
      <c r="AD1054">
        <v>0</v>
      </c>
      <c r="AE1054" t="str" cm="1">
        <f t="array" ref="AE1054">_xlfn.IFS(G1054=1,"Before College",G1054=2,"College",G1054=3,"Bachelor",G1054=4,"Master",G1054=5,"Doctor")</f>
        <v>Bachelor</v>
      </c>
      <c r="AF1054" t="str" cm="1">
        <f t="array" ref="AF1054">_xlfn.IFS(J1054=1,"Low",J1054=2,"Medium",J1054=3,"High",J1054=4,"Very High")</f>
        <v>High</v>
      </c>
      <c r="AG1054" t="str" cm="1">
        <f t="array" ref="AG1054">_xlfn.IFS(L1054=1,"Low",L1054=2,"Medium",L1054=3,"High",L1054=4,"Very High")</f>
        <v>High</v>
      </c>
      <c r="AH1054" t="str" cm="1">
        <f t="array" ref="AH1054">_xlfn.IFS(M1054=1,"Junior employee",M1054=2,"Mid-level",M1054=3,"Senior",M1054=4,"Manager",M1054=5,"Executive")</f>
        <v>Junior employee</v>
      </c>
      <c r="AI1054" t="str" cm="1">
        <f t="array" ref="AI1054">_xlfn.IFS(O1054=1,"Low",O1054=2,"Medium",O1054=3,"High",O1054=4,"Very High")</f>
        <v>High</v>
      </c>
      <c r="AJ1054" t="str" cm="1">
        <f t="array" ref="AJ1054">_xlfn.IFS(U1054=1,"Low",U1054=2,"Good",U1054=3,"Excellent",U1054=4,"Outstanding")</f>
        <v>Excellent</v>
      </c>
      <c r="AK1054" t="str" cm="1">
        <f t="array" ref="AK1054">_xlfn.IFS(V1054=1,"Low",V1054=2,"Medium",V1054=3,"High",V1054=4,"Very High")</f>
        <v>Medium</v>
      </c>
      <c r="AL1054" t="str" cm="1">
        <f t="array" ref="AL1054">_xlfn.IFS(Z1054=1,"Bad",Z1054=2,"Good",Z1054=3,"Better",Z1054=4,"Best")</f>
        <v>Good</v>
      </c>
      <c r="AM1054" t="str" cm="1">
        <f t="array" ref="AM1054">_xlfn.IFS(W1054=0,"No_stock",W1054=1,"Low",W1054=2,"Medium",W1054=3,"High")</f>
        <v>Medium</v>
      </c>
      <c r="AN1054" t="str">
        <f t="shared" si="16"/>
        <v>Medium</v>
      </c>
    </row>
    <row r="1055" spans="1:40" x14ac:dyDescent="0.45">
      <c r="A1055">
        <v>57</v>
      </c>
      <c r="B1055" t="s">
        <v>37</v>
      </c>
      <c r="C1055" t="s">
        <v>31</v>
      </c>
      <c r="D1055">
        <v>405</v>
      </c>
      <c r="E1055" t="s">
        <v>39</v>
      </c>
      <c r="F1055">
        <v>1</v>
      </c>
      <c r="G1055">
        <v>2</v>
      </c>
      <c r="H1055" t="s">
        <v>33</v>
      </c>
      <c r="I1055">
        <v>1483</v>
      </c>
      <c r="J1055">
        <v>2</v>
      </c>
      <c r="K1055" t="s">
        <v>40</v>
      </c>
      <c r="L1055">
        <v>4</v>
      </c>
      <c r="M1055">
        <v>2</v>
      </c>
      <c r="N1055" t="s">
        <v>41</v>
      </c>
      <c r="O1055">
        <v>3</v>
      </c>
      <c r="P1055" t="s">
        <v>42</v>
      </c>
      <c r="Q1055">
        <v>4900</v>
      </c>
      <c r="R1055">
        <v>0</v>
      </c>
      <c r="S1055" t="s">
        <v>37</v>
      </c>
      <c r="T1055">
        <v>24</v>
      </c>
      <c r="U1055">
        <v>4</v>
      </c>
      <c r="V1055">
        <v>1</v>
      </c>
      <c r="W1055">
        <v>1</v>
      </c>
      <c r="X1055">
        <v>13</v>
      </c>
      <c r="Y1055">
        <v>2</v>
      </c>
      <c r="Z1055">
        <v>2</v>
      </c>
      <c r="AA1055">
        <v>12</v>
      </c>
      <c r="AB1055">
        <v>9</v>
      </c>
      <c r="AC1055">
        <v>2</v>
      </c>
      <c r="AD1055">
        <v>8</v>
      </c>
      <c r="AE1055" t="str" cm="1">
        <f t="array" ref="AE1055">_xlfn.IFS(G1055=1,"Before College",G1055=2,"College",G1055=3,"Bachelor",G1055=4,"Master",G1055=5,"Doctor")</f>
        <v>College</v>
      </c>
      <c r="AF1055" t="str" cm="1">
        <f t="array" ref="AF1055">_xlfn.IFS(J1055=1,"Low",J1055=2,"Medium",J1055=3,"High",J1055=4,"Very High")</f>
        <v>Medium</v>
      </c>
      <c r="AG1055" t="str" cm="1">
        <f t="array" ref="AG1055">_xlfn.IFS(L1055=1,"Low",L1055=2,"Medium",L1055=3,"High",L1055=4,"Very High")</f>
        <v>Very High</v>
      </c>
      <c r="AH1055" t="str" cm="1">
        <f t="array" ref="AH1055">_xlfn.IFS(M1055=1,"Junior employee",M1055=2,"Mid-level",M1055=3,"Senior",M1055=4,"Manager",M1055=5,"Executive")</f>
        <v>Mid-level</v>
      </c>
      <c r="AI1055" t="str" cm="1">
        <f t="array" ref="AI1055">_xlfn.IFS(O1055=1,"Low",O1055=2,"Medium",O1055=3,"High",O1055=4,"Very High")</f>
        <v>High</v>
      </c>
      <c r="AJ1055" t="str" cm="1">
        <f t="array" ref="AJ1055">_xlfn.IFS(U1055=1,"Low",U1055=2,"Good",U1055=3,"Excellent",U1055=4,"Outstanding")</f>
        <v>Outstanding</v>
      </c>
      <c r="AK1055" t="str" cm="1">
        <f t="array" ref="AK1055">_xlfn.IFS(V1055=1,"Low",V1055=2,"Medium",V1055=3,"High",V1055=4,"Very High")</f>
        <v>Low</v>
      </c>
      <c r="AL1055" t="str" cm="1">
        <f t="array" ref="AL1055">_xlfn.IFS(Z1055=1,"Bad",Z1055=2,"Good",Z1055=3,"Better",Z1055=4,"Best")</f>
        <v>Good</v>
      </c>
      <c r="AM1055" t="str" cm="1">
        <f t="array" ref="AM1055">_xlfn.IFS(W1055=0,"No_stock",W1055=1,"Low",W1055=2,"Medium",W1055=3,"High")</f>
        <v>Low</v>
      </c>
      <c r="AN1055" t="str">
        <f t="shared" si="16"/>
        <v>Near</v>
      </c>
    </row>
    <row r="1056" spans="1:40" x14ac:dyDescent="0.45">
      <c r="A1056">
        <v>49</v>
      </c>
      <c r="B1056" t="s">
        <v>37</v>
      </c>
      <c r="C1056" t="s">
        <v>31</v>
      </c>
      <c r="D1056">
        <v>1490</v>
      </c>
      <c r="E1056" t="s">
        <v>39</v>
      </c>
      <c r="F1056">
        <v>7</v>
      </c>
      <c r="G1056">
        <v>4</v>
      </c>
      <c r="H1056" t="s">
        <v>33</v>
      </c>
      <c r="I1056">
        <v>1484</v>
      </c>
      <c r="J1056">
        <v>3</v>
      </c>
      <c r="K1056" t="s">
        <v>40</v>
      </c>
      <c r="L1056">
        <v>3</v>
      </c>
      <c r="M1056">
        <v>3</v>
      </c>
      <c r="N1056" t="s">
        <v>48</v>
      </c>
      <c r="O1056">
        <v>2</v>
      </c>
      <c r="P1056" t="s">
        <v>46</v>
      </c>
      <c r="Q1056">
        <v>10466</v>
      </c>
      <c r="R1056">
        <v>3</v>
      </c>
      <c r="S1056" t="s">
        <v>37</v>
      </c>
      <c r="T1056">
        <v>14</v>
      </c>
      <c r="U1056">
        <v>3</v>
      </c>
      <c r="V1056">
        <v>2</v>
      </c>
      <c r="W1056">
        <v>2</v>
      </c>
      <c r="X1056">
        <v>29</v>
      </c>
      <c r="Y1056">
        <v>3</v>
      </c>
      <c r="Z1056">
        <v>3</v>
      </c>
      <c r="AA1056">
        <v>8</v>
      </c>
      <c r="AB1056">
        <v>7</v>
      </c>
      <c r="AC1056">
        <v>0</v>
      </c>
      <c r="AD1056">
        <v>7</v>
      </c>
      <c r="AE1056" t="str" cm="1">
        <f t="array" ref="AE1056">_xlfn.IFS(G1056=1,"Before College",G1056=2,"College",G1056=3,"Bachelor",G1056=4,"Master",G1056=5,"Doctor")</f>
        <v>Master</v>
      </c>
      <c r="AF1056" t="str" cm="1">
        <f t="array" ref="AF1056">_xlfn.IFS(J1056=1,"Low",J1056=2,"Medium",J1056=3,"High",J1056=4,"Very High")</f>
        <v>High</v>
      </c>
      <c r="AG1056" t="str" cm="1">
        <f t="array" ref="AG1056">_xlfn.IFS(L1056=1,"Low",L1056=2,"Medium",L1056=3,"High",L1056=4,"Very High")</f>
        <v>High</v>
      </c>
      <c r="AH1056" t="str" cm="1">
        <f t="array" ref="AH1056">_xlfn.IFS(M1056=1,"Junior employee",M1056=2,"Mid-level",M1056=3,"Senior",M1056=4,"Manager",M1056=5,"Executive")</f>
        <v>Senior</v>
      </c>
      <c r="AI1056" t="str" cm="1">
        <f t="array" ref="AI1056">_xlfn.IFS(O1056=1,"Low",O1056=2,"Medium",O1056=3,"High",O1056=4,"Very High")</f>
        <v>Medium</v>
      </c>
      <c r="AJ1056" t="str" cm="1">
        <f t="array" ref="AJ1056">_xlfn.IFS(U1056=1,"Low",U1056=2,"Good",U1056=3,"Excellent",U1056=4,"Outstanding")</f>
        <v>Excellent</v>
      </c>
      <c r="AK1056" t="str" cm="1">
        <f t="array" ref="AK1056">_xlfn.IFS(V1056=1,"Low",V1056=2,"Medium",V1056=3,"High",V1056=4,"Very High")</f>
        <v>Medium</v>
      </c>
      <c r="AL1056" t="str" cm="1">
        <f t="array" ref="AL1056">_xlfn.IFS(Z1056=1,"Bad",Z1056=2,"Good",Z1056=3,"Better",Z1056=4,"Best")</f>
        <v>Better</v>
      </c>
      <c r="AM1056" t="str" cm="1">
        <f t="array" ref="AM1056">_xlfn.IFS(W1056=0,"No_stock",W1056=1,"Low",W1056=2,"Medium",W1056=3,"High")</f>
        <v>Medium</v>
      </c>
      <c r="AN1056" t="str">
        <f t="shared" si="16"/>
        <v>Medium</v>
      </c>
    </row>
    <row r="1057" spans="1:40" x14ac:dyDescent="0.45">
      <c r="A1057">
        <v>34</v>
      </c>
      <c r="B1057" t="s">
        <v>37</v>
      </c>
      <c r="C1057" t="s">
        <v>38</v>
      </c>
      <c r="D1057">
        <v>829</v>
      </c>
      <c r="E1057" t="s">
        <v>39</v>
      </c>
      <c r="F1057">
        <v>15</v>
      </c>
      <c r="G1057">
        <v>3</v>
      </c>
      <c r="H1057" t="s">
        <v>45</v>
      </c>
      <c r="I1057">
        <v>1485</v>
      </c>
      <c r="J1057">
        <v>2</v>
      </c>
      <c r="K1057" t="s">
        <v>40</v>
      </c>
      <c r="L1057">
        <v>3</v>
      </c>
      <c r="M1057">
        <v>4</v>
      </c>
      <c r="N1057" t="s">
        <v>52</v>
      </c>
      <c r="O1057">
        <v>1</v>
      </c>
      <c r="P1057" t="s">
        <v>46</v>
      </c>
      <c r="Q1057">
        <v>17007</v>
      </c>
      <c r="R1057">
        <v>7</v>
      </c>
      <c r="S1057" t="s">
        <v>37</v>
      </c>
      <c r="T1057">
        <v>14</v>
      </c>
      <c r="U1057">
        <v>3</v>
      </c>
      <c r="V1057">
        <v>4</v>
      </c>
      <c r="W1057">
        <v>2</v>
      </c>
      <c r="X1057">
        <v>16</v>
      </c>
      <c r="Y1057">
        <v>3</v>
      </c>
      <c r="Z1057">
        <v>2</v>
      </c>
      <c r="AA1057">
        <v>14</v>
      </c>
      <c r="AB1057">
        <v>8</v>
      </c>
      <c r="AC1057">
        <v>6</v>
      </c>
      <c r="AD1057">
        <v>9</v>
      </c>
      <c r="AE1057" t="str" cm="1">
        <f t="array" ref="AE1057">_xlfn.IFS(G1057=1,"Before College",G1057=2,"College",G1057=3,"Bachelor",G1057=4,"Master",G1057=5,"Doctor")</f>
        <v>Bachelor</v>
      </c>
      <c r="AF1057" t="str" cm="1">
        <f t="array" ref="AF1057">_xlfn.IFS(J1057=1,"Low",J1057=2,"Medium",J1057=3,"High",J1057=4,"Very High")</f>
        <v>Medium</v>
      </c>
      <c r="AG1057" t="str" cm="1">
        <f t="array" ref="AG1057">_xlfn.IFS(L1057=1,"Low",L1057=2,"Medium",L1057=3,"High",L1057=4,"Very High")</f>
        <v>High</v>
      </c>
      <c r="AH1057" t="str" cm="1">
        <f t="array" ref="AH1057">_xlfn.IFS(M1057=1,"Junior employee",M1057=2,"Mid-level",M1057=3,"Senior",M1057=4,"Manager",M1057=5,"Executive")</f>
        <v>Manager</v>
      </c>
      <c r="AI1057" t="str" cm="1">
        <f t="array" ref="AI1057">_xlfn.IFS(O1057=1,"Low",O1057=2,"Medium",O1057=3,"High",O1057=4,"Very High")</f>
        <v>Low</v>
      </c>
      <c r="AJ1057" t="str" cm="1">
        <f t="array" ref="AJ1057">_xlfn.IFS(U1057=1,"Low",U1057=2,"Good",U1057=3,"Excellent",U1057=4,"Outstanding")</f>
        <v>Excellent</v>
      </c>
      <c r="AK1057" t="str" cm="1">
        <f t="array" ref="AK1057">_xlfn.IFS(V1057=1,"Low",V1057=2,"Medium",V1057=3,"High",V1057=4,"Very High")</f>
        <v>Very High</v>
      </c>
      <c r="AL1057" t="str" cm="1">
        <f t="array" ref="AL1057">_xlfn.IFS(Z1057=1,"Bad",Z1057=2,"Good",Z1057=3,"Better",Z1057=4,"Best")</f>
        <v>Good</v>
      </c>
      <c r="AM1057" t="str" cm="1">
        <f t="array" ref="AM1057">_xlfn.IFS(W1057=0,"No_stock",W1057=1,"Low",W1057=2,"Medium",W1057=3,"High")</f>
        <v>Medium</v>
      </c>
      <c r="AN1057" t="str">
        <f t="shared" si="16"/>
        <v>Medium</v>
      </c>
    </row>
    <row r="1058" spans="1:40" x14ac:dyDescent="0.45">
      <c r="A1058">
        <v>28</v>
      </c>
      <c r="B1058" t="s">
        <v>30</v>
      </c>
      <c r="C1058" t="s">
        <v>38</v>
      </c>
      <c r="D1058">
        <v>1496</v>
      </c>
      <c r="E1058" t="s">
        <v>32</v>
      </c>
      <c r="F1058">
        <v>1</v>
      </c>
      <c r="G1058">
        <v>3</v>
      </c>
      <c r="H1058" t="s">
        <v>54</v>
      </c>
      <c r="I1058">
        <v>1486</v>
      </c>
      <c r="J1058">
        <v>1</v>
      </c>
      <c r="K1058" t="s">
        <v>40</v>
      </c>
      <c r="L1058">
        <v>3</v>
      </c>
      <c r="M1058">
        <v>1</v>
      </c>
      <c r="N1058" t="s">
        <v>51</v>
      </c>
      <c r="O1058">
        <v>3</v>
      </c>
      <c r="P1058" t="s">
        <v>42</v>
      </c>
      <c r="Q1058">
        <v>2909</v>
      </c>
      <c r="R1058">
        <v>3</v>
      </c>
      <c r="S1058" t="s">
        <v>37</v>
      </c>
      <c r="T1058">
        <v>15</v>
      </c>
      <c r="U1058">
        <v>3</v>
      </c>
      <c r="V1058">
        <v>4</v>
      </c>
      <c r="W1058">
        <v>1</v>
      </c>
      <c r="X1058">
        <v>5</v>
      </c>
      <c r="Y1058">
        <v>3</v>
      </c>
      <c r="Z1058">
        <v>4</v>
      </c>
      <c r="AA1058">
        <v>3</v>
      </c>
      <c r="AB1058">
        <v>2</v>
      </c>
      <c r="AC1058">
        <v>1</v>
      </c>
      <c r="AD1058">
        <v>2</v>
      </c>
      <c r="AE1058" t="str" cm="1">
        <f t="array" ref="AE1058">_xlfn.IFS(G1058=1,"Before College",G1058=2,"College",G1058=3,"Bachelor",G1058=4,"Master",G1058=5,"Doctor")</f>
        <v>Bachelor</v>
      </c>
      <c r="AF1058" t="str" cm="1">
        <f t="array" ref="AF1058">_xlfn.IFS(J1058=1,"Low",J1058=2,"Medium",J1058=3,"High",J1058=4,"Very High")</f>
        <v>Low</v>
      </c>
      <c r="AG1058" t="str" cm="1">
        <f t="array" ref="AG1058">_xlfn.IFS(L1058=1,"Low",L1058=2,"Medium",L1058=3,"High",L1058=4,"Very High")</f>
        <v>High</v>
      </c>
      <c r="AH1058" t="str" cm="1">
        <f t="array" ref="AH1058">_xlfn.IFS(M1058=1,"Junior employee",M1058=2,"Mid-level",M1058=3,"Senior",M1058=4,"Manager",M1058=5,"Executive")</f>
        <v>Junior employee</v>
      </c>
      <c r="AI1058" t="str" cm="1">
        <f t="array" ref="AI1058">_xlfn.IFS(O1058=1,"Low",O1058=2,"Medium",O1058=3,"High",O1058=4,"Very High")</f>
        <v>High</v>
      </c>
      <c r="AJ1058" t="str" cm="1">
        <f t="array" ref="AJ1058">_xlfn.IFS(U1058=1,"Low",U1058=2,"Good",U1058=3,"Excellent",U1058=4,"Outstanding")</f>
        <v>Excellent</v>
      </c>
      <c r="AK1058" t="str" cm="1">
        <f t="array" ref="AK1058">_xlfn.IFS(V1058=1,"Low",V1058=2,"Medium",V1058=3,"High",V1058=4,"Very High")</f>
        <v>Very High</v>
      </c>
      <c r="AL1058" t="str" cm="1">
        <f t="array" ref="AL1058">_xlfn.IFS(Z1058=1,"Bad",Z1058=2,"Good",Z1058=3,"Better",Z1058=4,"Best")</f>
        <v>Best</v>
      </c>
      <c r="AM1058" t="str" cm="1">
        <f t="array" ref="AM1058">_xlfn.IFS(W1058=0,"No_stock",W1058=1,"Low",W1058=2,"Medium",W1058=3,"High")</f>
        <v>Low</v>
      </c>
      <c r="AN1058" t="str">
        <f t="shared" si="16"/>
        <v>Near</v>
      </c>
    </row>
    <row r="1059" spans="1:40" x14ac:dyDescent="0.45">
      <c r="A1059">
        <v>29</v>
      </c>
      <c r="B1059" t="s">
        <v>30</v>
      </c>
      <c r="C1059" t="s">
        <v>38</v>
      </c>
      <c r="D1059">
        <v>115</v>
      </c>
      <c r="E1059" t="s">
        <v>32</v>
      </c>
      <c r="F1059">
        <v>13</v>
      </c>
      <c r="G1059">
        <v>3</v>
      </c>
      <c r="H1059" t="s">
        <v>54</v>
      </c>
      <c r="I1059">
        <v>1487</v>
      </c>
      <c r="J1059">
        <v>1</v>
      </c>
      <c r="K1059" t="s">
        <v>34</v>
      </c>
      <c r="L1059">
        <v>3</v>
      </c>
      <c r="M1059">
        <v>2</v>
      </c>
      <c r="N1059" t="s">
        <v>35</v>
      </c>
      <c r="O1059">
        <v>2</v>
      </c>
      <c r="P1059" t="s">
        <v>36</v>
      </c>
      <c r="Q1059">
        <v>5765</v>
      </c>
      <c r="R1059">
        <v>5</v>
      </c>
      <c r="S1059" t="s">
        <v>37</v>
      </c>
      <c r="T1059">
        <v>11</v>
      </c>
      <c r="U1059">
        <v>3</v>
      </c>
      <c r="V1059">
        <v>1</v>
      </c>
      <c r="W1059">
        <v>0</v>
      </c>
      <c r="X1059">
        <v>7</v>
      </c>
      <c r="Y1059">
        <v>4</v>
      </c>
      <c r="Z1059">
        <v>1</v>
      </c>
      <c r="AA1059">
        <v>5</v>
      </c>
      <c r="AB1059">
        <v>3</v>
      </c>
      <c r="AC1059">
        <v>0</v>
      </c>
      <c r="AD1059">
        <v>0</v>
      </c>
      <c r="AE1059" t="str" cm="1">
        <f t="array" ref="AE1059">_xlfn.IFS(G1059=1,"Before College",G1059=2,"College",G1059=3,"Bachelor",G1059=4,"Master",G1059=5,"Doctor")</f>
        <v>Bachelor</v>
      </c>
      <c r="AF1059" t="str" cm="1">
        <f t="array" ref="AF1059">_xlfn.IFS(J1059=1,"Low",J1059=2,"Medium",J1059=3,"High",J1059=4,"Very High")</f>
        <v>Low</v>
      </c>
      <c r="AG1059" t="str" cm="1">
        <f t="array" ref="AG1059">_xlfn.IFS(L1059=1,"Low",L1059=2,"Medium",L1059=3,"High",L1059=4,"Very High")</f>
        <v>High</v>
      </c>
      <c r="AH1059" t="str" cm="1">
        <f t="array" ref="AH1059">_xlfn.IFS(M1059=1,"Junior employee",M1059=2,"Mid-level",M1059=3,"Senior",M1059=4,"Manager",M1059=5,"Executive")</f>
        <v>Mid-level</v>
      </c>
      <c r="AI1059" t="str" cm="1">
        <f t="array" ref="AI1059">_xlfn.IFS(O1059=1,"Low",O1059=2,"Medium",O1059=3,"High",O1059=4,"Very High")</f>
        <v>Medium</v>
      </c>
      <c r="AJ1059" t="str" cm="1">
        <f t="array" ref="AJ1059">_xlfn.IFS(U1059=1,"Low",U1059=2,"Good",U1059=3,"Excellent",U1059=4,"Outstanding")</f>
        <v>Excellent</v>
      </c>
      <c r="AK1059" t="str" cm="1">
        <f t="array" ref="AK1059">_xlfn.IFS(V1059=1,"Low",V1059=2,"Medium",V1059=3,"High",V1059=4,"Very High")</f>
        <v>Low</v>
      </c>
      <c r="AL1059" t="str" cm="1">
        <f t="array" ref="AL1059">_xlfn.IFS(Z1059=1,"Bad",Z1059=2,"Good",Z1059=3,"Better",Z1059=4,"Best")</f>
        <v>Bad</v>
      </c>
      <c r="AM1059" t="str" cm="1">
        <f t="array" ref="AM1059">_xlfn.IFS(W1059=0,"No_stock",W1059=1,"Low",W1059=2,"Medium",W1059=3,"High")</f>
        <v>No_stock</v>
      </c>
      <c r="AN1059" t="str">
        <f t="shared" si="16"/>
        <v>Medium</v>
      </c>
    </row>
    <row r="1060" spans="1:40" x14ac:dyDescent="0.45">
      <c r="A1060">
        <v>34</v>
      </c>
      <c r="B1060" t="s">
        <v>30</v>
      </c>
      <c r="C1060" t="s">
        <v>31</v>
      </c>
      <c r="D1060">
        <v>790</v>
      </c>
      <c r="E1060" t="s">
        <v>32</v>
      </c>
      <c r="F1060">
        <v>24</v>
      </c>
      <c r="G1060">
        <v>4</v>
      </c>
      <c r="H1060" t="s">
        <v>45</v>
      </c>
      <c r="I1060">
        <v>1489</v>
      </c>
      <c r="J1060">
        <v>1</v>
      </c>
      <c r="K1060" t="s">
        <v>34</v>
      </c>
      <c r="L1060">
        <v>2</v>
      </c>
      <c r="M1060">
        <v>2</v>
      </c>
      <c r="N1060" t="s">
        <v>35</v>
      </c>
      <c r="O1060">
        <v>2</v>
      </c>
      <c r="P1060" t="s">
        <v>36</v>
      </c>
      <c r="Q1060">
        <v>4599</v>
      </c>
      <c r="R1060">
        <v>0</v>
      </c>
      <c r="S1060" t="s">
        <v>30</v>
      </c>
      <c r="T1060">
        <v>23</v>
      </c>
      <c r="U1060">
        <v>4</v>
      </c>
      <c r="V1060">
        <v>3</v>
      </c>
      <c r="W1060">
        <v>0</v>
      </c>
      <c r="X1060">
        <v>16</v>
      </c>
      <c r="Y1060">
        <v>2</v>
      </c>
      <c r="Z1060">
        <v>4</v>
      </c>
      <c r="AA1060">
        <v>15</v>
      </c>
      <c r="AB1060">
        <v>9</v>
      </c>
      <c r="AC1060">
        <v>10</v>
      </c>
      <c r="AD1060">
        <v>10</v>
      </c>
      <c r="AE1060" t="str" cm="1">
        <f t="array" ref="AE1060">_xlfn.IFS(G1060=1,"Before College",G1060=2,"College",G1060=3,"Bachelor",G1060=4,"Master",G1060=5,"Doctor")</f>
        <v>Master</v>
      </c>
      <c r="AF1060" t="str" cm="1">
        <f t="array" ref="AF1060">_xlfn.IFS(J1060=1,"Low",J1060=2,"Medium",J1060=3,"High",J1060=4,"Very High")</f>
        <v>Low</v>
      </c>
      <c r="AG1060" t="str" cm="1">
        <f t="array" ref="AG1060">_xlfn.IFS(L1060=1,"Low",L1060=2,"Medium",L1060=3,"High",L1060=4,"Very High")</f>
        <v>Medium</v>
      </c>
      <c r="AH1060" t="str" cm="1">
        <f t="array" ref="AH1060">_xlfn.IFS(M1060=1,"Junior employee",M1060=2,"Mid-level",M1060=3,"Senior",M1060=4,"Manager",M1060=5,"Executive")</f>
        <v>Mid-level</v>
      </c>
      <c r="AI1060" t="str" cm="1">
        <f t="array" ref="AI1060">_xlfn.IFS(O1060=1,"Low",O1060=2,"Medium",O1060=3,"High",O1060=4,"Very High")</f>
        <v>Medium</v>
      </c>
      <c r="AJ1060" t="str" cm="1">
        <f t="array" ref="AJ1060">_xlfn.IFS(U1060=1,"Low",U1060=2,"Good",U1060=3,"Excellent",U1060=4,"Outstanding")</f>
        <v>Outstanding</v>
      </c>
      <c r="AK1060" t="str" cm="1">
        <f t="array" ref="AK1060">_xlfn.IFS(V1060=1,"Low",V1060=2,"Medium",V1060=3,"High",V1060=4,"Very High")</f>
        <v>High</v>
      </c>
      <c r="AL1060" t="str" cm="1">
        <f t="array" ref="AL1060">_xlfn.IFS(Z1060=1,"Bad",Z1060=2,"Good",Z1060=3,"Better",Z1060=4,"Best")</f>
        <v>Best</v>
      </c>
      <c r="AM1060" t="str" cm="1">
        <f t="array" ref="AM1060">_xlfn.IFS(W1060=0,"No_stock",W1060=1,"Low",W1060=2,"Medium",W1060=3,"High")</f>
        <v>No_stock</v>
      </c>
      <c r="AN1060" t="str">
        <f t="shared" si="16"/>
        <v>Far</v>
      </c>
    </row>
    <row r="1061" spans="1:40" x14ac:dyDescent="0.45">
      <c r="A1061">
        <v>35</v>
      </c>
      <c r="B1061" t="s">
        <v>37</v>
      </c>
      <c r="C1061" t="s">
        <v>31</v>
      </c>
      <c r="D1061">
        <v>660</v>
      </c>
      <c r="E1061" t="s">
        <v>32</v>
      </c>
      <c r="F1061">
        <v>7</v>
      </c>
      <c r="G1061">
        <v>1</v>
      </c>
      <c r="H1061" t="s">
        <v>33</v>
      </c>
      <c r="I1061">
        <v>1492</v>
      </c>
      <c r="J1061">
        <v>4</v>
      </c>
      <c r="K1061" t="s">
        <v>40</v>
      </c>
      <c r="L1061">
        <v>3</v>
      </c>
      <c r="M1061">
        <v>1</v>
      </c>
      <c r="N1061" t="s">
        <v>51</v>
      </c>
      <c r="O1061">
        <v>3</v>
      </c>
      <c r="P1061" t="s">
        <v>42</v>
      </c>
      <c r="Q1061">
        <v>2404</v>
      </c>
      <c r="R1061">
        <v>1</v>
      </c>
      <c r="S1061" t="s">
        <v>37</v>
      </c>
      <c r="T1061">
        <v>13</v>
      </c>
      <c r="U1061">
        <v>3</v>
      </c>
      <c r="V1061">
        <v>1</v>
      </c>
      <c r="W1061">
        <v>1</v>
      </c>
      <c r="X1061">
        <v>1</v>
      </c>
      <c r="Y1061">
        <v>3</v>
      </c>
      <c r="Z1061">
        <v>3</v>
      </c>
      <c r="AA1061">
        <v>1</v>
      </c>
      <c r="AB1061">
        <v>0</v>
      </c>
      <c r="AC1061">
        <v>0</v>
      </c>
      <c r="AD1061">
        <v>0</v>
      </c>
      <c r="AE1061" t="str" cm="1">
        <f t="array" ref="AE1061">_xlfn.IFS(G1061=1,"Before College",G1061=2,"College",G1061=3,"Bachelor",G1061=4,"Master",G1061=5,"Doctor")</f>
        <v>Before College</v>
      </c>
      <c r="AF1061" t="str" cm="1">
        <f t="array" ref="AF1061">_xlfn.IFS(J1061=1,"Low",J1061=2,"Medium",J1061=3,"High",J1061=4,"Very High")</f>
        <v>Very High</v>
      </c>
      <c r="AG1061" t="str" cm="1">
        <f t="array" ref="AG1061">_xlfn.IFS(L1061=1,"Low",L1061=2,"Medium",L1061=3,"High",L1061=4,"Very High")</f>
        <v>High</v>
      </c>
      <c r="AH1061" t="str" cm="1">
        <f t="array" ref="AH1061">_xlfn.IFS(M1061=1,"Junior employee",M1061=2,"Mid-level",M1061=3,"Senior",M1061=4,"Manager",M1061=5,"Executive")</f>
        <v>Junior employee</v>
      </c>
      <c r="AI1061" t="str" cm="1">
        <f t="array" ref="AI1061">_xlfn.IFS(O1061=1,"Low",O1061=2,"Medium",O1061=3,"High",O1061=4,"Very High")</f>
        <v>High</v>
      </c>
      <c r="AJ1061" t="str" cm="1">
        <f t="array" ref="AJ1061">_xlfn.IFS(U1061=1,"Low",U1061=2,"Good",U1061=3,"Excellent",U1061=4,"Outstanding")</f>
        <v>Excellent</v>
      </c>
      <c r="AK1061" t="str" cm="1">
        <f t="array" ref="AK1061">_xlfn.IFS(V1061=1,"Low",V1061=2,"Medium",V1061=3,"High",V1061=4,"Very High")</f>
        <v>Low</v>
      </c>
      <c r="AL1061" t="str" cm="1">
        <f t="array" ref="AL1061">_xlfn.IFS(Z1061=1,"Bad",Z1061=2,"Good",Z1061=3,"Better",Z1061=4,"Best")</f>
        <v>Better</v>
      </c>
      <c r="AM1061" t="str" cm="1">
        <f t="array" ref="AM1061">_xlfn.IFS(W1061=0,"No_stock",W1061=1,"Low",W1061=2,"Medium",W1061=3,"High")</f>
        <v>Low</v>
      </c>
      <c r="AN1061" t="str">
        <f t="shared" si="16"/>
        <v>Medium</v>
      </c>
    </row>
    <row r="1062" spans="1:40" x14ac:dyDescent="0.45">
      <c r="A1062">
        <v>24</v>
      </c>
      <c r="B1062" t="s">
        <v>30</v>
      </c>
      <c r="C1062" t="s">
        <v>38</v>
      </c>
      <c r="D1062">
        <v>381</v>
      </c>
      <c r="E1062" t="s">
        <v>39</v>
      </c>
      <c r="F1062">
        <v>9</v>
      </c>
      <c r="G1062">
        <v>3</v>
      </c>
      <c r="H1062" t="s">
        <v>45</v>
      </c>
      <c r="I1062">
        <v>1494</v>
      </c>
      <c r="J1062">
        <v>2</v>
      </c>
      <c r="K1062" t="s">
        <v>40</v>
      </c>
      <c r="L1062">
        <v>3</v>
      </c>
      <c r="M1062">
        <v>1</v>
      </c>
      <c r="N1062" t="s">
        <v>44</v>
      </c>
      <c r="O1062">
        <v>1</v>
      </c>
      <c r="P1062" t="s">
        <v>36</v>
      </c>
      <c r="Q1062">
        <v>3172</v>
      </c>
      <c r="R1062">
        <v>2</v>
      </c>
      <c r="S1062" t="s">
        <v>30</v>
      </c>
      <c r="T1062">
        <v>11</v>
      </c>
      <c r="U1062">
        <v>3</v>
      </c>
      <c r="V1062">
        <v>3</v>
      </c>
      <c r="W1062">
        <v>0</v>
      </c>
      <c r="X1062">
        <v>4</v>
      </c>
      <c r="Y1062">
        <v>2</v>
      </c>
      <c r="Z1062">
        <v>2</v>
      </c>
      <c r="AA1062">
        <v>0</v>
      </c>
      <c r="AB1062">
        <v>0</v>
      </c>
      <c r="AC1062">
        <v>0</v>
      </c>
      <c r="AD1062">
        <v>0</v>
      </c>
      <c r="AE1062" t="str" cm="1">
        <f t="array" ref="AE1062">_xlfn.IFS(G1062=1,"Before College",G1062=2,"College",G1062=3,"Bachelor",G1062=4,"Master",G1062=5,"Doctor")</f>
        <v>Bachelor</v>
      </c>
      <c r="AF1062" t="str" cm="1">
        <f t="array" ref="AF1062">_xlfn.IFS(J1062=1,"Low",J1062=2,"Medium",J1062=3,"High",J1062=4,"Very High")</f>
        <v>Medium</v>
      </c>
      <c r="AG1062" t="str" cm="1">
        <f t="array" ref="AG1062">_xlfn.IFS(L1062=1,"Low",L1062=2,"Medium",L1062=3,"High",L1062=4,"Very High")</f>
        <v>High</v>
      </c>
      <c r="AH1062" t="str" cm="1">
        <f t="array" ref="AH1062">_xlfn.IFS(M1062=1,"Junior employee",M1062=2,"Mid-level",M1062=3,"Senior",M1062=4,"Manager",M1062=5,"Executive")</f>
        <v>Junior employee</v>
      </c>
      <c r="AI1062" t="str" cm="1">
        <f t="array" ref="AI1062">_xlfn.IFS(O1062=1,"Low",O1062=2,"Medium",O1062=3,"High",O1062=4,"Very High")</f>
        <v>Low</v>
      </c>
      <c r="AJ1062" t="str" cm="1">
        <f t="array" ref="AJ1062">_xlfn.IFS(U1062=1,"Low",U1062=2,"Good",U1062=3,"Excellent",U1062=4,"Outstanding")</f>
        <v>Excellent</v>
      </c>
      <c r="AK1062" t="str" cm="1">
        <f t="array" ref="AK1062">_xlfn.IFS(V1062=1,"Low",V1062=2,"Medium",V1062=3,"High",V1062=4,"Very High")</f>
        <v>High</v>
      </c>
      <c r="AL1062" t="str" cm="1">
        <f t="array" ref="AL1062">_xlfn.IFS(Z1062=1,"Bad",Z1062=2,"Good",Z1062=3,"Better",Z1062=4,"Best")</f>
        <v>Good</v>
      </c>
      <c r="AM1062" t="str" cm="1">
        <f t="array" ref="AM1062">_xlfn.IFS(W1062=0,"No_stock",W1062=1,"Low",W1062=2,"Medium",W1062=3,"High")</f>
        <v>No_stock</v>
      </c>
      <c r="AN1062" t="str">
        <f t="shared" si="16"/>
        <v>Medium</v>
      </c>
    </row>
    <row r="1063" spans="1:40" x14ac:dyDescent="0.45">
      <c r="A1063">
        <v>24</v>
      </c>
      <c r="B1063" t="s">
        <v>37</v>
      </c>
      <c r="C1063" t="s">
        <v>49</v>
      </c>
      <c r="D1063">
        <v>830</v>
      </c>
      <c r="E1063" t="s">
        <v>32</v>
      </c>
      <c r="F1063">
        <v>13</v>
      </c>
      <c r="G1063">
        <v>2</v>
      </c>
      <c r="H1063" t="s">
        <v>33</v>
      </c>
      <c r="I1063">
        <v>1495</v>
      </c>
      <c r="J1063">
        <v>4</v>
      </c>
      <c r="K1063" t="s">
        <v>34</v>
      </c>
      <c r="L1063">
        <v>3</v>
      </c>
      <c r="M1063">
        <v>1</v>
      </c>
      <c r="N1063" t="s">
        <v>51</v>
      </c>
      <c r="O1063">
        <v>2</v>
      </c>
      <c r="P1063" t="s">
        <v>42</v>
      </c>
      <c r="Q1063">
        <v>2033</v>
      </c>
      <c r="R1063">
        <v>1</v>
      </c>
      <c r="S1063" t="s">
        <v>37</v>
      </c>
      <c r="T1063">
        <v>13</v>
      </c>
      <c r="U1063">
        <v>3</v>
      </c>
      <c r="V1063">
        <v>3</v>
      </c>
      <c r="W1063">
        <v>1</v>
      </c>
      <c r="X1063">
        <v>1</v>
      </c>
      <c r="Y1063">
        <v>2</v>
      </c>
      <c r="Z1063">
        <v>3</v>
      </c>
      <c r="AA1063">
        <v>1</v>
      </c>
      <c r="AB1063">
        <v>0</v>
      </c>
      <c r="AC1063">
        <v>0</v>
      </c>
      <c r="AD1063">
        <v>0</v>
      </c>
      <c r="AE1063" t="str" cm="1">
        <f t="array" ref="AE1063">_xlfn.IFS(G1063=1,"Before College",G1063=2,"College",G1063=3,"Bachelor",G1063=4,"Master",G1063=5,"Doctor")</f>
        <v>College</v>
      </c>
      <c r="AF1063" t="str" cm="1">
        <f t="array" ref="AF1063">_xlfn.IFS(J1063=1,"Low",J1063=2,"Medium",J1063=3,"High",J1063=4,"Very High")</f>
        <v>Very High</v>
      </c>
      <c r="AG1063" t="str" cm="1">
        <f t="array" ref="AG1063">_xlfn.IFS(L1063=1,"Low",L1063=2,"Medium",L1063=3,"High",L1063=4,"Very High")</f>
        <v>High</v>
      </c>
      <c r="AH1063" t="str" cm="1">
        <f t="array" ref="AH1063">_xlfn.IFS(M1063=1,"Junior employee",M1063=2,"Mid-level",M1063=3,"Senior",M1063=4,"Manager",M1063=5,"Executive")</f>
        <v>Junior employee</v>
      </c>
      <c r="AI1063" t="str" cm="1">
        <f t="array" ref="AI1063">_xlfn.IFS(O1063=1,"Low",O1063=2,"Medium",O1063=3,"High",O1063=4,"Very High")</f>
        <v>Medium</v>
      </c>
      <c r="AJ1063" t="str" cm="1">
        <f t="array" ref="AJ1063">_xlfn.IFS(U1063=1,"Low",U1063=2,"Good",U1063=3,"Excellent",U1063=4,"Outstanding")</f>
        <v>Excellent</v>
      </c>
      <c r="AK1063" t="str" cm="1">
        <f t="array" ref="AK1063">_xlfn.IFS(V1063=1,"Low",V1063=2,"Medium",V1063=3,"High",V1063=4,"Very High")</f>
        <v>High</v>
      </c>
      <c r="AL1063" t="str" cm="1">
        <f t="array" ref="AL1063">_xlfn.IFS(Z1063=1,"Bad",Z1063=2,"Good",Z1063=3,"Better",Z1063=4,"Best")</f>
        <v>Better</v>
      </c>
      <c r="AM1063" t="str" cm="1">
        <f t="array" ref="AM1063">_xlfn.IFS(W1063=0,"No_stock",W1063=1,"Low",W1063=2,"Medium",W1063=3,"High")</f>
        <v>Low</v>
      </c>
      <c r="AN1063" t="str">
        <f t="shared" si="16"/>
        <v>Medium</v>
      </c>
    </row>
    <row r="1064" spans="1:40" x14ac:dyDescent="0.45">
      <c r="A1064">
        <v>44</v>
      </c>
      <c r="B1064" t="s">
        <v>37</v>
      </c>
      <c r="C1064" t="s">
        <v>38</v>
      </c>
      <c r="D1064">
        <v>1193</v>
      </c>
      <c r="E1064" t="s">
        <v>39</v>
      </c>
      <c r="F1064">
        <v>2</v>
      </c>
      <c r="G1064">
        <v>1</v>
      </c>
      <c r="H1064" t="s">
        <v>45</v>
      </c>
      <c r="I1064">
        <v>1496</v>
      </c>
      <c r="J1064">
        <v>2</v>
      </c>
      <c r="K1064" t="s">
        <v>40</v>
      </c>
      <c r="L1064">
        <v>3</v>
      </c>
      <c r="M1064">
        <v>3</v>
      </c>
      <c r="N1064" t="s">
        <v>47</v>
      </c>
      <c r="O1064">
        <v>3</v>
      </c>
      <c r="P1064" t="s">
        <v>36</v>
      </c>
      <c r="Q1064">
        <v>10209</v>
      </c>
      <c r="R1064">
        <v>5</v>
      </c>
      <c r="S1064" t="s">
        <v>30</v>
      </c>
      <c r="T1064">
        <v>18</v>
      </c>
      <c r="U1064">
        <v>3</v>
      </c>
      <c r="V1064">
        <v>2</v>
      </c>
      <c r="W1064">
        <v>0</v>
      </c>
      <c r="X1064">
        <v>16</v>
      </c>
      <c r="Y1064">
        <v>2</v>
      </c>
      <c r="Z1064">
        <v>2</v>
      </c>
      <c r="AA1064">
        <v>2</v>
      </c>
      <c r="AB1064">
        <v>2</v>
      </c>
      <c r="AC1064">
        <v>2</v>
      </c>
      <c r="AD1064">
        <v>2</v>
      </c>
      <c r="AE1064" t="str" cm="1">
        <f t="array" ref="AE1064">_xlfn.IFS(G1064=1,"Before College",G1064=2,"College",G1064=3,"Bachelor",G1064=4,"Master",G1064=5,"Doctor")</f>
        <v>Before College</v>
      </c>
      <c r="AF1064" t="str" cm="1">
        <f t="array" ref="AF1064">_xlfn.IFS(J1064=1,"Low",J1064=2,"Medium",J1064=3,"High",J1064=4,"Very High")</f>
        <v>Medium</v>
      </c>
      <c r="AG1064" t="str" cm="1">
        <f t="array" ref="AG1064">_xlfn.IFS(L1064=1,"Low",L1064=2,"Medium",L1064=3,"High",L1064=4,"Very High")</f>
        <v>High</v>
      </c>
      <c r="AH1064" t="str" cm="1">
        <f t="array" ref="AH1064">_xlfn.IFS(M1064=1,"Junior employee",M1064=2,"Mid-level",M1064=3,"Senior",M1064=4,"Manager",M1064=5,"Executive")</f>
        <v>Senior</v>
      </c>
      <c r="AI1064" t="str" cm="1">
        <f t="array" ref="AI1064">_xlfn.IFS(O1064=1,"Low",O1064=2,"Medium",O1064=3,"High",O1064=4,"Very High")</f>
        <v>High</v>
      </c>
      <c r="AJ1064" t="str" cm="1">
        <f t="array" ref="AJ1064">_xlfn.IFS(U1064=1,"Low",U1064=2,"Good",U1064=3,"Excellent",U1064=4,"Outstanding")</f>
        <v>Excellent</v>
      </c>
      <c r="AK1064" t="str" cm="1">
        <f t="array" ref="AK1064">_xlfn.IFS(V1064=1,"Low",V1064=2,"Medium",V1064=3,"High",V1064=4,"Very High")</f>
        <v>Medium</v>
      </c>
      <c r="AL1064" t="str" cm="1">
        <f t="array" ref="AL1064">_xlfn.IFS(Z1064=1,"Bad",Z1064=2,"Good",Z1064=3,"Better",Z1064=4,"Best")</f>
        <v>Good</v>
      </c>
      <c r="AM1064" t="str" cm="1">
        <f t="array" ref="AM1064">_xlfn.IFS(W1064=0,"No_stock",W1064=1,"Low",W1064=2,"Medium",W1064=3,"High")</f>
        <v>No_stock</v>
      </c>
      <c r="AN1064" t="str">
        <f t="shared" si="16"/>
        <v>Near</v>
      </c>
    </row>
    <row r="1065" spans="1:40" x14ac:dyDescent="0.45">
      <c r="A1065">
        <v>29</v>
      </c>
      <c r="B1065" t="s">
        <v>37</v>
      </c>
      <c r="C1065" t="s">
        <v>31</v>
      </c>
      <c r="D1065">
        <v>1246</v>
      </c>
      <c r="E1065" t="s">
        <v>32</v>
      </c>
      <c r="F1065">
        <v>19</v>
      </c>
      <c r="G1065">
        <v>3</v>
      </c>
      <c r="H1065" t="s">
        <v>33</v>
      </c>
      <c r="I1065">
        <v>1497</v>
      </c>
      <c r="J1065">
        <v>3</v>
      </c>
      <c r="K1065" t="s">
        <v>40</v>
      </c>
      <c r="L1065">
        <v>2</v>
      </c>
      <c r="M1065">
        <v>2</v>
      </c>
      <c r="N1065" t="s">
        <v>35</v>
      </c>
      <c r="O1065">
        <v>3</v>
      </c>
      <c r="P1065" t="s">
        <v>46</v>
      </c>
      <c r="Q1065">
        <v>8620</v>
      </c>
      <c r="R1065">
        <v>1</v>
      </c>
      <c r="S1065" t="s">
        <v>37</v>
      </c>
      <c r="T1065">
        <v>14</v>
      </c>
      <c r="U1065">
        <v>3</v>
      </c>
      <c r="V1065">
        <v>3</v>
      </c>
      <c r="W1065">
        <v>2</v>
      </c>
      <c r="X1065">
        <v>10</v>
      </c>
      <c r="Y1065">
        <v>3</v>
      </c>
      <c r="Z1065">
        <v>3</v>
      </c>
      <c r="AA1065">
        <v>10</v>
      </c>
      <c r="AB1065">
        <v>7</v>
      </c>
      <c r="AC1065">
        <v>0</v>
      </c>
      <c r="AD1065">
        <v>4</v>
      </c>
      <c r="AE1065" t="str" cm="1">
        <f t="array" ref="AE1065">_xlfn.IFS(G1065=1,"Before College",G1065=2,"College",G1065=3,"Bachelor",G1065=4,"Master",G1065=5,"Doctor")</f>
        <v>Bachelor</v>
      </c>
      <c r="AF1065" t="str" cm="1">
        <f t="array" ref="AF1065">_xlfn.IFS(J1065=1,"Low",J1065=2,"Medium",J1065=3,"High",J1065=4,"Very High")</f>
        <v>High</v>
      </c>
      <c r="AG1065" t="str" cm="1">
        <f t="array" ref="AG1065">_xlfn.IFS(L1065=1,"Low",L1065=2,"Medium",L1065=3,"High",L1065=4,"Very High")</f>
        <v>Medium</v>
      </c>
      <c r="AH1065" t="str" cm="1">
        <f t="array" ref="AH1065">_xlfn.IFS(M1065=1,"Junior employee",M1065=2,"Mid-level",M1065=3,"Senior",M1065=4,"Manager",M1065=5,"Executive")</f>
        <v>Mid-level</v>
      </c>
      <c r="AI1065" t="str" cm="1">
        <f t="array" ref="AI1065">_xlfn.IFS(O1065=1,"Low",O1065=2,"Medium",O1065=3,"High",O1065=4,"Very High")</f>
        <v>High</v>
      </c>
      <c r="AJ1065" t="str" cm="1">
        <f t="array" ref="AJ1065">_xlfn.IFS(U1065=1,"Low",U1065=2,"Good",U1065=3,"Excellent",U1065=4,"Outstanding")</f>
        <v>Excellent</v>
      </c>
      <c r="AK1065" t="str" cm="1">
        <f t="array" ref="AK1065">_xlfn.IFS(V1065=1,"Low",V1065=2,"Medium",V1065=3,"High",V1065=4,"Very High")</f>
        <v>High</v>
      </c>
      <c r="AL1065" t="str" cm="1">
        <f t="array" ref="AL1065">_xlfn.IFS(Z1065=1,"Bad",Z1065=2,"Good",Z1065=3,"Better",Z1065=4,"Best")</f>
        <v>Better</v>
      </c>
      <c r="AM1065" t="str" cm="1">
        <f t="array" ref="AM1065">_xlfn.IFS(W1065=0,"No_stock",W1065=1,"Low",W1065=2,"Medium",W1065=3,"High")</f>
        <v>Medium</v>
      </c>
      <c r="AN1065" t="str">
        <f t="shared" si="16"/>
        <v>Far</v>
      </c>
    </row>
    <row r="1066" spans="1:40" x14ac:dyDescent="0.45">
      <c r="A1066">
        <v>30</v>
      </c>
      <c r="B1066" t="s">
        <v>37</v>
      </c>
      <c r="C1066" t="s">
        <v>31</v>
      </c>
      <c r="D1066">
        <v>330</v>
      </c>
      <c r="E1066" t="s">
        <v>55</v>
      </c>
      <c r="F1066">
        <v>1</v>
      </c>
      <c r="G1066">
        <v>3</v>
      </c>
      <c r="H1066" t="s">
        <v>33</v>
      </c>
      <c r="I1066">
        <v>1499</v>
      </c>
      <c r="J1066">
        <v>3</v>
      </c>
      <c r="K1066" t="s">
        <v>40</v>
      </c>
      <c r="L1066">
        <v>3</v>
      </c>
      <c r="M1066">
        <v>1</v>
      </c>
      <c r="N1066" t="s">
        <v>55</v>
      </c>
      <c r="O1066">
        <v>3</v>
      </c>
      <c r="P1066" t="s">
        <v>46</v>
      </c>
      <c r="Q1066">
        <v>2064</v>
      </c>
      <c r="R1066">
        <v>0</v>
      </c>
      <c r="S1066" t="s">
        <v>37</v>
      </c>
      <c r="T1066">
        <v>21</v>
      </c>
      <c r="U1066">
        <v>4</v>
      </c>
      <c r="V1066">
        <v>1</v>
      </c>
      <c r="W1066">
        <v>1</v>
      </c>
      <c r="X1066">
        <v>6</v>
      </c>
      <c r="Y1066">
        <v>3</v>
      </c>
      <c r="Z1066">
        <v>4</v>
      </c>
      <c r="AA1066">
        <v>5</v>
      </c>
      <c r="AB1066">
        <v>3</v>
      </c>
      <c r="AC1066">
        <v>1</v>
      </c>
      <c r="AD1066">
        <v>3</v>
      </c>
      <c r="AE1066" t="str" cm="1">
        <f t="array" ref="AE1066">_xlfn.IFS(G1066=1,"Before College",G1066=2,"College",G1066=3,"Bachelor",G1066=4,"Master",G1066=5,"Doctor")</f>
        <v>Bachelor</v>
      </c>
      <c r="AF1066" t="str" cm="1">
        <f t="array" ref="AF1066">_xlfn.IFS(J1066=1,"Low",J1066=2,"Medium",J1066=3,"High",J1066=4,"Very High")</f>
        <v>High</v>
      </c>
      <c r="AG1066" t="str" cm="1">
        <f t="array" ref="AG1066">_xlfn.IFS(L1066=1,"Low",L1066=2,"Medium",L1066=3,"High",L1066=4,"Very High")</f>
        <v>High</v>
      </c>
      <c r="AH1066" t="str" cm="1">
        <f t="array" ref="AH1066">_xlfn.IFS(M1066=1,"Junior employee",M1066=2,"Mid-level",M1066=3,"Senior",M1066=4,"Manager",M1066=5,"Executive")</f>
        <v>Junior employee</v>
      </c>
      <c r="AI1066" t="str" cm="1">
        <f t="array" ref="AI1066">_xlfn.IFS(O1066=1,"Low",O1066=2,"Medium",O1066=3,"High",O1066=4,"Very High")</f>
        <v>High</v>
      </c>
      <c r="AJ1066" t="str" cm="1">
        <f t="array" ref="AJ1066">_xlfn.IFS(U1066=1,"Low",U1066=2,"Good",U1066=3,"Excellent",U1066=4,"Outstanding")</f>
        <v>Outstanding</v>
      </c>
      <c r="AK1066" t="str" cm="1">
        <f t="array" ref="AK1066">_xlfn.IFS(V1066=1,"Low",V1066=2,"Medium",V1066=3,"High",V1066=4,"Very High")</f>
        <v>Low</v>
      </c>
      <c r="AL1066" t="str" cm="1">
        <f t="array" ref="AL1066">_xlfn.IFS(Z1066=1,"Bad",Z1066=2,"Good",Z1066=3,"Better",Z1066=4,"Best")</f>
        <v>Best</v>
      </c>
      <c r="AM1066" t="str" cm="1">
        <f t="array" ref="AM1066">_xlfn.IFS(W1066=0,"No_stock",W1066=1,"Low",W1066=2,"Medium",W1066=3,"High")</f>
        <v>Low</v>
      </c>
      <c r="AN1066" t="str">
        <f t="shared" si="16"/>
        <v>Near</v>
      </c>
    </row>
    <row r="1067" spans="1:40" x14ac:dyDescent="0.45">
      <c r="A1067">
        <v>55</v>
      </c>
      <c r="B1067" t="s">
        <v>37</v>
      </c>
      <c r="C1067" t="s">
        <v>31</v>
      </c>
      <c r="D1067">
        <v>1229</v>
      </c>
      <c r="E1067" t="s">
        <v>39</v>
      </c>
      <c r="F1067">
        <v>4</v>
      </c>
      <c r="G1067">
        <v>4</v>
      </c>
      <c r="H1067" t="s">
        <v>33</v>
      </c>
      <c r="I1067">
        <v>1501</v>
      </c>
      <c r="J1067">
        <v>4</v>
      </c>
      <c r="K1067" t="s">
        <v>40</v>
      </c>
      <c r="L1067">
        <v>3</v>
      </c>
      <c r="M1067">
        <v>2</v>
      </c>
      <c r="N1067" t="s">
        <v>48</v>
      </c>
      <c r="O1067">
        <v>3</v>
      </c>
      <c r="P1067" t="s">
        <v>42</v>
      </c>
      <c r="Q1067">
        <v>4035</v>
      </c>
      <c r="R1067">
        <v>0</v>
      </c>
      <c r="S1067" t="s">
        <v>30</v>
      </c>
      <c r="T1067">
        <v>16</v>
      </c>
      <c r="U1067">
        <v>3</v>
      </c>
      <c r="V1067">
        <v>2</v>
      </c>
      <c r="W1067">
        <v>0</v>
      </c>
      <c r="X1067">
        <v>4</v>
      </c>
      <c r="Y1067">
        <v>2</v>
      </c>
      <c r="Z1067">
        <v>3</v>
      </c>
      <c r="AA1067">
        <v>3</v>
      </c>
      <c r="AB1067">
        <v>2</v>
      </c>
      <c r="AC1067">
        <v>1</v>
      </c>
      <c r="AD1067">
        <v>2</v>
      </c>
      <c r="AE1067" t="str" cm="1">
        <f t="array" ref="AE1067">_xlfn.IFS(G1067=1,"Before College",G1067=2,"College",G1067=3,"Bachelor",G1067=4,"Master",G1067=5,"Doctor")</f>
        <v>Master</v>
      </c>
      <c r="AF1067" t="str" cm="1">
        <f t="array" ref="AF1067">_xlfn.IFS(J1067=1,"Low",J1067=2,"Medium",J1067=3,"High",J1067=4,"Very High")</f>
        <v>Very High</v>
      </c>
      <c r="AG1067" t="str" cm="1">
        <f t="array" ref="AG1067">_xlfn.IFS(L1067=1,"Low",L1067=2,"Medium",L1067=3,"High",L1067=4,"Very High")</f>
        <v>High</v>
      </c>
      <c r="AH1067" t="str" cm="1">
        <f t="array" ref="AH1067">_xlfn.IFS(M1067=1,"Junior employee",M1067=2,"Mid-level",M1067=3,"Senior",M1067=4,"Manager",M1067=5,"Executive")</f>
        <v>Mid-level</v>
      </c>
      <c r="AI1067" t="str" cm="1">
        <f t="array" ref="AI1067">_xlfn.IFS(O1067=1,"Low",O1067=2,"Medium",O1067=3,"High",O1067=4,"Very High")</f>
        <v>High</v>
      </c>
      <c r="AJ1067" t="str" cm="1">
        <f t="array" ref="AJ1067">_xlfn.IFS(U1067=1,"Low",U1067=2,"Good",U1067=3,"Excellent",U1067=4,"Outstanding")</f>
        <v>Excellent</v>
      </c>
      <c r="AK1067" t="str" cm="1">
        <f t="array" ref="AK1067">_xlfn.IFS(V1067=1,"Low",V1067=2,"Medium",V1067=3,"High",V1067=4,"Very High")</f>
        <v>Medium</v>
      </c>
      <c r="AL1067" t="str" cm="1">
        <f t="array" ref="AL1067">_xlfn.IFS(Z1067=1,"Bad",Z1067=2,"Good",Z1067=3,"Better",Z1067=4,"Best")</f>
        <v>Better</v>
      </c>
      <c r="AM1067" t="str" cm="1">
        <f t="array" ref="AM1067">_xlfn.IFS(W1067=0,"No_stock",W1067=1,"Low",W1067=2,"Medium",W1067=3,"High")</f>
        <v>No_stock</v>
      </c>
      <c r="AN1067" t="str">
        <f t="shared" si="16"/>
        <v>Near</v>
      </c>
    </row>
    <row r="1068" spans="1:40" x14ac:dyDescent="0.45">
      <c r="A1068">
        <v>33</v>
      </c>
      <c r="B1068" t="s">
        <v>37</v>
      </c>
      <c r="C1068" t="s">
        <v>31</v>
      </c>
      <c r="D1068">
        <v>1099</v>
      </c>
      <c r="E1068" t="s">
        <v>39</v>
      </c>
      <c r="F1068">
        <v>4</v>
      </c>
      <c r="G1068">
        <v>4</v>
      </c>
      <c r="H1068" t="s">
        <v>45</v>
      </c>
      <c r="I1068">
        <v>1502</v>
      </c>
      <c r="J1068">
        <v>1</v>
      </c>
      <c r="K1068" t="s">
        <v>34</v>
      </c>
      <c r="L1068">
        <v>2</v>
      </c>
      <c r="M1068">
        <v>1</v>
      </c>
      <c r="N1068" t="s">
        <v>44</v>
      </c>
      <c r="O1068">
        <v>2</v>
      </c>
      <c r="P1068" t="s">
        <v>42</v>
      </c>
      <c r="Q1068">
        <v>3838</v>
      </c>
      <c r="R1068">
        <v>8</v>
      </c>
      <c r="S1068" t="s">
        <v>37</v>
      </c>
      <c r="T1068">
        <v>11</v>
      </c>
      <c r="U1068">
        <v>3</v>
      </c>
      <c r="V1068">
        <v>4</v>
      </c>
      <c r="W1068">
        <v>0</v>
      </c>
      <c r="X1068">
        <v>8</v>
      </c>
      <c r="Y1068">
        <v>5</v>
      </c>
      <c r="Z1068">
        <v>3</v>
      </c>
      <c r="AA1068">
        <v>5</v>
      </c>
      <c r="AB1068">
        <v>4</v>
      </c>
      <c r="AC1068">
        <v>0</v>
      </c>
      <c r="AD1068">
        <v>2</v>
      </c>
      <c r="AE1068" t="str" cm="1">
        <f t="array" ref="AE1068">_xlfn.IFS(G1068=1,"Before College",G1068=2,"College",G1068=3,"Bachelor",G1068=4,"Master",G1068=5,"Doctor")</f>
        <v>Master</v>
      </c>
      <c r="AF1068" t="str" cm="1">
        <f t="array" ref="AF1068">_xlfn.IFS(J1068=1,"Low",J1068=2,"Medium",J1068=3,"High",J1068=4,"Very High")</f>
        <v>Low</v>
      </c>
      <c r="AG1068" t="str" cm="1">
        <f t="array" ref="AG1068">_xlfn.IFS(L1068=1,"Low",L1068=2,"Medium",L1068=3,"High",L1068=4,"Very High")</f>
        <v>Medium</v>
      </c>
      <c r="AH1068" t="str" cm="1">
        <f t="array" ref="AH1068">_xlfn.IFS(M1068=1,"Junior employee",M1068=2,"Mid-level",M1068=3,"Senior",M1068=4,"Manager",M1068=5,"Executive")</f>
        <v>Junior employee</v>
      </c>
      <c r="AI1068" t="str" cm="1">
        <f t="array" ref="AI1068">_xlfn.IFS(O1068=1,"Low",O1068=2,"Medium",O1068=3,"High",O1068=4,"Very High")</f>
        <v>Medium</v>
      </c>
      <c r="AJ1068" t="str" cm="1">
        <f t="array" ref="AJ1068">_xlfn.IFS(U1068=1,"Low",U1068=2,"Good",U1068=3,"Excellent",U1068=4,"Outstanding")</f>
        <v>Excellent</v>
      </c>
      <c r="AK1068" t="str" cm="1">
        <f t="array" ref="AK1068">_xlfn.IFS(V1068=1,"Low",V1068=2,"Medium",V1068=3,"High",V1068=4,"Very High")</f>
        <v>Very High</v>
      </c>
      <c r="AL1068" t="str" cm="1">
        <f t="array" ref="AL1068">_xlfn.IFS(Z1068=1,"Bad",Z1068=2,"Good",Z1068=3,"Better",Z1068=4,"Best")</f>
        <v>Better</v>
      </c>
      <c r="AM1068" t="str" cm="1">
        <f t="array" ref="AM1068">_xlfn.IFS(W1068=0,"No_stock",W1068=1,"Low",W1068=2,"Medium",W1068=3,"High")</f>
        <v>No_stock</v>
      </c>
      <c r="AN1068" t="str">
        <f t="shared" si="16"/>
        <v>Near</v>
      </c>
    </row>
    <row r="1069" spans="1:40" x14ac:dyDescent="0.45">
      <c r="A1069">
        <v>47</v>
      </c>
      <c r="B1069" t="s">
        <v>37</v>
      </c>
      <c r="C1069" t="s">
        <v>31</v>
      </c>
      <c r="D1069">
        <v>571</v>
      </c>
      <c r="E1069" t="s">
        <v>32</v>
      </c>
      <c r="F1069">
        <v>14</v>
      </c>
      <c r="G1069">
        <v>3</v>
      </c>
      <c r="H1069" t="s">
        <v>45</v>
      </c>
      <c r="I1069">
        <v>1503</v>
      </c>
      <c r="J1069">
        <v>3</v>
      </c>
      <c r="K1069" t="s">
        <v>34</v>
      </c>
      <c r="L1069">
        <v>3</v>
      </c>
      <c r="M1069">
        <v>2</v>
      </c>
      <c r="N1069" t="s">
        <v>35</v>
      </c>
      <c r="O1069">
        <v>3</v>
      </c>
      <c r="P1069" t="s">
        <v>42</v>
      </c>
      <c r="Q1069">
        <v>4591</v>
      </c>
      <c r="R1069">
        <v>3</v>
      </c>
      <c r="S1069" t="s">
        <v>30</v>
      </c>
      <c r="T1069">
        <v>17</v>
      </c>
      <c r="U1069">
        <v>3</v>
      </c>
      <c r="V1069">
        <v>3</v>
      </c>
      <c r="W1069">
        <v>1</v>
      </c>
      <c r="X1069">
        <v>11</v>
      </c>
      <c r="Y1069">
        <v>4</v>
      </c>
      <c r="Z1069">
        <v>2</v>
      </c>
      <c r="AA1069">
        <v>5</v>
      </c>
      <c r="AB1069">
        <v>4</v>
      </c>
      <c r="AC1069">
        <v>1</v>
      </c>
      <c r="AD1069">
        <v>2</v>
      </c>
      <c r="AE1069" t="str" cm="1">
        <f t="array" ref="AE1069">_xlfn.IFS(G1069=1,"Before College",G1069=2,"College",G1069=3,"Bachelor",G1069=4,"Master",G1069=5,"Doctor")</f>
        <v>Bachelor</v>
      </c>
      <c r="AF1069" t="str" cm="1">
        <f t="array" ref="AF1069">_xlfn.IFS(J1069=1,"Low",J1069=2,"Medium",J1069=3,"High",J1069=4,"Very High")</f>
        <v>High</v>
      </c>
      <c r="AG1069" t="str" cm="1">
        <f t="array" ref="AG1069">_xlfn.IFS(L1069=1,"Low",L1069=2,"Medium",L1069=3,"High",L1069=4,"Very High")</f>
        <v>High</v>
      </c>
      <c r="AH1069" t="str" cm="1">
        <f t="array" ref="AH1069">_xlfn.IFS(M1069=1,"Junior employee",M1069=2,"Mid-level",M1069=3,"Senior",M1069=4,"Manager",M1069=5,"Executive")</f>
        <v>Mid-level</v>
      </c>
      <c r="AI1069" t="str" cm="1">
        <f t="array" ref="AI1069">_xlfn.IFS(O1069=1,"Low",O1069=2,"Medium",O1069=3,"High",O1069=4,"Very High")</f>
        <v>High</v>
      </c>
      <c r="AJ1069" t="str" cm="1">
        <f t="array" ref="AJ1069">_xlfn.IFS(U1069=1,"Low",U1069=2,"Good",U1069=3,"Excellent",U1069=4,"Outstanding")</f>
        <v>Excellent</v>
      </c>
      <c r="AK1069" t="str" cm="1">
        <f t="array" ref="AK1069">_xlfn.IFS(V1069=1,"Low",V1069=2,"Medium",V1069=3,"High",V1069=4,"Very High")</f>
        <v>High</v>
      </c>
      <c r="AL1069" t="str" cm="1">
        <f t="array" ref="AL1069">_xlfn.IFS(Z1069=1,"Bad",Z1069=2,"Good",Z1069=3,"Better",Z1069=4,"Best")</f>
        <v>Good</v>
      </c>
      <c r="AM1069" t="str" cm="1">
        <f t="array" ref="AM1069">_xlfn.IFS(W1069=0,"No_stock",W1069=1,"Low",W1069=2,"Medium",W1069=3,"High")</f>
        <v>Low</v>
      </c>
      <c r="AN1069" t="str">
        <f t="shared" si="16"/>
        <v>Medium</v>
      </c>
    </row>
    <row r="1070" spans="1:40" x14ac:dyDescent="0.45">
      <c r="A1070">
        <v>28</v>
      </c>
      <c r="B1070" t="s">
        <v>30</v>
      </c>
      <c r="C1070" t="s">
        <v>38</v>
      </c>
      <c r="D1070">
        <v>289</v>
      </c>
      <c r="E1070" t="s">
        <v>39</v>
      </c>
      <c r="F1070">
        <v>2</v>
      </c>
      <c r="G1070">
        <v>2</v>
      </c>
      <c r="H1070" t="s">
        <v>45</v>
      </c>
      <c r="I1070">
        <v>1504</v>
      </c>
      <c r="J1070">
        <v>3</v>
      </c>
      <c r="K1070" t="s">
        <v>40</v>
      </c>
      <c r="L1070">
        <v>2</v>
      </c>
      <c r="M1070">
        <v>1</v>
      </c>
      <c r="N1070" t="s">
        <v>44</v>
      </c>
      <c r="O1070">
        <v>1</v>
      </c>
      <c r="P1070" t="s">
        <v>36</v>
      </c>
      <c r="Q1070">
        <v>2561</v>
      </c>
      <c r="R1070">
        <v>7</v>
      </c>
      <c r="S1070" t="s">
        <v>37</v>
      </c>
      <c r="T1070">
        <v>11</v>
      </c>
      <c r="U1070">
        <v>3</v>
      </c>
      <c r="V1070">
        <v>3</v>
      </c>
      <c r="W1070">
        <v>0</v>
      </c>
      <c r="X1070">
        <v>8</v>
      </c>
      <c r="Y1070">
        <v>2</v>
      </c>
      <c r="Z1070">
        <v>2</v>
      </c>
      <c r="AA1070">
        <v>0</v>
      </c>
      <c r="AB1070">
        <v>0</v>
      </c>
      <c r="AC1070">
        <v>0</v>
      </c>
      <c r="AD1070">
        <v>0</v>
      </c>
      <c r="AE1070" t="str" cm="1">
        <f t="array" ref="AE1070">_xlfn.IFS(G1070=1,"Before College",G1070=2,"College",G1070=3,"Bachelor",G1070=4,"Master",G1070=5,"Doctor")</f>
        <v>College</v>
      </c>
      <c r="AF1070" t="str" cm="1">
        <f t="array" ref="AF1070">_xlfn.IFS(J1070=1,"Low",J1070=2,"Medium",J1070=3,"High",J1070=4,"Very High")</f>
        <v>High</v>
      </c>
      <c r="AG1070" t="str" cm="1">
        <f t="array" ref="AG1070">_xlfn.IFS(L1070=1,"Low",L1070=2,"Medium",L1070=3,"High",L1070=4,"Very High")</f>
        <v>Medium</v>
      </c>
      <c r="AH1070" t="str" cm="1">
        <f t="array" ref="AH1070">_xlfn.IFS(M1070=1,"Junior employee",M1070=2,"Mid-level",M1070=3,"Senior",M1070=4,"Manager",M1070=5,"Executive")</f>
        <v>Junior employee</v>
      </c>
      <c r="AI1070" t="str" cm="1">
        <f t="array" ref="AI1070">_xlfn.IFS(O1070=1,"Low",O1070=2,"Medium",O1070=3,"High",O1070=4,"Very High")</f>
        <v>Low</v>
      </c>
      <c r="AJ1070" t="str" cm="1">
        <f t="array" ref="AJ1070">_xlfn.IFS(U1070=1,"Low",U1070=2,"Good",U1070=3,"Excellent",U1070=4,"Outstanding")</f>
        <v>Excellent</v>
      </c>
      <c r="AK1070" t="str" cm="1">
        <f t="array" ref="AK1070">_xlfn.IFS(V1070=1,"Low",V1070=2,"Medium",V1070=3,"High",V1070=4,"Very High")</f>
        <v>High</v>
      </c>
      <c r="AL1070" t="str" cm="1">
        <f t="array" ref="AL1070">_xlfn.IFS(Z1070=1,"Bad",Z1070=2,"Good",Z1070=3,"Better",Z1070=4,"Best")</f>
        <v>Good</v>
      </c>
      <c r="AM1070" t="str" cm="1">
        <f t="array" ref="AM1070">_xlfn.IFS(W1070=0,"No_stock",W1070=1,"Low",W1070=2,"Medium",W1070=3,"High")</f>
        <v>No_stock</v>
      </c>
      <c r="AN1070" t="str">
        <f t="shared" si="16"/>
        <v>Near</v>
      </c>
    </row>
    <row r="1071" spans="1:40" x14ac:dyDescent="0.45">
      <c r="A1071">
        <v>28</v>
      </c>
      <c r="B1071" t="s">
        <v>37</v>
      </c>
      <c r="C1071" t="s">
        <v>31</v>
      </c>
      <c r="D1071">
        <v>1423</v>
      </c>
      <c r="E1071" t="s">
        <v>39</v>
      </c>
      <c r="F1071">
        <v>1</v>
      </c>
      <c r="G1071">
        <v>3</v>
      </c>
      <c r="H1071" t="s">
        <v>33</v>
      </c>
      <c r="I1071">
        <v>1506</v>
      </c>
      <c r="J1071">
        <v>1</v>
      </c>
      <c r="K1071" t="s">
        <v>40</v>
      </c>
      <c r="L1071">
        <v>2</v>
      </c>
      <c r="M1071">
        <v>1</v>
      </c>
      <c r="N1071" t="s">
        <v>41</v>
      </c>
      <c r="O1071">
        <v>3</v>
      </c>
      <c r="P1071" t="s">
        <v>46</v>
      </c>
      <c r="Q1071">
        <v>1563</v>
      </c>
      <c r="R1071">
        <v>1</v>
      </c>
      <c r="S1071" t="s">
        <v>37</v>
      </c>
      <c r="T1071">
        <v>14</v>
      </c>
      <c r="U1071">
        <v>3</v>
      </c>
      <c r="V1071">
        <v>4</v>
      </c>
      <c r="W1071">
        <v>1</v>
      </c>
      <c r="X1071">
        <v>1</v>
      </c>
      <c r="Y1071">
        <v>2</v>
      </c>
      <c r="Z1071">
        <v>1</v>
      </c>
      <c r="AA1071">
        <v>1</v>
      </c>
      <c r="AB1071">
        <v>0</v>
      </c>
      <c r="AC1071">
        <v>0</v>
      </c>
      <c r="AD1071">
        <v>0</v>
      </c>
      <c r="AE1071" t="str" cm="1">
        <f t="array" ref="AE1071">_xlfn.IFS(G1071=1,"Before College",G1071=2,"College",G1071=3,"Bachelor",G1071=4,"Master",G1071=5,"Doctor")</f>
        <v>Bachelor</v>
      </c>
      <c r="AF1071" t="str" cm="1">
        <f t="array" ref="AF1071">_xlfn.IFS(J1071=1,"Low",J1071=2,"Medium",J1071=3,"High",J1071=4,"Very High")</f>
        <v>Low</v>
      </c>
      <c r="AG1071" t="str" cm="1">
        <f t="array" ref="AG1071">_xlfn.IFS(L1071=1,"Low",L1071=2,"Medium",L1071=3,"High",L1071=4,"Very High")</f>
        <v>Medium</v>
      </c>
      <c r="AH1071" t="str" cm="1">
        <f t="array" ref="AH1071">_xlfn.IFS(M1071=1,"Junior employee",M1071=2,"Mid-level",M1071=3,"Senior",M1071=4,"Manager",M1071=5,"Executive")</f>
        <v>Junior employee</v>
      </c>
      <c r="AI1071" t="str" cm="1">
        <f t="array" ref="AI1071">_xlfn.IFS(O1071=1,"Low",O1071=2,"Medium",O1071=3,"High",O1071=4,"Very High")</f>
        <v>High</v>
      </c>
      <c r="AJ1071" t="str" cm="1">
        <f t="array" ref="AJ1071">_xlfn.IFS(U1071=1,"Low",U1071=2,"Good",U1071=3,"Excellent",U1071=4,"Outstanding")</f>
        <v>Excellent</v>
      </c>
      <c r="AK1071" t="str" cm="1">
        <f t="array" ref="AK1071">_xlfn.IFS(V1071=1,"Low",V1071=2,"Medium",V1071=3,"High",V1071=4,"Very High")</f>
        <v>Very High</v>
      </c>
      <c r="AL1071" t="str" cm="1">
        <f t="array" ref="AL1071">_xlfn.IFS(Z1071=1,"Bad",Z1071=2,"Good",Z1071=3,"Better",Z1071=4,"Best")</f>
        <v>Bad</v>
      </c>
      <c r="AM1071" t="str" cm="1">
        <f t="array" ref="AM1071">_xlfn.IFS(W1071=0,"No_stock",W1071=1,"Low",W1071=2,"Medium",W1071=3,"High")</f>
        <v>Low</v>
      </c>
      <c r="AN1071" t="str">
        <f t="shared" si="16"/>
        <v>Near</v>
      </c>
    </row>
    <row r="1072" spans="1:40" x14ac:dyDescent="0.45">
      <c r="A1072">
        <v>28</v>
      </c>
      <c r="B1072" t="s">
        <v>37</v>
      </c>
      <c r="C1072" t="s">
        <v>38</v>
      </c>
      <c r="D1072">
        <v>467</v>
      </c>
      <c r="E1072" t="s">
        <v>32</v>
      </c>
      <c r="F1072">
        <v>7</v>
      </c>
      <c r="G1072">
        <v>3</v>
      </c>
      <c r="H1072" t="s">
        <v>33</v>
      </c>
      <c r="I1072">
        <v>1507</v>
      </c>
      <c r="J1072">
        <v>3</v>
      </c>
      <c r="K1072" t="s">
        <v>40</v>
      </c>
      <c r="L1072">
        <v>3</v>
      </c>
      <c r="M1072">
        <v>2</v>
      </c>
      <c r="N1072" t="s">
        <v>35</v>
      </c>
      <c r="O1072">
        <v>1</v>
      </c>
      <c r="P1072" t="s">
        <v>36</v>
      </c>
      <c r="Q1072">
        <v>4898</v>
      </c>
      <c r="R1072">
        <v>0</v>
      </c>
      <c r="S1072" t="s">
        <v>37</v>
      </c>
      <c r="T1072">
        <v>14</v>
      </c>
      <c r="U1072">
        <v>3</v>
      </c>
      <c r="V1072">
        <v>4</v>
      </c>
      <c r="W1072">
        <v>0</v>
      </c>
      <c r="X1072">
        <v>5</v>
      </c>
      <c r="Y1072">
        <v>5</v>
      </c>
      <c r="Z1072">
        <v>3</v>
      </c>
      <c r="AA1072">
        <v>4</v>
      </c>
      <c r="AB1072">
        <v>2</v>
      </c>
      <c r="AC1072">
        <v>1</v>
      </c>
      <c r="AD1072">
        <v>3</v>
      </c>
      <c r="AE1072" t="str" cm="1">
        <f t="array" ref="AE1072">_xlfn.IFS(G1072=1,"Before College",G1072=2,"College",G1072=3,"Bachelor",G1072=4,"Master",G1072=5,"Doctor")</f>
        <v>Bachelor</v>
      </c>
      <c r="AF1072" t="str" cm="1">
        <f t="array" ref="AF1072">_xlfn.IFS(J1072=1,"Low",J1072=2,"Medium",J1072=3,"High",J1072=4,"Very High")</f>
        <v>High</v>
      </c>
      <c r="AG1072" t="str" cm="1">
        <f t="array" ref="AG1072">_xlfn.IFS(L1072=1,"Low",L1072=2,"Medium",L1072=3,"High",L1072=4,"Very High")</f>
        <v>High</v>
      </c>
      <c r="AH1072" t="str" cm="1">
        <f t="array" ref="AH1072">_xlfn.IFS(M1072=1,"Junior employee",M1072=2,"Mid-level",M1072=3,"Senior",M1072=4,"Manager",M1072=5,"Executive")</f>
        <v>Mid-level</v>
      </c>
      <c r="AI1072" t="str" cm="1">
        <f t="array" ref="AI1072">_xlfn.IFS(O1072=1,"Low",O1072=2,"Medium",O1072=3,"High",O1072=4,"Very High")</f>
        <v>Low</v>
      </c>
      <c r="AJ1072" t="str" cm="1">
        <f t="array" ref="AJ1072">_xlfn.IFS(U1072=1,"Low",U1072=2,"Good",U1072=3,"Excellent",U1072=4,"Outstanding")</f>
        <v>Excellent</v>
      </c>
      <c r="AK1072" t="str" cm="1">
        <f t="array" ref="AK1072">_xlfn.IFS(V1072=1,"Low",V1072=2,"Medium",V1072=3,"High",V1072=4,"Very High")</f>
        <v>Very High</v>
      </c>
      <c r="AL1072" t="str" cm="1">
        <f t="array" ref="AL1072">_xlfn.IFS(Z1072=1,"Bad",Z1072=2,"Good",Z1072=3,"Better",Z1072=4,"Best")</f>
        <v>Better</v>
      </c>
      <c r="AM1072" t="str" cm="1">
        <f t="array" ref="AM1072">_xlfn.IFS(W1072=0,"No_stock",W1072=1,"Low",W1072=2,"Medium",W1072=3,"High")</f>
        <v>No_stock</v>
      </c>
      <c r="AN1072" t="str">
        <f t="shared" si="16"/>
        <v>Medium</v>
      </c>
    </row>
    <row r="1073" spans="1:40" x14ac:dyDescent="0.45">
      <c r="A1073">
        <v>49</v>
      </c>
      <c r="B1073" t="s">
        <v>37</v>
      </c>
      <c r="C1073" t="s">
        <v>31</v>
      </c>
      <c r="D1073">
        <v>271</v>
      </c>
      <c r="E1073" t="s">
        <v>39</v>
      </c>
      <c r="F1073">
        <v>3</v>
      </c>
      <c r="G1073">
        <v>2</v>
      </c>
      <c r="H1073" t="s">
        <v>45</v>
      </c>
      <c r="I1073">
        <v>1509</v>
      </c>
      <c r="J1073">
        <v>3</v>
      </c>
      <c r="K1073" t="s">
        <v>34</v>
      </c>
      <c r="L1073">
        <v>2</v>
      </c>
      <c r="M1073">
        <v>2</v>
      </c>
      <c r="N1073" t="s">
        <v>44</v>
      </c>
      <c r="O1073">
        <v>1</v>
      </c>
      <c r="P1073" t="s">
        <v>42</v>
      </c>
      <c r="Q1073">
        <v>4789</v>
      </c>
      <c r="R1073">
        <v>4</v>
      </c>
      <c r="S1073" t="s">
        <v>37</v>
      </c>
      <c r="T1073">
        <v>25</v>
      </c>
      <c r="U1073">
        <v>4</v>
      </c>
      <c r="V1073">
        <v>1</v>
      </c>
      <c r="W1073">
        <v>1</v>
      </c>
      <c r="X1073">
        <v>10</v>
      </c>
      <c r="Y1073">
        <v>3</v>
      </c>
      <c r="Z1073">
        <v>3</v>
      </c>
      <c r="AA1073">
        <v>3</v>
      </c>
      <c r="AB1073">
        <v>2</v>
      </c>
      <c r="AC1073">
        <v>1</v>
      </c>
      <c r="AD1073">
        <v>2</v>
      </c>
      <c r="AE1073" t="str" cm="1">
        <f t="array" ref="AE1073">_xlfn.IFS(G1073=1,"Before College",G1073=2,"College",G1073=3,"Bachelor",G1073=4,"Master",G1073=5,"Doctor")</f>
        <v>College</v>
      </c>
      <c r="AF1073" t="str" cm="1">
        <f t="array" ref="AF1073">_xlfn.IFS(J1073=1,"Low",J1073=2,"Medium",J1073=3,"High",J1073=4,"Very High")</f>
        <v>High</v>
      </c>
      <c r="AG1073" t="str" cm="1">
        <f t="array" ref="AG1073">_xlfn.IFS(L1073=1,"Low",L1073=2,"Medium",L1073=3,"High",L1073=4,"Very High")</f>
        <v>Medium</v>
      </c>
      <c r="AH1073" t="str" cm="1">
        <f t="array" ref="AH1073">_xlfn.IFS(M1073=1,"Junior employee",M1073=2,"Mid-level",M1073=3,"Senior",M1073=4,"Manager",M1073=5,"Executive")</f>
        <v>Mid-level</v>
      </c>
      <c r="AI1073" t="str" cm="1">
        <f t="array" ref="AI1073">_xlfn.IFS(O1073=1,"Low",O1073=2,"Medium",O1073=3,"High",O1073=4,"Very High")</f>
        <v>Low</v>
      </c>
      <c r="AJ1073" t="str" cm="1">
        <f t="array" ref="AJ1073">_xlfn.IFS(U1073=1,"Low",U1073=2,"Good",U1073=3,"Excellent",U1073=4,"Outstanding")</f>
        <v>Outstanding</v>
      </c>
      <c r="AK1073" t="str" cm="1">
        <f t="array" ref="AK1073">_xlfn.IFS(V1073=1,"Low",V1073=2,"Medium",V1073=3,"High",V1073=4,"Very High")</f>
        <v>Low</v>
      </c>
      <c r="AL1073" t="str" cm="1">
        <f t="array" ref="AL1073">_xlfn.IFS(Z1073=1,"Bad",Z1073=2,"Good",Z1073=3,"Better",Z1073=4,"Best")</f>
        <v>Better</v>
      </c>
      <c r="AM1073" t="str" cm="1">
        <f t="array" ref="AM1073">_xlfn.IFS(W1073=0,"No_stock",W1073=1,"Low",W1073=2,"Medium",W1073=3,"High")</f>
        <v>Low</v>
      </c>
      <c r="AN1073" t="str">
        <f t="shared" si="16"/>
        <v>Near</v>
      </c>
    </row>
    <row r="1074" spans="1:40" x14ac:dyDescent="0.45">
      <c r="A1074">
        <v>29</v>
      </c>
      <c r="B1074" t="s">
        <v>37</v>
      </c>
      <c r="C1074" t="s">
        <v>38</v>
      </c>
      <c r="D1074">
        <v>410</v>
      </c>
      <c r="E1074" t="s">
        <v>39</v>
      </c>
      <c r="F1074">
        <v>2</v>
      </c>
      <c r="G1074">
        <v>1</v>
      </c>
      <c r="H1074" t="s">
        <v>33</v>
      </c>
      <c r="I1074">
        <v>1513</v>
      </c>
      <c r="J1074">
        <v>4</v>
      </c>
      <c r="K1074" t="s">
        <v>34</v>
      </c>
      <c r="L1074">
        <v>3</v>
      </c>
      <c r="M1074">
        <v>1</v>
      </c>
      <c r="N1074" t="s">
        <v>44</v>
      </c>
      <c r="O1074">
        <v>2</v>
      </c>
      <c r="P1074" t="s">
        <v>42</v>
      </c>
      <c r="Q1074">
        <v>3180</v>
      </c>
      <c r="R1074">
        <v>0</v>
      </c>
      <c r="S1074" t="s">
        <v>37</v>
      </c>
      <c r="T1074">
        <v>13</v>
      </c>
      <c r="U1074">
        <v>3</v>
      </c>
      <c r="V1074">
        <v>3</v>
      </c>
      <c r="W1074">
        <v>3</v>
      </c>
      <c r="X1074">
        <v>4</v>
      </c>
      <c r="Y1074">
        <v>3</v>
      </c>
      <c r="Z1074">
        <v>3</v>
      </c>
      <c r="AA1074">
        <v>3</v>
      </c>
      <c r="AB1074">
        <v>2</v>
      </c>
      <c r="AC1074">
        <v>0</v>
      </c>
      <c r="AD1074">
        <v>2</v>
      </c>
      <c r="AE1074" t="str" cm="1">
        <f t="array" ref="AE1074">_xlfn.IFS(G1074=1,"Before College",G1074=2,"College",G1074=3,"Bachelor",G1074=4,"Master",G1074=5,"Doctor")</f>
        <v>Before College</v>
      </c>
      <c r="AF1074" t="str" cm="1">
        <f t="array" ref="AF1074">_xlfn.IFS(J1074=1,"Low",J1074=2,"Medium",J1074=3,"High",J1074=4,"Very High")</f>
        <v>Very High</v>
      </c>
      <c r="AG1074" t="str" cm="1">
        <f t="array" ref="AG1074">_xlfn.IFS(L1074=1,"Low",L1074=2,"Medium",L1074=3,"High",L1074=4,"Very High")</f>
        <v>High</v>
      </c>
      <c r="AH1074" t="str" cm="1">
        <f t="array" ref="AH1074">_xlfn.IFS(M1074=1,"Junior employee",M1074=2,"Mid-level",M1074=3,"Senior",M1074=4,"Manager",M1074=5,"Executive")</f>
        <v>Junior employee</v>
      </c>
      <c r="AI1074" t="str" cm="1">
        <f t="array" ref="AI1074">_xlfn.IFS(O1074=1,"Low",O1074=2,"Medium",O1074=3,"High",O1074=4,"Very High")</f>
        <v>Medium</v>
      </c>
      <c r="AJ1074" t="str" cm="1">
        <f t="array" ref="AJ1074">_xlfn.IFS(U1074=1,"Low",U1074=2,"Good",U1074=3,"Excellent",U1074=4,"Outstanding")</f>
        <v>Excellent</v>
      </c>
      <c r="AK1074" t="str" cm="1">
        <f t="array" ref="AK1074">_xlfn.IFS(V1074=1,"Low",V1074=2,"Medium",V1074=3,"High",V1074=4,"Very High")</f>
        <v>High</v>
      </c>
      <c r="AL1074" t="str" cm="1">
        <f t="array" ref="AL1074">_xlfn.IFS(Z1074=1,"Bad",Z1074=2,"Good",Z1074=3,"Better",Z1074=4,"Best")</f>
        <v>Better</v>
      </c>
      <c r="AM1074" t="str" cm="1">
        <f t="array" ref="AM1074">_xlfn.IFS(W1074=0,"No_stock",W1074=1,"Low",W1074=2,"Medium",W1074=3,"High")</f>
        <v>High</v>
      </c>
      <c r="AN1074" t="str">
        <f t="shared" si="16"/>
        <v>Near</v>
      </c>
    </row>
    <row r="1075" spans="1:40" x14ac:dyDescent="0.45">
      <c r="A1075">
        <v>28</v>
      </c>
      <c r="B1075" t="s">
        <v>37</v>
      </c>
      <c r="C1075" t="s">
        <v>31</v>
      </c>
      <c r="D1075">
        <v>1083</v>
      </c>
      <c r="E1075" t="s">
        <v>39</v>
      </c>
      <c r="F1075">
        <v>29</v>
      </c>
      <c r="G1075">
        <v>1</v>
      </c>
      <c r="H1075" t="s">
        <v>33</v>
      </c>
      <c r="I1075">
        <v>1514</v>
      </c>
      <c r="J1075">
        <v>3</v>
      </c>
      <c r="K1075" t="s">
        <v>40</v>
      </c>
      <c r="L1075">
        <v>1</v>
      </c>
      <c r="M1075">
        <v>2</v>
      </c>
      <c r="N1075" t="s">
        <v>47</v>
      </c>
      <c r="O1075">
        <v>2</v>
      </c>
      <c r="P1075" t="s">
        <v>42</v>
      </c>
      <c r="Q1075">
        <v>6549</v>
      </c>
      <c r="R1075">
        <v>1</v>
      </c>
      <c r="S1075" t="s">
        <v>37</v>
      </c>
      <c r="T1075">
        <v>14</v>
      </c>
      <c r="U1075">
        <v>3</v>
      </c>
      <c r="V1075">
        <v>2</v>
      </c>
      <c r="W1075">
        <v>2</v>
      </c>
      <c r="X1075">
        <v>8</v>
      </c>
      <c r="Y1075">
        <v>2</v>
      </c>
      <c r="Z1075">
        <v>2</v>
      </c>
      <c r="AA1075">
        <v>8</v>
      </c>
      <c r="AB1075">
        <v>6</v>
      </c>
      <c r="AC1075">
        <v>1</v>
      </c>
      <c r="AD1075">
        <v>7</v>
      </c>
      <c r="AE1075" t="str" cm="1">
        <f t="array" ref="AE1075">_xlfn.IFS(G1075=1,"Before College",G1075=2,"College",G1075=3,"Bachelor",G1075=4,"Master",G1075=5,"Doctor")</f>
        <v>Before College</v>
      </c>
      <c r="AF1075" t="str" cm="1">
        <f t="array" ref="AF1075">_xlfn.IFS(J1075=1,"Low",J1075=2,"Medium",J1075=3,"High",J1075=4,"Very High")</f>
        <v>High</v>
      </c>
      <c r="AG1075" t="str" cm="1">
        <f t="array" ref="AG1075">_xlfn.IFS(L1075=1,"Low",L1075=2,"Medium",L1075=3,"High",L1075=4,"Very High")</f>
        <v>Low</v>
      </c>
      <c r="AH1075" t="str" cm="1">
        <f t="array" ref="AH1075">_xlfn.IFS(M1075=1,"Junior employee",M1075=2,"Mid-level",M1075=3,"Senior",M1075=4,"Manager",M1075=5,"Executive")</f>
        <v>Mid-level</v>
      </c>
      <c r="AI1075" t="str" cm="1">
        <f t="array" ref="AI1075">_xlfn.IFS(O1075=1,"Low",O1075=2,"Medium",O1075=3,"High",O1075=4,"Very High")</f>
        <v>Medium</v>
      </c>
      <c r="AJ1075" t="str" cm="1">
        <f t="array" ref="AJ1075">_xlfn.IFS(U1075=1,"Low",U1075=2,"Good",U1075=3,"Excellent",U1075=4,"Outstanding")</f>
        <v>Excellent</v>
      </c>
      <c r="AK1075" t="str" cm="1">
        <f t="array" ref="AK1075">_xlfn.IFS(V1075=1,"Low",V1075=2,"Medium",V1075=3,"High",V1075=4,"Very High")</f>
        <v>Medium</v>
      </c>
      <c r="AL1075" t="str" cm="1">
        <f t="array" ref="AL1075">_xlfn.IFS(Z1075=1,"Bad",Z1075=2,"Good",Z1075=3,"Better",Z1075=4,"Best")</f>
        <v>Good</v>
      </c>
      <c r="AM1075" t="str" cm="1">
        <f t="array" ref="AM1075">_xlfn.IFS(W1075=0,"No_stock",W1075=1,"Low",W1075=2,"Medium",W1075=3,"High")</f>
        <v>Medium</v>
      </c>
      <c r="AN1075" t="str">
        <f t="shared" si="16"/>
        <v>Far</v>
      </c>
    </row>
    <row r="1076" spans="1:40" x14ac:dyDescent="0.45">
      <c r="A1076">
        <v>33</v>
      </c>
      <c r="B1076" t="s">
        <v>37</v>
      </c>
      <c r="C1076" t="s">
        <v>31</v>
      </c>
      <c r="D1076">
        <v>516</v>
      </c>
      <c r="E1076" t="s">
        <v>39</v>
      </c>
      <c r="F1076">
        <v>8</v>
      </c>
      <c r="G1076">
        <v>5</v>
      </c>
      <c r="H1076" t="s">
        <v>33</v>
      </c>
      <c r="I1076">
        <v>1515</v>
      </c>
      <c r="J1076">
        <v>4</v>
      </c>
      <c r="K1076" t="s">
        <v>40</v>
      </c>
      <c r="L1076">
        <v>3</v>
      </c>
      <c r="M1076">
        <v>2</v>
      </c>
      <c r="N1076" t="s">
        <v>48</v>
      </c>
      <c r="O1076">
        <v>3</v>
      </c>
      <c r="P1076" t="s">
        <v>36</v>
      </c>
      <c r="Q1076">
        <v>6388</v>
      </c>
      <c r="R1076">
        <v>2</v>
      </c>
      <c r="S1076" t="s">
        <v>30</v>
      </c>
      <c r="T1076">
        <v>17</v>
      </c>
      <c r="U1076">
        <v>3</v>
      </c>
      <c r="V1076">
        <v>1</v>
      </c>
      <c r="W1076">
        <v>0</v>
      </c>
      <c r="X1076">
        <v>14</v>
      </c>
      <c r="Y1076">
        <v>6</v>
      </c>
      <c r="Z1076">
        <v>3</v>
      </c>
      <c r="AA1076">
        <v>0</v>
      </c>
      <c r="AB1076">
        <v>0</v>
      </c>
      <c r="AC1076">
        <v>0</v>
      </c>
      <c r="AD1076">
        <v>0</v>
      </c>
      <c r="AE1076" t="str" cm="1">
        <f t="array" ref="AE1076">_xlfn.IFS(G1076=1,"Before College",G1076=2,"College",G1076=3,"Bachelor",G1076=4,"Master",G1076=5,"Doctor")</f>
        <v>Doctor</v>
      </c>
      <c r="AF1076" t="str" cm="1">
        <f t="array" ref="AF1076">_xlfn.IFS(J1076=1,"Low",J1076=2,"Medium",J1076=3,"High",J1076=4,"Very High")</f>
        <v>Very High</v>
      </c>
      <c r="AG1076" t="str" cm="1">
        <f t="array" ref="AG1076">_xlfn.IFS(L1076=1,"Low",L1076=2,"Medium",L1076=3,"High",L1076=4,"Very High")</f>
        <v>High</v>
      </c>
      <c r="AH1076" t="str" cm="1">
        <f t="array" ref="AH1076">_xlfn.IFS(M1076=1,"Junior employee",M1076=2,"Mid-level",M1076=3,"Senior",M1076=4,"Manager",M1076=5,"Executive")</f>
        <v>Mid-level</v>
      </c>
      <c r="AI1076" t="str" cm="1">
        <f t="array" ref="AI1076">_xlfn.IFS(O1076=1,"Low",O1076=2,"Medium",O1076=3,"High",O1076=4,"Very High")</f>
        <v>High</v>
      </c>
      <c r="AJ1076" t="str" cm="1">
        <f t="array" ref="AJ1076">_xlfn.IFS(U1076=1,"Low",U1076=2,"Good",U1076=3,"Excellent",U1076=4,"Outstanding")</f>
        <v>Excellent</v>
      </c>
      <c r="AK1076" t="str" cm="1">
        <f t="array" ref="AK1076">_xlfn.IFS(V1076=1,"Low",V1076=2,"Medium",V1076=3,"High",V1076=4,"Very High")</f>
        <v>Low</v>
      </c>
      <c r="AL1076" t="str" cm="1">
        <f t="array" ref="AL1076">_xlfn.IFS(Z1076=1,"Bad",Z1076=2,"Good",Z1076=3,"Better",Z1076=4,"Best")</f>
        <v>Better</v>
      </c>
      <c r="AM1076" t="str" cm="1">
        <f t="array" ref="AM1076">_xlfn.IFS(W1076=0,"No_stock",W1076=1,"Low",W1076=2,"Medium",W1076=3,"High")</f>
        <v>No_stock</v>
      </c>
      <c r="AN1076" t="str">
        <f t="shared" si="16"/>
        <v>Medium</v>
      </c>
    </row>
    <row r="1077" spans="1:40" x14ac:dyDescent="0.45">
      <c r="A1077">
        <v>32</v>
      </c>
      <c r="B1077" t="s">
        <v>37</v>
      </c>
      <c r="C1077" t="s">
        <v>31</v>
      </c>
      <c r="D1077">
        <v>495</v>
      </c>
      <c r="E1077" t="s">
        <v>39</v>
      </c>
      <c r="F1077">
        <v>10</v>
      </c>
      <c r="G1077">
        <v>3</v>
      </c>
      <c r="H1077" t="s">
        <v>45</v>
      </c>
      <c r="I1077">
        <v>1516</v>
      </c>
      <c r="J1077">
        <v>3</v>
      </c>
      <c r="K1077" t="s">
        <v>40</v>
      </c>
      <c r="L1077">
        <v>3</v>
      </c>
      <c r="M1077">
        <v>3</v>
      </c>
      <c r="N1077" t="s">
        <v>50</v>
      </c>
      <c r="O1077">
        <v>4</v>
      </c>
      <c r="P1077" t="s">
        <v>36</v>
      </c>
      <c r="Q1077">
        <v>11244</v>
      </c>
      <c r="R1077">
        <v>2</v>
      </c>
      <c r="S1077" t="s">
        <v>37</v>
      </c>
      <c r="T1077">
        <v>25</v>
      </c>
      <c r="U1077">
        <v>4</v>
      </c>
      <c r="V1077">
        <v>2</v>
      </c>
      <c r="W1077">
        <v>0</v>
      </c>
      <c r="X1077">
        <v>10</v>
      </c>
      <c r="Y1077">
        <v>5</v>
      </c>
      <c r="Z1077">
        <v>4</v>
      </c>
      <c r="AA1077">
        <v>5</v>
      </c>
      <c r="AB1077">
        <v>2</v>
      </c>
      <c r="AC1077">
        <v>0</v>
      </c>
      <c r="AD1077">
        <v>0</v>
      </c>
      <c r="AE1077" t="str" cm="1">
        <f t="array" ref="AE1077">_xlfn.IFS(G1077=1,"Before College",G1077=2,"College",G1077=3,"Bachelor",G1077=4,"Master",G1077=5,"Doctor")</f>
        <v>Bachelor</v>
      </c>
      <c r="AF1077" t="str" cm="1">
        <f t="array" ref="AF1077">_xlfn.IFS(J1077=1,"Low",J1077=2,"Medium",J1077=3,"High",J1077=4,"Very High")</f>
        <v>High</v>
      </c>
      <c r="AG1077" t="str" cm="1">
        <f t="array" ref="AG1077">_xlfn.IFS(L1077=1,"Low",L1077=2,"Medium",L1077=3,"High",L1077=4,"Very High")</f>
        <v>High</v>
      </c>
      <c r="AH1077" t="str" cm="1">
        <f t="array" ref="AH1077">_xlfn.IFS(M1077=1,"Junior employee",M1077=2,"Mid-level",M1077=3,"Senior",M1077=4,"Manager",M1077=5,"Executive")</f>
        <v>Senior</v>
      </c>
      <c r="AI1077" t="str" cm="1">
        <f t="array" ref="AI1077">_xlfn.IFS(O1077=1,"Low",O1077=2,"Medium",O1077=3,"High",O1077=4,"Very High")</f>
        <v>Very High</v>
      </c>
      <c r="AJ1077" t="str" cm="1">
        <f t="array" ref="AJ1077">_xlfn.IFS(U1077=1,"Low",U1077=2,"Good",U1077=3,"Excellent",U1077=4,"Outstanding")</f>
        <v>Outstanding</v>
      </c>
      <c r="AK1077" t="str" cm="1">
        <f t="array" ref="AK1077">_xlfn.IFS(V1077=1,"Low",V1077=2,"Medium",V1077=3,"High",V1077=4,"Very High")</f>
        <v>Medium</v>
      </c>
      <c r="AL1077" t="str" cm="1">
        <f t="array" ref="AL1077">_xlfn.IFS(Z1077=1,"Bad",Z1077=2,"Good",Z1077=3,"Better",Z1077=4,"Best")</f>
        <v>Best</v>
      </c>
      <c r="AM1077" t="str" cm="1">
        <f t="array" ref="AM1077">_xlfn.IFS(W1077=0,"No_stock",W1077=1,"Low",W1077=2,"Medium",W1077=3,"High")</f>
        <v>No_stock</v>
      </c>
      <c r="AN1077" t="str">
        <f t="shared" si="16"/>
        <v>Medium</v>
      </c>
    </row>
    <row r="1078" spans="1:40" x14ac:dyDescent="0.45">
      <c r="A1078">
        <v>54</v>
      </c>
      <c r="B1078" t="s">
        <v>37</v>
      </c>
      <c r="C1078" t="s">
        <v>38</v>
      </c>
      <c r="D1078">
        <v>1050</v>
      </c>
      <c r="E1078" t="s">
        <v>39</v>
      </c>
      <c r="F1078">
        <v>11</v>
      </c>
      <c r="G1078">
        <v>4</v>
      </c>
      <c r="H1078" t="s">
        <v>45</v>
      </c>
      <c r="I1078">
        <v>1520</v>
      </c>
      <c r="J1078">
        <v>2</v>
      </c>
      <c r="K1078" t="s">
        <v>34</v>
      </c>
      <c r="L1078">
        <v>3</v>
      </c>
      <c r="M1078">
        <v>4</v>
      </c>
      <c r="N1078" t="s">
        <v>50</v>
      </c>
      <c r="O1078">
        <v>4</v>
      </c>
      <c r="P1078" t="s">
        <v>46</v>
      </c>
      <c r="Q1078">
        <v>16032</v>
      </c>
      <c r="R1078">
        <v>3</v>
      </c>
      <c r="S1078" t="s">
        <v>37</v>
      </c>
      <c r="T1078">
        <v>20</v>
      </c>
      <c r="U1078">
        <v>4</v>
      </c>
      <c r="V1078">
        <v>1</v>
      </c>
      <c r="W1078">
        <v>1</v>
      </c>
      <c r="X1078">
        <v>26</v>
      </c>
      <c r="Y1078">
        <v>2</v>
      </c>
      <c r="Z1078">
        <v>3</v>
      </c>
      <c r="AA1078">
        <v>14</v>
      </c>
      <c r="AB1078">
        <v>9</v>
      </c>
      <c r="AC1078">
        <v>1</v>
      </c>
      <c r="AD1078">
        <v>12</v>
      </c>
      <c r="AE1078" t="str" cm="1">
        <f t="array" ref="AE1078">_xlfn.IFS(G1078=1,"Before College",G1078=2,"College",G1078=3,"Bachelor",G1078=4,"Master",G1078=5,"Doctor")</f>
        <v>Master</v>
      </c>
      <c r="AF1078" t="str" cm="1">
        <f t="array" ref="AF1078">_xlfn.IFS(J1078=1,"Low",J1078=2,"Medium",J1078=3,"High",J1078=4,"Very High")</f>
        <v>Medium</v>
      </c>
      <c r="AG1078" t="str" cm="1">
        <f t="array" ref="AG1078">_xlfn.IFS(L1078=1,"Low",L1078=2,"Medium",L1078=3,"High",L1078=4,"Very High")</f>
        <v>High</v>
      </c>
      <c r="AH1078" t="str" cm="1">
        <f t="array" ref="AH1078">_xlfn.IFS(M1078=1,"Junior employee",M1078=2,"Mid-level",M1078=3,"Senior",M1078=4,"Manager",M1078=5,"Executive")</f>
        <v>Manager</v>
      </c>
      <c r="AI1078" t="str" cm="1">
        <f t="array" ref="AI1078">_xlfn.IFS(O1078=1,"Low",O1078=2,"Medium",O1078=3,"High",O1078=4,"Very High")</f>
        <v>Very High</v>
      </c>
      <c r="AJ1078" t="str" cm="1">
        <f t="array" ref="AJ1078">_xlfn.IFS(U1078=1,"Low",U1078=2,"Good",U1078=3,"Excellent",U1078=4,"Outstanding")</f>
        <v>Outstanding</v>
      </c>
      <c r="AK1078" t="str" cm="1">
        <f t="array" ref="AK1078">_xlfn.IFS(V1078=1,"Low",V1078=2,"Medium",V1078=3,"High",V1078=4,"Very High")</f>
        <v>Low</v>
      </c>
      <c r="AL1078" t="str" cm="1">
        <f t="array" ref="AL1078">_xlfn.IFS(Z1078=1,"Bad",Z1078=2,"Good",Z1078=3,"Better",Z1078=4,"Best")</f>
        <v>Better</v>
      </c>
      <c r="AM1078" t="str" cm="1">
        <f t="array" ref="AM1078">_xlfn.IFS(W1078=0,"No_stock",W1078=1,"Low",W1078=2,"Medium",W1078=3,"High")</f>
        <v>Low</v>
      </c>
      <c r="AN1078" t="str">
        <f t="shared" si="16"/>
        <v>Medium</v>
      </c>
    </row>
    <row r="1079" spans="1:40" x14ac:dyDescent="0.45">
      <c r="A1079">
        <v>29</v>
      </c>
      <c r="B1079" t="s">
        <v>30</v>
      </c>
      <c r="C1079" t="s">
        <v>31</v>
      </c>
      <c r="D1079">
        <v>224</v>
      </c>
      <c r="E1079" t="s">
        <v>39</v>
      </c>
      <c r="F1079">
        <v>1</v>
      </c>
      <c r="G1079">
        <v>4</v>
      </c>
      <c r="H1079" t="s">
        <v>54</v>
      </c>
      <c r="I1079">
        <v>1522</v>
      </c>
      <c r="J1079">
        <v>1</v>
      </c>
      <c r="K1079" t="s">
        <v>40</v>
      </c>
      <c r="L1079">
        <v>2</v>
      </c>
      <c r="M1079">
        <v>1</v>
      </c>
      <c r="N1079" t="s">
        <v>41</v>
      </c>
      <c r="O1079">
        <v>1</v>
      </c>
      <c r="P1079" t="s">
        <v>36</v>
      </c>
      <c r="Q1079">
        <v>2362</v>
      </c>
      <c r="R1079">
        <v>6</v>
      </c>
      <c r="S1079" t="s">
        <v>37</v>
      </c>
      <c r="T1079">
        <v>13</v>
      </c>
      <c r="U1079">
        <v>3</v>
      </c>
      <c r="V1079">
        <v>3</v>
      </c>
      <c r="W1079">
        <v>0</v>
      </c>
      <c r="X1079">
        <v>11</v>
      </c>
      <c r="Y1079">
        <v>2</v>
      </c>
      <c r="Z1079">
        <v>1</v>
      </c>
      <c r="AA1079">
        <v>9</v>
      </c>
      <c r="AB1079">
        <v>7</v>
      </c>
      <c r="AC1079">
        <v>0</v>
      </c>
      <c r="AD1079">
        <v>7</v>
      </c>
      <c r="AE1079" t="str" cm="1">
        <f t="array" ref="AE1079">_xlfn.IFS(G1079=1,"Before College",G1079=2,"College",G1079=3,"Bachelor",G1079=4,"Master",G1079=5,"Doctor")</f>
        <v>Master</v>
      </c>
      <c r="AF1079" t="str" cm="1">
        <f t="array" ref="AF1079">_xlfn.IFS(J1079=1,"Low",J1079=2,"Medium",J1079=3,"High",J1079=4,"Very High")</f>
        <v>Low</v>
      </c>
      <c r="AG1079" t="str" cm="1">
        <f t="array" ref="AG1079">_xlfn.IFS(L1079=1,"Low",L1079=2,"Medium",L1079=3,"High",L1079=4,"Very High")</f>
        <v>Medium</v>
      </c>
      <c r="AH1079" t="str" cm="1">
        <f t="array" ref="AH1079">_xlfn.IFS(M1079=1,"Junior employee",M1079=2,"Mid-level",M1079=3,"Senior",M1079=4,"Manager",M1079=5,"Executive")</f>
        <v>Junior employee</v>
      </c>
      <c r="AI1079" t="str" cm="1">
        <f t="array" ref="AI1079">_xlfn.IFS(O1079=1,"Low",O1079=2,"Medium",O1079=3,"High",O1079=4,"Very High")</f>
        <v>Low</v>
      </c>
      <c r="AJ1079" t="str" cm="1">
        <f t="array" ref="AJ1079">_xlfn.IFS(U1079=1,"Low",U1079=2,"Good",U1079=3,"Excellent",U1079=4,"Outstanding")</f>
        <v>Excellent</v>
      </c>
      <c r="AK1079" t="str" cm="1">
        <f t="array" ref="AK1079">_xlfn.IFS(V1079=1,"Low",V1079=2,"Medium",V1079=3,"High",V1079=4,"Very High")</f>
        <v>High</v>
      </c>
      <c r="AL1079" t="str" cm="1">
        <f t="array" ref="AL1079">_xlfn.IFS(Z1079=1,"Bad",Z1079=2,"Good",Z1079=3,"Better",Z1079=4,"Best")</f>
        <v>Bad</v>
      </c>
      <c r="AM1079" t="str" cm="1">
        <f t="array" ref="AM1079">_xlfn.IFS(W1079=0,"No_stock",W1079=1,"Low",W1079=2,"Medium",W1079=3,"High")</f>
        <v>No_stock</v>
      </c>
      <c r="AN1079" t="str">
        <f t="shared" si="16"/>
        <v>Near</v>
      </c>
    </row>
    <row r="1080" spans="1:40" x14ac:dyDescent="0.45">
      <c r="A1080">
        <v>44</v>
      </c>
      <c r="B1080" t="s">
        <v>37</v>
      </c>
      <c r="C1080" t="s">
        <v>31</v>
      </c>
      <c r="D1080">
        <v>136</v>
      </c>
      <c r="E1080" t="s">
        <v>39</v>
      </c>
      <c r="F1080">
        <v>28</v>
      </c>
      <c r="G1080">
        <v>3</v>
      </c>
      <c r="H1080" t="s">
        <v>33</v>
      </c>
      <c r="I1080">
        <v>1523</v>
      </c>
      <c r="J1080">
        <v>4</v>
      </c>
      <c r="K1080" t="s">
        <v>40</v>
      </c>
      <c r="L1080">
        <v>3</v>
      </c>
      <c r="M1080">
        <v>4</v>
      </c>
      <c r="N1080" t="s">
        <v>52</v>
      </c>
      <c r="O1080">
        <v>1</v>
      </c>
      <c r="P1080" t="s">
        <v>42</v>
      </c>
      <c r="Q1080">
        <v>16328</v>
      </c>
      <c r="R1080">
        <v>3</v>
      </c>
      <c r="S1080" t="s">
        <v>37</v>
      </c>
      <c r="T1080">
        <v>13</v>
      </c>
      <c r="U1080">
        <v>3</v>
      </c>
      <c r="V1080">
        <v>3</v>
      </c>
      <c r="W1080">
        <v>1</v>
      </c>
      <c r="X1080">
        <v>24</v>
      </c>
      <c r="Y1080">
        <v>1</v>
      </c>
      <c r="Z1080">
        <v>4</v>
      </c>
      <c r="AA1080">
        <v>20</v>
      </c>
      <c r="AB1080">
        <v>6</v>
      </c>
      <c r="AC1080">
        <v>14</v>
      </c>
      <c r="AD1080">
        <v>17</v>
      </c>
      <c r="AE1080" t="str" cm="1">
        <f t="array" ref="AE1080">_xlfn.IFS(G1080=1,"Before College",G1080=2,"College",G1080=3,"Bachelor",G1080=4,"Master",G1080=5,"Doctor")</f>
        <v>Bachelor</v>
      </c>
      <c r="AF1080" t="str" cm="1">
        <f t="array" ref="AF1080">_xlfn.IFS(J1080=1,"Low",J1080=2,"Medium",J1080=3,"High",J1080=4,"Very High")</f>
        <v>Very High</v>
      </c>
      <c r="AG1080" t="str" cm="1">
        <f t="array" ref="AG1080">_xlfn.IFS(L1080=1,"Low",L1080=2,"Medium",L1080=3,"High",L1080=4,"Very High")</f>
        <v>High</v>
      </c>
      <c r="AH1080" t="str" cm="1">
        <f t="array" ref="AH1080">_xlfn.IFS(M1080=1,"Junior employee",M1080=2,"Mid-level",M1080=3,"Senior",M1080=4,"Manager",M1080=5,"Executive")</f>
        <v>Manager</v>
      </c>
      <c r="AI1080" t="str" cm="1">
        <f t="array" ref="AI1080">_xlfn.IFS(O1080=1,"Low",O1080=2,"Medium",O1080=3,"High",O1080=4,"Very High")</f>
        <v>Low</v>
      </c>
      <c r="AJ1080" t="str" cm="1">
        <f t="array" ref="AJ1080">_xlfn.IFS(U1080=1,"Low",U1080=2,"Good",U1080=3,"Excellent",U1080=4,"Outstanding")</f>
        <v>Excellent</v>
      </c>
      <c r="AK1080" t="str" cm="1">
        <f t="array" ref="AK1080">_xlfn.IFS(V1080=1,"Low",V1080=2,"Medium",V1080=3,"High",V1080=4,"Very High")</f>
        <v>High</v>
      </c>
      <c r="AL1080" t="str" cm="1">
        <f t="array" ref="AL1080">_xlfn.IFS(Z1080=1,"Bad",Z1080=2,"Good",Z1080=3,"Better",Z1080=4,"Best")</f>
        <v>Best</v>
      </c>
      <c r="AM1080" t="str" cm="1">
        <f t="array" ref="AM1080">_xlfn.IFS(W1080=0,"No_stock",W1080=1,"Low",W1080=2,"Medium",W1080=3,"High")</f>
        <v>Low</v>
      </c>
      <c r="AN1080" t="str">
        <f t="shared" si="16"/>
        <v>Far</v>
      </c>
    </row>
    <row r="1081" spans="1:40" x14ac:dyDescent="0.45">
      <c r="A1081">
        <v>39</v>
      </c>
      <c r="B1081" t="s">
        <v>37</v>
      </c>
      <c r="C1081" t="s">
        <v>31</v>
      </c>
      <c r="D1081">
        <v>1089</v>
      </c>
      <c r="E1081" t="s">
        <v>39</v>
      </c>
      <c r="F1081">
        <v>6</v>
      </c>
      <c r="G1081">
        <v>3</v>
      </c>
      <c r="H1081" t="s">
        <v>33</v>
      </c>
      <c r="I1081">
        <v>1525</v>
      </c>
      <c r="J1081">
        <v>2</v>
      </c>
      <c r="K1081" t="s">
        <v>34</v>
      </c>
      <c r="L1081">
        <v>3</v>
      </c>
      <c r="M1081">
        <v>3</v>
      </c>
      <c r="N1081" t="s">
        <v>47</v>
      </c>
      <c r="O1081">
        <v>2</v>
      </c>
      <c r="P1081" t="s">
        <v>36</v>
      </c>
      <c r="Q1081">
        <v>8376</v>
      </c>
      <c r="R1081">
        <v>4</v>
      </c>
      <c r="S1081" t="s">
        <v>37</v>
      </c>
      <c r="T1081">
        <v>18</v>
      </c>
      <c r="U1081">
        <v>3</v>
      </c>
      <c r="V1081">
        <v>4</v>
      </c>
      <c r="W1081">
        <v>0</v>
      </c>
      <c r="X1081">
        <v>9</v>
      </c>
      <c r="Y1081">
        <v>3</v>
      </c>
      <c r="Z1081">
        <v>3</v>
      </c>
      <c r="AA1081">
        <v>2</v>
      </c>
      <c r="AB1081">
        <v>0</v>
      </c>
      <c r="AC1081">
        <v>2</v>
      </c>
      <c r="AD1081">
        <v>2</v>
      </c>
      <c r="AE1081" t="str" cm="1">
        <f t="array" ref="AE1081">_xlfn.IFS(G1081=1,"Before College",G1081=2,"College",G1081=3,"Bachelor",G1081=4,"Master",G1081=5,"Doctor")</f>
        <v>Bachelor</v>
      </c>
      <c r="AF1081" t="str" cm="1">
        <f t="array" ref="AF1081">_xlfn.IFS(J1081=1,"Low",J1081=2,"Medium",J1081=3,"High",J1081=4,"Very High")</f>
        <v>Medium</v>
      </c>
      <c r="AG1081" t="str" cm="1">
        <f t="array" ref="AG1081">_xlfn.IFS(L1081=1,"Low",L1081=2,"Medium",L1081=3,"High",L1081=4,"Very High")</f>
        <v>High</v>
      </c>
      <c r="AH1081" t="str" cm="1">
        <f t="array" ref="AH1081">_xlfn.IFS(M1081=1,"Junior employee",M1081=2,"Mid-level",M1081=3,"Senior",M1081=4,"Manager",M1081=5,"Executive")</f>
        <v>Senior</v>
      </c>
      <c r="AI1081" t="str" cm="1">
        <f t="array" ref="AI1081">_xlfn.IFS(O1081=1,"Low",O1081=2,"Medium",O1081=3,"High",O1081=4,"Very High")</f>
        <v>Medium</v>
      </c>
      <c r="AJ1081" t="str" cm="1">
        <f t="array" ref="AJ1081">_xlfn.IFS(U1081=1,"Low",U1081=2,"Good",U1081=3,"Excellent",U1081=4,"Outstanding")</f>
        <v>Excellent</v>
      </c>
      <c r="AK1081" t="str" cm="1">
        <f t="array" ref="AK1081">_xlfn.IFS(V1081=1,"Low",V1081=2,"Medium",V1081=3,"High",V1081=4,"Very High")</f>
        <v>Very High</v>
      </c>
      <c r="AL1081" t="str" cm="1">
        <f t="array" ref="AL1081">_xlfn.IFS(Z1081=1,"Bad",Z1081=2,"Good",Z1081=3,"Better",Z1081=4,"Best")</f>
        <v>Better</v>
      </c>
      <c r="AM1081" t="str" cm="1">
        <f t="array" ref="AM1081">_xlfn.IFS(W1081=0,"No_stock",W1081=1,"Low",W1081=2,"Medium",W1081=3,"High")</f>
        <v>No_stock</v>
      </c>
      <c r="AN1081" t="str">
        <f t="shared" si="16"/>
        <v>Medium</v>
      </c>
    </row>
    <row r="1082" spans="1:40" x14ac:dyDescent="0.45">
      <c r="A1082">
        <v>46</v>
      </c>
      <c r="B1082" t="s">
        <v>37</v>
      </c>
      <c r="C1082" t="s">
        <v>31</v>
      </c>
      <c r="D1082">
        <v>228</v>
      </c>
      <c r="E1082" t="s">
        <v>32</v>
      </c>
      <c r="F1082">
        <v>3</v>
      </c>
      <c r="G1082">
        <v>3</v>
      </c>
      <c r="H1082" t="s">
        <v>33</v>
      </c>
      <c r="I1082">
        <v>1527</v>
      </c>
      <c r="J1082">
        <v>3</v>
      </c>
      <c r="K1082" t="s">
        <v>34</v>
      </c>
      <c r="L1082">
        <v>3</v>
      </c>
      <c r="M1082">
        <v>4</v>
      </c>
      <c r="N1082" t="s">
        <v>50</v>
      </c>
      <c r="O1082">
        <v>2</v>
      </c>
      <c r="P1082" t="s">
        <v>42</v>
      </c>
      <c r="Q1082">
        <v>16606</v>
      </c>
      <c r="R1082">
        <v>8</v>
      </c>
      <c r="S1082" t="s">
        <v>37</v>
      </c>
      <c r="T1082">
        <v>12</v>
      </c>
      <c r="U1082">
        <v>3</v>
      </c>
      <c r="V1082">
        <v>4</v>
      </c>
      <c r="W1082">
        <v>1</v>
      </c>
      <c r="X1082">
        <v>23</v>
      </c>
      <c r="Y1082">
        <v>2</v>
      </c>
      <c r="Z1082">
        <v>4</v>
      </c>
      <c r="AA1082">
        <v>13</v>
      </c>
      <c r="AB1082">
        <v>12</v>
      </c>
      <c r="AC1082">
        <v>5</v>
      </c>
      <c r="AD1082">
        <v>1</v>
      </c>
      <c r="AE1082" t="str" cm="1">
        <f t="array" ref="AE1082">_xlfn.IFS(G1082=1,"Before College",G1082=2,"College",G1082=3,"Bachelor",G1082=4,"Master",G1082=5,"Doctor")</f>
        <v>Bachelor</v>
      </c>
      <c r="AF1082" t="str" cm="1">
        <f t="array" ref="AF1082">_xlfn.IFS(J1082=1,"Low",J1082=2,"Medium",J1082=3,"High",J1082=4,"Very High")</f>
        <v>High</v>
      </c>
      <c r="AG1082" t="str" cm="1">
        <f t="array" ref="AG1082">_xlfn.IFS(L1082=1,"Low",L1082=2,"Medium",L1082=3,"High",L1082=4,"Very High")</f>
        <v>High</v>
      </c>
      <c r="AH1082" t="str" cm="1">
        <f t="array" ref="AH1082">_xlfn.IFS(M1082=1,"Junior employee",M1082=2,"Mid-level",M1082=3,"Senior",M1082=4,"Manager",M1082=5,"Executive")</f>
        <v>Manager</v>
      </c>
      <c r="AI1082" t="str" cm="1">
        <f t="array" ref="AI1082">_xlfn.IFS(O1082=1,"Low",O1082=2,"Medium",O1082=3,"High",O1082=4,"Very High")</f>
        <v>Medium</v>
      </c>
      <c r="AJ1082" t="str" cm="1">
        <f t="array" ref="AJ1082">_xlfn.IFS(U1082=1,"Low",U1082=2,"Good",U1082=3,"Excellent",U1082=4,"Outstanding")</f>
        <v>Excellent</v>
      </c>
      <c r="AK1082" t="str" cm="1">
        <f t="array" ref="AK1082">_xlfn.IFS(V1082=1,"Low",V1082=2,"Medium",V1082=3,"High",V1082=4,"Very High")</f>
        <v>Very High</v>
      </c>
      <c r="AL1082" t="str" cm="1">
        <f t="array" ref="AL1082">_xlfn.IFS(Z1082=1,"Bad",Z1082=2,"Good",Z1082=3,"Better",Z1082=4,"Best")</f>
        <v>Best</v>
      </c>
      <c r="AM1082" t="str" cm="1">
        <f t="array" ref="AM1082">_xlfn.IFS(W1082=0,"No_stock",W1082=1,"Low",W1082=2,"Medium",W1082=3,"High")</f>
        <v>Low</v>
      </c>
      <c r="AN1082" t="str">
        <f t="shared" si="16"/>
        <v>Near</v>
      </c>
    </row>
    <row r="1083" spans="1:40" x14ac:dyDescent="0.45">
      <c r="A1083">
        <v>35</v>
      </c>
      <c r="B1083" t="s">
        <v>37</v>
      </c>
      <c r="C1083" t="s">
        <v>31</v>
      </c>
      <c r="D1083">
        <v>1029</v>
      </c>
      <c r="E1083" t="s">
        <v>39</v>
      </c>
      <c r="F1083">
        <v>16</v>
      </c>
      <c r="G1083">
        <v>3</v>
      </c>
      <c r="H1083" t="s">
        <v>33</v>
      </c>
      <c r="I1083">
        <v>1529</v>
      </c>
      <c r="J1083">
        <v>4</v>
      </c>
      <c r="K1083" t="s">
        <v>34</v>
      </c>
      <c r="L1083">
        <v>2</v>
      </c>
      <c r="M1083">
        <v>3</v>
      </c>
      <c r="N1083" t="s">
        <v>48</v>
      </c>
      <c r="O1083">
        <v>2</v>
      </c>
      <c r="P1083" t="s">
        <v>36</v>
      </c>
      <c r="Q1083">
        <v>8606</v>
      </c>
      <c r="R1083">
        <v>1</v>
      </c>
      <c r="S1083" t="s">
        <v>37</v>
      </c>
      <c r="T1083">
        <v>19</v>
      </c>
      <c r="U1083">
        <v>3</v>
      </c>
      <c r="V1083">
        <v>4</v>
      </c>
      <c r="W1083">
        <v>0</v>
      </c>
      <c r="X1083">
        <v>11</v>
      </c>
      <c r="Y1083">
        <v>3</v>
      </c>
      <c r="Z1083">
        <v>1</v>
      </c>
      <c r="AA1083">
        <v>11</v>
      </c>
      <c r="AB1083">
        <v>8</v>
      </c>
      <c r="AC1083">
        <v>3</v>
      </c>
      <c r="AD1083">
        <v>3</v>
      </c>
      <c r="AE1083" t="str" cm="1">
        <f t="array" ref="AE1083">_xlfn.IFS(G1083=1,"Before College",G1083=2,"College",G1083=3,"Bachelor",G1083=4,"Master",G1083=5,"Doctor")</f>
        <v>Bachelor</v>
      </c>
      <c r="AF1083" t="str" cm="1">
        <f t="array" ref="AF1083">_xlfn.IFS(J1083=1,"Low",J1083=2,"Medium",J1083=3,"High",J1083=4,"Very High")</f>
        <v>Very High</v>
      </c>
      <c r="AG1083" t="str" cm="1">
        <f t="array" ref="AG1083">_xlfn.IFS(L1083=1,"Low",L1083=2,"Medium",L1083=3,"High",L1083=4,"Very High")</f>
        <v>Medium</v>
      </c>
      <c r="AH1083" t="str" cm="1">
        <f t="array" ref="AH1083">_xlfn.IFS(M1083=1,"Junior employee",M1083=2,"Mid-level",M1083=3,"Senior",M1083=4,"Manager",M1083=5,"Executive")</f>
        <v>Senior</v>
      </c>
      <c r="AI1083" t="str" cm="1">
        <f t="array" ref="AI1083">_xlfn.IFS(O1083=1,"Low",O1083=2,"Medium",O1083=3,"High",O1083=4,"Very High")</f>
        <v>Medium</v>
      </c>
      <c r="AJ1083" t="str" cm="1">
        <f t="array" ref="AJ1083">_xlfn.IFS(U1083=1,"Low",U1083=2,"Good",U1083=3,"Excellent",U1083=4,"Outstanding")</f>
        <v>Excellent</v>
      </c>
      <c r="AK1083" t="str" cm="1">
        <f t="array" ref="AK1083">_xlfn.IFS(V1083=1,"Low",V1083=2,"Medium",V1083=3,"High",V1083=4,"Very High")</f>
        <v>Very High</v>
      </c>
      <c r="AL1083" t="str" cm="1">
        <f t="array" ref="AL1083">_xlfn.IFS(Z1083=1,"Bad",Z1083=2,"Good",Z1083=3,"Better",Z1083=4,"Best")</f>
        <v>Bad</v>
      </c>
      <c r="AM1083" t="str" cm="1">
        <f t="array" ref="AM1083">_xlfn.IFS(W1083=0,"No_stock",W1083=1,"Low",W1083=2,"Medium",W1083=3,"High")</f>
        <v>No_stock</v>
      </c>
      <c r="AN1083" t="str">
        <f t="shared" si="16"/>
        <v>Far</v>
      </c>
    </row>
    <row r="1084" spans="1:40" x14ac:dyDescent="0.45">
      <c r="A1084">
        <v>23</v>
      </c>
      <c r="B1084" t="s">
        <v>37</v>
      </c>
      <c r="C1084" t="s">
        <v>31</v>
      </c>
      <c r="D1084">
        <v>507</v>
      </c>
      <c r="E1084" t="s">
        <v>39</v>
      </c>
      <c r="F1084">
        <v>20</v>
      </c>
      <c r="G1084">
        <v>1</v>
      </c>
      <c r="H1084" t="s">
        <v>33</v>
      </c>
      <c r="I1084">
        <v>1533</v>
      </c>
      <c r="J1084">
        <v>1</v>
      </c>
      <c r="K1084" t="s">
        <v>40</v>
      </c>
      <c r="L1084">
        <v>3</v>
      </c>
      <c r="M1084">
        <v>2</v>
      </c>
      <c r="N1084" t="s">
        <v>44</v>
      </c>
      <c r="O1084">
        <v>3</v>
      </c>
      <c r="P1084" t="s">
        <v>36</v>
      </c>
      <c r="Q1084">
        <v>2272</v>
      </c>
      <c r="R1084">
        <v>0</v>
      </c>
      <c r="S1084" t="s">
        <v>37</v>
      </c>
      <c r="T1084">
        <v>14</v>
      </c>
      <c r="U1084">
        <v>3</v>
      </c>
      <c r="V1084">
        <v>2</v>
      </c>
      <c r="W1084">
        <v>0</v>
      </c>
      <c r="X1084">
        <v>5</v>
      </c>
      <c r="Y1084">
        <v>2</v>
      </c>
      <c r="Z1084">
        <v>3</v>
      </c>
      <c r="AA1084">
        <v>4</v>
      </c>
      <c r="AB1084">
        <v>3</v>
      </c>
      <c r="AC1084">
        <v>1</v>
      </c>
      <c r="AD1084">
        <v>2</v>
      </c>
      <c r="AE1084" t="str" cm="1">
        <f t="array" ref="AE1084">_xlfn.IFS(G1084=1,"Before College",G1084=2,"College",G1084=3,"Bachelor",G1084=4,"Master",G1084=5,"Doctor")</f>
        <v>Before College</v>
      </c>
      <c r="AF1084" t="str" cm="1">
        <f t="array" ref="AF1084">_xlfn.IFS(J1084=1,"Low",J1084=2,"Medium",J1084=3,"High",J1084=4,"Very High")</f>
        <v>Low</v>
      </c>
      <c r="AG1084" t="str" cm="1">
        <f t="array" ref="AG1084">_xlfn.IFS(L1084=1,"Low",L1084=2,"Medium",L1084=3,"High",L1084=4,"Very High")</f>
        <v>High</v>
      </c>
      <c r="AH1084" t="str" cm="1">
        <f t="array" ref="AH1084">_xlfn.IFS(M1084=1,"Junior employee",M1084=2,"Mid-level",M1084=3,"Senior",M1084=4,"Manager",M1084=5,"Executive")</f>
        <v>Mid-level</v>
      </c>
      <c r="AI1084" t="str" cm="1">
        <f t="array" ref="AI1084">_xlfn.IFS(O1084=1,"Low",O1084=2,"Medium",O1084=3,"High",O1084=4,"Very High")</f>
        <v>High</v>
      </c>
      <c r="AJ1084" t="str" cm="1">
        <f t="array" ref="AJ1084">_xlfn.IFS(U1084=1,"Low",U1084=2,"Good",U1084=3,"Excellent",U1084=4,"Outstanding")</f>
        <v>Excellent</v>
      </c>
      <c r="AK1084" t="str" cm="1">
        <f t="array" ref="AK1084">_xlfn.IFS(V1084=1,"Low",V1084=2,"Medium",V1084=3,"High",V1084=4,"Very High")</f>
        <v>Medium</v>
      </c>
      <c r="AL1084" t="str" cm="1">
        <f t="array" ref="AL1084">_xlfn.IFS(Z1084=1,"Bad",Z1084=2,"Good",Z1084=3,"Better",Z1084=4,"Best")</f>
        <v>Better</v>
      </c>
      <c r="AM1084" t="str" cm="1">
        <f t="array" ref="AM1084">_xlfn.IFS(W1084=0,"No_stock",W1084=1,"Low",W1084=2,"Medium",W1084=3,"High")</f>
        <v>No_stock</v>
      </c>
      <c r="AN1084" t="str">
        <f t="shared" si="16"/>
        <v>Far</v>
      </c>
    </row>
    <row r="1085" spans="1:40" x14ac:dyDescent="0.45">
      <c r="A1085">
        <v>40</v>
      </c>
      <c r="B1085" t="s">
        <v>30</v>
      </c>
      <c r="C1085" t="s">
        <v>31</v>
      </c>
      <c r="D1085">
        <v>676</v>
      </c>
      <c r="E1085" t="s">
        <v>39</v>
      </c>
      <c r="F1085">
        <v>9</v>
      </c>
      <c r="G1085">
        <v>4</v>
      </c>
      <c r="H1085" t="s">
        <v>33</v>
      </c>
      <c r="I1085">
        <v>1534</v>
      </c>
      <c r="J1085">
        <v>4</v>
      </c>
      <c r="K1085" t="s">
        <v>40</v>
      </c>
      <c r="L1085">
        <v>3</v>
      </c>
      <c r="M1085">
        <v>1</v>
      </c>
      <c r="N1085" t="s">
        <v>44</v>
      </c>
      <c r="O1085">
        <v>1</v>
      </c>
      <c r="P1085" t="s">
        <v>36</v>
      </c>
      <c r="Q1085">
        <v>2018</v>
      </c>
      <c r="R1085">
        <v>3</v>
      </c>
      <c r="S1085" t="s">
        <v>37</v>
      </c>
      <c r="T1085">
        <v>14</v>
      </c>
      <c r="U1085">
        <v>3</v>
      </c>
      <c r="V1085">
        <v>2</v>
      </c>
      <c r="W1085">
        <v>0</v>
      </c>
      <c r="X1085">
        <v>15</v>
      </c>
      <c r="Y1085">
        <v>3</v>
      </c>
      <c r="Z1085">
        <v>1</v>
      </c>
      <c r="AA1085">
        <v>5</v>
      </c>
      <c r="AB1085">
        <v>4</v>
      </c>
      <c r="AC1085">
        <v>1</v>
      </c>
      <c r="AD1085">
        <v>0</v>
      </c>
      <c r="AE1085" t="str" cm="1">
        <f t="array" ref="AE1085">_xlfn.IFS(G1085=1,"Before College",G1085=2,"College",G1085=3,"Bachelor",G1085=4,"Master",G1085=5,"Doctor")</f>
        <v>Master</v>
      </c>
      <c r="AF1085" t="str" cm="1">
        <f t="array" ref="AF1085">_xlfn.IFS(J1085=1,"Low",J1085=2,"Medium",J1085=3,"High",J1085=4,"Very High")</f>
        <v>Very High</v>
      </c>
      <c r="AG1085" t="str" cm="1">
        <f t="array" ref="AG1085">_xlfn.IFS(L1085=1,"Low",L1085=2,"Medium",L1085=3,"High",L1085=4,"Very High")</f>
        <v>High</v>
      </c>
      <c r="AH1085" t="str" cm="1">
        <f t="array" ref="AH1085">_xlfn.IFS(M1085=1,"Junior employee",M1085=2,"Mid-level",M1085=3,"Senior",M1085=4,"Manager",M1085=5,"Executive")</f>
        <v>Junior employee</v>
      </c>
      <c r="AI1085" t="str" cm="1">
        <f t="array" ref="AI1085">_xlfn.IFS(O1085=1,"Low",O1085=2,"Medium",O1085=3,"High",O1085=4,"Very High")</f>
        <v>Low</v>
      </c>
      <c r="AJ1085" t="str" cm="1">
        <f t="array" ref="AJ1085">_xlfn.IFS(U1085=1,"Low",U1085=2,"Good",U1085=3,"Excellent",U1085=4,"Outstanding")</f>
        <v>Excellent</v>
      </c>
      <c r="AK1085" t="str" cm="1">
        <f t="array" ref="AK1085">_xlfn.IFS(V1085=1,"Low",V1085=2,"Medium",V1085=3,"High",V1085=4,"Very High")</f>
        <v>Medium</v>
      </c>
      <c r="AL1085" t="str" cm="1">
        <f t="array" ref="AL1085">_xlfn.IFS(Z1085=1,"Bad",Z1085=2,"Good",Z1085=3,"Better",Z1085=4,"Best")</f>
        <v>Bad</v>
      </c>
      <c r="AM1085" t="str" cm="1">
        <f t="array" ref="AM1085">_xlfn.IFS(W1085=0,"No_stock",W1085=1,"Low",W1085=2,"Medium",W1085=3,"High")</f>
        <v>No_stock</v>
      </c>
      <c r="AN1085" t="str">
        <f t="shared" si="16"/>
        <v>Medium</v>
      </c>
    </row>
    <row r="1086" spans="1:40" x14ac:dyDescent="0.45">
      <c r="A1086">
        <v>34</v>
      </c>
      <c r="B1086" t="s">
        <v>37</v>
      </c>
      <c r="C1086" t="s">
        <v>31</v>
      </c>
      <c r="D1086">
        <v>971</v>
      </c>
      <c r="E1086" t="s">
        <v>32</v>
      </c>
      <c r="F1086">
        <v>1</v>
      </c>
      <c r="G1086">
        <v>3</v>
      </c>
      <c r="H1086" t="s">
        <v>54</v>
      </c>
      <c r="I1086">
        <v>1535</v>
      </c>
      <c r="J1086">
        <v>4</v>
      </c>
      <c r="K1086" t="s">
        <v>40</v>
      </c>
      <c r="L1086">
        <v>2</v>
      </c>
      <c r="M1086">
        <v>3</v>
      </c>
      <c r="N1086" t="s">
        <v>35</v>
      </c>
      <c r="O1086">
        <v>3</v>
      </c>
      <c r="P1086" t="s">
        <v>42</v>
      </c>
      <c r="Q1086">
        <v>7083</v>
      </c>
      <c r="R1086">
        <v>1</v>
      </c>
      <c r="S1086" t="s">
        <v>30</v>
      </c>
      <c r="T1086">
        <v>14</v>
      </c>
      <c r="U1086">
        <v>3</v>
      </c>
      <c r="V1086">
        <v>4</v>
      </c>
      <c r="W1086">
        <v>0</v>
      </c>
      <c r="X1086">
        <v>10</v>
      </c>
      <c r="Y1086">
        <v>3</v>
      </c>
      <c r="Z1086">
        <v>3</v>
      </c>
      <c r="AA1086">
        <v>10</v>
      </c>
      <c r="AB1086">
        <v>9</v>
      </c>
      <c r="AC1086">
        <v>8</v>
      </c>
      <c r="AD1086">
        <v>6</v>
      </c>
      <c r="AE1086" t="str" cm="1">
        <f t="array" ref="AE1086">_xlfn.IFS(G1086=1,"Before College",G1086=2,"College",G1086=3,"Bachelor",G1086=4,"Master",G1086=5,"Doctor")</f>
        <v>Bachelor</v>
      </c>
      <c r="AF1086" t="str" cm="1">
        <f t="array" ref="AF1086">_xlfn.IFS(J1086=1,"Low",J1086=2,"Medium",J1086=3,"High",J1086=4,"Very High")</f>
        <v>Very High</v>
      </c>
      <c r="AG1086" t="str" cm="1">
        <f t="array" ref="AG1086">_xlfn.IFS(L1086=1,"Low",L1086=2,"Medium",L1086=3,"High",L1086=4,"Very High")</f>
        <v>Medium</v>
      </c>
      <c r="AH1086" t="str" cm="1">
        <f t="array" ref="AH1086">_xlfn.IFS(M1086=1,"Junior employee",M1086=2,"Mid-level",M1086=3,"Senior",M1086=4,"Manager",M1086=5,"Executive")</f>
        <v>Senior</v>
      </c>
      <c r="AI1086" t="str" cm="1">
        <f t="array" ref="AI1086">_xlfn.IFS(O1086=1,"Low",O1086=2,"Medium",O1086=3,"High",O1086=4,"Very High")</f>
        <v>High</v>
      </c>
      <c r="AJ1086" t="str" cm="1">
        <f t="array" ref="AJ1086">_xlfn.IFS(U1086=1,"Low",U1086=2,"Good",U1086=3,"Excellent",U1086=4,"Outstanding")</f>
        <v>Excellent</v>
      </c>
      <c r="AK1086" t="str" cm="1">
        <f t="array" ref="AK1086">_xlfn.IFS(V1086=1,"Low",V1086=2,"Medium",V1086=3,"High",V1086=4,"Very High")</f>
        <v>Very High</v>
      </c>
      <c r="AL1086" t="str" cm="1">
        <f t="array" ref="AL1086">_xlfn.IFS(Z1086=1,"Bad",Z1086=2,"Good",Z1086=3,"Better",Z1086=4,"Best")</f>
        <v>Better</v>
      </c>
      <c r="AM1086" t="str" cm="1">
        <f t="array" ref="AM1086">_xlfn.IFS(W1086=0,"No_stock",W1086=1,"Low",W1086=2,"Medium",W1086=3,"High")</f>
        <v>No_stock</v>
      </c>
      <c r="AN1086" t="str">
        <f t="shared" si="16"/>
        <v>Near</v>
      </c>
    </row>
    <row r="1087" spans="1:40" x14ac:dyDescent="0.45">
      <c r="A1087">
        <v>31</v>
      </c>
      <c r="B1087" t="s">
        <v>30</v>
      </c>
      <c r="C1087" t="s">
        <v>38</v>
      </c>
      <c r="D1087">
        <v>561</v>
      </c>
      <c r="E1087" t="s">
        <v>39</v>
      </c>
      <c r="F1087">
        <v>3</v>
      </c>
      <c r="G1087">
        <v>3</v>
      </c>
      <c r="H1087" t="s">
        <v>33</v>
      </c>
      <c r="I1087">
        <v>1537</v>
      </c>
      <c r="J1087">
        <v>4</v>
      </c>
      <c r="K1087" t="s">
        <v>34</v>
      </c>
      <c r="L1087">
        <v>3</v>
      </c>
      <c r="M1087">
        <v>1</v>
      </c>
      <c r="N1087" t="s">
        <v>41</v>
      </c>
      <c r="O1087">
        <v>3</v>
      </c>
      <c r="P1087" t="s">
        <v>36</v>
      </c>
      <c r="Q1087">
        <v>4084</v>
      </c>
      <c r="R1087">
        <v>1</v>
      </c>
      <c r="S1087" t="s">
        <v>37</v>
      </c>
      <c r="T1087">
        <v>12</v>
      </c>
      <c r="U1087">
        <v>3</v>
      </c>
      <c r="V1087">
        <v>1</v>
      </c>
      <c r="W1087">
        <v>0</v>
      </c>
      <c r="X1087">
        <v>7</v>
      </c>
      <c r="Y1087">
        <v>2</v>
      </c>
      <c r="Z1087">
        <v>1</v>
      </c>
      <c r="AA1087">
        <v>7</v>
      </c>
      <c r="AB1087">
        <v>2</v>
      </c>
      <c r="AC1087">
        <v>7</v>
      </c>
      <c r="AD1087">
        <v>7</v>
      </c>
      <c r="AE1087" t="str" cm="1">
        <f t="array" ref="AE1087">_xlfn.IFS(G1087=1,"Before College",G1087=2,"College",G1087=3,"Bachelor",G1087=4,"Master",G1087=5,"Doctor")</f>
        <v>Bachelor</v>
      </c>
      <c r="AF1087" t="str" cm="1">
        <f t="array" ref="AF1087">_xlfn.IFS(J1087=1,"Low",J1087=2,"Medium",J1087=3,"High",J1087=4,"Very High")</f>
        <v>Very High</v>
      </c>
      <c r="AG1087" t="str" cm="1">
        <f t="array" ref="AG1087">_xlfn.IFS(L1087=1,"Low",L1087=2,"Medium",L1087=3,"High",L1087=4,"Very High")</f>
        <v>High</v>
      </c>
      <c r="AH1087" t="str" cm="1">
        <f t="array" ref="AH1087">_xlfn.IFS(M1087=1,"Junior employee",M1087=2,"Mid-level",M1087=3,"Senior",M1087=4,"Manager",M1087=5,"Executive")</f>
        <v>Junior employee</v>
      </c>
      <c r="AI1087" t="str" cm="1">
        <f t="array" ref="AI1087">_xlfn.IFS(O1087=1,"Low",O1087=2,"Medium",O1087=3,"High",O1087=4,"Very High")</f>
        <v>High</v>
      </c>
      <c r="AJ1087" t="str" cm="1">
        <f t="array" ref="AJ1087">_xlfn.IFS(U1087=1,"Low",U1087=2,"Good",U1087=3,"Excellent",U1087=4,"Outstanding")</f>
        <v>Excellent</v>
      </c>
      <c r="AK1087" t="str" cm="1">
        <f t="array" ref="AK1087">_xlfn.IFS(V1087=1,"Low",V1087=2,"Medium",V1087=3,"High",V1087=4,"Very High")</f>
        <v>Low</v>
      </c>
      <c r="AL1087" t="str" cm="1">
        <f t="array" ref="AL1087">_xlfn.IFS(Z1087=1,"Bad",Z1087=2,"Good",Z1087=3,"Better",Z1087=4,"Best")</f>
        <v>Bad</v>
      </c>
      <c r="AM1087" t="str" cm="1">
        <f t="array" ref="AM1087">_xlfn.IFS(W1087=0,"No_stock",W1087=1,"Low",W1087=2,"Medium",W1087=3,"High")</f>
        <v>No_stock</v>
      </c>
      <c r="AN1087" t="str">
        <f t="shared" si="16"/>
        <v>Near</v>
      </c>
    </row>
    <row r="1088" spans="1:40" x14ac:dyDescent="0.45">
      <c r="A1088">
        <v>50</v>
      </c>
      <c r="B1088" t="s">
        <v>37</v>
      </c>
      <c r="C1088" t="s">
        <v>38</v>
      </c>
      <c r="D1088">
        <v>333</v>
      </c>
      <c r="E1088" t="s">
        <v>39</v>
      </c>
      <c r="F1088">
        <v>22</v>
      </c>
      <c r="G1088">
        <v>5</v>
      </c>
      <c r="H1088" t="s">
        <v>45</v>
      </c>
      <c r="I1088">
        <v>1539</v>
      </c>
      <c r="J1088">
        <v>3</v>
      </c>
      <c r="K1088" t="s">
        <v>40</v>
      </c>
      <c r="L1088">
        <v>1</v>
      </c>
      <c r="M1088">
        <v>4</v>
      </c>
      <c r="N1088" t="s">
        <v>52</v>
      </c>
      <c r="O1088">
        <v>4</v>
      </c>
      <c r="P1088" t="s">
        <v>36</v>
      </c>
      <c r="Q1088">
        <v>14411</v>
      </c>
      <c r="R1088">
        <v>1</v>
      </c>
      <c r="S1088" t="s">
        <v>30</v>
      </c>
      <c r="T1088">
        <v>13</v>
      </c>
      <c r="U1088">
        <v>3</v>
      </c>
      <c r="V1088">
        <v>4</v>
      </c>
      <c r="W1088">
        <v>0</v>
      </c>
      <c r="X1088">
        <v>32</v>
      </c>
      <c r="Y1088">
        <v>2</v>
      </c>
      <c r="Z1088">
        <v>3</v>
      </c>
      <c r="AA1088">
        <v>32</v>
      </c>
      <c r="AB1088">
        <v>6</v>
      </c>
      <c r="AC1088">
        <v>13</v>
      </c>
      <c r="AD1088">
        <v>9</v>
      </c>
      <c r="AE1088" t="str" cm="1">
        <f t="array" ref="AE1088">_xlfn.IFS(G1088=1,"Before College",G1088=2,"College",G1088=3,"Bachelor",G1088=4,"Master",G1088=5,"Doctor")</f>
        <v>Doctor</v>
      </c>
      <c r="AF1088" t="str" cm="1">
        <f t="array" ref="AF1088">_xlfn.IFS(J1088=1,"Low",J1088=2,"Medium",J1088=3,"High",J1088=4,"Very High")</f>
        <v>High</v>
      </c>
      <c r="AG1088" t="str" cm="1">
        <f t="array" ref="AG1088">_xlfn.IFS(L1088=1,"Low",L1088=2,"Medium",L1088=3,"High",L1088=4,"Very High")</f>
        <v>Low</v>
      </c>
      <c r="AH1088" t="str" cm="1">
        <f t="array" ref="AH1088">_xlfn.IFS(M1088=1,"Junior employee",M1088=2,"Mid-level",M1088=3,"Senior",M1088=4,"Manager",M1088=5,"Executive")</f>
        <v>Manager</v>
      </c>
      <c r="AI1088" t="str" cm="1">
        <f t="array" ref="AI1088">_xlfn.IFS(O1088=1,"Low",O1088=2,"Medium",O1088=3,"High",O1088=4,"Very High")</f>
        <v>Very High</v>
      </c>
      <c r="AJ1088" t="str" cm="1">
        <f t="array" ref="AJ1088">_xlfn.IFS(U1088=1,"Low",U1088=2,"Good",U1088=3,"Excellent",U1088=4,"Outstanding")</f>
        <v>Excellent</v>
      </c>
      <c r="AK1088" t="str" cm="1">
        <f t="array" ref="AK1088">_xlfn.IFS(V1088=1,"Low",V1088=2,"Medium",V1088=3,"High",V1088=4,"Very High")</f>
        <v>Very High</v>
      </c>
      <c r="AL1088" t="str" cm="1">
        <f t="array" ref="AL1088">_xlfn.IFS(Z1088=1,"Bad",Z1088=2,"Good",Z1088=3,"Better",Z1088=4,"Best")</f>
        <v>Better</v>
      </c>
      <c r="AM1088" t="str" cm="1">
        <f t="array" ref="AM1088">_xlfn.IFS(W1088=0,"No_stock",W1088=1,"Low",W1088=2,"Medium",W1088=3,"High")</f>
        <v>No_stock</v>
      </c>
      <c r="AN1088" t="str">
        <f t="shared" si="16"/>
        <v>Far</v>
      </c>
    </row>
    <row r="1089" spans="1:40" x14ac:dyDescent="0.45">
      <c r="A1089">
        <v>34</v>
      </c>
      <c r="B1089" t="s">
        <v>37</v>
      </c>
      <c r="C1089" t="s">
        <v>31</v>
      </c>
      <c r="D1089">
        <v>1440</v>
      </c>
      <c r="E1089" t="s">
        <v>32</v>
      </c>
      <c r="F1089">
        <v>7</v>
      </c>
      <c r="G1089">
        <v>2</v>
      </c>
      <c r="H1089" t="s">
        <v>54</v>
      </c>
      <c r="I1089">
        <v>1541</v>
      </c>
      <c r="J1089">
        <v>2</v>
      </c>
      <c r="K1089" t="s">
        <v>40</v>
      </c>
      <c r="L1089">
        <v>3</v>
      </c>
      <c r="M1089">
        <v>1</v>
      </c>
      <c r="N1089" t="s">
        <v>51</v>
      </c>
      <c r="O1089">
        <v>3</v>
      </c>
      <c r="P1089" t="s">
        <v>42</v>
      </c>
      <c r="Q1089">
        <v>2308</v>
      </c>
      <c r="R1089">
        <v>0</v>
      </c>
      <c r="S1089" t="s">
        <v>30</v>
      </c>
      <c r="T1089">
        <v>25</v>
      </c>
      <c r="U1089">
        <v>4</v>
      </c>
      <c r="V1089">
        <v>2</v>
      </c>
      <c r="W1089">
        <v>1</v>
      </c>
      <c r="X1089">
        <v>12</v>
      </c>
      <c r="Y1089">
        <v>4</v>
      </c>
      <c r="Z1089">
        <v>3</v>
      </c>
      <c r="AA1089">
        <v>11</v>
      </c>
      <c r="AB1089">
        <v>10</v>
      </c>
      <c r="AC1089">
        <v>5</v>
      </c>
      <c r="AD1089">
        <v>7</v>
      </c>
      <c r="AE1089" t="str" cm="1">
        <f t="array" ref="AE1089">_xlfn.IFS(G1089=1,"Before College",G1089=2,"College",G1089=3,"Bachelor",G1089=4,"Master",G1089=5,"Doctor")</f>
        <v>College</v>
      </c>
      <c r="AF1089" t="str" cm="1">
        <f t="array" ref="AF1089">_xlfn.IFS(J1089=1,"Low",J1089=2,"Medium",J1089=3,"High",J1089=4,"Very High")</f>
        <v>Medium</v>
      </c>
      <c r="AG1089" t="str" cm="1">
        <f t="array" ref="AG1089">_xlfn.IFS(L1089=1,"Low",L1089=2,"Medium",L1089=3,"High",L1089=4,"Very High")</f>
        <v>High</v>
      </c>
      <c r="AH1089" t="str" cm="1">
        <f t="array" ref="AH1089">_xlfn.IFS(M1089=1,"Junior employee",M1089=2,"Mid-level",M1089=3,"Senior",M1089=4,"Manager",M1089=5,"Executive")</f>
        <v>Junior employee</v>
      </c>
      <c r="AI1089" t="str" cm="1">
        <f t="array" ref="AI1089">_xlfn.IFS(O1089=1,"Low",O1089=2,"Medium",O1089=3,"High",O1089=4,"Very High")</f>
        <v>High</v>
      </c>
      <c r="AJ1089" t="str" cm="1">
        <f t="array" ref="AJ1089">_xlfn.IFS(U1089=1,"Low",U1089=2,"Good",U1089=3,"Excellent",U1089=4,"Outstanding")</f>
        <v>Outstanding</v>
      </c>
      <c r="AK1089" t="str" cm="1">
        <f t="array" ref="AK1089">_xlfn.IFS(V1089=1,"Low",V1089=2,"Medium",V1089=3,"High",V1089=4,"Very High")</f>
        <v>Medium</v>
      </c>
      <c r="AL1089" t="str" cm="1">
        <f t="array" ref="AL1089">_xlfn.IFS(Z1089=1,"Bad",Z1089=2,"Good",Z1089=3,"Better",Z1089=4,"Best")</f>
        <v>Better</v>
      </c>
      <c r="AM1089" t="str" cm="1">
        <f t="array" ref="AM1089">_xlfn.IFS(W1089=0,"No_stock",W1089=1,"Low",W1089=2,"Medium",W1089=3,"High")</f>
        <v>Low</v>
      </c>
      <c r="AN1089" t="str">
        <f t="shared" si="16"/>
        <v>Medium</v>
      </c>
    </row>
    <row r="1090" spans="1:40" x14ac:dyDescent="0.45">
      <c r="A1090">
        <v>42</v>
      </c>
      <c r="B1090" t="s">
        <v>37</v>
      </c>
      <c r="C1090" t="s">
        <v>31</v>
      </c>
      <c r="D1090">
        <v>1210</v>
      </c>
      <c r="E1090" t="s">
        <v>39</v>
      </c>
      <c r="F1090">
        <v>2</v>
      </c>
      <c r="G1090">
        <v>3</v>
      </c>
      <c r="H1090" t="s">
        <v>45</v>
      </c>
      <c r="I1090">
        <v>1542</v>
      </c>
      <c r="J1090">
        <v>3</v>
      </c>
      <c r="K1090" t="s">
        <v>40</v>
      </c>
      <c r="L1090">
        <v>2</v>
      </c>
      <c r="M1090">
        <v>1</v>
      </c>
      <c r="N1090" t="s">
        <v>44</v>
      </c>
      <c r="O1090">
        <v>2</v>
      </c>
      <c r="P1090" t="s">
        <v>42</v>
      </c>
      <c r="Q1090">
        <v>4841</v>
      </c>
      <c r="R1090">
        <v>4</v>
      </c>
      <c r="S1090" t="s">
        <v>37</v>
      </c>
      <c r="T1090">
        <v>14</v>
      </c>
      <c r="U1090">
        <v>3</v>
      </c>
      <c r="V1090">
        <v>2</v>
      </c>
      <c r="W1090">
        <v>1</v>
      </c>
      <c r="X1090">
        <v>4</v>
      </c>
      <c r="Y1090">
        <v>3</v>
      </c>
      <c r="Z1090">
        <v>3</v>
      </c>
      <c r="AA1090">
        <v>1</v>
      </c>
      <c r="AB1090">
        <v>0</v>
      </c>
      <c r="AC1090">
        <v>0</v>
      </c>
      <c r="AD1090">
        <v>0</v>
      </c>
      <c r="AE1090" t="str" cm="1">
        <f t="array" ref="AE1090">_xlfn.IFS(G1090=1,"Before College",G1090=2,"College",G1090=3,"Bachelor",G1090=4,"Master",G1090=5,"Doctor")</f>
        <v>Bachelor</v>
      </c>
      <c r="AF1090" t="str" cm="1">
        <f t="array" ref="AF1090">_xlfn.IFS(J1090=1,"Low",J1090=2,"Medium",J1090=3,"High",J1090=4,"Very High")</f>
        <v>High</v>
      </c>
      <c r="AG1090" t="str" cm="1">
        <f t="array" ref="AG1090">_xlfn.IFS(L1090=1,"Low",L1090=2,"Medium",L1090=3,"High",L1090=4,"Very High")</f>
        <v>Medium</v>
      </c>
      <c r="AH1090" t="str" cm="1">
        <f t="array" ref="AH1090">_xlfn.IFS(M1090=1,"Junior employee",M1090=2,"Mid-level",M1090=3,"Senior",M1090=4,"Manager",M1090=5,"Executive")</f>
        <v>Junior employee</v>
      </c>
      <c r="AI1090" t="str" cm="1">
        <f t="array" ref="AI1090">_xlfn.IFS(O1090=1,"Low",O1090=2,"Medium",O1090=3,"High",O1090=4,"Very High")</f>
        <v>Medium</v>
      </c>
      <c r="AJ1090" t="str" cm="1">
        <f t="array" ref="AJ1090">_xlfn.IFS(U1090=1,"Low",U1090=2,"Good",U1090=3,"Excellent",U1090=4,"Outstanding")</f>
        <v>Excellent</v>
      </c>
      <c r="AK1090" t="str" cm="1">
        <f t="array" ref="AK1090">_xlfn.IFS(V1090=1,"Low",V1090=2,"Medium",V1090=3,"High",V1090=4,"Very High")</f>
        <v>Medium</v>
      </c>
      <c r="AL1090" t="str" cm="1">
        <f t="array" ref="AL1090">_xlfn.IFS(Z1090=1,"Bad",Z1090=2,"Good",Z1090=3,"Better",Z1090=4,"Best")</f>
        <v>Better</v>
      </c>
      <c r="AM1090" t="str" cm="1">
        <f t="array" ref="AM1090">_xlfn.IFS(W1090=0,"No_stock",W1090=1,"Low",W1090=2,"Medium",W1090=3,"High")</f>
        <v>Low</v>
      </c>
      <c r="AN1090" t="str">
        <f t="shared" ref="AN1090:AN1153" si="17">IF(F1090&lt;=5,"Near",IF(F1090&lt;=15,"Medium","Far"))</f>
        <v>Near</v>
      </c>
    </row>
    <row r="1091" spans="1:40" x14ac:dyDescent="0.45">
      <c r="A1091">
        <v>37</v>
      </c>
      <c r="B1091" t="s">
        <v>37</v>
      </c>
      <c r="C1091" t="s">
        <v>31</v>
      </c>
      <c r="D1091">
        <v>674</v>
      </c>
      <c r="E1091" t="s">
        <v>39</v>
      </c>
      <c r="F1091">
        <v>13</v>
      </c>
      <c r="G1091">
        <v>3</v>
      </c>
      <c r="H1091" t="s">
        <v>45</v>
      </c>
      <c r="I1091">
        <v>1543</v>
      </c>
      <c r="J1091">
        <v>1</v>
      </c>
      <c r="K1091" t="s">
        <v>40</v>
      </c>
      <c r="L1091">
        <v>3</v>
      </c>
      <c r="M1091">
        <v>2</v>
      </c>
      <c r="N1091" t="s">
        <v>41</v>
      </c>
      <c r="O1091">
        <v>4</v>
      </c>
      <c r="P1091" t="s">
        <v>42</v>
      </c>
      <c r="Q1091">
        <v>4285</v>
      </c>
      <c r="R1091">
        <v>1</v>
      </c>
      <c r="S1091" t="s">
        <v>37</v>
      </c>
      <c r="T1091">
        <v>17</v>
      </c>
      <c r="U1091">
        <v>3</v>
      </c>
      <c r="V1091">
        <v>1</v>
      </c>
      <c r="W1091">
        <v>0</v>
      </c>
      <c r="X1091">
        <v>10</v>
      </c>
      <c r="Y1091">
        <v>2</v>
      </c>
      <c r="Z1091">
        <v>3</v>
      </c>
      <c r="AA1091">
        <v>10</v>
      </c>
      <c r="AB1091">
        <v>8</v>
      </c>
      <c r="AC1091">
        <v>3</v>
      </c>
      <c r="AD1091">
        <v>7</v>
      </c>
      <c r="AE1091" t="str" cm="1">
        <f t="array" ref="AE1091">_xlfn.IFS(G1091=1,"Before College",G1091=2,"College",G1091=3,"Bachelor",G1091=4,"Master",G1091=5,"Doctor")</f>
        <v>Bachelor</v>
      </c>
      <c r="AF1091" t="str" cm="1">
        <f t="array" ref="AF1091">_xlfn.IFS(J1091=1,"Low",J1091=2,"Medium",J1091=3,"High",J1091=4,"Very High")</f>
        <v>Low</v>
      </c>
      <c r="AG1091" t="str" cm="1">
        <f t="array" ref="AG1091">_xlfn.IFS(L1091=1,"Low",L1091=2,"Medium",L1091=3,"High",L1091=4,"Very High")</f>
        <v>High</v>
      </c>
      <c r="AH1091" t="str" cm="1">
        <f t="array" ref="AH1091">_xlfn.IFS(M1091=1,"Junior employee",M1091=2,"Mid-level",M1091=3,"Senior",M1091=4,"Manager",M1091=5,"Executive")</f>
        <v>Mid-level</v>
      </c>
      <c r="AI1091" t="str" cm="1">
        <f t="array" ref="AI1091">_xlfn.IFS(O1091=1,"Low",O1091=2,"Medium",O1091=3,"High",O1091=4,"Very High")</f>
        <v>Very High</v>
      </c>
      <c r="AJ1091" t="str" cm="1">
        <f t="array" ref="AJ1091">_xlfn.IFS(U1091=1,"Low",U1091=2,"Good",U1091=3,"Excellent",U1091=4,"Outstanding")</f>
        <v>Excellent</v>
      </c>
      <c r="AK1091" t="str" cm="1">
        <f t="array" ref="AK1091">_xlfn.IFS(V1091=1,"Low",V1091=2,"Medium",V1091=3,"High",V1091=4,"Very High")</f>
        <v>Low</v>
      </c>
      <c r="AL1091" t="str" cm="1">
        <f t="array" ref="AL1091">_xlfn.IFS(Z1091=1,"Bad",Z1091=2,"Good",Z1091=3,"Better",Z1091=4,"Best")</f>
        <v>Better</v>
      </c>
      <c r="AM1091" t="str" cm="1">
        <f t="array" ref="AM1091">_xlfn.IFS(W1091=0,"No_stock",W1091=1,"Low",W1091=2,"Medium",W1091=3,"High")</f>
        <v>No_stock</v>
      </c>
      <c r="AN1091" t="str">
        <f t="shared" si="17"/>
        <v>Medium</v>
      </c>
    </row>
    <row r="1092" spans="1:40" x14ac:dyDescent="0.45">
      <c r="A1092">
        <v>29</v>
      </c>
      <c r="B1092" t="s">
        <v>37</v>
      </c>
      <c r="C1092" t="s">
        <v>31</v>
      </c>
      <c r="D1092">
        <v>441</v>
      </c>
      <c r="E1092" t="s">
        <v>39</v>
      </c>
      <c r="F1092">
        <v>8</v>
      </c>
      <c r="G1092">
        <v>1</v>
      </c>
      <c r="H1092" t="s">
        <v>43</v>
      </c>
      <c r="I1092">
        <v>1544</v>
      </c>
      <c r="J1092">
        <v>3</v>
      </c>
      <c r="K1092" t="s">
        <v>34</v>
      </c>
      <c r="L1092">
        <v>1</v>
      </c>
      <c r="M1092">
        <v>2</v>
      </c>
      <c r="N1092" t="s">
        <v>48</v>
      </c>
      <c r="O1092">
        <v>1</v>
      </c>
      <c r="P1092" t="s">
        <v>42</v>
      </c>
      <c r="Q1092">
        <v>9715</v>
      </c>
      <c r="R1092">
        <v>3</v>
      </c>
      <c r="S1092" t="s">
        <v>37</v>
      </c>
      <c r="T1092">
        <v>13</v>
      </c>
      <c r="U1092">
        <v>3</v>
      </c>
      <c r="V1092">
        <v>3</v>
      </c>
      <c r="W1092">
        <v>1</v>
      </c>
      <c r="X1092">
        <v>9</v>
      </c>
      <c r="Y1092">
        <v>3</v>
      </c>
      <c r="Z1092">
        <v>3</v>
      </c>
      <c r="AA1092">
        <v>7</v>
      </c>
      <c r="AB1092">
        <v>7</v>
      </c>
      <c r="AC1092">
        <v>0</v>
      </c>
      <c r="AD1092">
        <v>7</v>
      </c>
      <c r="AE1092" t="str" cm="1">
        <f t="array" ref="AE1092">_xlfn.IFS(G1092=1,"Before College",G1092=2,"College",G1092=3,"Bachelor",G1092=4,"Master",G1092=5,"Doctor")</f>
        <v>Before College</v>
      </c>
      <c r="AF1092" t="str" cm="1">
        <f t="array" ref="AF1092">_xlfn.IFS(J1092=1,"Low",J1092=2,"Medium",J1092=3,"High",J1092=4,"Very High")</f>
        <v>High</v>
      </c>
      <c r="AG1092" t="str" cm="1">
        <f t="array" ref="AG1092">_xlfn.IFS(L1092=1,"Low",L1092=2,"Medium",L1092=3,"High",L1092=4,"Very High")</f>
        <v>Low</v>
      </c>
      <c r="AH1092" t="str" cm="1">
        <f t="array" ref="AH1092">_xlfn.IFS(M1092=1,"Junior employee",M1092=2,"Mid-level",M1092=3,"Senior",M1092=4,"Manager",M1092=5,"Executive")</f>
        <v>Mid-level</v>
      </c>
      <c r="AI1092" t="str" cm="1">
        <f t="array" ref="AI1092">_xlfn.IFS(O1092=1,"Low",O1092=2,"Medium",O1092=3,"High",O1092=4,"Very High")</f>
        <v>Low</v>
      </c>
      <c r="AJ1092" t="str" cm="1">
        <f t="array" ref="AJ1092">_xlfn.IFS(U1092=1,"Low",U1092=2,"Good",U1092=3,"Excellent",U1092=4,"Outstanding")</f>
        <v>Excellent</v>
      </c>
      <c r="AK1092" t="str" cm="1">
        <f t="array" ref="AK1092">_xlfn.IFS(V1092=1,"Low",V1092=2,"Medium",V1092=3,"High",V1092=4,"Very High")</f>
        <v>High</v>
      </c>
      <c r="AL1092" t="str" cm="1">
        <f t="array" ref="AL1092">_xlfn.IFS(Z1092=1,"Bad",Z1092=2,"Good",Z1092=3,"Better",Z1092=4,"Best")</f>
        <v>Better</v>
      </c>
      <c r="AM1092" t="str" cm="1">
        <f t="array" ref="AM1092">_xlfn.IFS(W1092=0,"No_stock",W1092=1,"Low",W1092=2,"Medium",W1092=3,"High")</f>
        <v>Low</v>
      </c>
      <c r="AN1092" t="str">
        <f t="shared" si="17"/>
        <v>Medium</v>
      </c>
    </row>
    <row r="1093" spans="1:40" x14ac:dyDescent="0.45">
      <c r="A1093">
        <v>33</v>
      </c>
      <c r="B1093" t="s">
        <v>37</v>
      </c>
      <c r="C1093" t="s">
        <v>31</v>
      </c>
      <c r="D1093">
        <v>575</v>
      </c>
      <c r="E1093" t="s">
        <v>39</v>
      </c>
      <c r="F1093">
        <v>25</v>
      </c>
      <c r="G1093">
        <v>3</v>
      </c>
      <c r="H1093" t="s">
        <v>33</v>
      </c>
      <c r="I1093">
        <v>1545</v>
      </c>
      <c r="J1093">
        <v>4</v>
      </c>
      <c r="K1093" t="s">
        <v>40</v>
      </c>
      <c r="L1093">
        <v>2</v>
      </c>
      <c r="M1093">
        <v>2</v>
      </c>
      <c r="N1093" t="s">
        <v>47</v>
      </c>
      <c r="O1093">
        <v>2</v>
      </c>
      <c r="P1093" t="s">
        <v>36</v>
      </c>
      <c r="Q1093">
        <v>4320</v>
      </c>
      <c r="R1093">
        <v>1</v>
      </c>
      <c r="S1093" t="s">
        <v>37</v>
      </c>
      <c r="T1093">
        <v>13</v>
      </c>
      <c r="U1093">
        <v>3</v>
      </c>
      <c r="V1093">
        <v>4</v>
      </c>
      <c r="W1093">
        <v>0</v>
      </c>
      <c r="X1093">
        <v>5</v>
      </c>
      <c r="Y1093">
        <v>2</v>
      </c>
      <c r="Z1093">
        <v>3</v>
      </c>
      <c r="AA1093">
        <v>5</v>
      </c>
      <c r="AB1093">
        <v>3</v>
      </c>
      <c r="AC1093">
        <v>0</v>
      </c>
      <c r="AD1093">
        <v>2</v>
      </c>
      <c r="AE1093" t="str" cm="1">
        <f t="array" ref="AE1093">_xlfn.IFS(G1093=1,"Before College",G1093=2,"College",G1093=3,"Bachelor",G1093=4,"Master",G1093=5,"Doctor")</f>
        <v>Bachelor</v>
      </c>
      <c r="AF1093" t="str" cm="1">
        <f t="array" ref="AF1093">_xlfn.IFS(J1093=1,"Low",J1093=2,"Medium",J1093=3,"High",J1093=4,"Very High")</f>
        <v>Very High</v>
      </c>
      <c r="AG1093" t="str" cm="1">
        <f t="array" ref="AG1093">_xlfn.IFS(L1093=1,"Low",L1093=2,"Medium",L1093=3,"High",L1093=4,"Very High")</f>
        <v>Medium</v>
      </c>
      <c r="AH1093" t="str" cm="1">
        <f t="array" ref="AH1093">_xlfn.IFS(M1093=1,"Junior employee",M1093=2,"Mid-level",M1093=3,"Senior",M1093=4,"Manager",M1093=5,"Executive")</f>
        <v>Mid-level</v>
      </c>
      <c r="AI1093" t="str" cm="1">
        <f t="array" ref="AI1093">_xlfn.IFS(O1093=1,"Low",O1093=2,"Medium",O1093=3,"High",O1093=4,"Very High")</f>
        <v>Medium</v>
      </c>
      <c r="AJ1093" t="str" cm="1">
        <f t="array" ref="AJ1093">_xlfn.IFS(U1093=1,"Low",U1093=2,"Good",U1093=3,"Excellent",U1093=4,"Outstanding")</f>
        <v>Excellent</v>
      </c>
      <c r="AK1093" t="str" cm="1">
        <f t="array" ref="AK1093">_xlfn.IFS(V1093=1,"Low",V1093=2,"Medium",V1093=3,"High",V1093=4,"Very High")</f>
        <v>Very High</v>
      </c>
      <c r="AL1093" t="str" cm="1">
        <f t="array" ref="AL1093">_xlfn.IFS(Z1093=1,"Bad",Z1093=2,"Good",Z1093=3,"Better",Z1093=4,"Best")</f>
        <v>Better</v>
      </c>
      <c r="AM1093" t="str" cm="1">
        <f t="array" ref="AM1093">_xlfn.IFS(W1093=0,"No_stock",W1093=1,"Low",W1093=2,"Medium",W1093=3,"High")</f>
        <v>No_stock</v>
      </c>
      <c r="AN1093" t="str">
        <f t="shared" si="17"/>
        <v>Far</v>
      </c>
    </row>
    <row r="1094" spans="1:40" x14ac:dyDescent="0.45">
      <c r="A1094">
        <v>45</v>
      </c>
      <c r="B1094" t="s">
        <v>37</v>
      </c>
      <c r="C1094" t="s">
        <v>31</v>
      </c>
      <c r="D1094">
        <v>950</v>
      </c>
      <c r="E1094" t="s">
        <v>39</v>
      </c>
      <c r="F1094">
        <v>28</v>
      </c>
      <c r="G1094">
        <v>3</v>
      </c>
      <c r="H1094" t="s">
        <v>54</v>
      </c>
      <c r="I1094">
        <v>1546</v>
      </c>
      <c r="J1094">
        <v>4</v>
      </c>
      <c r="K1094" t="s">
        <v>40</v>
      </c>
      <c r="L1094">
        <v>3</v>
      </c>
      <c r="M1094">
        <v>1</v>
      </c>
      <c r="N1094" t="s">
        <v>41</v>
      </c>
      <c r="O1094">
        <v>4</v>
      </c>
      <c r="P1094" t="s">
        <v>42</v>
      </c>
      <c r="Q1094">
        <v>2132</v>
      </c>
      <c r="R1094">
        <v>4</v>
      </c>
      <c r="S1094" t="s">
        <v>37</v>
      </c>
      <c r="T1094">
        <v>20</v>
      </c>
      <c r="U1094">
        <v>4</v>
      </c>
      <c r="V1094">
        <v>4</v>
      </c>
      <c r="W1094">
        <v>1</v>
      </c>
      <c r="X1094">
        <v>8</v>
      </c>
      <c r="Y1094">
        <v>3</v>
      </c>
      <c r="Z1094">
        <v>3</v>
      </c>
      <c r="AA1094">
        <v>5</v>
      </c>
      <c r="AB1094">
        <v>4</v>
      </c>
      <c r="AC1094">
        <v>0</v>
      </c>
      <c r="AD1094">
        <v>3</v>
      </c>
      <c r="AE1094" t="str" cm="1">
        <f t="array" ref="AE1094">_xlfn.IFS(G1094=1,"Before College",G1094=2,"College",G1094=3,"Bachelor",G1094=4,"Master",G1094=5,"Doctor")</f>
        <v>Bachelor</v>
      </c>
      <c r="AF1094" t="str" cm="1">
        <f t="array" ref="AF1094">_xlfn.IFS(J1094=1,"Low",J1094=2,"Medium",J1094=3,"High",J1094=4,"Very High")</f>
        <v>Very High</v>
      </c>
      <c r="AG1094" t="str" cm="1">
        <f t="array" ref="AG1094">_xlfn.IFS(L1094=1,"Low",L1094=2,"Medium",L1094=3,"High",L1094=4,"Very High")</f>
        <v>High</v>
      </c>
      <c r="AH1094" t="str" cm="1">
        <f t="array" ref="AH1094">_xlfn.IFS(M1094=1,"Junior employee",M1094=2,"Mid-level",M1094=3,"Senior",M1094=4,"Manager",M1094=5,"Executive")</f>
        <v>Junior employee</v>
      </c>
      <c r="AI1094" t="str" cm="1">
        <f t="array" ref="AI1094">_xlfn.IFS(O1094=1,"Low",O1094=2,"Medium",O1094=3,"High",O1094=4,"Very High")</f>
        <v>Very High</v>
      </c>
      <c r="AJ1094" t="str" cm="1">
        <f t="array" ref="AJ1094">_xlfn.IFS(U1094=1,"Low",U1094=2,"Good",U1094=3,"Excellent",U1094=4,"Outstanding")</f>
        <v>Outstanding</v>
      </c>
      <c r="AK1094" t="str" cm="1">
        <f t="array" ref="AK1094">_xlfn.IFS(V1094=1,"Low",V1094=2,"Medium",V1094=3,"High",V1094=4,"Very High")</f>
        <v>Very High</v>
      </c>
      <c r="AL1094" t="str" cm="1">
        <f t="array" ref="AL1094">_xlfn.IFS(Z1094=1,"Bad",Z1094=2,"Good",Z1094=3,"Better",Z1094=4,"Best")</f>
        <v>Better</v>
      </c>
      <c r="AM1094" t="str" cm="1">
        <f t="array" ref="AM1094">_xlfn.IFS(W1094=0,"No_stock",W1094=1,"Low",W1094=2,"Medium",W1094=3,"High")</f>
        <v>Low</v>
      </c>
      <c r="AN1094" t="str">
        <f t="shared" si="17"/>
        <v>Far</v>
      </c>
    </row>
    <row r="1095" spans="1:40" x14ac:dyDescent="0.45">
      <c r="A1095">
        <v>42</v>
      </c>
      <c r="B1095" t="s">
        <v>37</v>
      </c>
      <c r="C1095" t="s">
        <v>38</v>
      </c>
      <c r="D1095">
        <v>288</v>
      </c>
      <c r="E1095" t="s">
        <v>39</v>
      </c>
      <c r="F1095">
        <v>2</v>
      </c>
      <c r="G1095">
        <v>3</v>
      </c>
      <c r="H1095" t="s">
        <v>33</v>
      </c>
      <c r="I1095">
        <v>1547</v>
      </c>
      <c r="J1095">
        <v>4</v>
      </c>
      <c r="K1095" t="s">
        <v>40</v>
      </c>
      <c r="L1095">
        <v>3</v>
      </c>
      <c r="M1095">
        <v>3</v>
      </c>
      <c r="N1095" t="s">
        <v>48</v>
      </c>
      <c r="O1095">
        <v>4</v>
      </c>
      <c r="P1095" t="s">
        <v>42</v>
      </c>
      <c r="Q1095">
        <v>10124</v>
      </c>
      <c r="R1095">
        <v>2</v>
      </c>
      <c r="S1095" t="s">
        <v>30</v>
      </c>
      <c r="T1095">
        <v>14</v>
      </c>
      <c r="U1095">
        <v>3</v>
      </c>
      <c r="V1095">
        <v>3</v>
      </c>
      <c r="W1095">
        <v>1</v>
      </c>
      <c r="X1095">
        <v>24</v>
      </c>
      <c r="Y1095">
        <v>3</v>
      </c>
      <c r="Z1095">
        <v>1</v>
      </c>
      <c r="AA1095">
        <v>20</v>
      </c>
      <c r="AB1095">
        <v>8</v>
      </c>
      <c r="AC1095">
        <v>13</v>
      </c>
      <c r="AD1095">
        <v>9</v>
      </c>
      <c r="AE1095" t="str" cm="1">
        <f t="array" ref="AE1095">_xlfn.IFS(G1095=1,"Before College",G1095=2,"College",G1095=3,"Bachelor",G1095=4,"Master",G1095=5,"Doctor")</f>
        <v>Bachelor</v>
      </c>
      <c r="AF1095" t="str" cm="1">
        <f t="array" ref="AF1095">_xlfn.IFS(J1095=1,"Low",J1095=2,"Medium",J1095=3,"High",J1095=4,"Very High")</f>
        <v>Very High</v>
      </c>
      <c r="AG1095" t="str" cm="1">
        <f t="array" ref="AG1095">_xlfn.IFS(L1095=1,"Low",L1095=2,"Medium",L1095=3,"High",L1095=4,"Very High")</f>
        <v>High</v>
      </c>
      <c r="AH1095" t="str" cm="1">
        <f t="array" ref="AH1095">_xlfn.IFS(M1095=1,"Junior employee",M1095=2,"Mid-level",M1095=3,"Senior",M1095=4,"Manager",M1095=5,"Executive")</f>
        <v>Senior</v>
      </c>
      <c r="AI1095" t="str" cm="1">
        <f t="array" ref="AI1095">_xlfn.IFS(O1095=1,"Low",O1095=2,"Medium",O1095=3,"High",O1095=4,"Very High")</f>
        <v>Very High</v>
      </c>
      <c r="AJ1095" t="str" cm="1">
        <f t="array" ref="AJ1095">_xlfn.IFS(U1095=1,"Low",U1095=2,"Good",U1095=3,"Excellent",U1095=4,"Outstanding")</f>
        <v>Excellent</v>
      </c>
      <c r="AK1095" t="str" cm="1">
        <f t="array" ref="AK1095">_xlfn.IFS(V1095=1,"Low",V1095=2,"Medium",V1095=3,"High",V1095=4,"Very High")</f>
        <v>High</v>
      </c>
      <c r="AL1095" t="str" cm="1">
        <f t="array" ref="AL1095">_xlfn.IFS(Z1095=1,"Bad",Z1095=2,"Good",Z1095=3,"Better",Z1095=4,"Best")</f>
        <v>Bad</v>
      </c>
      <c r="AM1095" t="str" cm="1">
        <f t="array" ref="AM1095">_xlfn.IFS(W1095=0,"No_stock",W1095=1,"Low",W1095=2,"Medium",W1095=3,"High")</f>
        <v>Low</v>
      </c>
      <c r="AN1095" t="str">
        <f t="shared" si="17"/>
        <v>Near</v>
      </c>
    </row>
    <row r="1096" spans="1:40" x14ac:dyDescent="0.45">
      <c r="A1096">
        <v>40</v>
      </c>
      <c r="B1096" t="s">
        <v>37</v>
      </c>
      <c r="C1096" t="s">
        <v>31</v>
      </c>
      <c r="D1096">
        <v>1342</v>
      </c>
      <c r="E1096" t="s">
        <v>32</v>
      </c>
      <c r="F1096">
        <v>9</v>
      </c>
      <c r="G1096">
        <v>2</v>
      </c>
      <c r="H1096" t="s">
        <v>45</v>
      </c>
      <c r="I1096">
        <v>1548</v>
      </c>
      <c r="J1096">
        <v>1</v>
      </c>
      <c r="K1096" t="s">
        <v>40</v>
      </c>
      <c r="L1096">
        <v>3</v>
      </c>
      <c r="M1096">
        <v>2</v>
      </c>
      <c r="N1096" t="s">
        <v>35</v>
      </c>
      <c r="O1096">
        <v>1</v>
      </c>
      <c r="P1096" t="s">
        <v>42</v>
      </c>
      <c r="Q1096">
        <v>5473</v>
      </c>
      <c r="R1096">
        <v>0</v>
      </c>
      <c r="S1096" t="s">
        <v>37</v>
      </c>
      <c r="T1096">
        <v>12</v>
      </c>
      <c r="U1096">
        <v>3</v>
      </c>
      <c r="V1096">
        <v>4</v>
      </c>
      <c r="W1096">
        <v>0</v>
      </c>
      <c r="X1096">
        <v>9</v>
      </c>
      <c r="Y1096">
        <v>5</v>
      </c>
      <c r="Z1096">
        <v>4</v>
      </c>
      <c r="AA1096">
        <v>8</v>
      </c>
      <c r="AB1096">
        <v>4</v>
      </c>
      <c r="AC1096">
        <v>7</v>
      </c>
      <c r="AD1096">
        <v>1</v>
      </c>
      <c r="AE1096" t="str" cm="1">
        <f t="array" ref="AE1096">_xlfn.IFS(G1096=1,"Before College",G1096=2,"College",G1096=3,"Bachelor",G1096=4,"Master",G1096=5,"Doctor")</f>
        <v>College</v>
      </c>
      <c r="AF1096" t="str" cm="1">
        <f t="array" ref="AF1096">_xlfn.IFS(J1096=1,"Low",J1096=2,"Medium",J1096=3,"High",J1096=4,"Very High")</f>
        <v>Low</v>
      </c>
      <c r="AG1096" t="str" cm="1">
        <f t="array" ref="AG1096">_xlfn.IFS(L1096=1,"Low",L1096=2,"Medium",L1096=3,"High",L1096=4,"Very High")</f>
        <v>High</v>
      </c>
      <c r="AH1096" t="str" cm="1">
        <f t="array" ref="AH1096">_xlfn.IFS(M1096=1,"Junior employee",M1096=2,"Mid-level",M1096=3,"Senior",M1096=4,"Manager",M1096=5,"Executive")</f>
        <v>Mid-level</v>
      </c>
      <c r="AI1096" t="str" cm="1">
        <f t="array" ref="AI1096">_xlfn.IFS(O1096=1,"Low",O1096=2,"Medium",O1096=3,"High",O1096=4,"Very High")</f>
        <v>Low</v>
      </c>
      <c r="AJ1096" t="str" cm="1">
        <f t="array" ref="AJ1096">_xlfn.IFS(U1096=1,"Low",U1096=2,"Good",U1096=3,"Excellent",U1096=4,"Outstanding")</f>
        <v>Excellent</v>
      </c>
      <c r="AK1096" t="str" cm="1">
        <f t="array" ref="AK1096">_xlfn.IFS(V1096=1,"Low",V1096=2,"Medium",V1096=3,"High",V1096=4,"Very High")</f>
        <v>Very High</v>
      </c>
      <c r="AL1096" t="str" cm="1">
        <f t="array" ref="AL1096">_xlfn.IFS(Z1096=1,"Bad",Z1096=2,"Good",Z1096=3,"Better",Z1096=4,"Best")</f>
        <v>Best</v>
      </c>
      <c r="AM1096" t="str" cm="1">
        <f t="array" ref="AM1096">_xlfn.IFS(W1096=0,"No_stock",W1096=1,"Low",W1096=2,"Medium",W1096=3,"High")</f>
        <v>No_stock</v>
      </c>
      <c r="AN1096" t="str">
        <f t="shared" si="17"/>
        <v>Medium</v>
      </c>
    </row>
    <row r="1097" spans="1:40" x14ac:dyDescent="0.45">
      <c r="A1097">
        <v>33</v>
      </c>
      <c r="B1097" t="s">
        <v>37</v>
      </c>
      <c r="C1097" t="s">
        <v>31</v>
      </c>
      <c r="D1097">
        <v>589</v>
      </c>
      <c r="E1097" t="s">
        <v>39</v>
      </c>
      <c r="F1097">
        <v>28</v>
      </c>
      <c r="G1097">
        <v>4</v>
      </c>
      <c r="H1097" t="s">
        <v>33</v>
      </c>
      <c r="I1097">
        <v>1549</v>
      </c>
      <c r="J1097">
        <v>2</v>
      </c>
      <c r="K1097" t="s">
        <v>40</v>
      </c>
      <c r="L1097">
        <v>3</v>
      </c>
      <c r="M1097">
        <v>2</v>
      </c>
      <c r="N1097" t="s">
        <v>44</v>
      </c>
      <c r="O1097">
        <v>3</v>
      </c>
      <c r="P1097" t="s">
        <v>42</v>
      </c>
      <c r="Q1097">
        <v>5207</v>
      </c>
      <c r="R1097">
        <v>1</v>
      </c>
      <c r="S1097" t="s">
        <v>30</v>
      </c>
      <c r="T1097">
        <v>12</v>
      </c>
      <c r="U1097">
        <v>3</v>
      </c>
      <c r="V1097">
        <v>2</v>
      </c>
      <c r="W1097">
        <v>1</v>
      </c>
      <c r="X1097">
        <v>15</v>
      </c>
      <c r="Y1097">
        <v>3</v>
      </c>
      <c r="Z1097">
        <v>3</v>
      </c>
      <c r="AA1097">
        <v>15</v>
      </c>
      <c r="AB1097">
        <v>14</v>
      </c>
      <c r="AC1097">
        <v>5</v>
      </c>
      <c r="AD1097">
        <v>7</v>
      </c>
      <c r="AE1097" t="str" cm="1">
        <f t="array" ref="AE1097">_xlfn.IFS(G1097=1,"Before College",G1097=2,"College",G1097=3,"Bachelor",G1097=4,"Master",G1097=5,"Doctor")</f>
        <v>Master</v>
      </c>
      <c r="AF1097" t="str" cm="1">
        <f t="array" ref="AF1097">_xlfn.IFS(J1097=1,"Low",J1097=2,"Medium",J1097=3,"High",J1097=4,"Very High")</f>
        <v>Medium</v>
      </c>
      <c r="AG1097" t="str" cm="1">
        <f t="array" ref="AG1097">_xlfn.IFS(L1097=1,"Low",L1097=2,"Medium",L1097=3,"High",L1097=4,"Very High")</f>
        <v>High</v>
      </c>
      <c r="AH1097" t="str" cm="1">
        <f t="array" ref="AH1097">_xlfn.IFS(M1097=1,"Junior employee",M1097=2,"Mid-level",M1097=3,"Senior",M1097=4,"Manager",M1097=5,"Executive")</f>
        <v>Mid-level</v>
      </c>
      <c r="AI1097" t="str" cm="1">
        <f t="array" ref="AI1097">_xlfn.IFS(O1097=1,"Low",O1097=2,"Medium",O1097=3,"High",O1097=4,"Very High")</f>
        <v>High</v>
      </c>
      <c r="AJ1097" t="str" cm="1">
        <f t="array" ref="AJ1097">_xlfn.IFS(U1097=1,"Low",U1097=2,"Good",U1097=3,"Excellent",U1097=4,"Outstanding")</f>
        <v>Excellent</v>
      </c>
      <c r="AK1097" t="str" cm="1">
        <f t="array" ref="AK1097">_xlfn.IFS(V1097=1,"Low",V1097=2,"Medium",V1097=3,"High",V1097=4,"Very High")</f>
        <v>Medium</v>
      </c>
      <c r="AL1097" t="str" cm="1">
        <f t="array" ref="AL1097">_xlfn.IFS(Z1097=1,"Bad",Z1097=2,"Good",Z1097=3,"Better",Z1097=4,"Best")</f>
        <v>Better</v>
      </c>
      <c r="AM1097" t="str" cm="1">
        <f t="array" ref="AM1097">_xlfn.IFS(W1097=0,"No_stock",W1097=1,"Low",W1097=2,"Medium",W1097=3,"High")</f>
        <v>Low</v>
      </c>
      <c r="AN1097" t="str">
        <f t="shared" si="17"/>
        <v>Far</v>
      </c>
    </row>
    <row r="1098" spans="1:40" x14ac:dyDescent="0.45">
      <c r="A1098">
        <v>40</v>
      </c>
      <c r="B1098" t="s">
        <v>37</v>
      </c>
      <c r="C1098" t="s">
        <v>31</v>
      </c>
      <c r="D1098">
        <v>898</v>
      </c>
      <c r="E1098" t="s">
        <v>55</v>
      </c>
      <c r="F1098">
        <v>6</v>
      </c>
      <c r="G1098">
        <v>2</v>
      </c>
      <c r="H1098" t="s">
        <v>45</v>
      </c>
      <c r="I1098">
        <v>1550</v>
      </c>
      <c r="J1098">
        <v>3</v>
      </c>
      <c r="K1098" t="s">
        <v>40</v>
      </c>
      <c r="L1098">
        <v>3</v>
      </c>
      <c r="M1098">
        <v>4</v>
      </c>
      <c r="N1098" t="s">
        <v>50</v>
      </c>
      <c r="O1098">
        <v>4</v>
      </c>
      <c r="P1098" t="s">
        <v>36</v>
      </c>
      <c r="Q1098">
        <v>16437</v>
      </c>
      <c r="R1098">
        <v>1</v>
      </c>
      <c r="S1098" t="s">
        <v>30</v>
      </c>
      <c r="T1098">
        <v>21</v>
      </c>
      <c r="U1098">
        <v>4</v>
      </c>
      <c r="V1098">
        <v>4</v>
      </c>
      <c r="W1098">
        <v>0</v>
      </c>
      <c r="X1098">
        <v>21</v>
      </c>
      <c r="Y1098">
        <v>2</v>
      </c>
      <c r="Z1098">
        <v>3</v>
      </c>
      <c r="AA1098">
        <v>21</v>
      </c>
      <c r="AB1098">
        <v>7</v>
      </c>
      <c r="AC1098">
        <v>7</v>
      </c>
      <c r="AD1098">
        <v>7</v>
      </c>
      <c r="AE1098" t="str" cm="1">
        <f t="array" ref="AE1098">_xlfn.IFS(G1098=1,"Before College",G1098=2,"College",G1098=3,"Bachelor",G1098=4,"Master",G1098=5,"Doctor")</f>
        <v>College</v>
      </c>
      <c r="AF1098" t="str" cm="1">
        <f t="array" ref="AF1098">_xlfn.IFS(J1098=1,"Low",J1098=2,"Medium",J1098=3,"High",J1098=4,"Very High")</f>
        <v>High</v>
      </c>
      <c r="AG1098" t="str" cm="1">
        <f t="array" ref="AG1098">_xlfn.IFS(L1098=1,"Low",L1098=2,"Medium",L1098=3,"High",L1098=4,"Very High")</f>
        <v>High</v>
      </c>
      <c r="AH1098" t="str" cm="1">
        <f t="array" ref="AH1098">_xlfn.IFS(M1098=1,"Junior employee",M1098=2,"Mid-level",M1098=3,"Senior",M1098=4,"Manager",M1098=5,"Executive")</f>
        <v>Manager</v>
      </c>
      <c r="AI1098" t="str" cm="1">
        <f t="array" ref="AI1098">_xlfn.IFS(O1098=1,"Low",O1098=2,"Medium",O1098=3,"High",O1098=4,"Very High")</f>
        <v>Very High</v>
      </c>
      <c r="AJ1098" t="str" cm="1">
        <f t="array" ref="AJ1098">_xlfn.IFS(U1098=1,"Low",U1098=2,"Good",U1098=3,"Excellent",U1098=4,"Outstanding")</f>
        <v>Outstanding</v>
      </c>
      <c r="AK1098" t="str" cm="1">
        <f t="array" ref="AK1098">_xlfn.IFS(V1098=1,"Low",V1098=2,"Medium",V1098=3,"High",V1098=4,"Very High")</f>
        <v>Very High</v>
      </c>
      <c r="AL1098" t="str" cm="1">
        <f t="array" ref="AL1098">_xlfn.IFS(Z1098=1,"Bad",Z1098=2,"Good",Z1098=3,"Better",Z1098=4,"Best")</f>
        <v>Better</v>
      </c>
      <c r="AM1098" t="str" cm="1">
        <f t="array" ref="AM1098">_xlfn.IFS(W1098=0,"No_stock",W1098=1,"Low",W1098=2,"Medium",W1098=3,"High")</f>
        <v>No_stock</v>
      </c>
      <c r="AN1098" t="str">
        <f t="shared" si="17"/>
        <v>Medium</v>
      </c>
    </row>
    <row r="1099" spans="1:40" x14ac:dyDescent="0.45">
      <c r="A1099">
        <v>24</v>
      </c>
      <c r="B1099" t="s">
        <v>37</v>
      </c>
      <c r="C1099" t="s">
        <v>31</v>
      </c>
      <c r="D1099">
        <v>350</v>
      </c>
      <c r="E1099" t="s">
        <v>39</v>
      </c>
      <c r="F1099">
        <v>21</v>
      </c>
      <c r="G1099">
        <v>2</v>
      </c>
      <c r="H1099" t="s">
        <v>54</v>
      </c>
      <c r="I1099">
        <v>1551</v>
      </c>
      <c r="J1099">
        <v>3</v>
      </c>
      <c r="K1099" t="s">
        <v>40</v>
      </c>
      <c r="L1099">
        <v>2</v>
      </c>
      <c r="M1099">
        <v>1</v>
      </c>
      <c r="N1099" t="s">
        <v>44</v>
      </c>
      <c r="O1099">
        <v>1</v>
      </c>
      <c r="P1099" t="s">
        <v>46</v>
      </c>
      <c r="Q1099">
        <v>2296</v>
      </c>
      <c r="R1099">
        <v>0</v>
      </c>
      <c r="S1099" t="s">
        <v>37</v>
      </c>
      <c r="T1099">
        <v>14</v>
      </c>
      <c r="U1099">
        <v>3</v>
      </c>
      <c r="V1099">
        <v>2</v>
      </c>
      <c r="W1099">
        <v>3</v>
      </c>
      <c r="X1099">
        <v>2</v>
      </c>
      <c r="Y1099">
        <v>3</v>
      </c>
      <c r="Z1099">
        <v>3</v>
      </c>
      <c r="AA1099">
        <v>1</v>
      </c>
      <c r="AB1099">
        <v>1</v>
      </c>
      <c r="AC1099">
        <v>0</v>
      </c>
      <c r="AD1099">
        <v>0</v>
      </c>
      <c r="AE1099" t="str" cm="1">
        <f t="array" ref="AE1099">_xlfn.IFS(G1099=1,"Before College",G1099=2,"College",G1099=3,"Bachelor",G1099=4,"Master",G1099=5,"Doctor")</f>
        <v>College</v>
      </c>
      <c r="AF1099" t="str" cm="1">
        <f t="array" ref="AF1099">_xlfn.IFS(J1099=1,"Low",J1099=2,"Medium",J1099=3,"High",J1099=4,"Very High")</f>
        <v>High</v>
      </c>
      <c r="AG1099" t="str" cm="1">
        <f t="array" ref="AG1099">_xlfn.IFS(L1099=1,"Low",L1099=2,"Medium",L1099=3,"High",L1099=4,"Very High")</f>
        <v>Medium</v>
      </c>
      <c r="AH1099" t="str" cm="1">
        <f t="array" ref="AH1099">_xlfn.IFS(M1099=1,"Junior employee",M1099=2,"Mid-level",M1099=3,"Senior",M1099=4,"Manager",M1099=5,"Executive")</f>
        <v>Junior employee</v>
      </c>
      <c r="AI1099" t="str" cm="1">
        <f t="array" ref="AI1099">_xlfn.IFS(O1099=1,"Low",O1099=2,"Medium",O1099=3,"High",O1099=4,"Very High")</f>
        <v>Low</v>
      </c>
      <c r="AJ1099" t="str" cm="1">
        <f t="array" ref="AJ1099">_xlfn.IFS(U1099=1,"Low",U1099=2,"Good",U1099=3,"Excellent",U1099=4,"Outstanding")</f>
        <v>Excellent</v>
      </c>
      <c r="AK1099" t="str" cm="1">
        <f t="array" ref="AK1099">_xlfn.IFS(V1099=1,"Low",V1099=2,"Medium",V1099=3,"High",V1099=4,"Very High")</f>
        <v>Medium</v>
      </c>
      <c r="AL1099" t="str" cm="1">
        <f t="array" ref="AL1099">_xlfn.IFS(Z1099=1,"Bad",Z1099=2,"Good",Z1099=3,"Better",Z1099=4,"Best")</f>
        <v>Better</v>
      </c>
      <c r="AM1099" t="str" cm="1">
        <f t="array" ref="AM1099">_xlfn.IFS(W1099=0,"No_stock",W1099=1,"Low",W1099=2,"Medium",W1099=3,"High")</f>
        <v>High</v>
      </c>
      <c r="AN1099" t="str">
        <f t="shared" si="17"/>
        <v>Far</v>
      </c>
    </row>
    <row r="1100" spans="1:40" x14ac:dyDescent="0.45">
      <c r="A1100">
        <v>40</v>
      </c>
      <c r="B1100" t="s">
        <v>37</v>
      </c>
      <c r="C1100" t="s">
        <v>49</v>
      </c>
      <c r="D1100">
        <v>1142</v>
      </c>
      <c r="E1100" t="s">
        <v>39</v>
      </c>
      <c r="F1100">
        <v>8</v>
      </c>
      <c r="G1100">
        <v>2</v>
      </c>
      <c r="H1100" t="s">
        <v>33</v>
      </c>
      <c r="I1100">
        <v>1552</v>
      </c>
      <c r="J1100">
        <v>4</v>
      </c>
      <c r="K1100" t="s">
        <v>40</v>
      </c>
      <c r="L1100">
        <v>3</v>
      </c>
      <c r="M1100">
        <v>2</v>
      </c>
      <c r="N1100" t="s">
        <v>48</v>
      </c>
      <c r="O1100">
        <v>4</v>
      </c>
      <c r="P1100" t="s">
        <v>46</v>
      </c>
      <c r="Q1100">
        <v>4069</v>
      </c>
      <c r="R1100">
        <v>3</v>
      </c>
      <c r="S1100" t="s">
        <v>30</v>
      </c>
      <c r="T1100">
        <v>18</v>
      </c>
      <c r="U1100">
        <v>3</v>
      </c>
      <c r="V1100">
        <v>3</v>
      </c>
      <c r="W1100">
        <v>0</v>
      </c>
      <c r="X1100">
        <v>8</v>
      </c>
      <c r="Y1100">
        <v>2</v>
      </c>
      <c r="Z1100">
        <v>3</v>
      </c>
      <c r="AA1100">
        <v>2</v>
      </c>
      <c r="AB1100">
        <v>2</v>
      </c>
      <c r="AC1100">
        <v>2</v>
      </c>
      <c r="AD1100">
        <v>2</v>
      </c>
      <c r="AE1100" t="str" cm="1">
        <f t="array" ref="AE1100">_xlfn.IFS(G1100=1,"Before College",G1100=2,"College",G1100=3,"Bachelor",G1100=4,"Master",G1100=5,"Doctor")</f>
        <v>College</v>
      </c>
      <c r="AF1100" t="str" cm="1">
        <f t="array" ref="AF1100">_xlfn.IFS(J1100=1,"Low",J1100=2,"Medium",J1100=3,"High",J1100=4,"Very High")</f>
        <v>Very High</v>
      </c>
      <c r="AG1100" t="str" cm="1">
        <f t="array" ref="AG1100">_xlfn.IFS(L1100=1,"Low",L1100=2,"Medium",L1100=3,"High",L1100=4,"Very High")</f>
        <v>High</v>
      </c>
      <c r="AH1100" t="str" cm="1">
        <f t="array" ref="AH1100">_xlfn.IFS(M1100=1,"Junior employee",M1100=2,"Mid-level",M1100=3,"Senior",M1100=4,"Manager",M1100=5,"Executive")</f>
        <v>Mid-level</v>
      </c>
      <c r="AI1100" t="str" cm="1">
        <f t="array" ref="AI1100">_xlfn.IFS(O1100=1,"Low",O1100=2,"Medium",O1100=3,"High",O1100=4,"Very High")</f>
        <v>Very High</v>
      </c>
      <c r="AJ1100" t="str" cm="1">
        <f t="array" ref="AJ1100">_xlfn.IFS(U1100=1,"Low",U1100=2,"Good",U1100=3,"Excellent",U1100=4,"Outstanding")</f>
        <v>Excellent</v>
      </c>
      <c r="AK1100" t="str" cm="1">
        <f t="array" ref="AK1100">_xlfn.IFS(V1100=1,"Low",V1100=2,"Medium",V1100=3,"High",V1100=4,"Very High")</f>
        <v>High</v>
      </c>
      <c r="AL1100" t="str" cm="1">
        <f t="array" ref="AL1100">_xlfn.IFS(Z1100=1,"Bad",Z1100=2,"Good",Z1100=3,"Better",Z1100=4,"Best")</f>
        <v>Better</v>
      </c>
      <c r="AM1100" t="str" cm="1">
        <f t="array" ref="AM1100">_xlfn.IFS(W1100=0,"No_stock",W1100=1,"Low",W1100=2,"Medium",W1100=3,"High")</f>
        <v>No_stock</v>
      </c>
      <c r="AN1100" t="str">
        <f t="shared" si="17"/>
        <v>Medium</v>
      </c>
    </row>
    <row r="1101" spans="1:40" x14ac:dyDescent="0.45">
      <c r="A1101">
        <v>45</v>
      </c>
      <c r="B1101" t="s">
        <v>37</v>
      </c>
      <c r="C1101" t="s">
        <v>31</v>
      </c>
      <c r="D1101">
        <v>538</v>
      </c>
      <c r="E1101" t="s">
        <v>39</v>
      </c>
      <c r="F1101">
        <v>1</v>
      </c>
      <c r="G1101">
        <v>4</v>
      </c>
      <c r="H1101" t="s">
        <v>54</v>
      </c>
      <c r="I1101">
        <v>1553</v>
      </c>
      <c r="J1101">
        <v>1</v>
      </c>
      <c r="K1101" t="s">
        <v>40</v>
      </c>
      <c r="L1101">
        <v>3</v>
      </c>
      <c r="M1101">
        <v>3</v>
      </c>
      <c r="N1101" t="s">
        <v>48</v>
      </c>
      <c r="O1101">
        <v>2</v>
      </c>
      <c r="P1101" t="s">
        <v>46</v>
      </c>
      <c r="Q1101">
        <v>7441</v>
      </c>
      <c r="R1101">
        <v>1</v>
      </c>
      <c r="S1101" t="s">
        <v>37</v>
      </c>
      <c r="T1101">
        <v>12</v>
      </c>
      <c r="U1101">
        <v>3</v>
      </c>
      <c r="V1101">
        <v>1</v>
      </c>
      <c r="W1101">
        <v>3</v>
      </c>
      <c r="X1101">
        <v>10</v>
      </c>
      <c r="Y1101">
        <v>4</v>
      </c>
      <c r="Z1101">
        <v>3</v>
      </c>
      <c r="AA1101">
        <v>10</v>
      </c>
      <c r="AB1101">
        <v>8</v>
      </c>
      <c r="AC1101">
        <v>7</v>
      </c>
      <c r="AD1101">
        <v>7</v>
      </c>
      <c r="AE1101" t="str" cm="1">
        <f t="array" ref="AE1101">_xlfn.IFS(G1101=1,"Before College",G1101=2,"College",G1101=3,"Bachelor",G1101=4,"Master",G1101=5,"Doctor")</f>
        <v>Master</v>
      </c>
      <c r="AF1101" t="str" cm="1">
        <f t="array" ref="AF1101">_xlfn.IFS(J1101=1,"Low",J1101=2,"Medium",J1101=3,"High",J1101=4,"Very High")</f>
        <v>Low</v>
      </c>
      <c r="AG1101" t="str" cm="1">
        <f t="array" ref="AG1101">_xlfn.IFS(L1101=1,"Low",L1101=2,"Medium",L1101=3,"High",L1101=4,"Very High")</f>
        <v>High</v>
      </c>
      <c r="AH1101" t="str" cm="1">
        <f t="array" ref="AH1101">_xlfn.IFS(M1101=1,"Junior employee",M1101=2,"Mid-level",M1101=3,"Senior",M1101=4,"Manager",M1101=5,"Executive")</f>
        <v>Senior</v>
      </c>
      <c r="AI1101" t="str" cm="1">
        <f t="array" ref="AI1101">_xlfn.IFS(O1101=1,"Low",O1101=2,"Medium",O1101=3,"High",O1101=4,"Very High")</f>
        <v>Medium</v>
      </c>
      <c r="AJ1101" t="str" cm="1">
        <f t="array" ref="AJ1101">_xlfn.IFS(U1101=1,"Low",U1101=2,"Good",U1101=3,"Excellent",U1101=4,"Outstanding")</f>
        <v>Excellent</v>
      </c>
      <c r="AK1101" t="str" cm="1">
        <f t="array" ref="AK1101">_xlfn.IFS(V1101=1,"Low",V1101=2,"Medium",V1101=3,"High",V1101=4,"Very High")</f>
        <v>Low</v>
      </c>
      <c r="AL1101" t="str" cm="1">
        <f t="array" ref="AL1101">_xlfn.IFS(Z1101=1,"Bad",Z1101=2,"Good",Z1101=3,"Better",Z1101=4,"Best")</f>
        <v>Better</v>
      </c>
      <c r="AM1101" t="str" cm="1">
        <f t="array" ref="AM1101">_xlfn.IFS(W1101=0,"No_stock",W1101=1,"Low",W1101=2,"Medium",W1101=3,"High")</f>
        <v>High</v>
      </c>
      <c r="AN1101" t="str">
        <f t="shared" si="17"/>
        <v>Near</v>
      </c>
    </row>
    <row r="1102" spans="1:40" x14ac:dyDescent="0.45">
      <c r="A1102">
        <v>35</v>
      </c>
      <c r="B1102" t="s">
        <v>37</v>
      </c>
      <c r="C1102" t="s">
        <v>31</v>
      </c>
      <c r="D1102">
        <v>1402</v>
      </c>
      <c r="E1102" t="s">
        <v>32</v>
      </c>
      <c r="F1102">
        <v>28</v>
      </c>
      <c r="G1102">
        <v>4</v>
      </c>
      <c r="H1102" t="s">
        <v>33</v>
      </c>
      <c r="I1102">
        <v>1554</v>
      </c>
      <c r="J1102">
        <v>2</v>
      </c>
      <c r="K1102" t="s">
        <v>34</v>
      </c>
      <c r="L1102">
        <v>2</v>
      </c>
      <c r="M1102">
        <v>1</v>
      </c>
      <c r="N1102" t="s">
        <v>51</v>
      </c>
      <c r="O1102">
        <v>3</v>
      </c>
      <c r="P1102" t="s">
        <v>42</v>
      </c>
      <c r="Q1102">
        <v>2430</v>
      </c>
      <c r="R1102">
        <v>0</v>
      </c>
      <c r="S1102" t="s">
        <v>37</v>
      </c>
      <c r="T1102">
        <v>23</v>
      </c>
      <c r="U1102">
        <v>4</v>
      </c>
      <c r="V1102">
        <v>1</v>
      </c>
      <c r="W1102">
        <v>2</v>
      </c>
      <c r="X1102">
        <v>6</v>
      </c>
      <c r="Y1102">
        <v>5</v>
      </c>
      <c r="Z1102">
        <v>3</v>
      </c>
      <c r="AA1102">
        <v>5</v>
      </c>
      <c r="AB1102">
        <v>3</v>
      </c>
      <c r="AC1102">
        <v>4</v>
      </c>
      <c r="AD1102">
        <v>2</v>
      </c>
      <c r="AE1102" t="str" cm="1">
        <f t="array" ref="AE1102">_xlfn.IFS(G1102=1,"Before College",G1102=2,"College",G1102=3,"Bachelor",G1102=4,"Master",G1102=5,"Doctor")</f>
        <v>Master</v>
      </c>
      <c r="AF1102" t="str" cm="1">
        <f t="array" ref="AF1102">_xlfn.IFS(J1102=1,"Low",J1102=2,"Medium",J1102=3,"High",J1102=4,"Very High")</f>
        <v>Medium</v>
      </c>
      <c r="AG1102" t="str" cm="1">
        <f t="array" ref="AG1102">_xlfn.IFS(L1102=1,"Low",L1102=2,"Medium",L1102=3,"High",L1102=4,"Very High")</f>
        <v>Medium</v>
      </c>
      <c r="AH1102" t="str" cm="1">
        <f t="array" ref="AH1102">_xlfn.IFS(M1102=1,"Junior employee",M1102=2,"Mid-level",M1102=3,"Senior",M1102=4,"Manager",M1102=5,"Executive")</f>
        <v>Junior employee</v>
      </c>
      <c r="AI1102" t="str" cm="1">
        <f t="array" ref="AI1102">_xlfn.IFS(O1102=1,"Low",O1102=2,"Medium",O1102=3,"High",O1102=4,"Very High")</f>
        <v>High</v>
      </c>
      <c r="AJ1102" t="str" cm="1">
        <f t="array" ref="AJ1102">_xlfn.IFS(U1102=1,"Low",U1102=2,"Good",U1102=3,"Excellent",U1102=4,"Outstanding")</f>
        <v>Outstanding</v>
      </c>
      <c r="AK1102" t="str" cm="1">
        <f t="array" ref="AK1102">_xlfn.IFS(V1102=1,"Low",V1102=2,"Medium",V1102=3,"High",V1102=4,"Very High")</f>
        <v>Low</v>
      </c>
      <c r="AL1102" t="str" cm="1">
        <f t="array" ref="AL1102">_xlfn.IFS(Z1102=1,"Bad",Z1102=2,"Good",Z1102=3,"Better",Z1102=4,"Best")</f>
        <v>Better</v>
      </c>
      <c r="AM1102" t="str" cm="1">
        <f t="array" ref="AM1102">_xlfn.IFS(W1102=0,"No_stock",W1102=1,"Low",W1102=2,"Medium",W1102=3,"High")</f>
        <v>Medium</v>
      </c>
      <c r="AN1102" t="str">
        <f t="shared" si="17"/>
        <v>Far</v>
      </c>
    </row>
    <row r="1103" spans="1:40" x14ac:dyDescent="0.45">
      <c r="A1103">
        <v>32</v>
      </c>
      <c r="B1103" t="s">
        <v>37</v>
      </c>
      <c r="C1103" t="s">
        <v>31</v>
      </c>
      <c r="D1103">
        <v>824</v>
      </c>
      <c r="E1103" t="s">
        <v>39</v>
      </c>
      <c r="F1103">
        <v>5</v>
      </c>
      <c r="G1103">
        <v>2</v>
      </c>
      <c r="H1103" t="s">
        <v>33</v>
      </c>
      <c r="I1103">
        <v>1555</v>
      </c>
      <c r="J1103">
        <v>4</v>
      </c>
      <c r="K1103" t="s">
        <v>34</v>
      </c>
      <c r="L1103">
        <v>2</v>
      </c>
      <c r="M1103">
        <v>2</v>
      </c>
      <c r="N1103" t="s">
        <v>41</v>
      </c>
      <c r="O1103">
        <v>2</v>
      </c>
      <c r="P1103" t="s">
        <v>42</v>
      </c>
      <c r="Q1103">
        <v>5878</v>
      </c>
      <c r="R1103">
        <v>3</v>
      </c>
      <c r="S1103" t="s">
        <v>37</v>
      </c>
      <c r="T1103">
        <v>12</v>
      </c>
      <c r="U1103">
        <v>3</v>
      </c>
      <c r="V1103">
        <v>1</v>
      </c>
      <c r="W1103">
        <v>1</v>
      </c>
      <c r="X1103">
        <v>12</v>
      </c>
      <c r="Y1103">
        <v>2</v>
      </c>
      <c r="Z1103">
        <v>3</v>
      </c>
      <c r="AA1103">
        <v>7</v>
      </c>
      <c r="AB1103">
        <v>1</v>
      </c>
      <c r="AC1103">
        <v>2</v>
      </c>
      <c r="AD1103">
        <v>5</v>
      </c>
      <c r="AE1103" t="str" cm="1">
        <f t="array" ref="AE1103">_xlfn.IFS(G1103=1,"Before College",G1103=2,"College",G1103=3,"Bachelor",G1103=4,"Master",G1103=5,"Doctor")</f>
        <v>College</v>
      </c>
      <c r="AF1103" t="str" cm="1">
        <f t="array" ref="AF1103">_xlfn.IFS(J1103=1,"Low",J1103=2,"Medium",J1103=3,"High",J1103=4,"Very High")</f>
        <v>Very High</v>
      </c>
      <c r="AG1103" t="str" cm="1">
        <f t="array" ref="AG1103">_xlfn.IFS(L1103=1,"Low",L1103=2,"Medium",L1103=3,"High",L1103=4,"Very High")</f>
        <v>Medium</v>
      </c>
      <c r="AH1103" t="str" cm="1">
        <f t="array" ref="AH1103">_xlfn.IFS(M1103=1,"Junior employee",M1103=2,"Mid-level",M1103=3,"Senior",M1103=4,"Manager",M1103=5,"Executive")</f>
        <v>Mid-level</v>
      </c>
      <c r="AI1103" t="str" cm="1">
        <f t="array" ref="AI1103">_xlfn.IFS(O1103=1,"Low",O1103=2,"Medium",O1103=3,"High",O1103=4,"Very High")</f>
        <v>Medium</v>
      </c>
      <c r="AJ1103" t="str" cm="1">
        <f t="array" ref="AJ1103">_xlfn.IFS(U1103=1,"Low",U1103=2,"Good",U1103=3,"Excellent",U1103=4,"Outstanding")</f>
        <v>Excellent</v>
      </c>
      <c r="AK1103" t="str" cm="1">
        <f t="array" ref="AK1103">_xlfn.IFS(V1103=1,"Low",V1103=2,"Medium",V1103=3,"High",V1103=4,"Very High")</f>
        <v>Low</v>
      </c>
      <c r="AL1103" t="str" cm="1">
        <f t="array" ref="AL1103">_xlfn.IFS(Z1103=1,"Bad",Z1103=2,"Good",Z1103=3,"Better",Z1103=4,"Best")</f>
        <v>Better</v>
      </c>
      <c r="AM1103" t="str" cm="1">
        <f t="array" ref="AM1103">_xlfn.IFS(W1103=0,"No_stock",W1103=1,"Low",W1103=2,"Medium",W1103=3,"High")</f>
        <v>Low</v>
      </c>
      <c r="AN1103" t="str">
        <f t="shared" si="17"/>
        <v>Near</v>
      </c>
    </row>
    <row r="1104" spans="1:40" x14ac:dyDescent="0.45">
      <c r="A1104">
        <v>36</v>
      </c>
      <c r="B1104" t="s">
        <v>37</v>
      </c>
      <c r="C1104" t="s">
        <v>31</v>
      </c>
      <c r="D1104">
        <v>1157</v>
      </c>
      <c r="E1104" t="s">
        <v>32</v>
      </c>
      <c r="F1104">
        <v>2</v>
      </c>
      <c r="G1104">
        <v>4</v>
      </c>
      <c r="H1104" t="s">
        <v>33</v>
      </c>
      <c r="I1104">
        <v>1556</v>
      </c>
      <c r="J1104">
        <v>3</v>
      </c>
      <c r="K1104" t="s">
        <v>40</v>
      </c>
      <c r="L1104">
        <v>3</v>
      </c>
      <c r="M1104">
        <v>1</v>
      </c>
      <c r="N1104" t="s">
        <v>51</v>
      </c>
      <c r="O1104">
        <v>4</v>
      </c>
      <c r="P1104" t="s">
        <v>36</v>
      </c>
      <c r="Q1104">
        <v>2644</v>
      </c>
      <c r="R1104">
        <v>3</v>
      </c>
      <c r="S1104" t="s">
        <v>30</v>
      </c>
      <c r="T1104">
        <v>21</v>
      </c>
      <c r="U1104">
        <v>4</v>
      </c>
      <c r="V1104">
        <v>4</v>
      </c>
      <c r="W1104">
        <v>0</v>
      </c>
      <c r="X1104">
        <v>7</v>
      </c>
      <c r="Y1104">
        <v>3</v>
      </c>
      <c r="Z1104">
        <v>2</v>
      </c>
      <c r="AA1104">
        <v>3</v>
      </c>
      <c r="AB1104">
        <v>2</v>
      </c>
      <c r="AC1104">
        <v>1</v>
      </c>
      <c r="AD1104">
        <v>2</v>
      </c>
      <c r="AE1104" t="str" cm="1">
        <f t="array" ref="AE1104">_xlfn.IFS(G1104=1,"Before College",G1104=2,"College",G1104=3,"Bachelor",G1104=4,"Master",G1104=5,"Doctor")</f>
        <v>Master</v>
      </c>
      <c r="AF1104" t="str" cm="1">
        <f t="array" ref="AF1104">_xlfn.IFS(J1104=1,"Low",J1104=2,"Medium",J1104=3,"High",J1104=4,"Very High")</f>
        <v>High</v>
      </c>
      <c r="AG1104" t="str" cm="1">
        <f t="array" ref="AG1104">_xlfn.IFS(L1104=1,"Low",L1104=2,"Medium",L1104=3,"High",L1104=4,"Very High")</f>
        <v>High</v>
      </c>
      <c r="AH1104" t="str" cm="1">
        <f t="array" ref="AH1104">_xlfn.IFS(M1104=1,"Junior employee",M1104=2,"Mid-level",M1104=3,"Senior",M1104=4,"Manager",M1104=5,"Executive")</f>
        <v>Junior employee</v>
      </c>
      <c r="AI1104" t="str" cm="1">
        <f t="array" ref="AI1104">_xlfn.IFS(O1104=1,"Low",O1104=2,"Medium",O1104=3,"High",O1104=4,"Very High")</f>
        <v>Very High</v>
      </c>
      <c r="AJ1104" t="str" cm="1">
        <f t="array" ref="AJ1104">_xlfn.IFS(U1104=1,"Low",U1104=2,"Good",U1104=3,"Excellent",U1104=4,"Outstanding")</f>
        <v>Outstanding</v>
      </c>
      <c r="AK1104" t="str" cm="1">
        <f t="array" ref="AK1104">_xlfn.IFS(V1104=1,"Low",V1104=2,"Medium",V1104=3,"High",V1104=4,"Very High")</f>
        <v>Very High</v>
      </c>
      <c r="AL1104" t="str" cm="1">
        <f t="array" ref="AL1104">_xlfn.IFS(Z1104=1,"Bad",Z1104=2,"Good",Z1104=3,"Better",Z1104=4,"Best")</f>
        <v>Good</v>
      </c>
      <c r="AM1104" t="str" cm="1">
        <f t="array" ref="AM1104">_xlfn.IFS(W1104=0,"No_stock",W1104=1,"Low",W1104=2,"Medium",W1104=3,"High")</f>
        <v>No_stock</v>
      </c>
      <c r="AN1104" t="str">
        <f t="shared" si="17"/>
        <v>Near</v>
      </c>
    </row>
    <row r="1105" spans="1:40" x14ac:dyDescent="0.45">
      <c r="A1105">
        <v>48</v>
      </c>
      <c r="B1105" t="s">
        <v>37</v>
      </c>
      <c r="C1105" t="s">
        <v>31</v>
      </c>
      <c r="D1105">
        <v>492</v>
      </c>
      <c r="E1105" t="s">
        <v>32</v>
      </c>
      <c r="F1105">
        <v>16</v>
      </c>
      <c r="G1105">
        <v>4</v>
      </c>
      <c r="H1105" t="s">
        <v>33</v>
      </c>
      <c r="I1105">
        <v>1557</v>
      </c>
      <c r="J1105">
        <v>3</v>
      </c>
      <c r="K1105" t="s">
        <v>34</v>
      </c>
      <c r="L1105">
        <v>3</v>
      </c>
      <c r="M1105">
        <v>2</v>
      </c>
      <c r="N1105" t="s">
        <v>35</v>
      </c>
      <c r="O1105">
        <v>3</v>
      </c>
      <c r="P1105" t="s">
        <v>46</v>
      </c>
      <c r="Q1105">
        <v>6439</v>
      </c>
      <c r="R1105">
        <v>8</v>
      </c>
      <c r="S1105" t="s">
        <v>37</v>
      </c>
      <c r="T1105">
        <v>14</v>
      </c>
      <c r="U1105">
        <v>3</v>
      </c>
      <c r="V1105">
        <v>3</v>
      </c>
      <c r="W1105">
        <v>1</v>
      </c>
      <c r="X1105">
        <v>18</v>
      </c>
      <c r="Y1105">
        <v>2</v>
      </c>
      <c r="Z1105">
        <v>3</v>
      </c>
      <c r="AA1105">
        <v>8</v>
      </c>
      <c r="AB1105">
        <v>7</v>
      </c>
      <c r="AC1105">
        <v>7</v>
      </c>
      <c r="AD1105">
        <v>7</v>
      </c>
      <c r="AE1105" t="str" cm="1">
        <f t="array" ref="AE1105">_xlfn.IFS(G1105=1,"Before College",G1105=2,"College",G1105=3,"Bachelor",G1105=4,"Master",G1105=5,"Doctor")</f>
        <v>Master</v>
      </c>
      <c r="AF1105" t="str" cm="1">
        <f t="array" ref="AF1105">_xlfn.IFS(J1105=1,"Low",J1105=2,"Medium",J1105=3,"High",J1105=4,"Very High")</f>
        <v>High</v>
      </c>
      <c r="AG1105" t="str" cm="1">
        <f t="array" ref="AG1105">_xlfn.IFS(L1105=1,"Low",L1105=2,"Medium",L1105=3,"High",L1105=4,"Very High")</f>
        <v>High</v>
      </c>
      <c r="AH1105" t="str" cm="1">
        <f t="array" ref="AH1105">_xlfn.IFS(M1105=1,"Junior employee",M1105=2,"Mid-level",M1105=3,"Senior",M1105=4,"Manager",M1105=5,"Executive")</f>
        <v>Mid-level</v>
      </c>
      <c r="AI1105" t="str" cm="1">
        <f t="array" ref="AI1105">_xlfn.IFS(O1105=1,"Low",O1105=2,"Medium",O1105=3,"High",O1105=4,"Very High")</f>
        <v>High</v>
      </c>
      <c r="AJ1105" t="str" cm="1">
        <f t="array" ref="AJ1105">_xlfn.IFS(U1105=1,"Low",U1105=2,"Good",U1105=3,"Excellent",U1105=4,"Outstanding")</f>
        <v>Excellent</v>
      </c>
      <c r="AK1105" t="str" cm="1">
        <f t="array" ref="AK1105">_xlfn.IFS(V1105=1,"Low",V1105=2,"Medium",V1105=3,"High",V1105=4,"Very High")</f>
        <v>High</v>
      </c>
      <c r="AL1105" t="str" cm="1">
        <f t="array" ref="AL1105">_xlfn.IFS(Z1105=1,"Bad",Z1105=2,"Good",Z1105=3,"Better",Z1105=4,"Best")</f>
        <v>Better</v>
      </c>
      <c r="AM1105" t="str" cm="1">
        <f t="array" ref="AM1105">_xlfn.IFS(W1105=0,"No_stock",W1105=1,"Low",W1105=2,"Medium",W1105=3,"High")</f>
        <v>Low</v>
      </c>
      <c r="AN1105" t="str">
        <f t="shared" si="17"/>
        <v>Far</v>
      </c>
    </row>
    <row r="1106" spans="1:40" x14ac:dyDescent="0.45">
      <c r="A1106">
        <v>29</v>
      </c>
      <c r="B1106" t="s">
        <v>37</v>
      </c>
      <c r="C1106" t="s">
        <v>31</v>
      </c>
      <c r="D1106">
        <v>598</v>
      </c>
      <c r="E1106" t="s">
        <v>39</v>
      </c>
      <c r="F1106">
        <v>9</v>
      </c>
      <c r="G1106">
        <v>3</v>
      </c>
      <c r="H1106" t="s">
        <v>33</v>
      </c>
      <c r="I1106">
        <v>1558</v>
      </c>
      <c r="J1106">
        <v>3</v>
      </c>
      <c r="K1106" t="s">
        <v>40</v>
      </c>
      <c r="L1106">
        <v>4</v>
      </c>
      <c r="M1106">
        <v>1</v>
      </c>
      <c r="N1106" t="s">
        <v>41</v>
      </c>
      <c r="O1106">
        <v>3</v>
      </c>
      <c r="P1106" t="s">
        <v>42</v>
      </c>
      <c r="Q1106">
        <v>2451</v>
      </c>
      <c r="R1106">
        <v>6</v>
      </c>
      <c r="S1106" t="s">
        <v>37</v>
      </c>
      <c r="T1106">
        <v>18</v>
      </c>
      <c r="U1106">
        <v>3</v>
      </c>
      <c r="V1106">
        <v>1</v>
      </c>
      <c r="W1106">
        <v>2</v>
      </c>
      <c r="X1106">
        <v>5</v>
      </c>
      <c r="Y1106">
        <v>2</v>
      </c>
      <c r="Z1106">
        <v>2</v>
      </c>
      <c r="AA1106">
        <v>1</v>
      </c>
      <c r="AB1106">
        <v>0</v>
      </c>
      <c r="AC1106">
        <v>0</v>
      </c>
      <c r="AD1106">
        <v>0</v>
      </c>
      <c r="AE1106" t="str" cm="1">
        <f t="array" ref="AE1106">_xlfn.IFS(G1106=1,"Before College",G1106=2,"College",G1106=3,"Bachelor",G1106=4,"Master",G1106=5,"Doctor")</f>
        <v>Bachelor</v>
      </c>
      <c r="AF1106" t="str" cm="1">
        <f t="array" ref="AF1106">_xlfn.IFS(J1106=1,"Low",J1106=2,"Medium",J1106=3,"High",J1106=4,"Very High")</f>
        <v>High</v>
      </c>
      <c r="AG1106" t="str" cm="1">
        <f t="array" ref="AG1106">_xlfn.IFS(L1106=1,"Low",L1106=2,"Medium",L1106=3,"High",L1106=4,"Very High")</f>
        <v>Very High</v>
      </c>
      <c r="AH1106" t="str" cm="1">
        <f t="array" ref="AH1106">_xlfn.IFS(M1106=1,"Junior employee",M1106=2,"Mid-level",M1106=3,"Senior",M1106=4,"Manager",M1106=5,"Executive")</f>
        <v>Junior employee</v>
      </c>
      <c r="AI1106" t="str" cm="1">
        <f t="array" ref="AI1106">_xlfn.IFS(O1106=1,"Low",O1106=2,"Medium",O1106=3,"High",O1106=4,"Very High")</f>
        <v>High</v>
      </c>
      <c r="AJ1106" t="str" cm="1">
        <f t="array" ref="AJ1106">_xlfn.IFS(U1106=1,"Low",U1106=2,"Good",U1106=3,"Excellent",U1106=4,"Outstanding")</f>
        <v>Excellent</v>
      </c>
      <c r="AK1106" t="str" cm="1">
        <f t="array" ref="AK1106">_xlfn.IFS(V1106=1,"Low",V1106=2,"Medium",V1106=3,"High",V1106=4,"Very High")</f>
        <v>Low</v>
      </c>
      <c r="AL1106" t="str" cm="1">
        <f t="array" ref="AL1106">_xlfn.IFS(Z1106=1,"Bad",Z1106=2,"Good",Z1106=3,"Better",Z1106=4,"Best")</f>
        <v>Good</v>
      </c>
      <c r="AM1106" t="str" cm="1">
        <f t="array" ref="AM1106">_xlfn.IFS(W1106=0,"No_stock",W1106=1,"Low",W1106=2,"Medium",W1106=3,"High")</f>
        <v>Medium</v>
      </c>
      <c r="AN1106" t="str">
        <f t="shared" si="17"/>
        <v>Medium</v>
      </c>
    </row>
    <row r="1107" spans="1:40" x14ac:dyDescent="0.45">
      <c r="A1107">
        <v>33</v>
      </c>
      <c r="B1107" t="s">
        <v>37</v>
      </c>
      <c r="C1107" t="s">
        <v>31</v>
      </c>
      <c r="D1107">
        <v>1242</v>
      </c>
      <c r="E1107" t="s">
        <v>32</v>
      </c>
      <c r="F1107">
        <v>8</v>
      </c>
      <c r="G1107">
        <v>4</v>
      </c>
      <c r="H1107" t="s">
        <v>33</v>
      </c>
      <c r="I1107">
        <v>1560</v>
      </c>
      <c r="J1107">
        <v>1</v>
      </c>
      <c r="K1107" t="s">
        <v>40</v>
      </c>
      <c r="L1107">
        <v>3</v>
      </c>
      <c r="M1107">
        <v>2</v>
      </c>
      <c r="N1107" t="s">
        <v>35</v>
      </c>
      <c r="O1107">
        <v>1</v>
      </c>
      <c r="P1107" t="s">
        <v>42</v>
      </c>
      <c r="Q1107">
        <v>6392</v>
      </c>
      <c r="R1107">
        <v>2</v>
      </c>
      <c r="S1107" t="s">
        <v>37</v>
      </c>
      <c r="T1107">
        <v>13</v>
      </c>
      <c r="U1107">
        <v>3</v>
      </c>
      <c r="V1107">
        <v>4</v>
      </c>
      <c r="W1107">
        <v>1</v>
      </c>
      <c r="X1107">
        <v>8</v>
      </c>
      <c r="Y1107">
        <v>6</v>
      </c>
      <c r="Z1107">
        <v>1</v>
      </c>
      <c r="AA1107">
        <v>2</v>
      </c>
      <c r="AB1107">
        <v>2</v>
      </c>
      <c r="AC1107">
        <v>2</v>
      </c>
      <c r="AD1107">
        <v>2</v>
      </c>
      <c r="AE1107" t="str" cm="1">
        <f t="array" ref="AE1107">_xlfn.IFS(G1107=1,"Before College",G1107=2,"College",G1107=3,"Bachelor",G1107=4,"Master",G1107=5,"Doctor")</f>
        <v>Master</v>
      </c>
      <c r="AF1107" t="str" cm="1">
        <f t="array" ref="AF1107">_xlfn.IFS(J1107=1,"Low",J1107=2,"Medium",J1107=3,"High",J1107=4,"Very High")</f>
        <v>Low</v>
      </c>
      <c r="AG1107" t="str" cm="1">
        <f t="array" ref="AG1107">_xlfn.IFS(L1107=1,"Low",L1107=2,"Medium",L1107=3,"High",L1107=4,"Very High")</f>
        <v>High</v>
      </c>
      <c r="AH1107" t="str" cm="1">
        <f t="array" ref="AH1107">_xlfn.IFS(M1107=1,"Junior employee",M1107=2,"Mid-level",M1107=3,"Senior",M1107=4,"Manager",M1107=5,"Executive")</f>
        <v>Mid-level</v>
      </c>
      <c r="AI1107" t="str" cm="1">
        <f t="array" ref="AI1107">_xlfn.IFS(O1107=1,"Low",O1107=2,"Medium",O1107=3,"High",O1107=4,"Very High")</f>
        <v>Low</v>
      </c>
      <c r="AJ1107" t="str" cm="1">
        <f t="array" ref="AJ1107">_xlfn.IFS(U1107=1,"Low",U1107=2,"Good",U1107=3,"Excellent",U1107=4,"Outstanding")</f>
        <v>Excellent</v>
      </c>
      <c r="AK1107" t="str" cm="1">
        <f t="array" ref="AK1107">_xlfn.IFS(V1107=1,"Low",V1107=2,"Medium",V1107=3,"High",V1107=4,"Very High")</f>
        <v>Very High</v>
      </c>
      <c r="AL1107" t="str" cm="1">
        <f t="array" ref="AL1107">_xlfn.IFS(Z1107=1,"Bad",Z1107=2,"Good",Z1107=3,"Better",Z1107=4,"Best")</f>
        <v>Bad</v>
      </c>
      <c r="AM1107" t="str" cm="1">
        <f t="array" ref="AM1107">_xlfn.IFS(W1107=0,"No_stock",W1107=1,"Low",W1107=2,"Medium",W1107=3,"High")</f>
        <v>Low</v>
      </c>
      <c r="AN1107" t="str">
        <f t="shared" si="17"/>
        <v>Medium</v>
      </c>
    </row>
    <row r="1108" spans="1:40" x14ac:dyDescent="0.45">
      <c r="A1108">
        <v>30</v>
      </c>
      <c r="B1108" t="s">
        <v>30</v>
      </c>
      <c r="C1108" t="s">
        <v>31</v>
      </c>
      <c r="D1108">
        <v>740</v>
      </c>
      <c r="E1108" t="s">
        <v>32</v>
      </c>
      <c r="F1108">
        <v>1</v>
      </c>
      <c r="G1108">
        <v>3</v>
      </c>
      <c r="H1108" t="s">
        <v>33</v>
      </c>
      <c r="I1108">
        <v>1562</v>
      </c>
      <c r="J1108">
        <v>2</v>
      </c>
      <c r="K1108" t="s">
        <v>40</v>
      </c>
      <c r="L1108">
        <v>2</v>
      </c>
      <c r="M1108">
        <v>2</v>
      </c>
      <c r="N1108" t="s">
        <v>35</v>
      </c>
      <c r="O1108">
        <v>1</v>
      </c>
      <c r="P1108" t="s">
        <v>42</v>
      </c>
      <c r="Q1108">
        <v>9714</v>
      </c>
      <c r="R1108">
        <v>1</v>
      </c>
      <c r="S1108" t="s">
        <v>37</v>
      </c>
      <c r="T1108">
        <v>11</v>
      </c>
      <c r="U1108">
        <v>3</v>
      </c>
      <c r="V1108">
        <v>4</v>
      </c>
      <c r="W1108">
        <v>1</v>
      </c>
      <c r="X1108">
        <v>10</v>
      </c>
      <c r="Y1108">
        <v>4</v>
      </c>
      <c r="Z1108">
        <v>3</v>
      </c>
      <c r="AA1108">
        <v>10</v>
      </c>
      <c r="AB1108">
        <v>8</v>
      </c>
      <c r="AC1108">
        <v>6</v>
      </c>
      <c r="AD1108">
        <v>7</v>
      </c>
      <c r="AE1108" t="str" cm="1">
        <f t="array" ref="AE1108">_xlfn.IFS(G1108=1,"Before College",G1108=2,"College",G1108=3,"Bachelor",G1108=4,"Master",G1108=5,"Doctor")</f>
        <v>Bachelor</v>
      </c>
      <c r="AF1108" t="str" cm="1">
        <f t="array" ref="AF1108">_xlfn.IFS(J1108=1,"Low",J1108=2,"Medium",J1108=3,"High",J1108=4,"Very High")</f>
        <v>Medium</v>
      </c>
      <c r="AG1108" t="str" cm="1">
        <f t="array" ref="AG1108">_xlfn.IFS(L1108=1,"Low",L1108=2,"Medium",L1108=3,"High",L1108=4,"Very High")</f>
        <v>Medium</v>
      </c>
      <c r="AH1108" t="str" cm="1">
        <f t="array" ref="AH1108">_xlfn.IFS(M1108=1,"Junior employee",M1108=2,"Mid-level",M1108=3,"Senior",M1108=4,"Manager",M1108=5,"Executive")</f>
        <v>Mid-level</v>
      </c>
      <c r="AI1108" t="str" cm="1">
        <f t="array" ref="AI1108">_xlfn.IFS(O1108=1,"Low",O1108=2,"Medium",O1108=3,"High",O1108=4,"Very High")</f>
        <v>Low</v>
      </c>
      <c r="AJ1108" t="str" cm="1">
        <f t="array" ref="AJ1108">_xlfn.IFS(U1108=1,"Low",U1108=2,"Good",U1108=3,"Excellent",U1108=4,"Outstanding")</f>
        <v>Excellent</v>
      </c>
      <c r="AK1108" t="str" cm="1">
        <f t="array" ref="AK1108">_xlfn.IFS(V1108=1,"Low",V1108=2,"Medium",V1108=3,"High",V1108=4,"Very High")</f>
        <v>Very High</v>
      </c>
      <c r="AL1108" t="str" cm="1">
        <f t="array" ref="AL1108">_xlfn.IFS(Z1108=1,"Bad",Z1108=2,"Good",Z1108=3,"Better",Z1108=4,"Best")</f>
        <v>Better</v>
      </c>
      <c r="AM1108" t="str" cm="1">
        <f t="array" ref="AM1108">_xlfn.IFS(W1108=0,"No_stock",W1108=1,"Low",W1108=2,"Medium",W1108=3,"High")</f>
        <v>Low</v>
      </c>
      <c r="AN1108" t="str">
        <f t="shared" si="17"/>
        <v>Near</v>
      </c>
    </row>
    <row r="1109" spans="1:40" x14ac:dyDescent="0.45">
      <c r="A1109">
        <v>38</v>
      </c>
      <c r="B1109" t="s">
        <v>37</v>
      </c>
      <c r="C1109" t="s">
        <v>38</v>
      </c>
      <c r="D1109">
        <v>888</v>
      </c>
      <c r="E1109" t="s">
        <v>55</v>
      </c>
      <c r="F1109">
        <v>10</v>
      </c>
      <c r="G1109">
        <v>4</v>
      </c>
      <c r="H1109" t="s">
        <v>55</v>
      </c>
      <c r="I1109">
        <v>1563</v>
      </c>
      <c r="J1109">
        <v>3</v>
      </c>
      <c r="K1109" t="s">
        <v>40</v>
      </c>
      <c r="L1109">
        <v>3</v>
      </c>
      <c r="M1109">
        <v>2</v>
      </c>
      <c r="N1109" t="s">
        <v>55</v>
      </c>
      <c r="O1109">
        <v>3</v>
      </c>
      <c r="P1109" t="s">
        <v>42</v>
      </c>
      <c r="Q1109">
        <v>6077</v>
      </c>
      <c r="R1109">
        <v>3</v>
      </c>
      <c r="S1109" t="s">
        <v>37</v>
      </c>
      <c r="T1109">
        <v>11</v>
      </c>
      <c r="U1109">
        <v>3</v>
      </c>
      <c r="V1109">
        <v>3</v>
      </c>
      <c r="W1109">
        <v>0</v>
      </c>
      <c r="X1109">
        <v>10</v>
      </c>
      <c r="Y1109">
        <v>2</v>
      </c>
      <c r="Z1109">
        <v>3</v>
      </c>
      <c r="AA1109">
        <v>6</v>
      </c>
      <c r="AB1109">
        <v>3</v>
      </c>
      <c r="AC1109">
        <v>1</v>
      </c>
      <c r="AD1109">
        <v>2</v>
      </c>
      <c r="AE1109" t="str" cm="1">
        <f t="array" ref="AE1109">_xlfn.IFS(G1109=1,"Before College",G1109=2,"College",G1109=3,"Bachelor",G1109=4,"Master",G1109=5,"Doctor")</f>
        <v>Master</v>
      </c>
      <c r="AF1109" t="str" cm="1">
        <f t="array" ref="AF1109">_xlfn.IFS(J1109=1,"Low",J1109=2,"Medium",J1109=3,"High",J1109=4,"Very High")</f>
        <v>High</v>
      </c>
      <c r="AG1109" t="str" cm="1">
        <f t="array" ref="AG1109">_xlfn.IFS(L1109=1,"Low",L1109=2,"Medium",L1109=3,"High",L1109=4,"Very High")</f>
        <v>High</v>
      </c>
      <c r="AH1109" t="str" cm="1">
        <f t="array" ref="AH1109">_xlfn.IFS(M1109=1,"Junior employee",M1109=2,"Mid-level",M1109=3,"Senior",M1109=4,"Manager",M1109=5,"Executive")</f>
        <v>Mid-level</v>
      </c>
      <c r="AI1109" t="str" cm="1">
        <f t="array" ref="AI1109">_xlfn.IFS(O1109=1,"Low",O1109=2,"Medium",O1109=3,"High",O1109=4,"Very High")</f>
        <v>High</v>
      </c>
      <c r="AJ1109" t="str" cm="1">
        <f t="array" ref="AJ1109">_xlfn.IFS(U1109=1,"Low",U1109=2,"Good",U1109=3,"Excellent",U1109=4,"Outstanding")</f>
        <v>Excellent</v>
      </c>
      <c r="AK1109" t="str" cm="1">
        <f t="array" ref="AK1109">_xlfn.IFS(V1109=1,"Low",V1109=2,"Medium",V1109=3,"High",V1109=4,"Very High")</f>
        <v>High</v>
      </c>
      <c r="AL1109" t="str" cm="1">
        <f t="array" ref="AL1109">_xlfn.IFS(Z1109=1,"Bad",Z1109=2,"Good",Z1109=3,"Better",Z1109=4,"Best")</f>
        <v>Better</v>
      </c>
      <c r="AM1109" t="str" cm="1">
        <f t="array" ref="AM1109">_xlfn.IFS(W1109=0,"No_stock",W1109=1,"Low",W1109=2,"Medium",W1109=3,"High")</f>
        <v>No_stock</v>
      </c>
      <c r="AN1109" t="str">
        <f t="shared" si="17"/>
        <v>Medium</v>
      </c>
    </row>
    <row r="1110" spans="1:40" x14ac:dyDescent="0.45">
      <c r="A1110">
        <v>35</v>
      </c>
      <c r="B1110" t="s">
        <v>37</v>
      </c>
      <c r="C1110" t="s">
        <v>31</v>
      </c>
      <c r="D1110">
        <v>992</v>
      </c>
      <c r="E1110" t="s">
        <v>39</v>
      </c>
      <c r="F1110">
        <v>1</v>
      </c>
      <c r="G1110">
        <v>3</v>
      </c>
      <c r="H1110" t="s">
        <v>45</v>
      </c>
      <c r="I1110">
        <v>1564</v>
      </c>
      <c r="J1110">
        <v>4</v>
      </c>
      <c r="K1110" t="s">
        <v>40</v>
      </c>
      <c r="L1110">
        <v>2</v>
      </c>
      <c r="M1110">
        <v>1</v>
      </c>
      <c r="N1110" t="s">
        <v>44</v>
      </c>
      <c r="O1110">
        <v>1</v>
      </c>
      <c r="P1110" t="s">
        <v>36</v>
      </c>
      <c r="Q1110">
        <v>2450</v>
      </c>
      <c r="R1110">
        <v>1</v>
      </c>
      <c r="S1110" t="s">
        <v>37</v>
      </c>
      <c r="T1110">
        <v>19</v>
      </c>
      <c r="U1110">
        <v>3</v>
      </c>
      <c r="V1110">
        <v>2</v>
      </c>
      <c r="W1110">
        <v>0</v>
      </c>
      <c r="X1110">
        <v>3</v>
      </c>
      <c r="Y1110">
        <v>3</v>
      </c>
      <c r="Z1110">
        <v>3</v>
      </c>
      <c r="AA1110">
        <v>3</v>
      </c>
      <c r="AB1110">
        <v>0</v>
      </c>
      <c r="AC1110">
        <v>1</v>
      </c>
      <c r="AD1110">
        <v>2</v>
      </c>
      <c r="AE1110" t="str" cm="1">
        <f t="array" ref="AE1110">_xlfn.IFS(G1110=1,"Before College",G1110=2,"College",G1110=3,"Bachelor",G1110=4,"Master",G1110=5,"Doctor")</f>
        <v>Bachelor</v>
      </c>
      <c r="AF1110" t="str" cm="1">
        <f t="array" ref="AF1110">_xlfn.IFS(J1110=1,"Low",J1110=2,"Medium",J1110=3,"High",J1110=4,"Very High")</f>
        <v>Very High</v>
      </c>
      <c r="AG1110" t="str" cm="1">
        <f t="array" ref="AG1110">_xlfn.IFS(L1110=1,"Low",L1110=2,"Medium",L1110=3,"High",L1110=4,"Very High")</f>
        <v>Medium</v>
      </c>
      <c r="AH1110" t="str" cm="1">
        <f t="array" ref="AH1110">_xlfn.IFS(M1110=1,"Junior employee",M1110=2,"Mid-level",M1110=3,"Senior",M1110=4,"Manager",M1110=5,"Executive")</f>
        <v>Junior employee</v>
      </c>
      <c r="AI1110" t="str" cm="1">
        <f t="array" ref="AI1110">_xlfn.IFS(O1110=1,"Low",O1110=2,"Medium",O1110=3,"High",O1110=4,"Very High")</f>
        <v>Low</v>
      </c>
      <c r="AJ1110" t="str" cm="1">
        <f t="array" ref="AJ1110">_xlfn.IFS(U1110=1,"Low",U1110=2,"Good",U1110=3,"Excellent",U1110=4,"Outstanding")</f>
        <v>Excellent</v>
      </c>
      <c r="AK1110" t="str" cm="1">
        <f t="array" ref="AK1110">_xlfn.IFS(V1110=1,"Low",V1110=2,"Medium",V1110=3,"High",V1110=4,"Very High")</f>
        <v>Medium</v>
      </c>
      <c r="AL1110" t="str" cm="1">
        <f t="array" ref="AL1110">_xlfn.IFS(Z1110=1,"Bad",Z1110=2,"Good",Z1110=3,"Better",Z1110=4,"Best")</f>
        <v>Better</v>
      </c>
      <c r="AM1110" t="str" cm="1">
        <f t="array" ref="AM1110">_xlfn.IFS(W1110=0,"No_stock",W1110=1,"Low",W1110=2,"Medium",W1110=3,"High")</f>
        <v>No_stock</v>
      </c>
      <c r="AN1110" t="str">
        <f t="shared" si="17"/>
        <v>Near</v>
      </c>
    </row>
    <row r="1111" spans="1:40" x14ac:dyDescent="0.45">
      <c r="A1111">
        <v>30</v>
      </c>
      <c r="B1111" t="s">
        <v>37</v>
      </c>
      <c r="C1111" t="s">
        <v>31</v>
      </c>
      <c r="D1111">
        <v>1288</v>
      </c>
      <c r="E1111" t="s">
        <v>32</v>
      </c>
      <c r="F1111">
        <v>29</v>
      </c>
      <c r="G1111">
        <v>4</v>
      </c>
      <c r="H1111" t="s">
        <v>54</v>
      </c>
      <c r="I1111">
        <v>1568</v>
      </c>
      <c r="J1111">
        <v>3</v>
      </c>
      <c r="K1111" t="s">
        <v>40</v>
      </c>
      <c r="L1111">
        <v>3</v>
      </c>
      <c r="M1111">
        <v>3</v>
      </c>
      <c r="N1111" t="s">
        <v>35</v>
      </c>
      <c r="O1111">
        <v>2</v>
      </c>
      <c r="P1111" t="s">
        <v>42</v>
      </c>
      <c r="Q1111">
        <v>9250</v>
      </c>
      <c r="R1111">
        <v>3</v>
      </c>
      <c r="S1111" t="s">
        <v>37</v>
      </c>
      <c r="T1111">
        <v>12</v>
      </c>
      <c r="U1111">
        <v>3</v>
      </c>
      <c r="V1111">
        <v>2</v>
      </c>
      <c r="W1111">
        <v>1</v>
      </c>
      <c r="X1111">
        <v>9</v>
      </c>
      <c r="Y1111">
        <v>3</v>
      </c>
      <c r="Z1111">
        <v>3</v>
      </c>
      <c r="AA1111">
        <v>4</v>
      </c>
      <c r="AB1111">
        <v>2</v>
      </c>
      <c r="AC1111">
        <v>1</v>
      </c>
      <c r="AD1111">
        <v>3</v>
      </c>
      <c r="AE1111" t="str" cm="1">
        <f t="array" ref="AE1111">_xlfn.IFS(G1111=1,"Before College",G1111=2,"College",G1111=3,"Bachelor",G1111=4,"Master",G1111=5,"Doctor")</f>
        <v>Master</v>
      </c>
      <c r="AF1111" t="str" cm="1">
        <f t="array" ref="AF1111">_xlfn.IFS(J1111=1,"Low",J1111=2,"Medium",J1111=3,"High",J1111=4,"Very High")</f>
        <v>High</v>
      </c>
      <c r="AG1111" t="str" cm="1">
        <f t="array" ref="AG1111">_xlfn.IFS(L1111=1,"Low",L1111=2,"Medium",L1111=3,"High",L1111=4,"Very High")</f>
        <v>High</v>
      </c>
      <c r="AH1111" t="str" cm="1">
        <f t="array" ref="AH1111">_xlfn.IFS(M1111=1,"Junior employee",M1111=2,"Mid-level",M1111=3,"Senior",M1111=4,"Manager",M1111=5,"Executive")</f>
        <v>Senior</v>
      </c>
      <c r="AI1111" t="str" cm="1">
        <f t="array" ref="AI1111">_xlfn.IFS(O1111=1,"Low",O1111=2,"Medium",O1111=3,"High",O1111=4,"Very High")</f>
        <v>Medium</v>
      </c>
      <c r="AJ1111" t="str" cm="1">
        <f t="array" ref="AJ1111">_xlfn.IFS(U1111=1,"Low",U1111=2,"Good",U1111=3,"Excellent",U1111=4,"Outstanding")</f>
        <v>Excellent</v>
      </c>
      <c r="AK1111" t="str" cm="1">
        <f t="array" ref="AK1111">_xlfn.IFS(V1111=1,"Low",V1111=2,"Medium",V1111=3,"High",V1111=4,"Very High")</f>
        <v>Medium</v>
      </c>
      <c r="AL1111" t="str" cm="1">
        <f t="array" ref="AL1111">_xlfn.IFS(Z1111=1,"Bad",Z1111=2,"Good",Z1111=3,"Better",Z1111=4,"Best")</f>
        <v>Better</v>
      </c>
      <c r="AM1111" t="str" cm="1">
        <f t="array" ref="AM1111">_xlfn.IFS(W1111=0,"No_stock",W1111=1,"Low",W1111=2,"Medium",W1111=3,"High")</f>
        <v>Low</v>
      </c>
      <c r="AN1111" t="str">
        <f t="shared" si="17"/>
        <v>Far</v>
      </c>
    </row>
    <row r="1112" spans="1:40" x14ac:dyDescent="0.45">
      <c r="A1112">
        <v>35</v>
      </c>
      <c r="B1112" t="s">
        <v>30</v>
      </c>
      <c r="C1112" t="s">
        <v>31</v>
      </c>
      <c r="D1112">
        <v>104</v>
      </c>
      <c r="E1112" t="s">
        <v>39</v>
      </c>
      <c r="F1112">
        <v>2</v>
      </c>
      <c r="G1112">
        <v>3</v>
      </c>
      <c r="H1112" t="s">
        <v>33</v>
      </c>
      <c r="I1112">
        <v>1569</v>
      </c>
      <c r="J1112">
        <v>1</v>
      </c>
      <c r="K1112" t="s">
        <v>34</v>
      </c>
      <c r="L1112">
        <v>3</v>
      </c>
      <c r="M1112">
        <v>1</v>
      </c>
      <c r="N1112" t="s">
        <v>44</v>
      </c>
      <c r="O1112">
        <v>1</v>
      </c>
      <c r="P1112" t="s">
        <v>46</v>
      </c>
      <c r="Q1112">
        <v>2074</v>
      </c>
      <c r="R1112">
        <v>1</v>
      </c>
      <c r="S1112" t="s">
        <v>30</v>
      </c>
      <c r="T1112">
        <v>12</v>
      </c>
      <c r="U1112">
        <v>3</v>
      </c>
      <c r="V1112">
        <v>4</v>
      </c>
      <c r="W1112">
        <v>1</v>
      </c>
      <c r="X1112">
        <v>1</v>
      </c>
      <c r="Y1112">
        <v>2</v>
      </c>
      <c r="Z1112">
        <v>3</v>
      </c>
      <c r="AA1112">
        <v>1</v>
      </c>
      <c r="AB1112">
        <v>0</v>
      </c>
      <c r="AC1112">
        <v>0</v>
      </c>
      <c r="AD1112">
        <v>0</v>
      </c>
      <c r="AE1112" t="str" cm="1">
        <f t="array" ref="AE1112">_xlfn.IFS(G1112=1,"Before College",G1112=2,"College",G1112=3,"Bachelor",G1112=4,"Master",G1112=5,"Doctor")</f>
        <v>Bachelor</v>
      </c>
      <c r="AF1112" t="str" cm="1">
        <f t="array" ref="AF1112">_xlfn.IFS(J1112=1,"Low",J1112=2,"Medium",J1112=3,"High",J1112=4,"Very High")</f>
        <v>Low</v>
      </c>
      <c r="AG1112" t="str" cm="1">
        <f t="array" ref="AG1112">_xlfn.IFS(L1112=1,"Low",L1112=2,"Medium",L1112=3,"High",L1112=4,"Very High")</f>
        <v>High</v>
      </c>
      <c r="AH1112" t="str" cm="1">
        <f t="array" ref="AH1112">_xlfn.IFS(M1112=1,"Junior employee",M1112=2,"Mid-level",M1112=3,"Senior",M1112=4,"Manager",M1112=5,"Executive")</f>
        <v>Junior employee</v>
      </c>
      <c r="AI1112" t="str" cm="1">
        <f t="array" ref="AI1112">_xlfn.IFS(O1112=1,"Low",O1112=2,"Medium",O1112=3,"High",O1112=4,"Very High")</f>
        <v>Low</v>
      </c>
      <c r="AJ1112" t="str" cm="1">
        <f t="array" ref="AJ1112">_xlfn.IFS(U1112=1,"Low",U1112=2,"Good",U1112=3,"Excellent",U1112=4,"Outstanding")</f>
        <v>Excellent</v>
      </c>
      <c r="AK1112" t="str" cm="1">
        <f t="array" ref="AK1112">_xlfn.IFS(V1112=1,"Low",V1112=2,"Medium",V1112=3,"High",V1112=4,"Very High")</f>
        <v>Very High</v>
      </c>
      <c r="AL1112" t="str" cm="1">
        <f t="array" ref="AL1112">_xlfn.IFS(Z1112=1,"Bad",Z1112=2,"Good",Z1112=3,"Better",Z1112=4,"Best")</f>
        <v>Better</v>
      </c>
      <c r="AM1112" t="str" cm="1">
        <f t="array" ref="AM1112">_xlfn.IFS(W1112=0,"No_stock",W1112=1,"Low",W1112=2,"Medium",W1112=3,"High")</f>
        <v>Low</v>
      </c>
      <c r="AN1112" t="str">
        <f t="shared" si="17"/>
        <v>Near</v>
      </c>
    </row>
    <row r="1113" spans="1:40" x14ac:dyDescent="0.45">
      <c r="A1113">
        <v>53</v>
      </c>
      <c r="B1113" t="s">
        <v>30</v>
      </c>
      <c r="C1113" t="s">
        <v>31</v>
      </c>
      <c r="D1113">
        <v>607</v>
      </c>
      <c r="E1113" t="s">
        <v>39</v>
      </c>
      <c r="F1113">
        <v>2</v>
      </c>
      <c r="G1113">
        <v>5</v>
      </c>
      <c r="H1113" t="s">
        <v>54</v>
      </c>
      <c r="I1113">
        <v>1572</v>
      </c>
      <c r="J1113">
        <v>3</v>
      </c>
      <c r="K1113" t="s">
        <v>34</v>
      </c>
      <c r="L1113">
        <v>2</v>
      </c>
      <c r="M1113">
        <v>3</v>
      </c>
      <c r="N1113" t="s">
        <v>47</v>
      </c>
      <c r="O1113">
        <v>4</v>
      </c>
      <c r="P1113" t="s">
        <v>42</v>
      </c>
      <c r="Q1113">
        <v>10169</v>
      </c>
      <c r="R1113">
        <v>0</v>
      </c>
      <c r="S1113" t="s">
        <v>37</v>
      </c>
      <c r="T1113">
        <v>16</v>
      </c>
      <c r="U1113">
        <v>3</v>
      </c>
      <c r="V1113">
        <v>2</v>
      </c>
      <c r="W1113">
        <v>1</v>
      </c>
      <c r="X1113">
        <v>34</v>
      </c>
      <c r="Y1113">
        <v>4</v>
      </c>
      <c r="Z1113">
        <v>3</v>
      </c>
      <c r="AA1113">
        <v>33</v>
      </c>
      <c r="AB1113">
        <v>7</v>
      </c>
      <c r="AC1113">
        <v>1</v>
      </c>
      <c r="AD1113">
        <v>9</v>
      </c>
      <c r="AE1113" t="str" cm="1">
        <f t="array" ref="AE1113">_xlfn.IFS(G1113=1,"Before College",G1113=2,"College",G1113=3,"Bachelor",G1113=4,"Master",G1113=5,"Doctor")</f>
        <v>Doctor</v>
      </c>
      <c r="AF1113" t="str" cm="1">
        <f t="array" ref="AF1113">_xlfn.IFS(J1113=1,"Low",J1113=2,"Medium",J1113=3,"High",J1113=4,"Very High")</f>
        <v>High</v>
      </c>
      <c r="AG1113" t="str" cm="1">
        <f t="array" ref="AG1113">_xlfn.IFS(L1113=1,"Low",L1113=2,"Medium",L1113=3,"High",L1113=4,"Very High")</f>
        <v>Medium</v>
      </c>
      <c r="AH1113" t="str" cm="1">
        <f t="array" ref="AH1113">_xlfn.IFS(M1113=1,"Junior employee",M1113=2,"Mid-level",M1113=3,"Senior",M1113=4,"Manager",M1113=5,"Executive")</f>
        <v>Senior</v>
      </c>
      <c r="AI1113" t="str" cm="1">
        <f t="array" ref="AI1113">_xlfn.IFS(O1113=1,"Low",O1113=2,"Medium",O1113=3,"High",O1113=4,"Very High")</f>
        <v>Very High</v>
      </c>
      <c r="AJ1113" t="str" cm="1">
        <f t="array" ref="AJ1113">_xlfn.IFS(U1113=1,"Low",U1113=2,"Good",U1113=3,"Excellent",U1113=4,"Outstanding")</f>
        <v>Excellent</v>
      </c>
      <c r="AK1113" t="str" cm="1">
        <f t="array" ref="AK1113">_xlfn.IFS(V1113=1,"Low",V1113=2,"Medium",V1113=3,"High",V1113=4,"Very High")</f>
        <v>Medium</v>
      </c>
      <c r="AL1113" t="str" cm="1">
        <f t="array" ref="AL1113">_xlfn.IFS(Z1113=1,"Bad",Z1113=2,"Good",Z1113=3,"Better",Z1113=4,"Best")</f>
        <v>Better</v>
      </c>
      <c r="AM1113" t="str" cm="1">
        <f t="array" ref="AM1113">_xlfn.IFS(W1113=0,"No_stock",W1113=1,"Low",W1113=2,"Medium",W1113=3,"High")</f>
        <v>Low</v>
      </c>
      <c r="AN1113" t="str">
        <f t="shared" si="17"/>
        <v>Near</v>
      </c>
    </row>
    <row r="1114" spans="1:40" x14ac:dyDescent="0.45">
      <c r="A1114">
        <v>38</v>
      </c>
      <c r="B1114" t="s">
        <v>30</v>
      </c>
      <c r="C1114" t="s">
        <v>31</v>
      </c>
      <c r="D1114">
        <v>903</v>
      </c>
      <c r="E1114" t="s">
        <v>39</v>
      </c>
      <c r="F1114">
        <v>2</v>
      </c>
      <c r="G1114">
        <v>3</v>
      </c>
      <c r="H1114" t="s">
        <v>45</v>
      </c>
      <c r="I1114">
        <v>1573</v>
      </c>
      <c r="J1114">
        <v>3</v>
      </c>
      <c r="K1114" t="s">
        <v>40</v>
      </c>
      <c r="L1114">
        <v>3</v>
      </c>
      <c r="M1114">
        <v>2</v>
      </c>
      <c r="N1114" t="s">
        <v>47</v>
      </c>
      <c r="O1114">
        <v>2</v>
      </c>
      <c r="P1114" t="s">
        <v>42</v>
      </c>
      <c r="Q1114">
        <v>4855</v>
      </c>
      <c r="R1114">
        <v>4</v>
      </c>
      <c r="S1114" t="s">
        <v>37</v>
      </c>
      <c r="T1114">
        <v>11</v>
      </c>
      <c r="U1114">
        <v>3</v>
      </c>
      <c r="V1114">
        <v>1</v>
      </c>
      <c r="W1114">
        <v>2</v>
      </c>
      <c r="X1114">
        <v>7</v>
      </c>
      <c r="Y1114">
        <v>2</v>
      </c>
      <c r="Z1114">
        <v>3</v>
      </c>
      <c r="AA1114">
        <v>5</v>
      </c>
      <c r="AB1114">
        <v>2</v>
      </c>
      <c r="AC1114">
        <v>1</v>
      </c>
      <c r="AD1114">
        <v>4</v>
      </c>
      <c r="AE1114" t="str" cm="1">
        <f t="array" ref="AE1114">_xlfn.IFS(G1114=1,"Before College",G1114=2,"College",G1114=3,"Bachelor",G1114=4,"Master",G1114=5,"Doctor")</f>
        <v>Bachelor</v>
      </c>
      <c r="AF1114" t="str" cm="1">
        <f t="array" ref="AF1114">_xlfn.IFS(J1114=1,"Low",J1114=2,"Medium",J1114=3,"High",J1114=4,"Very High")</f>
        <v>High</v>
      </c>
      <c r="AG1114" t="str" cm="1">
        <f t="array" ref="AG1114">_xlfn.IFS(L1114=1,"Low",L1114=2,"Medium",L1114=3,"High",L1114=4,"Very High")</f>
        <v>High</v>
      </c>
      <c r="AH1114" t="str" cm="1">
        <f t="array" ref="AH1114">_xlfn.IFS(M1114=1,"Junior employee",M1114=2,"Mid-level",M1114=3,"Senior",M1114=4,"Manager",M1114=5,"Executive")</f>
        <v>Mid-level</v>
      </c>
      <c r="AI1114" t="str" cm="1">
        <f t="array" ref="AI1114">_xlfn.IFS(O1114=1,"Low",O1114=2,"Medium",O1114=3,"High",O1114=4,"Very High")</f>
        <v>Medium</v>
      </c>
      <c r="AJ1114" t="str" cm="1">
        <f t="array" ref="AJ1114">_xlfn.IFS(U1114=1,"Low",U1114=2,"Good",U1114=3,"Excellent",U1114=4,"Outstanding")</f>
        <v>Excellent</v>
      </c>
      <c r="AK1114" t="str" cm="1">
        <f t="array" ref="AK1114">_xlfn.IFS(V1114=1,"Low",V1114=2,"Medium",V1114=3,"High",V1114=4,"Very High")</f>
        <v>Low</v>
      </c>
      <c r="AL1114" t="str" cm="1">
        <f t="array" ref="AL1114">_xlfn.IFS(Z1114=1,"Bad",Z1114=2,"Good",Z1114=3,"Better",Z1114=4,"Best")</f>
        <v>Better</v>
      </c>
      <c r="AM1114" t="str" cm="1">
        <f t="array" ref="AM1114">_xlfn.IFS(W1114=0,"No_stock",W1114=1,"Low",W1114=2,"Medium",W1114=3,"High")</f>
        <v>Medium</v>
      </c>
      <c r="AN1114" t="str">
        <f t="shared" si="17"/>
        <v>Near</v>
      </c>
    </row>
    <row r="1115" spans="1:40" x14ac:dyDescent="0.45">
      <c r="A1115">
        <v>32</v>
      </c>
      <c r="B1115" t="s">
        <v>37</v>
      </c>
      <c r="C1115" t="s">
        <v>49</v>
      </c>
      <c r="D1115">
        <v>1200</v>
      </c>
      <c r="E1115" t="s">
        <v>39</v>
      </c>
      <c r="F1115">
        <v>1</v>
      </c>
      <c r="G1115">
        <v>4</v>
      </c>
      <c r="H1115" t="s">
        <v>54</v>
      </c>
      <c r="I1115">
        <v>1574</v>
      </c>
      <c r="J1115">
        <v>4</v>
      </c>
      <c r="K1115" t="s">
        <v>40</v>
      </c>
      <c r="L1115">
        <v>3</v>
      </c>
      <c r="M1115">
        <v>2</v>
      </c>
      <c r="N1115" t="s">
        <v>41</v>
      </c>
      <c r="O1115">
        <v>1</v>
      </c>
      <c r="P1115" t="s">
        <v>42</v>
      </c>
      <c r="Q1115">
        <v>4087</v>
      </c>
      <c r="R1115">
        <v>4</v>
      </c>
      <c r="S1115" t="s">
        <v>37</v>
      </c>
      <c r="T1115">
        <v>14</v>
      </c>
      <c r="U1115">
        <v>3</v>
      </c>
      <c r="V1115">
        <v>2</v>
      </c>
      <c r="W1115">
        <v>1</v>
      </c>
      <c r="X1115">
        <v>9</v>
      </c>
      <c r="Y1115">
        <v>3</v>
      </c>
      <c r="Z1115">
        <v>2</v>
      </c>
      <c r="AA1115">
        <v>6</v>
      </c>
      <c r="AB1115">
        <v>5</v>
      </c>
      <c r="AC1115">
        <v>1</v>
      </c>
      <c r="AD1115">
        <v>2</v>
      </c>
      <c r="AE1115" t="str" cm="1">
        <f t="array" ref="AE1115">_xlfn.IFS(G1115=1,"Before College",G1115=2,"College",G1115=3,"Bachelor",G1115=4,"Master",G1115=5,"Doctor")</f>
        <v>Master</v>
      </c>
      <c r="AF1115" t="str" cm="1">
        <f t="array" ref="AF1115">_xlfn.IFS(J1115=1,"Low",J1115=2,"Medium",J1115=3,"High",J1115=4,"Very High")</f>
        <v>Very High</v>
      </c>
      <c r="AG1115" t="str" cm="1">
        <f t="array" ref="AG1115">_xlfn.IFS(L1115=1,"Low",L1115=2,"Medium",L1115=3,"High",L1115=4,"Very High")</f>
        <v>High</v>
      </c>
      <c r="AH1115" t="str" cm="1">
        <f t="array" ref="AH1115">_xlfn.IFS(M1115=1,"Junior employee",M1115=2,"Mid-level",M1115=3,"Senior",M1115=4,"Manager",M1115=5,"Executive")</f>
        <v>Mid-level</v>
      </c>
      <c r="AI1115" t="str" cm="1">
        <f t="array" ref="AI1115">_xlfn.IFS(O1115=1,"Low",O1115=2,"Medium",O1115=3,"High",O1115=4,"Very High")</f>
        <v>Low</v>
      </c>
      <c r="AJ1115" t="str" cm="1">
        <f t="array" ref="AJ1115">_xlfn.IFS(U1115=1,"Low",U1115=2,"Good",U1115=3,"Excellent",U1115=4,"Outstanding")</f>
        <v>Excellent</v>
      </c>
      <c r="AK1115" t="str" cm="1">
        <f t="array" ref="AK1115">_xlfn.IFS(V1115=1,"Low",V1115=2,"Medium",V1115=3,"High",V1115=4,"Very High")</f>
        <v>Medium</v>
      </c>
      <c r="AL1115" t="str" cm="1">
        <f t="array" ref="AL1115">_xlfn.IFS(Z1115=1,"Bad",Z1115=2,"Good",Z1115=3,"Better",Z1115=4,"Best")</f>
        <v>Good</v>
      </c>
      <c r="AM1115" t="str" cm="1">
        <f t="array" ref="AM1115">_xlfn.IFS(W1115=0,"No_stock",W1115=1,"Low",W1115=2,"Medium",W1115=3,"High")</f>
        <v>Low</v>
      </c>
      <c r="AN1115" t="str">
        <f t="shared" si="17"/>
        <v>Near</v>
      </c>
    </row>
    <row r="1116" spans="1:40" x14ac:dyDescent="0.45">
      <c r="A1116">
        <v>48</v>
      </c>
      <c r="B1116" t="s">
        <v>37</v>
      </c>
      <c r="C1116" t="s">
        <v>31</v>
      </c>
      <c r="D1116">
        <v>1108</v>
      </c>
      <c r="E1116" t="s">
        <v>39</v>
      </c>
      <c r="F1116">
        <v>15</v>
      </c>
      <c r="G1116">
        <v>4</v>
      </c>
      <c r="H1116" t="s">
        <v>43</v>
      </c>
      <c r="I1116">
        <v>1576</v>
      </c>
      <c r="J1116">
        <v>3</v>
      </c>
      <c r="K1116" t="s">
        <v>34</v>
      </c>
      <c r="L1116">
        <v>3</v>
      </c>
      <c r="M1116">
        <v>1</v>
      </c>
      <c r="N1116" t="s">
        <v>41</v>
      </c>
      <c r="O1116">
        <v>1</v>
      </c>
      <c r="P1116" t="s">
        <v>42</v>
      </c>
      <c r="Q1116">
        <v>2367</v>
      </c>
      <c r="R1116">
        <v>8</v>
      </c>
      <c r="S1116" t="s">
        <v>37</v>
      </c>
      <c r="T1116">
        <v>12</v>
      </c>
      <c r="U1116">
        <v>3</v>
      </c>
      <c r="V1116">
        <v>4</v>
      </c>
      <c r="W1116">
        <v>1</v>
      </c>
      <c r="X1116">
        <v>10</v>
      </c>
      <c r="Y1116">
        <v>3</v>
      </c>
      <c r="Z1116">
        <v>2</v>
      </c>
      <c r="AA1116">
        <v>8</v>
      </c>
      <c r="AB1116">
        <v>2</v>
      </c>
      <c r="AC1116">
        <v>7</v>
      </c>
      <c r="AD1116">
        <v>6</v>
      </c>
      <c r="AE1116" t="str" cm="1">
        <f t="array" ref="AE1116">_xlfn.IFS(G1116=1,"Before College",G1116=2,"College",G1116=3,"Bachelor",G1116=4,"Master",G1116=5,"Doctor")</f>
        <v>Master</v>
      </c>
      <c r="AF1116" t="str" cm="1">
        <f t="array" ref="AF1116">_xlfn.IFS(J1116=1,"Low",J1116=2,"Medium",J1116=3,"High",J1116=4,"Very High")</f>
        <v>High</v>
      </c>
      <c r="AG1116" t="str" cm="1">
        <f t="array" ref="AG1116">_xlfn.IFS(L1116=1,"Low",L1116=2,"Medium",L1116=3,"High",L1116=4,"Very High")</f>
        <v>High</v>
      </c>
      <c r="AH1116" t="str" cm="1">
        <f t="array" ref="AH1116">_xlfn.IFS(M1116=1,"Junior employee",M1116=2,"Mid-level",M1116=3,"Senior",M1116=4,"Manager",M1116=5,"Executive")</f>
        <v>Junior employee</v>
      </c>
      <c r="AI1116" t="str" cm="1">
        <f t="array" ref="AI1116">_xlfn.IFS(O1116=1,"Low",O1116=2,"Medium",O1116=3,"High",O1116=4,"Very High")</f>
        <v>Low</v>
      </c>
      <c r="AJ1116" t="str" cm="1">
        <f t="array" ref="AJ1116">_xlfn.IFS(U1116=1,"Low",U1116=2,"Good",U1116=3,"Excellent",U1116=4,"Outstanding")</f>
        <v>Excellent</v>
      </c>
      <c r="AK1116" t="str" cm="1">
        <f t="array" ref="AK1116">_xlfn.IFS(V1116=1,"Low",V1116=2,"Medium",V1116=3,"High",V1116=4,"Very High")</f>
        <v>Very High</v>
      </c>
      <c r="AL1116" t="str" cm="1">
        <f t="array" ref="AL1116">_xlfn.IFS(Z1116=1,"Bad",Z1116=2,"Good",Z1116=3,"Better",Z1116=4,"Best")</f>
        <v>Good</v>
      </c>
      <c r="AM1116" t="str" cm="1">
        <f t="array" ref="AM1116">_xlfn.IFS(W1116=0,"No_stock",W1116=1,"Low",W1116=2,"Medium",W1116=3,"High")</f>
        <v>Low</v>
      </c>
      <c r="AN1116" t="str">
        <f t="shared" si="17"/>
        <v>Medium</v>
      </c>
    </row>
    <row r="1117" spans="1:40" x14ac:dyDescent="0.45">
      <c r="A1117">
        <v>34</v>
      </c>
      <c r="B1117" t="s">
        <v>37</v>
      </c>
      <c r="C1117" t="s">
        <v>31</v>
      </c>
      <c r="D1117">
        <v>479</v>
      </c>
      <c r="E1117" t="s">
        <v>39</v>
      </c>
      <c r="F1117">
        <v>7</v>
      </c>
      <c r="G1117">
        <v>4</v>
      </c>
      <c r="H1117" t="s">
        <v>45</v>
      </c>
      <c r="I1117">
        <v>1577</v>
      </c>
      <c r="J1117">
        <v>1</v>
      </c>
      <c r="K1117" t="s">
        <v>40</v>
      </c>
      <c r="L1117">
        <v>3</v>
      </c>
      <c r="M1117">
        <v>1</v>
      </c>
      <c r="N1117" t="s">
        <v>41</v>
      </c>
      <c r="O1117">
        <v>4</v>
      </c>
      <c r="P1117" t="s">
        <v>36</v>
      </c>
      <c r="Q1117">
        <v>2972</v>
      </c>
      <c r="R1117">
        <v>1</v>
      </c>
      <c r="S1117" t="s">
        <v>37</v>
      </c>
      <c r="T1117">
        <v>13</v>
      </c>
      <c r="U1117">
        <v>3</v>
      </c>
      <c r="V1117">
        <v>3</v>
      </c>
      <c r="W1117">
        <v>0</v>
      </c>
      <c r="X1117">
        <v>1</v>
      </c>
      <c r="Y1117">
        <v>4</v>
      </c>
      <c r="Z1117">
        <v>1</v>
      </c>
      <c r="AA1117">
        <v>1</v>
      </c>
      <c r="AB1117">
        <v>0</v>
      </c>
      <c r="AC1117">
        <v>0</v>
      </c>
      <c r="AD1117">
        <v>0</v>
      </c>
      <c r="AE1117" t="str" cm="1">
        <f t="array" ref="AE1117">_xlfn.IFS(G1117=1,"Before College",G1117=2,"College",G1117=3,"Bachelor",G1117=4,"Master",G1117=5,"Doctor")</f>
        <v>Master</v>
      </c>
      <c r="AF1117" t="str" cm="1">
        <f t="array" ref="AF1117">_xlfn.IFS(J1117=1,"Low",J1117=2,"Medium",J1117=3,"High",J1117=4,"Very High")</f>
        <v>Low</v>
      </c>
      <c r="AG1117" t="str" cm="1">
        <f t="array" ref="AG1117">_xlfn.IFS(L1117=1,"Low",L1117=2,"Medium",L1117=3,"High",L1117=4,"Very High")</f>
        <v>High</v>
      </c>
      <c r="AH1117" t="str" cm="1">
        <f t="array" ref="AH1117">_xlfn.IFS(M1117=1,"Junior employee",M1117=2,"Mid-level",M1117=3,"Senior",M1117=4,"Manager",M1117=5,"Executive")</f>
        <v>Junior employee</v>
      </c>
      <c r="AI1117" t="str" cm="1">
        <f t="array" ref="AI1117">_xlfn.IFS(O1117=1,"Low",O1117=2,"Medium",O1117=3,"High",O1117=4,"Very High")</f>
        <v>Very High</v>
      </c>
      <c r="AJ1117" t="str" cm="1">
        <f t="array" ref="AJ1117">_xlfn.IFS(U1117=1,"Low",U1117=2,"Good",U1117=3,"Excellent",U1117=4,"Outstanding")</f>
        <v>Excellent</v>
      </c>
      <c r="AK1117" t="str" cm="1">
        <f t="array" ref="AK1117">_xlfn.IFS(V1117=1,"Low",V1117=2,"Medium",V1117=3,"High",V1117=4,"Very High")</f>
        <v>High</v>
      </c>
      <c r="AL1117" t="str" cm="1">
        <f t="array" ref="AL1117">_xlfn.IFS(Z1117=1,"Bad",Z1117=2,"Good",Z1117=3,"Better",Z1117=4,"Best")</f>
        <v>Bad</v>
      </c>
      <c r="AM1117" t="str" cm="1">
        <f t="array" ref="AM1117">_xlfn.IFS(W1117=0,"No_stock",W1117=1,"Low",W1117=2,"Medium",W1117=3,"High")</f>
        <v>No_stock</v>
      </c>
      <c r="AN1117" t="str">
        <f t="shared" si="17"/>
        <v>Medium</v>
      </c>
    </row>
    <row r="1118" spans="1:40" x14ac:dyDescent="0.45">
      <c r="A1118">
        <v>55</v>
      </c>
      <c r="B1118" t="s">
        <v>37</v>
      </c>
      <c r="C1118" t="s">
        <v>31</v>
      </c>
      <c r="D1118">
        <v>685</v>
      </c>
      <c r="E1118" t="s">
        <v>32</v>
      </c>
      <c r="F1118">
        <v>26</v>
      </c>
      <c r="G1118">
        <v>5</v>
      </c>
      <c r="H1118" t="s">
        <v>53</v>
      </c>
      <c r="I1118">
        <v>1578</v>
      </c>
      <c r="J1118">
        <v>3</v>
      </c>
      <c r="K1118" t="s">
        <v>40</v>
      </c>
      <c r="L1118">
        <v>2</v>
      </c>
      <c r="M1118">
        <v>5</v>
      </c>
      <c r="N1118" t="s">
        <v>50</v>
      </c>
      <c r="O1118">
        <v>4</v>
      </c>
      <c r="P1118" t="s">
        <v>42</v>
      </c>
      <c r="Q1118">
        <v>19586</v>
      </c>
      <c r="R1118">
        <v>1</v>
      </c>
      <c r="S1118" t="s">
        <v>37</v>
      </c>
      <c r="T1118">
        <v>21</v>
      </c>
      <c r="U1118">
        <v>4</v>
      </c>
      <c r="V1118">
        <v>3</v>
      </c>
      <c r="W1118">
        <v>1</v>
      </c>
      <c r="X1118">
        <v>36</v>
      </c>
      <c r="Y1118">
        <v>3</v>
      </c>
      <c r="Z1118">
        <v>3</v>
      </c>
      <c r="AA1118">
        <v>36</v>
      </c>
      <c r="AB1118">
        <v>6</v>
      </c>
      <c r="AC1118">
        <v>2</v>
      </c>
      <c r="AD1118">
        <v>13</v>
      </c>
      <c r="AE1118" t="str" cm="1">
        <f t="array" ref="AE1118">_xlfn.IFS(G1118=1,"Before College",G1118=2,"College",G1118=3,"Bachelor",G1118=4,"Master",G1118=5,"Doctor")</f>
        <v>Doctor</v>
      </c>
      <c r="AF1118" t="str" cm="1">
        <f t="array" ref="AF1118">_xlfn.IFS(J1118=1,"Low",J1118=2,"Medium",J1118=3,"High",J1118=4,"Very High")</f>
        <v>High</v>
      </c>
      <c r="AG1118" t="str" cm="1">
        <f t="array" ref="AG1118">_xlfn.IFS(L1118=1,"Low",L1118=2,"Medium",L1118=3,"High",L1118=4,"Very High")</f>
        <v>Medium</v>
      </c>
      <c r="AH1118" t="str" cm="1">
        <f t="array" ref="AH1118">_xlfn.IFS(M1118=1,"Junior employee",M1118=2,"Mid-level",M1118=3,"Senior",M1118=4,"Manager",M1118=5,"Executive")</f>
        <v>Executive</v>
      </c>
      <c r="AI1118" t="str" cm="1">
        <f t="array" ref="AI1118">_xlfn.IFS(O1118=1,"Low",O1118=2,"Medium",O1118=3,"High",O1118=4,"Very High")</f>
        <v>Very High</v>
      </c>
      <c r="AJ1118" t="str" cm="1">
        <f t="array" ref="AJ1118">_xlfn.IFS(U1118=1,"Low",U1118=2,"Good",U1118=3,"Excellent",U1118=4,"Outstanding")</f>
        <v>Outstanding</v>
      </c>
      <c r="AK1118" t="str" cm="1">
        <f t="array" ref="AK1118">_xlfn.IFS(V1118=1,"Low",V1118=2,"Medium",V1118=3,"High",V1118=4,"Very High")</f>
        <v>High</v>
      </c>
      <c r="AL1118" t="str" cm="1">
        <f t="array" ref="AL1118">_xlfn.IFS(Z1118=1,"Bad",Z1118=2,"Good",Z1118=3,"Better",Z1118=4,"Best")</f>
        <v>Better</v>
      </c>
      <c r="AM1118" t="str" cm="1">
        <f t="array" ref="AM1118">_xlfn.IFS(W1118=0,"No_stock",W1118=1,"Low",W1118=2,"Medium",W1118=3,"High")</f>
        <v>Low</v>
      </c>
      <c r="AN1118" t="str">
        <f t="shared" si="17"/>
        <v>Far</v>
      </c>
    </row>
    <row r="1119" spans="1:40" x14ac:dyDescent="0.45">
      <c r="A1119">
        <v>34</v>
      </c>
      <c r="B1119" t="s">
        <v>37</v>
      </c>
      <c r="C1119" t="s">
        <v>31</v>
      </c>
      <c r="D1119">
        <v>1351</v>
      </c>
      <c r="E1119" t="s">
        <v>39</v>
      </c>
      <c r="F1119">
        <v>1</v>
      </c>
      <c r="G1119">
        <v>4</v>
      </c>
      <c r="H1119" t="s">
        <v>33</v>
      </c>
      <c r="I1119">
        <v>1580</v>
      </c>
      <c r="J1119">
        <v>2</v>
      </c>
      <c r="K1119" t="s">
        <v>40</v>
      </c>
      <c r="L1119">
        <v>3</v>
      </c>
      <c r="M1119">
        <v>2</v>
      </c>
      <c r="N1119" t="s">
        <v>41</v>
      </c>
      <c r="O1119">
        <v>4</v>
      </c>
      <c r="P1119" t="s">
        <v>42</v>
      </c>
      <c r="Q1119">
        <v>5484</v>
      </c>
      <c r="R1119">
        <v>9</v>
      </c>
      <c r="S1119" t="s">
        <v>37</v>
      </c>
      <c r="T1119">
        <v>17</v>
      </c>
      <c r="U1119">
        <v>3</v>
      </c>
      <c r="V1119">
        <v>2</v>
      </c>
      <c r="W1119">
        <v>1</v>
      </c>
      <c r="X1119">
        <v>9</v>
      </c>
      <c r="Y1119">
        <v>3</v>
      </c>
      <c r="Z1119">
        <v>2</v>
      </c>
      <c r="AA1119">
        <v>2</v>
      </c>
      <c r="AB1119">
        <v>2</v>
      </c>
      <c r="AC1119">
        <v>2</v>
      </c>
      <c r="AD1119">
        <v>1</v>
      </c>
      <c r="AE1119" t="str" cm="1">
        <f t="array" ref="AE1119">_xlfn.IFS(G1119=1,"Before College",G1119=2,"College",G1119=3,"Bachelor",G1119=4,"Master",G1119=5,"Doctor")</f>
        <v>Master</v>
      </c>
      <c r="AF1119" t="str" cm="1">
        <f t="array" ref="AF1119">_xlfn.IFS(J1119=1,"Low",J1119=2,"Medium",J1119=3,"High",J1119=4,"Very High")</f>
        <v>Medium</v>
      </c>
      <c r="AG1119" t="str" cm="1">
        <f t="array" ref="AG1119">_xlfn.IFS(L1119=1,"Low",L1119=2,"Medium",L1119=3,"High",L1119=4,"Very High")</f>
        <v>High</v>
      </c>
      <c r="AH1119" t="str" cm="1">
        <f t="array" ref="AH1119">_xlfn.IFS(M1119=1,"Junior employee",M1119=2,"Mid-level",M1119=3,"Senior",M1119=4,"Manager",M1119=5,"Executive")</f>
        <v>Mid-level</v>
      </c>
      <c r="AI1119" t="str" cm="1">
        <f t="array" ref="AI1119">_xlfn.IFS(O1119=1,"Low",O1119=2,"Medium",O1119=3,"High",O1119=4,"Very High")</f>
        <v>Very High</v>
      </c>
      <c r="AJ1119" t="str" cm="1">
        <f t="array" ref="AJ1119">_xlfn.IFS(U1119=1,"Low",U1119=2,"Good",U1119=3,"Excellent",U1119=4,"Outstanding")</f>
        <v>Excellent</v>
      </c>
      <c r="AK1119" t="str" cm="1">
        <f t="array" ref="AK1119">_xlfn.IFS(V1119=1,"Low",V1119=2,"Medium",V1119=3,"High",V1119=4,"Very High")</f>
        <v>Medium</v>
      </c>
      <c r="AL1119" t="str" cm="1">
        <f t="array" ref="AL1119">_xlfn.IFS(Z1119=1,"Bad",Z1119=2,"Good",Z1119=3,"Better",Z1119=4,"Best")</f>
        <v>Good</v>
      </c>
      <c r="AM1119" t="str" cm="1">
        <f t="array" ref="AM1119">_xlfn.IFS(W1119=0,"No_stock",W1119=1,"Low",W1119=2,"Medium",W1119=3,"High")</f>
        <v>Low</v>
      </c>
      <c r="AN1119" t="str">
        <f t="shared" si="17"/>
        <v>Near</v>
      </c>
    </row>
    <row r="1120" spans="1:40" x14ac:dyDescent="0.45">
      <c r="A1120">
        <v>26</v>
      </c>
      <c r="B1120" t="s">
        <v>37</v>
      </c>
      <c r="C1120" t="s">
        <v>31</v>
      </c>
      <c r="D1120">
        <v>474</v>
      </c>
      <c r="E1120" t="s">
        <v>39</v>
      </c>
      <c r="F1120">
        <v>3</v>
      </c>
      <c r="G1120">
        <v>3</v>
      </c>
      <c r="H1120" t="s">
        <v>33</v>
      </c>
      <c r="I1120">
        <v>1581</v>
      </c>
      <c r="J1120">
        <v>1</v>
      </c>
      <c r="K1120" t="s">
        <v>34</v>
      </c>
      <c r="L1120">
        <v>3</v>
      </c>
      <c r="M1120">
        <v>1</v>
      </c>
      <c r="N1120" t="s">
        <v>41</v>
      </c>
      <c r="O1120">
        <v>4</v>
      </c>
      <c r="P1120" t="s">
        <v>42</v>
      </c>
      <c r="Q1120">
        <v>2061</v>
      </c>
      <c r="R1120">
        <v>1</v>
      </c>
      <c r="S1120" t="s">
        <v>37</v>
      </c>
      <c r="T1120">
        <v>21</v>
      </c>
      <c r="U1120">
        <v>4</v>
      </c>
      <c r="V1120">
        <v>1</v>
      </c>
      <c r="W1120">
        <v>0</v>
      </c>
      <c r="X1120">
        <v>1</v>
      </c>
      <c r="Y1120">
        <v>5</v>
      </c>
      <c r="Z1120">
        <v>3</v>
      </c>
      <c r="AA1120">
        <v>1</v>
      </c>
      <c r="AB1120">
        <v>0</v>
      </c>
      <c r="AC1120">
        <v>0</v>
      </c>
      <c r="AD1120">
        <v>0</v>
      </c>
      <c r="AE1120" t="str" cm="1">
        <f t="array" ref="AE1120">_xlfn.IFS(G1120=1,"Before College",G1120=2,"College",G1120=3,"Bachelor",G1120=4,"Master",G1120=5,"Doctor")</f>
        <v>Bachelor</v>
      </c>
      <c r="AF1120" t="str" cm="1">
        <f t="array" ref="AF1120">_xlfn.IFS(J1120=1,"Low",J1120=2,"Medium",J1120=3,"High",J1120=4,"Very High")</f>
        <v>Low</v>
      </c>
      <c r="AG1120" t="str" cm="1">
        <f t="array" ref="AG1120">_xlfn.IFS(L1120=1,"Low",L1120=2,"Medium",L1120=3,"High",L1120=4,"Very High")</f>
        <v>High</v>
      </c>
      <c r="AH1120" t="str" cm="1">
        <f t="array" ref="AH1120">_xlfn.IFS(M1120=1,"Junior employee",M1120=2,"Mid-level",M1120=3,"Senior",M1120=4,"Manager",M1120=5,"Executive")</f>
        <v>Junior employee</v>
      </c>
      <c r="AI1120" t="str" cm="1">
        <f t="array" ref="AI1120">_xlfn.IFS(O1120=1,"Low",O1120=2,"Medium",O1120=3,"High",O1120=4,"Very High")</f>
        <v>Very High</v>
      </c>
      <c r="AJ1120" t="str" cm="1">
        <f t="array" ref="AJ1120">_xlfn.IFS(U1120=1,"Low",U1120=2,"Good",U1120=3,"Excellent",U1120=4,"Outstanding")</f>
        <v>Outstanding</v>
      </c>
      <c r="AK1120" t="str" cm="1">
        <f t="array" ref="AK1120">_xlfn.IFS(V1120=1,"Low",V1120=2,"Medium",V1120=3,"High",V1120=4,"Very High")</f>
        <v>Low</v>
      </c>
      <c r="AL1120" t="str" cm="1">
        <f t="array" ref="AL1120">_xlfn.IFS(Z1120=1,"Bad",Z1120=2,"Good",Z1120=3,"Better",Z1120=4,"Best")</f>
        <v>Better</v>
      </c>
      <c r="AM1120" t="str" cm="1">
        <f t="array" ref="AM1120">_xlfn.IFS(W1120=0,"No_stock",W1120=1,"Low",W1120=2,"Medium",W1120=3,"High")</f>
        <v>No_stock</v>
      </c>
      <c r="AN1120" t="str">
        <f t="shared" si="17"/>
        <v>Near</v>
      </c>
    </row>
    <row r="1121" spans="1:40" x14ac:dyDescent="0.45">
      <c r="A1121">
        <v>38</v>
      </c>
      <c r="B1121" t="s">
        <v>37</v>
      </c>
      <c r="C1121" t="s">
        <v>31</v>
      </c>
      <c r="D1121">
        <v>1245</v>
      </c>
      <c r="E1121" t="s">
        <v>32</v>
      </c>
      <c r="F1121">
        <v>14</v>
      </c>
      <c r="G1121">
        <v>3</v>
      </c>
      <c r="H1121" t="s">
        <v>33</v>
      </c>
      <c r="I1121">
        <v>1582</v>
      </c>
      <c r="J1121">
        <v>3</v>
      </c>
      <c r="K1121" t="s">
        <v>40</v>
      </c>
      <c r="L1121">
        <v>3</v>
      </c>
      <c r="M1121">
        <v>2</v>
      </c>
      <c r="N1121" t="s">
        <v>35</v>
      </c>
      <c r="O1121">
        <v>2</v>
      </c>
      <c r="P1121" t="s">
        <v>42</v>
      </c>
      <c r="Q1121">
        <v>9924</v>
      </c>
      <c r="R1121">
        <v>0</v>
      </c>
      <c r="S1121" t="s">
        <v>37</v>
      </c>
      <c r="T1121">
        <v>11</v>
      </c>
      <c r="U1121">
        <v>3</v>
      </c>
      <c r="V1121">
        <v>4</v>
      </c>
      <c r="W1121">
        <v>1</v>
      </c>
      <c r="X1121">
        <v>10</v>
      </c>
      <c r="Y1121">
        <v>3</v>
      </c>
      <c r="Z1121">
        <v>3</v>
      </c>
      <c r="AA1121">
        <v>9</v>
      </c>
      <c r="AB1121">
        <v>8</v>
      </c>
      <c r="AC1121">
        <v>7</v>
      </c>
      <c r="AD1121">
        <v>7</v>
      </c>
      <c r="AE1121" t="str" cm="1">
        <f t="array" ref="AE1121">_xlfn.IFS(G1121=1,"Before College",G1121=2,"College",G1121=3,"Bachelor",G1121=4,"Master",G1121=5,"Doctor")</f>
        <v>Bachelor</v>
      </c>
      <c r="AF1121" t="str" cm="1">
        <f t="array" ref="AF1121">_xlfn.IFS(J1121=1,"Low",J1121=2,"Medium",J1121=3,"High",J1121=4,"Very High")</f>
        <v>High</v>
      </c>
      <c r="AG1121" t="str" cm="1">
        <f t="array" ref="AG1121">_xlfn.IFS(L1121=1,"Low",L1121=2,"Medium",L1121=3,"High",L1121=4,"Very High")</f>
        <v>High</v>
      </c>
      <c r="AH1121" t="str" cm="1">
        <f t="array" ref="AH1121">_xlfn.IFS(M1121=1,"Junior employee",M1121=2,"Mid-level",M1121=3,"Senior",M1121=4,"Manager",M1121=5,"Executive")</f>
        <v>Mid-level</v>
      </c>
      <c r="AI1121" t="str" cm="1">
        <f t="array" ref="AI1121">_xlfn.IFS(O1121=1,"Low",O1121=2,"Medium",O1121=3,"High",O1121=4,"Very High")</f>
        <v>Medium</v>
      </c>
      <c r="AJ1121" t="str" cm="1">
        <f t="array" ref="AJ1121">_xlfn.IFS(U1121=1,"Low",U1121=2,"Good",U1121=3,"Excellent",U1121=4,"Outstanding")</f>
        <v>Excellent</v>
      </c>
      <c r="AK1121" t="str" cm="1">
        <f t="array" ref="AK1121">_xlfn.IFS(V1121=1,"Low",V1121=2,"Medium",V1121=3,"High",V1121=4,"Very High")</f>
        <v>Very High</v>
      </c>
      <c r="AL1121" t="str" cm="1">
        <f t="array" ref="AL1121">_xlfn.IFS(Z1121=1,"Bad",Z1121=2,"Good",Z1121=3,"Better",Z1121=4,"Best")</f>
        <v>Better</v>
      </c>
      <c r="AM1121" t="str" cm="1">
        <f t="array" ref="AM1121">_xlfn.IFS(W1121=0,"No_stock",W1121=1,"Low",W1121=2,"Medium",W1121=3,"High")</f>
        <v>Low</v>
      </c>
      <c r="AN1121" t="str">
        <f t="shared" si="17"/>
        <v>Medium</v>
      </c>
    </row>
    <row r="1122" spans="1:40" x14ac:dyDescent="0.45">
      <c r="A1122">
        <v>38</v>
      </c>
      <c r="B1122" t="s">
        <v>37</v>
      </c>
      <c r="C1122" t="s">
        <v>31</v>
      </c>
      <c r="D1122">
        <v>437</v>
      </c>
      <c r="E1122" t="s">
        <v>32</v>
      </c>
      <c r="F1122">
        <v>16</v>
      </c>
      <c r="G1122">
        <v>3</v>
      </c>
      <c r="H1122" t="s">
        <v>33</v>
      </c>
      <c r="I1122">
        <v>1583</v>
      </c>
      <c r="J1122">
        <v>2</v>
      </c>
      <c r="K1122" t="s">
        <v>34</v>
      </c>
      <c r="L1122">
        <v>3</v>
      </c>
      <c r="M1122">
        <v>2</v>
      </c>
      <c r="N1122" t="s">
        <v>35</v>
      </c>
      <c r="O1122">
        <v>2</v>
      </c>
      <c r="P1122" t="s">
        <v>36</v>
      </c>
      <c r="Q1122">
        <v>4198</v>
      </c>
      <c r="R1122">
        <v>2</v>
      </c>
      <c r="S1122" t="s">
        <v>37</v>
      </c>
      <c r="T1122">
        <v>12</v>
      </c>
      <c r="U1122">
        <v>3</v>
      </c>
      <c r="V1122">
        <v>2</v>
      </c>
      <c r="W1122">
        <v>0</v>
      </c>
      <c r="X1122">
        <v>8</v>
      </c>
      <c r="Y1122">
        <v>5</v>
      </c>
      <c r="Z1122">
        <v>4</v>
      </c>
      <c r="AA1122">
        <v>3</v>
      </c>
      <c r="AB1122">
        <v>2</v>
      </c>
      <c r="AC1122">
        <v>1</v>
      </c>
      <c r="AD1122">
        <v>2</v>
      </c>
      <c r="AE1122" t="str" cm="1">
        <f t="array" ref="AE1122">_xlfn.IFS(G1122=1,"Before College",G1122=2,"College",G1122=3,"Bachelor",G1122=4,"Master",G1122=5,"Doctor")</f>
        <v>Bachelor</v>
      </c>
      <c r="AF1122" t="str" cm="1">
        <f t="array" ref="AF1122">_xlfn.IFS(J1122=1,"Low",J1122=2,"Medium",J1122=3,"High",J1122=4,"Very High")</f>
        <v>Medium</v>
      </c>
      <c r="AG1122" t="str" cm="1">
        <f t="array" ref="AG1122">_xlfn.IFS(L1122=1,"Low",L1122=2,"Medium",L1122=3,"High",L1122=4,"Very High")</f>
        <v>High</v>
      </c>
      <c r="AH1122" t="str" cm="1">
        <f t="array" ref="AH1122">_xlfn.IFS(M1122=1,"Junior employee",M1122=2,"Mid-level",M1122=3,"Senior",M1122=4,"Manager",M1122=5,"Executive")</f>
        <v>Mid-level</v>
      </c>
      <c r="AI1122" t="str" cm="1">
        <f t="array" ref="AI1122">_xlfn.IFS(O1122=1,"Low",O1122=2,"Medium",O1122=3,"High",O1122=4,"Very High")</f>
        <v>Medium</v>
      </c>
      <c r="AJ1122" t="str" cm="1">
        <f t="array" ref="AJ1122">_xlfn.IFS(U1122=1,"Low",U1122=2,"Good",U1122=3,"Excellent",U1122=4,"Outstanding")</f>
        <v>Excellent</v>
      </c>
      <c r="AK1122" t="str" cm="1">
        <f t="array" ref="AK1122">_xlfn.IFS(V1122=1,"Low",V1122=2,"Medium",V1122=3,"High",V1122=4,"Very High")</f>
        <v>Medium</v>
      </c>
      <c r="AL1122" t="str" cm="1">
        <f t="array" ref="AL1122">_xlfn.IFS(Z1122=1,"Bad",Z1122=2,"Good",Z1122=3,"Better",Z1122=4,"Best")</f>
        <v>Best</v>
      </c>
      <c r="AM1122" t="str" cm="1">
        <f t="array" ref="AM1122">_xlfn.IFS(W1122=0,"No_stock",W1122=1,"Low",W1122=2,"Medium",W1122=3,"High")</f>
        <v>No_stock</v>
      </c>
      <c r="AN1122" t="str">
        <f t="shared" si="17"/>
        <v>Far</v>
      </c>
    </row>
    <row r="1123" spans="1:40" x14ac:dyDescent="0.45">
      <c r="A1123">
        <v>36</v>
      </c>
      <c r="B1123" t="s">
        <v>37</v>
      </c>
      <c r="C1123" t="s">
        <v>31</v>
      </c>
      <c r="D1123">
        <v>884</v>
      </c>
      <c r="E1123" t="s">
        <v>32</v>
      </c>
      <c r="F1123">
        <v>1</v>
      </c>
      <c r="G1123">
        <v>4</v>
      </c>
      <c r="H1123" t="s">
        <v>33</v>
      </c>
      <c r="I1123">
        <v>1585</v>
      </c>
      <c r="J1123">
        <v>2</v>
      </c>
      <c r="K1123" t="s">
        <v>34</v>
      </c>
      <c r="L1123">
        <v>3</v>
      </c>
      <c r="M1123">
        <v>2</v>
      </c>
      <c r="N1123" t="s">
        <v>35</v>
      </c>
      <c r="O1123">
        <v>3</v>
      </c>
      <c r="P1123" t="s">
        <v>36</v>
      </c>
      <c r="Q1123">
        <v>6815</v>
      </c>
      <c r="R1123">
        <v>6</v>
      </c>
      <c r="S1123" t="s">
        <v>37</v>
      </c>
      <c r="T1123">
        <v>13</v>
      </c>
      <c r="U1123">
        <v>3</v>
      </c>
      <c r="V1123">
        <v>1</v>
      </c>
      <c r="W1123">
        <v>0</v>
      </c>
      <c r="X1123">
        <v>15</v>
      </c>
      <c r="Y1123">
        <v>5</v>
      </c>
      <c r="Z1123">
        <v>3</v>
      </c>
      <c r="AA1123">
        <v>1</v>
      </c>
      <c r="AB1123">
        <v>0</v>
      </c>
      <c r="AC1123">
        <v>0</v>
      </c>
      <c r="AD1123">
        <v>0</v>
      </c>
      <c r="AE1123" t="str" cm="1">
        <f t="array" ref="AE1123">_xlfn.IFS(G1123=1,"Before College",G1123=2,"College",G1123=3,"Bachelor",G1123=4,"Master",G1123=5,"Doctor")</f>
        <v>Master</v>
      </c>
      <c r="AF1123" t="str" cm="1">
        <f t="array" ref="AF1123">_xlfn.IFS(J1123=1,"Low",J1123=2,"Medium",J1123=3,"High",J1123=4,"Very High")</f>
        <v>Medium</v>
      </c>
      <c r="AG1123" t="str" cm="1">
        <f t="array" ref="AG1123">_xlfn.IFS(L1123=1,"Low",L1123=2,"Medium",L1123=3,"High",L1123=4,"Very High")</f>
        <v>High</v>
      </c>
      <c r="AH1123" t="str" cm="1">
        <f t="array" ref="AH1123">_xlfn.IFS(M1123=1,"Junior employee",M1123=2,"Mid-level",M1123=3,"Senior",M1123=4,"Manager",M1123=5,"Executive")</f>
        <v>Mid-level</v>
      </c>
      <c r="AI1123" t="str" cm="1">
        <f t="array" ref="AI1123">_xlfn.IFS(O1123=1,"Low",O1123=2,"Medium",O1123=3,"High",O1123=4,"Very High")</f>
        <v>High</v>
      </c>
      <c r="AJ1123" t="str" cm="1">
        <f t="array" ref="AJ1123">_xlfn.IFS(U1123=1,"Low",U1123=2,"Good",U1123=3,"Excellent",U1123=4,"Outstanding")</f>
        <v>Excellent</v>
      </c>
      <c r="AK1123" t="str" cm="1">
        <f t="array" ref="AK1123">_xlfn.IFS(V1123=1,"Low",V1123=2,"Medium",V1123=3,"High",V1123=4,"Very High")</f>
        <v>Low</v>
      </c>
      <c r="AL1123" t="str" cm="1">
        <f t="array" ref="AL1123">_xlfn.IFS(Z1123=1,"Bad",Z1123=2,"Good",Z1123=3,"Better",Z1123=4,"Best")</f>
        <v>Better</v>
      </c>
      <c r="AM1123" t="str" cm="1">
        <f t="array" ref="AM1123">_xlfn.IFS(W1123=0,"No_stock",W1123=1,"Low",W1123=2,"Medium",W1123=3,"High")</f>
        <v>No_stock</v>
      </c>
      <c r="AN1123" t="str">
        <f t="shared" si="17"/>
        <v>Near</v>
      </c>
    </row>
    <row r="1124" spans="1:40" x14ac:dyDescent="0.45">
      <c r="A1124">
        <v>29</v>
      </c>
      <c r="B1124" t="s">
        <v>37</v>
      </c>
      <c r="C1124" t="s">
        <v>31</v>
      </c>
      <c r="D1124">
        <v>1370</v>
      </c>
      <c r="E1124" t="s">
        <v>39</v>
      </c>
      <c r="F1124">
        <v>3</v>
      </c>
      <c r="G1124">
        <v>1</v>
      </c>
      <c r="H1124" t="s">
        <v>45</v>
      </c>
      <c r="I1124">
        <v>1586</v>
      </c>
      <c r="J1124">
        <v>2</v>
      </c>
      <c r="K1124" t="s">
        <v>40</v>
      </c>
      <c r="L1124">
        <v>3</v>
      </c>
      <c r="M1124">
        <v>1</v>
      </c>
      <c r="N1124" t="s">
        <v>44</v>
      </c>
      <c r="O1124">
        <v>1</v>
      </c>
      <c r="P1124" t="s">
        <v>36</v>
      </c>
      <c r="Q1124">
        <v>4723</v>
      </c>
      <c r="R1124">
        <v>1</v>
      </c>
      <c r="S1124" t="s">
        <v>30</v>
      </c>
      <c r="T1124">
        <v>18</v>
      </c>
      <c r="U1124">
        <v>3</v>
      </c>
      <c r="V1124">
        <v>4</v>
      </c>
      <c r="W1124">
        <v>0</v>
      </c>
      <c r="X1124">
        <v>10</v>
      </c>
      <c r="Y1124">
        <v>3</v>
      </c>
      <c r="Z1124">
        <v>3</v>
      </c>
      <c r="AA1124">
        <v>10</v>
      </c>
      <c r="AB1124">
        <v>9</v>
      </c>
      <c r="AC1124">
        <v>1</v>
      </c>
      <c r="AD1124">
        <v>5</v>
      </c>
      <c r="AE1124" t="str" cm="1">
        <f t="array" ref="AE1124">_xlfn.IFS(G1124=1,"Before College",G1124=2,"College",G1124=3,"Bachelor",G1124=4,"Master",G1124=5,"Doctor")</f>
        <v>Before College</v>
      </c>
      <c r="AF1124" t="str" cm="1">
        <f t="array" ref="AF1124">_xlfn.IFS(J1124=1,"Low",J1124=2,"Medium",J1124=3,"High",J1124=4,"Very High")</f>
        <v>Medium</v>
      </c>
      <c r="AG1124" t="str" cm="1">
        <f t="array" ref="AG1124">_xlfn.IFS(L1124=1,"Low",L1124=2,"Medium",L1124=3,"High",L1124=4,"Very High")</f>
        <v>High</v>
      </c>
      <c r="AH1124" t="str" cm="1">
        <f t="array" ref="AH1124">_xlfn.IFS(M1124=1,"Junior employee",M1124=2,"Mid-level",M1124=3,"Senior",M1124=4,"Manager",M1124=5,"Executive")</f>
        <v>Junior employee</v>
      </c>
      <c r="AI1124" t="str" cm="1">
        <f t="array" ref="AI1124">_xlfn.IFS(O1124=1,"Low",O1124=2,"Medium",O1124=3,"High",O1124=4,"Very High")</f>
        <v>Low</v>
      </c>
      <c r="AJ1124" t="str" cm="1">
        <f t="array" ref="AJ1124">_xlfn.IFS(U1124=1,"Low",U1124=2,"Good",U1124=3,"Excellent",U1124=4,"Outstanding")</f>
        <v>Excellent</v>
      </c>
      <c r="AK1124" t="str" cm="1">
        <f t="array" ref="AK1124">_xlfn.IFS(V1124=1,"Low",V1124=2,"Medium",V1124=3,"High",V1124=4,"Very High")</f>
        <v>Very High</v>
      </c>
      <c r="AL1124" t="str" cm="1">
        <f t="array" ref="AL1124">_xlfn.IFS(Z1124=1,"Bad",Z1124=2,"Good",Z1124=3,"Better",Z1124=4,"Best")</f>
        <v>Better</v>
      </c>
      <c r="AM1124" t="str" cm="1">
        <f t="array" ref="AM1124">_xlfn.IFS(W1124=0,"No_stock",W1124=1,"Low",W1124=2,"Medium",W1124=3,"High")</f>
        <v>No_stock</v>
      </c>
      <c r="AN1124" t="str">
        <f t="shared" si="17"/>
        <v>Near</v>
      </c>
    </row>
    <row r="1125" spans="1:40" x14ac:dyDescent="0.45">
      <c r="A1125">
        <v>35</v>
      </c>
      <c r="B1125" t="s">
        <v>37</v>
      </c>
      <c r="C1125" t="s">
        <v>31</v>
      </c>
      <c r="D1125">
        <v>670</v>
      </c>
      <c r="E1125" t="s">
        <v>39</v>
      </c>
      <c r="F1125">
        <v>10</v>
      </c>
      <c r="G1125">
        <v>4</v>
      </c>
      <c r="H1125" t="s">
        <v>45</v>
      </c>
      <c r="I1125">
        <v>1587</v>
      </c>
      <c r="J1125">
        <v>1</v>
      </c>
      <c r="K1125" t="s">
        <v>34</v>
      </c>
      <c r="L1125">
        <v>3</v>
      </c>
      <c r="M1125">
        <v>2</v>
      </c>
      <c r="N1125" t="s">
        <v>48</v>
      </c>
      <c r="O1125">
        <v>3</v>
      </c>
      <c r="P1125" t="s">
        <v>36</v>
      </c>
      <c r="Q1125">
        <v>6142</v>
      </c>
      <c r="R1125">
        <v>3</v>
      </c>
      <c r="S1125" t="s">
        <v>30</v>
      </c>
      <c r="T1125">
        <v>16</v>
      </c>
      <c r="U1125">
        <v>3</v>
      </c>
      <c r="V1125">
        <v>3</v>
      </c>
      <c r="W1125">
        <v>0</v>
      </c>
      <c r="X1125">
        <v>10</v>
      </c>
      <c r="Y1125">
        <v>4</v>
      </c>
      <c r="Z1125">
        <v>3</v>
      </c>
      <c r="AA1125">
        <v>5</v>
      </c>
      <c r="AB1125">
        <v>2</v>
      </c>
      <c r="AC1125">
        <v>0</v>
      </c>
      <c r="AD1125">
        <v>4</v>
      </c>
      <c r="AE1125" t="str" cm="1">
        <f t="array" ref="AE1125">_xlfn.IFS(G1125=1,"Before College",G1125=2,"College",G1125=3,"Bachelor",G1125=4,"Master",G1125=5,"Doctor")</f>
        <v>Master</v>
      </c>
      <c r="AF1125" t="str" cm="1">
        <f t="array" ref="AF1125">_xlfn.IFS(J1125=1,"Low",J1125=2,"Medium",J1125=3,"High",J1125=4,"Very High")</f>
        <v>Low</v>
      </c>
      <c r="AG1125" t="str" cm="1">
        <f t="array" ref="AG1125">_xlfn.IFS(L1125=1,"Low",L1125=2,"Medium",L1125=3,"High",L1125=4,"Very High")</f>
        <v>High</v>
      </c>
      <c r="AH1125" t="str" cm="1">
        <f t="array" ref="AH1125">_xlfn.IFS(M1125=1,"Junior employee",M1125=2,"Mid-level",M1125=3,"Senior",M1125=4,"Manager",M1125=5,"Executive")</f>
        <v>Mid-level</v>
      </c>
      <c r="AI1125" t="str" cm="1">
        <f t="array" ref="AI1125">_xlfn.IFS(O1125=1,"Low",O1125=2,"Medium",O1125=3,"High",O1125=4,"Very High")</f>
        <v>High</v>
      </c>
      <c r="AJ1125" t="str" cm="1">
        <f t="array" ref="AJ1125">_xlfn.IFS(U1125=1,"Low",U1125=2,"Good",U1125=3,"Excellent",U1125=4,"Outstanding")</f>
        <v>Excellent</v>
      </c>
      <c r="AK1125" t="str" cm="1">
        <f t="array" ref="AK1125">_xlfn.IFS(V1125=1,"Low",V1125=2,"Medium",V1125=3,"High",V1125=4,"Very High")</f>
        <v>High</v>
      </c>
      <c r="AL1125" t="str" cm="1">
        <f t="array" ref="AL1125">_xlfn.IFS(Z1125=1,"Bad",Z1125=2,"Good",Z1125=3,"Better",Z1125=4,"Best")</f>
        <v>Better</v>
      </c>
      <c r="AM1125" t="str" cm="1">
        <f t="array" ref="AM1125">_xlfn.IFS(W1125=0,"No_stock",W1125=1,"Low",W1125=2,"Medium",W1125=3,"High")</f>
        <v>No_stock</v>
      </c>
      <c r="AN1125" t="str">
        <f t="shared" si="17"/>
        <v>Medium</v>
      </c>
    </row>
    <row r="1126" spans="1:40" x14ac:dyDescent="0.45">
      <c r="A1126">
        <v>39</v>
      </c>
      <c r="B1126" t="s">
        <v>37</v>
      </c>
      <c r="C1126" t="s">
        <v>31</v>
      </c>
      <c r="D1126">
        <v>1462</v>
      </c>
      <c r="E1126" t="s">
        <v>32</v>
      </c>
      <c r="F1126">
        <v>6</v>
      </c>
      <c r="G1126">
        <v>3</v>
      </c>
      <c r="H1126" t="s">
        <v>45</v>
      </c>
      <c r="I1126">
        <v>1588</v>
      </c>
      <c r="J1126">
        <v>4</v>
      </c>
      <c r="K1126" t="s">
        <v>40</v>
      </c>
      <c r="L1126">
        <v>4</v>
      </c>
      <c r="M1126">
        <v>3</v>
      </c>
      <c r="N1126" t="s">
        <v>35</v>
      </c>
      <c r="O1126">
        <v>3</v>
      </c>
      <c r="P1126" t="s">
        <v>42</v>
      </c>
      <c r="Q1126">
        <v>8237</v>
      </c>
      <c r="R1126">
        <v>2</v>
      </c>
      <c r="S1126" t="s">
        <v>37</v>
      </c>
      <c r="T1126">
        <v>11</v>
      </c>
      <c r="U1126">
        <v>3</v>
      </c>
      <c r="V1126">
        <v>1</v>
      </c>
      <c r="W1126">
        <v>1</v>
      </c>
      <c r="X1126">
        <v>11</v>
      </c>
      <c r="Y1126">
        <v>3</v>
      </c>
      <c r="Z1126">
        <v>3</v>
      </c>
      <c r="AA1126">
        <v>7</v>
      </c>
      <c r="AB1126">
        <v>6</v>
      </c>
      <c r="AC1126">
        <v>7</v>
      </c>
      <c r="AD1126">
        <v>6</v>
      </c>
      <c r="AE1126" t="str" cm="1">
        <f t="array" ref="AE1126">_xlfn.IFS(G1126=1,"Before College",G1126=2,"College",G1126=3,"Bachelor",G1126=4,"Master",G1126=5,"Doctor")</f>
        <v>Bachelor</v>
      </c>
      <c r="AF1126" t="str" cm="1">
        <f t="array" ref="AF1126">_xlfn.IFS(J1126=1,"Low",J1126=2,"Medium",J1126=3,"High",J1126=4,"Very High")</f>
        <v>Very High</v>
      </c>
      <c r="AG1126" t="str" cm="1">
        <f t="array" ref="AG1126">_xlfn.IFS(L1126=1,"Low",L1126=2,"Medium",L1126=3,"High",L1126=4,"Very High")</f>
        <v>Very High</v>
      </c>
      <c r="AH1126" t="str" cm="1">
        <f t="array" ref="AH1126">_xlfn.IFS(M1126=1,"Junior employee",M1126=2,"Mid-level",M1126=3,"Senior",M1126=4,"Manager",M1126=5,"Executive")</f>
        <v>Senior</v>
      </c>
      <c r="AI1126" t="str" cm="1">
        <f t="array" ref="AI1126">_xlfn.IFS(O1126=1,"Low",O1126=2,"Medium",O1126=3,"High",O1126=4,"Very High")</f>
        <v>High</v>
      </c>
      <c r="AJ1126" t="str" cm="1">
        <f t="array" ref="AJ1126">_xlfn.IFS(U1126=1,"Low",U1126=2,"Good",U1126=3,"Excellent",U1126=4,"Outstanding")</f>
        <v>Excellent</v>
      </c>
      <c r="AK1126" t="str" cm="1">
        <f t="array" ref="AK1126">_xlfn.IFS(V1126=1,"Low",V1126=2,"Medium",V1126=3,"High",V1126=4,"Very High")</f>
        <v>Low</v>
      </c>
      <c r="AL1126" t="str" cm="1">
        <f t="array" ref="AL1126">_xlfn.IFS(Z1126=1,"Bad",Z1126=2,"Good",Z1126=3,"Better",Z1126=4,"Best")</f>
        <v>Better</v>
      </c>
      <c r="AM1126" t="str" cm="1">
        <f t="array" ref="AM1126">_xlfn.IFS(W1126=0,"No_stock",W1126=1,"Low",W1126=2,"Medium",W1126=3,"High")</f>
        <v>Low</v>
      </c>
      <c r="AN1126" t="str">
        <f t="shared" si="17"/>
        <v>Medium</v>
      </c>
    </row>
    <row r="1127" spans="1:40" x14ac:dyDescent="0.45">
      <c r="A1127">
        <v>29</v>
      </c>
      <c r="B1127" t="s">
        <v>37</v>
      </c>
      <c r="C1127" t="s">
        <v>38</v>
      </c>
      <c r="D1127">
        <v>995</v>
      </c>
      <c r="E1127" t="s">
        <v>39</v>
      </c>
      <c r="F1127">
        <v>2</v>
      </c>
      <c r="G1127">
        <v>1</v>
      </c>
      <c r="H1127" t="s">
        <v>33</v>
      </c>
      <c r="I1127">
        <v>1590</v>
      </c>
      <c r="J1127">
        <v>1</v>
      </c>
      <c r="K1127" t="s">
        <v>40</v>
      </c>
      <c r="L1127">
        <v>3</v>
      </c>
      <c r="M1127">
        <v>2</v>
      </c>
      <c r="N1127" t="s">
        <v>48</v>
      </c>
      <c r="O1127">
        <v>4</v>
      </c>
      <c r="P1127" t="s">
        <v>46</v>
      </c>
      <c r="Q1127">
        <v>8853</v>
      </c>
      <c r="R1127">
        <v>1</v>
      </c>
      <c r="S1127" t="s">
        <v>37</v>
      </c>
      <c r="T1127">
        <v>19</v>
      </c>
      <c r="U1127">
        <v>3</v>
      </c>
      <c r="V1127">
        <v>4</v>
      </c>
      <c r="W1127">
        <v>1</v>
      </c>
      <c r="X1127">
        <v>6</v>
      </c>
      <c r="Y1127">
        <v>0</v>
      </c>
      <c r="Z1127">
        <v>4</v>
      </c>
      <c r="AA1127">
        <v>6</v>
      </c>
      <c r="AB1127">
        <v>4</v>
      </c>
      <c r="AC1127">
        <v>1</v>
      </c>
      <c r="AD1127">
        <v>3</v>
      </c>
      <c r="AE1127" t="str" cm="1">
        <f t="array" ref="AE1127">_xlfn.IFS(G1127=1,"Before College",G1127=2,"College",G1127=3,"Bachelor",G1127=4,"Master",G1127=5,"Doctor")</f>
        <v>Before College</v>
      </c>
      <c r="AF1127" t="str" cm="1">
        <f t="array" ref="AF1127">_xlfn.IFS(J1127=1,"Low",J1127=2,"Medium",J1127=3,"High",J1127=4,"Very High")</f>
        <v>Low</v>
      </c>
      <c r="AG1127" t="str" cm="1">
        <f t="array" ref="AG1127">_xlfn.IFS(L1127=1,"Low",L1127=2,"Medium",L1127=3,"High",L1127=4,"Very High")</f>
        <v>High</v>
      </c>
      <c r="AH1127" t="str" cm="1">
        <f t="array" ref="AH1127">_xlfn.IFS(M1127=1,"Junior employee",M1127=2,"Mid-level",M1127=3,"Senior",M1127=4,"Manager",M1127=5,"Executive")</f>
        <v>Mid-level</v>
      </c>
      <c r="AI1127" t="str" cm="1">
        <f t="array" ref="AI1127">_xlfn.IFS(O1127=1,"Low",O1127=2,"Medium",O1127=3,"High",O1127=4,"Very High")</f>
        <v>Very High</v>
      </c>
      <c r="AJ1127" t="str" cm="1">
        <f t="array" ref="AJ1127">_xlfn.IFS(U1127=1,"Low",U1127=2,"Good",U1127=3,"Excellent",U1127=4,"Outstanding")</f>
        <v>Excellent</v>
      </c>
      <c r="AK1127" t="str" cm="1">
        <f t="array" ref="AK1127">_xlfn.IFS(V1127=1,"Low",V1127=2,"Medium",V1127=3,"High",V1127=4,"Very High")</f>
        <v>Very High</v>
      </c>
      <c r="AL1127" t="str" cm="1">
        <f t="array" ref="AL1127">_xlfn.IFS(Z1127=1,"Bad",Z1127=2,"Good",Z1127=3,"Better",Z1127=4,"Best")</f>
        <v>Best</v>
      </c>
      <c r="AM1127" t="str" cm="1">
        <f t="array" ref="AM1127">_xlfn.IFS(W1127=0,"No_stock",W1127=1,"Low",W1127=2,"Medium",W1127=3,"High")</f>
        <v>Low</v>
      </c>
      <c r="AN1127" t="str">
        <f t="shared" si="17"/>
        <v>Near</v>
      </c>
    </row>
    <row r="1128" spans="1:40" x14ac:dyDescent="0.45">
      <c r="A1128">
        <v>50</v>
      </c>
      <c r="B1128" t="s">
        <v>37</v>
      </c>
      <c r="C1128" t="s">
        <v>31</v>
      </c>
      <c r="D1128">
        <v>264</v>
      </c>
      <c r="E1128" t="s">
        <v>32</v>
      </c>
      <c r="F1128">
        <v>9</v>
      </c>
      <c r="G1128">
        <v>3</v>
      </c>
      <c r="H1128" t="s">
        <v>53</v>
      </c>
      <c r="I1128">
        <v>1591</v>
      </c>
      <c r="J1128">
        <v>3</v>
      </c>
      <c r="K1128" t="s">
        <v>40</v>
      </c>
      <c r="L1128">
        <v>3</v>
      </c>
      <c r="M1128">
        <v>5</v>
      </c>
      <c r="N1128" t="s">
        <v>50</v>
      </c>
      <c r="O1128">
        <v>3</v>
      </c>
      <c r="P1128" t="s">
        <v>42</v>
      </c>
      <c r="Q1128">
        <v>19331</v>
      </c>
      <c r="R1128">
        <v>4</v>
      </c>
      <c r="S1128" t="s">
        <v>30</v>
      </c>
      <c r="T1128">
        <v>16</v>
      </c>
      <c r="U1128">
        <v>3</v>
      </c>
      <c r="V1128">
        <v>3</v>
      </c>
      <c r="W1128">
        <v>1</v>
      </c>
      <c r="X1128">
        <v>27</v>
      </c>
      <c r="Y1128">
        <v>2</v>
      </c>
      <c r="Z1128">
        <v>3</v>
      </c>
      <c r="AA1128">
        <v>1</v>
      </c>
      <c r="AB1128">
        <v>0</v>
      </c>
      <c r="AC1128">
        <v>0</v>
      </c>
      <c r="AD1128">
        <v>0</v>
      </c>
      <c r="AE1128" t="str" cm="1">
        <f t="array" ref="AE1128">_xlfn.IFS(G1128=1,"Before College",G1128=2,"College",G1128=3,"Bachelor",G1128=4,"Master",G1128=5,"Doctor")</f>
        <v>Bachelor</v>
      </c>
      <c r="AF1128" t="str" cm="1">
        <f t="array" ref="AF1128">_xlfn.IFS(J1128=1,"Low",J1128=2,"Medium",J1128=3,"High",J1128=4,"Very High")</f>
        <v>High</v>
      </c>
      <c r="AG1128" t="str" cm="1">
        <f t="array" ref="AG1128">_xlfn.IFS(L1128=1,"Low",L1128=2,"Medium",L1128=3,"High",L1128=4,"Very High")</f>
        <v>High</v>
      </c>
      <c r="AH1128" t="str" cm="1">
        <f t="array" ref="AH1128">_xlfn.IFS(M1128=1,"Junior employee",M1128=2,"Mid-level",M1128=3,"Senior",M1128=4,"Manager",M1128=5,"Executive")</f>
        <v>Executive</v>
      </c>
      <c r="AI1128" t="str" cm="1">
        <f t="array" ref="AI1128">_xlfn.IFS(O1128=1,"Low",O1128=2,"Medium",O1128=3,"High",O1128=4,"Very High")</f>
        <v>High</v>
      </c>
      <c r="AJ1128" t="str" cm="1">
        <f t="array" ref="AJ1128">_xlfn.IFS(U1128=1,"Low",U1128=2,"Good",U1128=3,"Excellent",U1128=4,"Outstanding")</f>
        <v>Excellent</v>
      </c>
      <c r="AK1128" t="str" cm="1">
        <f t="array" ref="AK1128">_xlfn.IFS(V1128=1,"Low",V1128=2,"Medium",V1128=3,"High",V1128=4,"Very High")</f>
        <v>High</v>
      </c>
      <c r="AL1128" t="str" cm="1">
        <f t="array" ref="AL1128">_xlfn.IFS(Z1128=1,"Bad",Z1128=2,"Good",Z1128=3,"Better",Z1128=4,"Best")</f>
        <v>Better</v>
      </c>
      <c r="AM1128" t="str" cm="1">
        <f t="array" ref="AM1128">_xlfn.IFS(W1128=0,"No_stock",W1128=1,"Low",W1128=2,"Medium",W1128=3,"High")</f>
        <v>Low</v>
      </c>
      <c r="AN1128" t="str">
        <f t="shared" si="17"/>
        <v>Medium</v>
      </c>
    </row>
    <row r="1129" spans="1:40" x14ac:dyDescent="0.45">
      <c r="A1129">
        <v>23</v>
      </c>
      <c r="B1129" t="s">
        <v>37</v>
      </c>
      <c r="C1129" t="s">
        <v>31</v>
      </c>
      <c r="D1129">
        <v>977</v>
      </c>
      <c r="E1129" t="s">
        <v>39</v>
      </c>
      <c r="F1129">
        <v>10</v>
      </c>
      <c r="G1129">
        <v>3</v>
      </c>
      <c r="H1129" t="s">
        <v>54</v>
      </c>
      <c r="I1129">
        <v>1592</v>
      </c>
      <c r="J1129">
        <v>4</v>
      </c>
      <c r="K1129" t="s">
        <v>40</v>
      </c>
      <c r="L1129">
        <v>4</v>
      </c>
      <c r="M1129">
        <v>1</v>
      </c>
      <c r="N1129" t="s">
        <v>41</v>
      </c>
      <c r="O1129">
        <v>3</v>
      </c>
      <c r="P1129" t="s">
        <v>42</v>
      </c>
      <c r="Q1129">
        <v>2073</v>
      </c>
      <c r="R1129">
        <v>2</v>
      </c>
      <c r="S1129" t="s">
        <v>37</v>
      </c>
      <c r="T1129">
        <v>16</v>
      </c>
      <c r="U1129">
        <v>3</v>
      </c>
      <c r="V1129">
        <v>4</v>
      </c>
      <c r="W1129">
        <v>1</v>
      </c>
      <c r="X1129">
        <v>4</v>
      </c>
      <c r="Y1129">
        <v>2</v>
      </c>
      <c r="Z1129">
        <v>3</v>
      </c>
      <c r="AA1129">
        <v>2</v>
      </c>
      <c r="AB1129">
        <v>2</v>
      </c>
      <c r="AC1129">
        <v>2</v>
      </c>
      <c r="AD1129">
        <v>2</v>
      </c>
      <c r="AE1129" t="str" cm="1">
        <f t="array" ref="AE1129">_xlfn.IFS(G1129=1,"Before College",G1129=2,"College",G1129=3,"Bachelor",G1129=4,"Master",G1129=5,"Doctor")</f>
        <v>Bachelor</v>
      </c>
      <c r="AF1129" t="str" cm="1">
        <f t="array" ref="AF1129">_xlfn.IFS(J1129=1,"Low",J1129=2,"Medium",J1129=3,"High",J1129=4,"Very High")</f>
        <v>Very High</v>
      </c>
      <c r="AG1129" t="str" cm="1">
        <f t="array" ref="AG1129">_xlfn.IFS(L1129=1,"Low",L1129=2,"Medium",L1129=3,"High",L1129=4,"Very High")</f>
        <v>Very High</v>
      </c>
      <c r="AH1129" t="str" cm="1">
        <f t="array" ref="AH1129">_xlfn.IFS(M1129=1,"Junior employee",M1129=2,"Mid-level",M1129=3,"Senior",M1129=4,"Manager",M1129=5,"Executive")</f>
        <v>Junior employee</v>
      </c>
      <c r="AI1129" t="str" cm="1">
        <f t="array" ref="AI1129">_xlfn.IFS(O1129=1,"Low",O1129=2,"Medium",O1129=3,"High",O1129=4,"Very High")</f>
        <v>High</v>
      </c>
      <c r="AJ1129" t="str" cm="1">
        <f t="array" ref="AJ1129">_xlfn.IFS(U1129=1,"Low",U1129=2,"Good",U1129=3,"Excellent",U1129=4,"Outstanding")</f>
        <v>Excellent</v>
      </c>
      <c r="AK1129" t="str" cm="1">
        <f t="array" ref="AK1129">_xlfn.IFS(V1129=1,"Low",V1129=2,"Medium",V1129=3,"High",V1129=4,"Very High")</f>
        <v>Very High</v>
      </c>
      <c r="AL1129" t="str" cm="1">
        <f t="array" ref="AL1129">_xlfn.IFS(Z1129=1,"Bad",Z1129=2,"Good",Z1129=3,"Better",Z1129=4,"Best")</f>
        <v>Better</v>
      </c>
      <c r="AM1129" t="str" cm="1">
        <f t="array" ref="AM1129">_xlfn.IFS(W1129=0,"No_stock",W1129=1,"Low",W1129=2,"Medium",W1129=3,"High")</f>
        <v>Low</v>
      </c>
      <c r="AN1129" t="str">
        <f t="shared" si="17"/>
        <v>Medium</v>
      </c>
    </row>
    <row r="1130" spans="1:40" x14ac:dyDescent="0.45">
      <c r="A1130">
        <v>36</v>
      </c>
      <c r="B1130" t="s">
        <v>37</v>
      </c>
      <c r="C1130" t="s">
        <v>38</v>
      </c>
      <c r="D1130">
        <v>1302</v>
      </c>
      <c r="E1130" t="s">
        <v>39</v>
      </c>
      <c r="F1130">
        <v>6</v>
      </c>
      <c r="G1130">
        <v>4</v>
      </c>
      <c r="H1130" t="s">
        <v>33</v>
      </c>
      <c r="I1130">
        <v>1594</v>
      </c>
      <c r="J1130">
        <v>1</v>
      </c>
      <c r="K1130" t="s">
        <v>40</v>
      </c>
      <c r="L1130">
        <v>4</v>
      </c>
      <c r="M1130">
        <v>2</v>
      </c>
      <c r="N1130" t="s">
        <v>44</v>
      </c>
      <c r="O1130">
        <v>1</v>
      </c>
      <c r="P1130" t="s">
        <v>42</v>
      </c>
      <c r="Q1130">
        <v>5562</v>
      </c>
      <c r="R1130">
        <v>3</v>
      </c>
      <c r="S1130" t="s">
        <v>30</v>
      </c>
      <c r="T1130">
        <v>13</v>
      </c>
      <c r="U1130">
        <v>3</v>
      </c>
      <c r="V1130">
        <v>4</v>
      </c>
      <c r="W1130">
        <v>1</v>
      </c>
      <c r="X1130">
        <v>9</v>
      </c>
      <c r="Y1130">
        <v>3</v>
      </c>
      <c r="Z1130">
        <v>3</v>
      </c>
      <c r="AA1130">
        <v>3</v>
      </c>
      <c r="AB1130">
        <v>2</v>
      </c>
      <c r="AC1130">
        <v>0</v>
      </c>
      <c r="AD1130">
        <v>2</v>
      </c>
      <c r="AE1130" t="str" cm="1">
        <f t="array" ref="AE1130">_xlfn.IFS(G1130=1,"Before College",G1130=2,"College",G1130=3,"Bachelor",G1130=4,"Master",G1130=5,"Doctor")</f>
        <v>Master</v>
      </c>
      <c r="AF1130" t="str" cm="1">
        <f t="array" ref="AF1130">_xlfn.IFS(J1130=1,"Low",J1130=2,"Medium",J1130=3,"High",J1130=4,"Very High")</f>
        <v>Low</v>
      </c>
      <c r="AG1130" t="str" cm="1">
        <f t="array" ref="AG1130">_xlfn.IFS(L1130=1,"Low",L1130=2,"Medium",L1130=3,"High",L1130=4,"Very High")</f>
        <v>Very High</v>
      </c>
      <c r="AH1130" t="str" cm="1">
        <f t="array" ref="AH1130">_xlfn.IFS(M1130=1,"Junior employee",M1130=2,"Mid-level",M1130=3,"Senior",M1130=4,"Manager",M1130=5,"Executive")</f>
        <v>Mid-level</v>
      </c>
      <c r="AI1130" t="str" cm="1">
        <f t="array" ref="AI1130">_xlfn.IFS(O1130=1,"Low",O1130=2,"Medium",O1130=3,"High",O1130=4,"Very High")</f>
        <v>Low</v>
      </c>
      <c r="AJ1130" t="str" cm="1">
        <f t="array" ref="AJ1130">_xlfn.IFS(U1130=1,"Low",U1130=2,"Good",U1130=3,"Excellent",U1130=4,"Outstanding")</f>
        <v>Excellent</v>
      </c>
      <c r="AK1130" t="str" cm="1">
        <f t="array" ref="AK1130">_xlfn.IFS(V1130=1,"Low",V1130=2,"Medium",V1130=3,"High",V1130=4,"Very High")</f>
        <v>Very High</v>
      </c>
      <c r="AL1130" t="str" cm="1">
        <f t="array" ref="AL1130">_xlfn.IFS(Z1130=1,"Bad",Z1130=2,"Good",Z1130=3,"Better",Z1130=4,"Best")</f>
        <v>Better</v>
      </c>
      <c r="AM1130" t="str" cm="1">
        <f t="array" ref="AM1130">_xlfn.IFS(W1130=0,"No_stock",W1130=1,"Low",W1130=2,"Medium",W1130=3,"High")</f>
        <v>Low</v>
      </c>
      <c r="AN1130" t="str">
        <f t="shared" si="17"/>
        <v>Medium</v>
      </c>
    </row>
    <row r="1131" spans="1:40" x14ac:dyDescent="0.45">
      <c r="A1131">
        <v>42</v>
      </c>
      <c r="B1131" t="s">
        <v>37</v>
      </c>
      <c r="C1131" t="s">
        <v>31</v>
      </c>
      <c r="D1131">
        <v>1059</v>
      </c>
      <c r="E1131" t="s">
        <v>39</v>
      </c>
      <c r="F1131">
        <v>9</v>
      </c>
      <c r="G1131">
        <v>2</v>
      </c>
      <c r="H1131" t="s">
        <v>43</v>
      </c>
      <c r="I1131">
        <v>1595</v>
      </c>
      <c r="J1131">
        <v>4</v>
      </c>
      <c r="K1131" t="s">
        <v>40</v>
      </c>
      <c r="L1131">
        <v>2</v>
      </c>
      <c r="M1131">
        <v>5</v>
      </c>
      <c r="N1131" t="s">
        <v>50</v>
      </c>
      <c r="O1131">
        <v>4</v>
      </c>
      <c r="P1131" t="s">
        <v>36</v>
      </c>
      <c r="Q1131">
        <v>19613</v>
      </c>
      <c r="R1131">
        <v>8</v>
      </c>
      <c r="S1131" t="s">
        <v>37</v>
      </c>
      <c r="T1131">
        <v>22</v>
      </c>
      <c r="U1131">
        <v>4</v>
      </c>
      <c r="V1131">
        <v>4</v>
      </c>
      <c r="W1131">
        <v>0</v>
      </c>
      <c r="X1131">
        <v>24</v>
      </c>
      <c r="Y1131">
        <v>2</v>
      </c>
      <c r="Z1131">
        <v>3</v>
      </c>
      <c r="AA1131">
        <v>1</v>
      </c>
      <c r="AB1131">
        <v>0</v>
      </c>
      <c r="AC1131">
        <v>0</v>
      </c>
      <c r="AD1131">
        <v>1</v>
      </c>
      <c r="AE1131" t="str" cm="1">
        <f t="array" ref="AE1131">_xlfn.IFS(G1131=1,"Before College",G1131=2,"College",G1131=3,"Bachelor",G1131=4,"Master",G1131=5,"Doctor")</f>
        <v>College</v>
      </c>
      <c r="AF1131" t="str" cm="1">
        <f t="array" ref="AF1131">_xlfn.IFS(J1131=1,"Low",J1131=2,"Medium",J1131=3,"High",J1131=4,"Very High")</f>
        <v>Very High</v>
      </c>
      <c r="AG1131" t="str" cm="1">
        <f t="array" ref="AG1131">_xlfn.IFS(L1131=1,"Low",L1131=2,"Medium",L1131=3,"High",L1131=4,"Very High")</f>
        <v>Medium</v>
      </c>
      <c r="AH1131" t="str" cm="1">
        <f t="array" ref="AH1131">_xlfn.IFS(M1131=1,"Junior employee",M1131=2,"Mid-level",M1131=3,"Senior",M1131=4,"Manager",M1131=5,"Executive")</f>
        <v>Executive</v>
      </c>
      <c r="AI1131" t="str" cm="1">
        <f t="array" ref="AI1131">_xlfn.IFS(O1131=1,"Low",O1131=2,"Medium",O1131=3,"High",O1131=4,"Very High")</f>
        <v>Very High</v>
      </c>
      <c r="AJ1131" t="str" cm="1">
        <f t="array" ref="AJ1131">_xlfn.IFS(U1131=1,"Low",U1131=2,"Good",U1131=3,"Excellent",U1131=4,"Outstanding")</f>
        <v>Outstanding</v>
      </c>
      <c r="AK1131" t="str" cm="1">
        <f t="array" ref="AK1131">_xlfn.IFS(V1131=1,"Low",V1131=2,"Medium",V1131=3,"High",V1131=4,"Very High")</f>
        <v>Very High</v>
      </c>
      <c r="AL1131" t="str" cm="1">
        <f t="array" ref="AL1131">_xlfn.IFS(Z1131=1,"Bad",Z1131=2,"Good",Z1131=3,"Better",Z1131=4,"Best")</f>
        <v>Better</v>
      </c>
      <c r="AM1131" t="str" cm="1">
        <f t="array" ref="AM1131">_xlfn.IFS(W1131=0,"No_stock",W1131=1,"Low",W1131=2,"Medium",W1131=3,"High")</f>
        <v>No_stock</v>
      </c>
      <c r="AN1131" t="str">
        <f t="shared" si="17"/>
        <v>Medium</v>
      </c>
    </row>
    <row r="1132" spans="1:40" x14ac:dyDescent="0.45">
      <c r="A1132">
        <v>35</v>
      </c>
      <c r="B1132" t="s">
        <v>37</v>
      </c>
      <c r="C1132" t="s">
        <v>31</v>
      </c>
      <c r="D1132">
        <v>750</v>
      </c>
      <c r="E1132" t="s">
        <v>39</v>
      </c>
      <c r="F1132">
        <v>28</v>
      </c>
      <c r="G1132">
        <v>3</v>
      </c>
      <c r="H1132" t="s">
        <v>33</v>
      </c>
      <c r="I1132">
        <v>1596</v>
      </c>
      <c r="J1132">
        <v>2</v>
      </c>
      <c r="K1132" t="s">
        <v>40</v>
      </c>
      <c r="L1132">
        <v>4</v>
      </c>
      <c r="M1132">
        <v>2</v>
      </c>
      <c r="N1132" t="s">
        <v>44</v>
      </c>
      <c r="O1132">
        <v>3</v>
      </c>
      <c r="P1132" t="s">
        <v>42</v>
      </c>
      <c r="Q1132">
        <v>3407</v>
      </c>
      <c r="R1132">
        <v>1</v>
      </c>
      <c r="S1132" t="s">
        <v>37</v>
      </c>
      <c r="T1132">
        <v>17</v>
      </c>
      <c r="U1132">
        <v>3</v>
      </c>
      <c r="V1132">
        <v>4</v>
      </c>
      <c r="W1132">
        <v>2</v>
      </c>
      <c r="X1132">
        <v>10</v>
      </c>
      <c r="Y1132">
        <v>3</v>
      </c>
      <c r="Z1132">
        <v>2</v>
      </c>
      <c r="AA1132">
        <v>10</v>
      </c>
      <c r="AB1132">
        <v>9</v>
      </c>
      <c r="AC1132">
        <v>6</v>
      </c>
      <c r="AD1132">
        <v>8</v>
      </c>
      <c r="AE1132" t="str" cm="1">
        <f t="array" ref="AE1132">_xlfn.IFS(G1132=1,"Before College",G1132=2,"College",G1132=3,"Bachelor",G1132=4,"Master",G1132=5,"Doctor")</f>
        <v>Bachelor</v>
      </c>
      <c r="AF1132" t="str" cm="1">
        <f t="array" ref="AF1132">_xlfn.IFS(J1132=1,"Low",J1132=2,"Medium",J1132=3,"High",J1132=4,"Very High")</f>
        <v>Medium</v>
      </c>
      <c r="AG1132" t="str" cm="1">
        <f t="array" ref="AG1132">_xlfn.IFS(L1132=1,"Low",L1132=2,"Medium",L1132=3,"High",L1132=4,"Very High")</f>
        <v>Very High</v>
      </c>
      <c r="AH1132" t="str" cm="1">
        <f t="array" ref="AH1132">_xlfn.IFS(M1132=1,"Junior employee",M1132=2,"Mid-level",M1132=3,"Senior",M1132=4,"Manager",M1132=5,"Executive")</f>
        <v>Mid-level</v>
      </c>
      <c r="AI1132" t="str" cm="1">
        <f t="array" ref="AI1132">_xlfn.IFS(O1132=1,"Low",O1132=2,"Medium",O1132=3,"High",O1132=4,"Very High")</f>
        <v>High</v>
      </c>
      <c r="AJ1132" t="str" cm="1">
        <f t="array" ref="AJ1132">_xlfn.IFS(U1132=1,"Low",U1132=2,"Good",U1132=3,"Excellent",U1132=4,"Outstanding")</f>
        <v>Excellent</v>
      </c>
      <c r="AK1132" t="str" cm="1">
        <f t="array" ref="AK1132">_xlfn.IFS(V1132=1,"Low",V1132=2,"Medium",V1132=3,"High",V1132=4,"Very High")</f>
        <v>Very High</v>
      </c>
      <c r="AL1132" t="str" cm="1">
        <f t="array" ref="AL1132">_xlfn.IFS(Z1132=1,"Bad",Z1132=2,"Good",Z1132=3,"Better",Z1132=4,"Best")</f>
        <v>Good</v>
      </c>
      <c r="AM1132" t="str" cm="1">
        <f t="array" ref="AM1132">_xlfn.IFS(W1132=0,"No_stock",W1132=1,"Low",W1132=2,"Medium",W1132=3,"High")</f>
        <v>Medium</v>
      </c>
      <c r="AN1132" t="str">
        <f t="shared" si="17"/>
        <v>Far</v>
      </c>
    </row>
    <row r="1133" spans="1:40" x14ac:dyDescent="0.45">
      <c r="A1133">
        <v>34</v>
      </c>
      <c r="B1133" t="s">
        <v>37</v>
      </c>
      <c r="C1133" t="s">
        <v>38</v>
      </c>
      <c r="D1133">
        <v>653</v>
      </c>
      <c r="E1133" t="s">
        <v>39</v>
      </c>
      <c r="F1133">
        <v>10</v>
      </c>
      <c r="G1133">
        <v>4</v>
      </c>
      <c r="H1133" t="s">
        <v>54</v>
      </c>
      <c r="I1133">
        <v>1597</v>
      </c>
      <c r="J1133">
        <v>4</v>
      </c>
      <c r="K1133" t="s">
        <v>40</v>
      </c>
      <c r="L1133">
        <v>2</v>
      </c>
      <c r="M1133">
        <v>2</v>
      </c>
      <c r="N1133" t="s">
        <v>48</v>
      </c>
      <c r="O1133">
        <v>3</v>
      </c>
      <c r="P1133" t="s">
        <v>42</v>
      </c>
      <c r="Q1133">
        <v>5063</v>
      </c>
      <c r="R1133">
        <v>1</v>
      </c>
      <c r="S1133" t="s">
        <v>37</v>
      </c>
      <c r="T1133">
        <v>14</v>
      </c>
      <c r="U1133">
        <v>3</v>
      </c>
      <c r="V1133">
        <v>2</v>
      </c>
      <c r="W1133">
        <v>1</v>
      </c>
      <c r="X1133">
        <v>8</v>
      </c>
      <c r="Y1133">
        <v>3</v>
      </c>
      <c r="Z1133">
        <v>2</v>
      </c>
      <c r="AA1133">
        <v>8</v>
      </c>
      <c r="AB1133">
        <v>2</v>
      </c>
      <c r="AC1133">
        <v>7</v>
      </c>
      <c r="AD1133">
        <v>7</v>
      </c>
      <c r="AE1133" t="str" cm="1">
        <f t="array" ref="AE1133">_xlfn.IFS(G1133=1,"Before College",G1133=2,"College",G1133=3,"Bachelor",G1133=4,"Master",G1133=5,"Doctor")</f>
        <v>Master</v>
      </c>
      <c r="AF1133" t="str" cm="1">
        <f t="array" ref="AF1133">_xlfn.IFS(J1133=1,"Low",J1133=2,"Medium",J1133=3,"High",J1133=4,"Very High")</f>
        <v>Very High</v>
      </c>
      <c r="AG1133" t="str" cm="1">
        <f t="array" ref="AG1133">_xlfn.IFS(L1133=1,"Low",L1133=2,"Medium",L1133=3,"High",L1133=4,"Very High")</f>
        <v>Medium</v>
      </c>
      <c r="AH1133" t="str" cm="1">
        <f t="array" ref="AH1133">_xlfn.IFS(M1133=1,"Junior employee",M1133=2,"Mid-level",M1133=3,"Senior",M1133=4,"Manager",M1133=5,"Executive")</f>
        <v>Mid-level</v>
      </c>
      <c r="AI1133" t="str" cm="1">
        <f t="array" ref="AI1133">_xlfn.IFS(O1133=1,"Low",O1133=2,"Medium",O1133=3,"High",O1133=4,"Very High")</f>
        <v>High</v>
      </c>
      <c r="AJ1133" t="str" cm="1">
        <f t="array" ref="AJ1133">_xlfn.IFS(U1133=1,"Low",U1133=2,"Good",U1133=3,"Excellent",U1133=4,"Outstanding")</f>
        <v>Excellent</v>
      </c>
      <c r="AK1133" t="str" cm="1">
        <f t="array" ref="AK1133">_xlfn.IFS(V1133=1,"Low",V1133=2,"Medium",V1133=3,"High",V1133=4,"Very High")</f>
        <v>Medium</v>
      </c>
      <c r="AL1133" t="str" cm="1">
        <f t="array" ref="AL1133">_xlfn.IFS(Z1133=1,"Bad",Z1133=2,"Good",Z1133=3,"Better",Z1133=4,"Best")</f>
        <v>Good</v>
      </c>
      <c r="AM1133" t="str" cm="1">
        <f t="array" ref="AM1133">_xlfn.IFS(W1133=0,"No_stock",W1133=1,"Low",W1133=2,"Medium",W1133=3,"High")</f>
        <v>Low</v>
      </c>
      <c r="AN1133" t="str">
        <f t="shared" si="17"/>
        <v>Medium</v>
      </c>
    </row>
    <row r="1134" spans="1:40" x14ac:dyDescent="0.45">
      <c r="A1134">
        <v>40</v>
      </c>
      <c r="B1134" t="s">
        <v>37</v>
      </c>
      <c r="C1134" t="s">
        <v>31</v>
      </c>
      <c r="D1134">
        <v>118</v>
      </c>
      <c r="E1134" t="s">
        <v>32</v>
      </c>
      <c r="F1134">
        <v>14</v>
      </c>
      <c r="G1134">
        <v>2</v>
      </c>
      <c r="H1134" t="s">
        <v>33</v>
      </c>
      <c r="I1134">
        <v>1598</v>
      </c>
      <c r="J1134">
        <v>4</v>
      </c>
      <c r="K1134" t="s">
        <v>34</v>
      </c>
      <c r="L1134">
        <v>3</v>
      </c>
      <c r="M1134">
        <v>2</v>
      </c>
      <c r="N1134" t="s">
        <v>35</v>
      </c>
      <c r="O1134">
        <v>1</v>
      </c>
      <c r="P1134" t="s">
        <v>42</v>
      </c>
      <c r="Q1134">
        <v>4639</v>
      </c>
      <c r="R1134">
        <v>1</v>
      </c>
      <c r="S1134" t="s">
        <v>37</v>
      </c>
      <c r="T1134">
        <v>15</v>
      </c>
      <c r="U1134">
        <v>3</v>
      </c>
      <c r="V1134">
        <v>3</v>
      </c>
      <c r="W1134">
        <v>1</v>
      </c>
      <c r="X1134">
        <v>5</v>
      </c>
      <c r="Y1134">
        <v>2</v>
      </c>
      <c r="Z1134">
        <v>3</v>
      </c>
      <c r="AA1134">
        <v>5</v>
      </c>
      <c r="AB1134">
        <v>4</v>
      </c>
      <c r="AC1134">
        <v>1</v>
      </c>
      <c r="AD1134">
        <v>2</v>
      </c>
      <c r="AE1134" t="str" cm="1">
        <f t="array" ref="AE1134">_xlfn.IFS(G1134=1,"Before College",G1134=2,"College",G1134=3,"Bachelor",G1134=4,"Master",G1134=5,"Doctor")</f>
        <v>College</v>
      </c>
      <c r="AF1134" t="str" cm="1">
        <f t="array" ref="AF1134">_xlfn.IFS(J1134=1,"Low",J1134=2,"Medium",J1134=3,"High",J1134=4,"Very High")</f>
        <v>Very High</v>
      </c>
      <c r="AG1134" t="str" cm="1">
        <f t="array" ref="AG1134">_xlfn.IFS(L1134=1,"Low",L1134=2,"Medium",L1134=3,"High",L1134=4,"Very High")</f>
        <v>High</v>
      </c>
      <c r="AH1134" t="str" cm="1">
        <f t="array" ref="AH1134">_xlfn.IFS(M1134=1,"Junior employee",M1134=2,"Mid-level",M1134=3,"Senior",M1134=4,"Manager",M1134=5,"Executive")</f>
        <v>Mid-level</v>
      </c>
      <c r="AI1134" t="str" cm="1">
        <f t="array" ref="AI1134">_xlfn.IFS(O1134=1,"Low",O1134=2,"Medium",O1134=3,"High",O1134=4,"Very High")</f>
        <v>Low</v>
      </c>
      <c r="AJ1134" t="str" cm="1">
        <f t="array" ref="AJ1134">_xlfn.IFS(U1134=1,"Low",U1134=2,"Good",U1134=3,"Excellent",U1134=4,"Outstanding")</f>
        <v>Excellent</v>
      </c>
      <c r="AK1134" t="str" cm="1">
        <f t="array" ref="AK1134">_xlfn.IFS(V1134=1,"Low",V1134=2,"Medium",V1134=3,"High",V1134=4,"Very High")</f>
        <v>High</v>
      </c>
      <c r="AL1134" t="str" cm="1">
        <f t="array" ref="AL1134">_xlfn.IFS(Z1134=1,"Bad",Z1134=2,"Good",Z1134=3,"Better",Z1134=4,"Best")</f>
        <v>Better</v>
      </c>
      <c r="AM1134" t="str" cm="1">
        <f t="array" ref="AM1134">_xlfn.IFS(W1134=0,"No_stock",W1134=1,"Low",W1134=2,"Medium",W1134=3,"High")</f>
        <v>Low</v>
      </c>
      <c r="AN1134" t="str">
        <f t="shared" si="17"/>
        <v>Medium</v>
      </c>
    </row>
    <row r="1135" spans="1:40" x14ac:dyDescent="0.45">
      <c r="A1135">
        <v>43</v>
      </c>
      <c r="B1135" t="s">
        <v>37</v>
      </c>
      <c r="C1135" t="s">
        <v>31</v>
      </c>
      <c r="D1135">
        <v>990</v>
      </c>
      <c r="E1135" t="s">
        <v>39</v>
      </c>
      <c r="F1135">
        <v>27</v>
      </c>
      <c r="G1135">
        <v>3</v>
      </c>
      <c r="H1135" t="s">
        <v>54</v>
      </c>
      <c r="I1135">
        <v>1599</v>
      </c>
      <c r="J1135">
        <v>4</v>
      </c>
      <c r="K1135" t="s">
        <v>40</v>
      </c>
      <c r="L1135">
        <v>4</v>
      </c>
      <c r="M1135">
        <v>1</v>
      </c>
      <c r="N1135" t="s">
        <v>44</v>
      </c>
      <c r="O1135">
        <v>2</v>
      </c>
      <c r="P1135" t="s">
        <v>46</v>
      </c>
      <c r="Q1135">
        <v>4876</v>
      </c>
      <c r="R1135">
        <v>5</v>
      </c>
      <c r="S1135" t="s">
        <v>37</v>
      </c>
      <c r="T1135">
        <v>12</v>
      </c>
      <c r="U1135">
        <v>3</v>
      </c>
      <c r="V1135">
        <v>3</v>
      </c>
      <c r="W1135">
        <v>1</v>
      </c>
      <c r="X1135">
        <v>8</v>
      </c>
      <c r="Y1135">
        <v>0</v>
      </c>
      <c r="Z1135">
        <v>3</v>
      </c>
      <c r="AA1135">
        <v>6</v>
      </c>
      <c r="AB1135">
        <v>4</v>
      </c>
      <c r="AC1135">
        <v>0</v>
      </c>
      <c r="AD1135">
        <v>2</v>
      </c>
      <c r="AE1135" t="str" cm="1">
        <f t="array" ref="AE1135">_xlfn.IFS(G1135=1,"Before College",G1135=2,"College",G1135=3,"Bachelor",G1135=4,"Master",G1135=5,"Doctor")</f>
        <v>Bachelor</v>
      </c>
      <c r="AF1135" t="str" cm="1">
        <f t="array" ref="AF1135">_xlfn.IFS(J1135=1,"Low",J1135=2,"Medium",J1135=3,"High",J1135=4,"Very High")</f>
        <v>Very High</v>
      </c>
      <c r="AG1135" t="str" cm="1">
        <f t="array" ref="AG1135">_xlfn.IFS(L1135=1,"Low",L1135=2,"Medium",L1135=3,"High",L1135=4,"Very High")</f>
        <v>Very High</v>
      </c>
      <c r="AH1135" t="str" cm="1">
        <f t="array" ref="AH1135">_xlfn.IFS(M1135=1,"Junior employee",M1135=2,"Mid-level",M1135=3,"Senior",M1135=4,"Manager",M1135=5,"Executive")</f>
        <v>Junior employee</v>
      </c>
      <c r="AI1135" t="str" cm="1">
        <f t="array" ref="AI1135">_xlfn.IFS(O1135=1,"Low",O1135=2,"Medium",O1135=3,"High",O1135=4,"Very High")</f>
        <v>Medium</v>
      </c>
      <c r="AJ1135" t="str" cm="1">
        <f t="array" ref="AJ1135">_xlfn.IFS(U1135=1,"Low",U1135=2,"Good",U1135=3,"Excellent",U1135=4,"Outstanding")</f>
        <v>Excellent</v>
      </c>
      <c r="AK1135" t="str" cm="1">
        <f t="array" ref="AK1135">_xlfn.IFS(V1135=1,"Low",V1135=2,"Medium",V1135=3,"High",V1135=4,"Very High")</f>
        <v>High</v>
      </c>
      <c r="AL1135" t="str" cm="1">
        <f t="array" ref="AL1135">_xlfn.IFS(Z1135=1,"Bad",Z1135=2,"Good",Z1135=3,"Better",Z1135=4,"Best")</f>
        <v>Better</v>
      </c>
      <c r="AM1135" t="str" cm="1">
        <f t="array" ref="AM1135">_xlfn.IFS(W1135=0,"No_stock",W1135=1,"Low",W1135=2,"Medium",W1135=3,"High")</f>
        <v>Low</v>
      </c>
      <c r="AN1135" t="str">
        <f t="shared" si="17"/>
        <v>Far</v>
      </c>
    </row>
    <row r="1136" spans="1:40" x14ac:dyDescent="0.45">
      <c r="A1136">
        <v>35</v>
      </c>
      <c r="B1136" t="s">
        <v>37</v>
      </c>
      <c r="C1136" t="s">
        <v>31</v>
      </c>
      <c r="D1136">
        <v>1349</v>
      </c>
      <c r="E1136" t="s">
        <v>39</v>
      </c>
      <c r="F1136">
        <v>7</v>
      </c>
      <c r="G1136">
        <v>2</v>
      </c>
      <c r="H1136" t="s">
        <v>33</v>
      </c>
      <c r="I1136">
        <v>1601</v>
      </c>
      <c r="J1136">
        <v>3</v>
      </c>
      <c r="K1136" t="s">
        <v>40</v>
      </c>
      <c r="L1136">
        <v>2</v>
      </c>
      <c r="M1136">
        <v>1</v>
      </c>
      <c r="N1136" t="s">
        <v>44</v>
      </c>
      <c r="O1136">
        <v>4</v>
      </c>
      <c r="P1136" t="s">
        <v>42</v>
      </c>
      <c r="Q1136">
        <v>2690</v>
      </c>
      <c r="R1136">
        <v>1</v>
      </c>
      <c r="S1136" t="s">
        <v>37</v>
      </c>
      <c r="T1136">
        <v>18</v>
      </c>
      <c r="U1136">
        <v>3</v>
      </c>
      <c r="V1136">
        <v>4</v>
      </c>
      <c r="W1136">
        <v>1</v>
      </c>
      <c r="X1136">
        <v>1</v>
      </c>
      <c r="Y1136">
        <v>5</v>
      </c>
      <c r="Z1136">
        <v>2</v>
      </c>
      <c r="AA1136">
        <v>1</v>
      </c>
      <c r="AB1136">
        <v>0</v>
      </c>
      <c r="AC1136">
        <v>0</v>
      </c>
      <c r="AD1136">
        <v>1</v>
      </c>
      <c r="AE1136" t="str" cm="1">
        <f t="array" ref="AE1136">_xlfn.IFS(G1136=1,"Before College",G1136=2,"College",G1136=3,"Bachelor",G1136=4,"Master",G1136=5,"Doctor")</f>
        <v>College</v>
      </c>
      <c r="AF1136" t="str" cm="1">
        <f t="array" ref="AF1136">_xlfn.IFS(J1136=1,"Low",J1136=2,"Medium",J1136=3,"High",J1136=4,"Very High")</f>
        <v>High</v>
      </c>
      <c r="AG1136" t="str" cm="1">
        <f t="array" ref="AG1136">_xlfn.IFS(L1136=1,"Low",L1136=2,"Medium",L1136=3,"High",L1136=4,"Very High")</f>
        <v>Medium</v>
      </c>
      <c r="AH1136" t="str" cm="1">
        <f t="array" ref="AH1136">_xlfn.IFS(M1136=1,"Junior employee",M1136=2,"Mid-level",M1136=3,"Senior",M1136=4,"Manager",M1136=5,"Executive")</f>
        <v>Junior employee</v>
      </c>
      <c r="AI1136" t="str" cm="1">
        <f t="array" ref="AI1136">_xlfn.IFS(O1136=1,"Low",O1136=2,"Medium",O1136=3,"High",O1136=4,"Very High")</f>
        <v>Very High</v>
      </c>
      <c r="AJ1136" t="str" cm="1">
        <f t="array" ref="AJ1136">_xlfn.IFS(U1136=1,"Low",U1136=2,"Good",U1136=3,"Excellent",U1136=4,"Outstanding")</f>
        <v>Excellent</v>
      </c>
      <c r="AK1136" t="str" cm="1">
        <f t="array" ref="AK1136">_xlfn.IFS(V1136=1,"Low",V1136=2,"Medium",V1136=3,"High",V1136=4,"Very High")</f>
        <v>Very High</v>
      </c>
      <c r="AL1136" t="str" cm="1">
        <f t="array" ref="AL1136">_xlfn.IFS(Z1136=1,"Bad",Z1136=2,"Good",Z1136=3,"Better",Z1136=4,"Best")</f>
        <v>Good</v>
      </c>
      <c r="AM1136" t="str" cm="1">
        <f t="array" ref="AM1136">_xlfn.IFS(W1136=0,"No_stock",W1136=1,"Low",W1136=2,"Medium",W1136=3,"High")</f>
        <v>Low</v>
      </c>
      <c r="AN1136" t="str">
        <f t="shared" si="17"/>
        <v>Medium</v>
      </c>
    </row>
    <row r="1137" spans="1:40" x14ac:dyDescent="0.45">
      <c r="A1137">
        <v>46</v>
      </c>
      <c r="B1137" t="s">
        <v>37</v>
      </c>
      <c r="C1137" t="s">
        <v>31</v>
      </c>
      <c r="D1137">
        <v>563</v>
      </c>
      <c r="E1137" t="s">
        <v>32</v>
      </c>
      <c r="F1137">
        <v>1</v>
      </c>
      <c r="G1137">
        <v>4</v>
      </c>
      <c r="H1137" t="s">
        <v>33</v>
      </c>
      <c r="I1137">
        <v>1602</v>
      </c>
      <c r="J1137">
        <v>4</v>
      </c>
      <c r="K1137" t="s">
        <v>40</v>
      </c>
      <c r="L1137">
        <v>4</v>
      </c>
      <c r="M1137">
        <v>4</v>
      </c>
      <c r="N1137" t="s">
        <v>50</v>
      </c>
      <c r="O1137">
        <v>1</v>
      </c>
      <c r="P1137" t="s">
        <v>36</v>
      </c>
      <c r="Q1137">
        <v>17567</v>
      </c>
      <c r="R1137">
        <v>1</v>
      </c>
      <c r="S1137" t="s">
        <v>37</v>
      </c>
      <c r="T1137">
        <v>15</v>
      </c>
      <c r="U1137">
        <v>3</v>
      </c>
      <c r="V1137">
        <v>2</v>
      </c>
      <c r="W1137">
        <v>0</v>
      </c>
      <c r="X1137">
        <v>27</v>
      </c>
      <c r="Y1137">
        <v>5</v>
      </c>
      <c r="Z1137">
        <v>1</v>
      </c>
      <c r="AA1137">
        <v>26</v>
      </c>
      <c r="AB1137">
        <v>0</v>
      </c>
      <c r="AC1137">
        <v>0</v>
      </c>
      <c r="AD1137">
        <v>12</v>
      </c>
      <c r="AE1137" t="str" cm="1">
        <f t="array" ref="AE1137">_xlfn.IFS(G1137=1,"Before College",G1137=2,"College",G1137=3,"Bachelor",G1137=4,"Master",G1137=5,"Doctor")</f>
        <v>Master</v>
      </c>
      <c r="AF1137" t="str" cm="1">
        <f t="array" ref="AF1137">_xlfn.IFS(J1137=1,"Low",J1137=2,"Medium",J1137=3,"High",J1137=4,"Very High")</f>
        <v>Very High</v>
      </c>
      <c r="AG1137" t="str" cm="1">
        <f t="array" ref="AG1137">_xlfn.IFS(L1137=1,"Low",L1137=2,"Medium",L1137=3,"High",L1137=4,"Very High")</f>
        <v>Very High</v>
      </c>
      <c r="AH1137" t="str" cm="1">
        <f t="array" ref="AH1137">_xlfn.IFS(M1137=1,"Junior employee",M1137=2,"Mid-level",M1137=3,"Senior",M1137=4,"Manager",M1137=5,"Executive")</f>
        <v>Manager</v>
      </c>
      <c r="AI1137" t="str" cm="1">
        <f t="array" ref="AI1137">_xlfn.IFS(O1137=1,"Low",O1137=2,"Medium",O1137=3,"High",O1137=4,"Very High")</f>
        <v>Low</v>
      </c>
      <c r="AJ1137" t="str" cm="1">
        <f t="array" ref="AJ1137">_xlfn.IFS(U1137=1,"Low",U1137=2,"Good",U1137=3,"Excellent",U1137=4,"Outstanding")</f>
        <v>Excellent</v>
      </c>
      <c r="AK1137" t="str" cm="1">
        <f t="array" ref="AK1137">_xlfn.IFS(V1137=1,"Low",V1137=2,"Medium",V1137=3,"High",V1137=4,"Very High")</f>
        <v>Medium</v>
      </c>
      <c r="AL1137" t="str" cm="1">
        <f t="array" ref="AL1137">_xlfn.IFS(Z1137=1,"Bad",Z1137=2,"Good",Z1137=3,"Better",Z1137=4,"Best")</f>
        <v>Bad</v>
      </c>
      <c r="AM1137" t="str" cm="1">
        <f t="array" ref="AM1137">_xlfn.IFS(W1137=0,"No_stock",W1137=1,"Low",W1137=2,"Medium",W1137=3,"High")</f>
        <v>No_stock</v>
      </c>
      <c r="AN1137" t="str">
        <f t="shared" si="17"/>
        <v>Near</v>
      </c>
    </row>
    <row r="1138" spans="1:40" x14ac:dyDescent="0.45">
      <c r="A1138">
        <v>28</v>
      </c>
      <c r="B1138" t="s">
        <v>30</v>
      </c>
      <c r="C1138" t="s">
        <v>31</v>
      </c>
      <c r="D1138">
        <v>329</v>
      </c>
      <c r="E1138" t="s">
        <v>39</v>
      </c>
      <c r="F1138">
        <v>24</v>
      </c>
      <c r="G1138">
        <v>3</v>
      </c>
      <c r="H1138" t="s">
        <v>45</v>
      </c>
      <c r="I1138">
        <v>1604</v>
      </c>
      <c r="J1138">
        <v>3</v>
      </c>
      <c r="K1138" t="s">
        <v>40</v>
      </c>
      <c r="L1138">
        <v>3</v>
      </c>
      <c r="M1138">
        <v>1</v>
      </c>
      <c r="N1138" t="s">
        <v>44</v>
      </c>
      <c r="O1138">
        <v>2</v>
      </c>
      <c r="P1138" t="s">
        <v>42</v>
      </c>
      <c r="Q1138">
        <v>2408</v>
      </c>
      <c r="R1138">
        <v>1</v>
      </c>
      <c r="S1138" t="s">
        <v>30</v>
      </c>
      <c r="T1138">
        <v>17</v>
      </c>
      <c r="U1138">
        <v>3</v>
      </c>
      <c r="V1138">
        <v>3</v>
      </c>
      <c r="W1138">
        <v>3</v>
      </c>
      <c r="X1138">
        <v>1</v>
      </c>
      <c r="Y1138">
        <v>3</v>
      </c>
      <c r="Z1138">
        <v>3</v>
      </c>
      <c r="AA1138">
        <v>1</v>
      </c>
      <c r="AB1138">
        <v>1</v>
      </c>
      <c r="AC1138">
        <v>0</v>
      </c>
      <c r="AD1138">
        <v>0</v>
      </c>
      <c r="AE1138" t="str" cm="1">
        <f t="array" ref="AE1138">_xlfn.IFS(G1138=1,"Before College",G1138=2,"College",G1138=3,"Bachelor",G1138=4,"Master",G1138=5,"Doctor")</f>
        <v>Bachelor</v>
      </c>
      <c r="AF1138" t="str" cm="1">
        <f t="array" ref="AF1138">_xlfn.IFS(J1138=1,"Low",J1138=2,"Medium",J1138=3,"High",J1138=4,"Very High")</f>
        <v>High</v>
      </c>
      <c r="AG1138" t="str" cm="1">
        <f t="array" ref="AG1138">_xlfn.IFS(L1138=1,"Low",L1138=2,"Medium",L1138=3,"High",L1138=4,"Very High")</f>
        <v>High</v>
      </c>
      <c r="AH1138" t="str" cm="1">
        <f t="array" ref="AH1138">_xlfn.IFS(M1138=1,"Junior employee",M1138=2,"Mid-level",M1138=3,"Senior",M1138=4,"Manager",M1138=5,"Executive")</f>
        <v>Junior employee</v>
      </c>
      <c r="AI1138" t="str" cm="1">
        <f t="array" ref="AI1138">_xlfn.IFS(O1138=1,"Low",O1138=2,"Medium",O1138=3,"High",O1138=4,"Very High")</f>
        <v>Medium</v>
      </c>
      <c r="AJ1138" t="str" cm="1">
        <f t="array" ref="AJ1138">_xlfn.IFS(U1138=1,"Low",U1138=2,"Good",U1138=3,"Excellent",U1138=4,"Outstanding")</f>
        <v>Excellent</v>
      </c>
      <c r="AK1138" t="str" cm="1">
        <f t="array" ref="AK1138">_xlfn.IFS(V1138=1,"Low",V1138=2,"Medium",V1138=3,"High",V1138=4,"Very High")</f>
        <v>High</v>
      </c>
      <c r="AL1138" t="str" cm="1">
        <f t="array" ref="AL1138">_xlfn.IFS(Z1138=1,"Bad",Z1138=2,"Good",Z1138=3,"Better",Z1138=4,"Best")</f>
        <v>Better</v>
      </c>
      <c r="AM1138" t="str" cm="1">
        <f t="array" ref="AM1138">_xlfn.IFS(W1138=0,"No_stock",W1138=1,"Low",W1138=2,"Medium",W1138=3,"High")</f>
        <v>High</v>
      </c>
      <c r="AN1138" t="str">
        <f t="shared" si="17"/>
        <v>Far</v>
      </c>
    </row>
    <row r="1139" spans="1:40" x14ac:dyDescent="0.45">
      <c r="A1139">
        <v>22</v>
      </c>
      <c r="B1139" t="s">
        <v>37</v>
      </c>
      <c r="C1139" t="s">
        <v>49</v>
      </c>
      <c r="D1139">
        <v>457</v>
      </c>
      <c r="E1139" t="s">
        <v>39</v>
      </c>
      <c r="F1139">
        <v>26</v>
      </c>
      <c r="G1139">
        <v>2</v>
      </c>
      <c r="H1139" t="s">
        <v>43</v>
      </c>
      <c r="I1139">
        <v>1605</v>
      </c>
      <c r="J1139">
        <v>2</v>
      </c>
      <c r="K1139" t="s">
        <v>34</v>
      </c>
      <c r="L1139">
        <v>2</v>
      </c>
      <c r="M1139">
        <v>1</v>
      </c>
      <c r="N1139" t="s">
        <v>41</v>
      </c>
      <c r="O1139">
        <v>3</v>
      </c>
      <c r="P1139" t="s">
        <v>42</v>
      </c>
      <c r="Q1139">
        <v>2814</v>
      </c>
      <c r="R1139">
        <v>1</v>
      </c>
      <c r="S1139" t="s">
        <v>30</v>
      </c>
      <c r="T1139">
        <v>14</v>
      </c>
      <c r="U1139">
        <v>3</v>
      </c>
      <c r="V1139">
        <v>2</v>
      </c>
      <c r="W1139">
        <v>0</v>
      </c>
      <c r="X1139">
        <v>4</v>
      </c>
      <c r="Y1139">
        <v>2</v>
      </c>
      <c r="Z1139">
        <v>2</v>
      </c>
      <c r="AA1139">
        <v>4</v>
      </c>
      <c r="AB1139">
        <v>2</v>
      </c>
      <c r="AC1139">
        <v>1</v>
      </c>
      <c r="AD1139">
        <v>3</v>
      </c>
      <c r="AE1139" t="str" cm="1">
        <f t="array" ref="AE1139">_xlfn.IFS(G1139=1,"Before College",G1139=2,"College",G1139=3,"Bachelor",G1139=4,"Master",G1139=5,"Doctor")</f>
        <v>College</v>
      </c>
      <c r="AF1139" t="str" cm="1">
        <f t="array" ref="AF1139">_xlfn.IFS(J1139=1,"Low",J1139=2,"Medium",J1139=3,"High",J1139=4,"Very High")</f>
        <v>Medium</v>
      </c>
      <c r="AG1139" t="str" cm="1">
        <f t="array" ref="AG1139">_xlfn.IFS(L1139=1,"Low",L1139=2,"Medium",L1139=3,"High",L1139=4,"Very High")</f>
        <v>Medium</v>
      </c>
      <c r="AH1139" t="str" cm="1">
        <f t="array" ref="AH1139">_xlfn.IFS(M1139=1,"Junior employee",M1139=2,"Mid-level",M1139=3,"Senior",M1139=4,"Manager",M1139=5,"Executive")</f>
        <v>Junior employee</v>
      </c>
      <c r="AI1139" t="str" cm="1">
        <f t="array" ref="AI1139">_xlfn.IFS(O1139=1,"Low",O1139=2,"Medium",O1139=3,"High",O1139=4,"Very High")</f>
        <v>High</v>
      </c>
      <c r="AJ1139" t="str" cm="1">
        <f t="array" ref="AJ1139">_xlfn.IFS(U1139=1,"Low",U1139=2,"Good",U1139=3,"Excellent",U1139=4,"Outstanding")</f>
        <v>Excellent</v>
      </c>
      <c r="AK1139" t="str" cm="1">
        <f t="array" ref="AK1139">_xlfn.IFS(V1139=1,"Low",V1139=2,"Medium",V1139=3,"High",V1139=4,"Very High")</f>
        <v>Medium</v>
      </c>
      <c r="AL1139" t="str" cm="1">
        <f t="array" ref="AL1139">_xlfn.IFS(Z1139=1,"Bad",Z1139=2,"Good",Z1139=3,"Better",Z1139=4,"Best")</f>
        <v>Good</v>
      </c>
      <c r="AM1139" t="str" cm="1">
        <f t="array" ref="AM1139">_xlfn.IFS(W1139=0,"No_stock",W1139=1,"Low",W1139=2,"Medium",W1139=3,"High")</f>
        <v>No_stock</v>
      </c>
      <c r="AN1139" t="str">
        <f t="shared" si="17"/>
        <v>Far</v>
      </c>
    </row>
    <row r="1140" spans="1:40" x14ac:dyDescent="0.45">
      <c r="A1140">
        <v>50</v>
      </c>
      <c r="B1140" t="s">
        <v>37</v>
      </c>
      <c r="C1140" t="s">
        <v>38</v>
      </c>
      <c r="D1140">
        <v>1234</v>
      </c>
      <c r="E1140" t="s">
        <v>39</v>
      </c>
      <c r="F1140">
        <v>20</v>
      </c>
      <c r="G1140">
        <v>5</v>
      </c>
      <c r="H1140" t="s">
        <v>45</v>
      </c>
      <c r="I1140">
        <v>1606</v>
      </c>
      <c r="J1140">
        <v>2</v>
      </c>
      <c r="K1140" t="s">
        <v>40</v>
      </c>
      <c r="L1140">
        <v>3</v>
      </c>
      <c r="M1140">
        <v>4</v>
      </c>
      <c r="N1140" t="s">
        <v>48</v>
      </c>
      <c r="O1140">
        <v>3</v>
      </c>
      <c r="P1140" t="s">
        <v>42</v>
      </c>
      <c r="Q1140">
        <v>11245</v>
      </c>
      <c r="R1140">
        <v>2</v>
      </c>
      <c r="S1140" t="s">
        <v>30</v>
      </c>
      <c r="T1140">
        <v>15</v>
      </c>
      <c r="U1140">
        <v>3</v>
      </c>
      <c r="V1140">
        <v>3</v>
      </c>
      <c r="W1140">
        <v>1</v>
      </c>
      <c r="X1140">
        <v>32</v>
      </c>
      <c r="Y1140">
        <v>3</v>
      </c>
      <c r="Z1140">
        <v>3</v>
      </c>
      <c r="AA1140">
        <v>30</v>
      </c>
      <c r="AB1140">
        <v>8</v>
      </c>
      <c r="AC1140">
        <v>12</v>
      </c>
      <c r="AD1140">
        <v>13</v>
      </c>
      <c r="AE1140" t="str" cm="1">
        <f t="array" ref="AE1140">_xlfn.IFS(G1140=1,"Before College",G1140=2,"College",G1140=3,"Bachelor",G1140=4,"Master",G1140=5,"Doctor")</f>
        <v>Doctor</v>
      </c>
      <c r="AF1140" t="str" cm="1">
        <f t="array" ref="AF1140">_xlfn.IFS(J1140=1,"Low",J1140=2,"Medium",J1140=3,"High",J1140=4,"Very High")</f>
        <v>Medium</v>
      </c>
      <c r="AG1140" t="str" cm="1">
        <f t="array" ref="AG1140">_xlfn.IFS(L1140=1,"Low",L1140=2,"Medium",L1140=3,"High",L1140=4,"Very High")</f>
        <v>High</v>
      </c>
      <c r="AH1140" t="str" cm="1">
        <f t="array" ref="AH1140">_xlfn.IFS(M1140=1,"Junior employee",M1140=2,"Mid-level",M1140=3,"Senior",M1140=4,"Manager",M1140=5,"Executive")</f>
        <v>Manager</v>
      </c>
      <c r="AI1140" t="str" cm="1">
        <f t="array" ref="AI1140">_xlfn.IFS(O1140=1,"Low",O1140=2,"Medium",O1140=3,"High",O1140=4,"Very High")</f>
        <v>High</v>
      </c>
      <c r="AJ1140" t="str" cm="1">
        <f t="array" ref="AJ1140">_xlfn.IFS(U1140=1,"Low",U1140=2,"Good",U1140=3,"Excellent",U1140=4,"Outstanding")</f>
        <v>Excellent</v>
      </c>
      <c r="AK1140" t="str" cm="1">
        <f t="array" ref="AK1140">_xlfn.IFS(V1140=1,"Low",V1140=2,"Medium",V1140=3,"High",V1140=4,"Very High")</f>
        <v>High</v>
      </c>
      <c r="AL1140" t="str" cm="1">
        <f t="array" ref="AL1140">_xlfn.IFS(Z1140=1,"Bad",Z1140=2,"Good",Z1140=3,"Better",Z1140=4,"Best")</f>
        <v>Better</v>
      </c>
      <c r="AM1140" t="str" cm="1">
        <f t="array" ref="AM1140">_xlfn.IFS(W1140=0,"No_stock",W1140=1,"Low",W1140=2,"Medium",W1140=3,"High")</f>
        <v>Low</v>
      </c>
      <c r="AN1140" t="str">
        <f t="shared" si="17"/>
        <v>Far</v>
      </c>
    </row>
    <row r="1141" spans="1:40" x14ac:dyDescent="0.45">
      <c r="A1141">
        <v>32</v>
      </c>
      <c r="B1141" t="s">
        <v>37</v>
      </c>
      <c r="C1141" t="s">
        <v>31</v>
      </c>
      <c r="D1141">
        <v>634</v>
      </c>
      <c r="E1141" t="s">
        <v>39</v>
      </c>
      <c r="F1141">
        <v>5</v>
      </c>
      <c r="G1141">
        <v>4</v>
      </c>
      <c r="H1141" t="s">
        <v>43</v>
      </c>
      <c r="I1141">
        <v>1607</v>
      </c>
      <c r="J1141">
        <v>2</v>
      </c>
      <c r="K1141" t="s">
        <v>34</v>
      </c>
      <c r="L1141">
        <v>4</v>
      </c>
      <c r="M1141">
        <v>1</v>
      </c>
      <c r="N1141" t="s">
        <v>41</v>
      </c>
      <c r="O1141">
        <v>4</v>
      </c>
      <c r="P1141" t="s">
        <v>42</v>
      </c>
      <c r="Q1141">
        <v>3312</v>
      </c>
      <c r="R1141">
        <v>3</v>
      </c>
      <c r="S1141" t="s">
        <v>37</v>
      </c>
      <c r="T1141">
        <v>17</v>
      </c>
      <c r="U1141">
        <v>3</v>
      </c>
      <c r="V1141">
        <v>4</v>
      </c>
      <c r="W1141">
        <v>2</v>
      </c>
      <c r="X1141">
        <v>6</v>
      </c>
      <c r="Y1141">
        <v>3</v>
      </c>
      <c r="Z1141">
        <v>3</v>
      </c>
      <c r="AA1141">
        <v>3</v>
      </c>
      <c r="AB1141">
        <v>2</v>
      </c>
      <c r="AC1141">
        <v>0</v>
      </c>
      <c r="AD1141">
        <v>2</v>
      </c>
      <c r="AE1141" t="str" cm="1">
        <f t="array" ref="AE1141">_xlfn.IFS(G1141=1,"Before College",G1141=2,"College",G1141=3,"Bachelor",G1141=4,"Master",G1141=5,"Doctor")</f>
        <v>Master</v>
      </c>
      <c r="AF1141" t="str" cm="1">
        <f t="array" ref="AF1141">_xlfn.IFS(J1141=1,"Low",J1141=2,"Medium",J1141=3,"High",J1141=4,"Very High")</f>
        <v>Medium</v>
      </c>
      <c r="AG1141" t="str" cm="1">
        <f t="array" ref="AG1141">_xlfn.IFS(L1141=1,"Low",L1141=2,"Medium",L1141=3,"High",L1141=4,"Very High")</f>
        <v>Very High</v>
      </c>
      <c r="AH1141" t="str" cm="1">
        <f t="array" ref="AH1141">_xlfn.IFS(M1141=1,"Junior employee",M1141=2,"Mid-level",M1141=3,"Senior",M1141=4,"Manager",M1141=5,"Executive")</f>
        <v>Junior employee</v>
      </c>
      <c r="AI1141" t="str" cm="1">
        <f t="array" ref="AI1141">_xlfn.IFS(O1141=1,"Low",O1141=2,"Medium",O1141=3,"High",O1141=4,"Very High")</f>
        <v>Very High</v>
      </c>
      <c r="AJ1141" t="str" cm="1">
        <f t="array" ref="AJ1141">_xlfn.IFS(U1141=1,"Low",U1141=2,"Good",U1141=3,"Excellent",U1141=4,"Outstanding")</f>
        <v>Excellent</v>
      </c>
      <c r="AK1141" t="str" cm="1">
        <f t="array" ref="AK1141">_xlfn.IFS(V1141=1,"Low",V1141=2,"Medium",V1141=3,"High",V1141=4,"Very High")</f>
        <v>Very High</v>
      </c>
      <c r="AL1141" t="str" cm="1">
        <f t="array" ref="AL1141">_xlfn.IFS(Z1141=1,"Bad",Z1141=2,"Good",Z1141=3,"Better",Z1141=4,"Best")</f>
        <v>Better</v>
      </c>
      <c r="AM1141" t="str" cm="1">
        <f t="array" ref="AM1141">_xlfn.IFS(W1141=0,"No_stock",W1141=1,"Low",W1141=2,"Medium",W1141=3,"High")</f>
        <v>Medium</v>
      </c>
      <c r="AN1141" t="str">
        <f t="shared" si="17"/>
        <v>Near</v>
      </c>
    </row>
    <row r="1142" spans="1:40" x14ac:dyDescent="0.45">
      <c r="A1142">
        <v>44</v>
      </c>
      <c r="B1142" t="s">
        <v>37</v>
      </c>
      <c r="C1142" t="s">
        <v>31</v>
      </c>
      <c r="D1142">
        <v>1313</v>
      </c>
      <c r="E1142" t="s">
        <v>39</v>
      </c>
      <c r="F1142">
        <v>7</v>
      </c>
      <c r="G1142">
        <v>3</v>
      </c>
      <c r="H1142" t="s">
        <v>45</v>
      </c>
      <c r="I1142">
        <v>1608</v>
      </c>
      <c r="J1142">
        <v>2</v>
      </c>
      <c r="K1142" t="s">
        <v>34</v>
      </c>
      <c r="L1142">
        <v>3</v>
      </c>
      <c r="M1142">
        <v>5</v>
      </c>
      <c r="N1142" t="s">
        <v>52</v>
      </c>
      <c r="O1142">
        <v>4</v>
      </c>
      <c r="P1142" t="s">
        <v>46</v>
      </c>
      <c r="Q1142">
        <v>19049</v>
      </c>
      <c r="R1142">
        <v>0</v>
      </c>
      <c r="S1142" t="s">
        <v>30</v>
      </c>
      <c r="T1142">
        <v>14</v>
      </c>
      <c r="U1142">
        <v>3</v>
      </c>
      <c r="V1142">
        <v>4</v>
      </c>
      <c r="W1142">
        <v>1</v>
      </c>
      <c r="X1142">
        <v>23</v>
      </c>
      <c r="Y1142">
        <v>4</v>
      </c>
      <c r="Z1142">
        <v>2</v>
      </c>
      <c r="AA1142">
        <v>22</v>
      </c>
      <c r="AB1142">
        <v>7</v>
      </c>
      <c r="AC1142">
        <v>1</v>
      </c>
      <c r="AD1142">
        <v>10</v>
      </c>
      <c r="AE1142" t="str" cm="1">
        <f t="array" ref="AE1142">_xlfn.IFS(G1142=1,"Before College",G1142=2,"College",G1142=3,"Bachelor",G1142=4,"Master",G1142=5,"Doctor")</f>
        <v>Bachelor</v>
      </c>
      <c r="AF1142" t="str" cm="1">
        <f t="array" ref="AF1142">_xlfn.IFS(J1142=1,"Low",J1142=2,"Medium",J1142=3,"High",J1142=4,"Very High")</f>
        <v>Medium</v>
      </c>
      <c r="AG1142" t="str" cm="1">
        <f t="array" ref="AG1142">_xlfn.IFS(L1142=1,"Low",L1142=2,"Medium",L1142=3,"High",L1142=4,"Very High")</f>
        <v>High</v>
      </c>
      <c r="AH1142" t="str" cm="1">
        <f t="array" ref="AH1142">_xlfn.IFS(M1142=1,"Junior employee",M1142=2,"Mid-level",M1142=3,"Senior",M1142=4,"Manager",M1142=5,"Executive")</f>
        <v>Executive</v>
      </c>
      <c r="AI1142" t="str" cm="1">
        <f t="array" ref="AI1142">_xlfn.IFS(O1142=1,"Low",O1142=2,"Medium",O1142=3,"High",O1142=4,"Very High")</f>
        <v>Very High</v>
      </c>
      <c r="AJ1142" t="str" cm="1">
        <f t="array" ref="AJ1142">_xlfn.IFS(U1142=1,"Low",U1142=2,"Good",U1142=3,"Excellent",U1142=4,"Outstanding")</f>
        <v>Excellent</v>
      </c>
      <c r="AK1142" t="str" cm="1">
        <f t="array" ref="AK1142">_xlfn.IFS(V1142=1,"Low",V1142=2,"Medium",V1142=3,"High",V1142=4,"Very High")</f>
        <v>Very High</v>
      </c>
      <c r="AL1142" t="str" cm="1">
        <f t="array" ref="AL1142">_xlfn.IFS(Z1142=1,"Bad",Z1142=2,"Good",Z1142=3,"Better",Z1142=4,"Best")</f>
        <v>Good</v>
      </c>
      <c r="AM1142" t="str" cm="1">
        <f t="array" ref="AM1142">_xlfn.IFS(W1142=0,"No_stock",W1142=1,"Low",W1142=2,"Medium",W1142=3,"High")</f>
        <v>Low</v>
      </c>
      <c r="AN1142" t="str">
        <f t="shared" si="17"/>
        <v>Medium</v>
      </c>
    </row>
    <row r="1143" spans="1:40" x14ac:dyDescent="0.45">
      <c r="A1143">
        <v>30</v>
      </c>
      <c r="B1143" t="s">
        <v>37</v>
      </c>
      <c r="C1143" t="s">
        <v>31</v>
      </c>
      <c r="D1143">
        <v>241</v>
      </c>
      <c r="E1143" t="s">
        <v>39</v>
      </c>
      <c r="F1143">
        <v>7</v>
      </c>
      <c r="G1143">
        <v>3</v>
      </c>
      <c r="H1143" t="s">
        <v>45</v>
      </c>
      <c r="I1143">
        <v>1609</v>
      </c>
      <c r="J1143">
        <v>2</v>
      </c>
      <c r="K1143" t="s">
        <v>40</v>
      </c>
      <c r="L1143">
        <v>2</v>
      </c>
      <c r="M1143">
        <v>1</v>
      </c>
      <c r="N1143" t="s">
        <v>41</v>
      </c>
      <c r="O1143">
        <v>2</v>
      </c>
      <c r="P1143" t="s">
        <v>42</v>
      </c>
      <c r="Q1143">
        <v>2141</v>
      </c>
      <c r="R1143">
        <v>1</v>
      </c>
      <c r="S1143" t="s">
        <v>37</v>
      </c>
      <c r="T1143">
        <v>12</v>
      </c>
      <c r="U1143">
        <v>3</v>
      </c>
      <c r="V1143">
        <v>2</v>
      </c>
      <c r="W1143">
        <v>1</v>
      </c>
      <c r="X1143">
        <v>6</v>
      </c>
      <c r="Y1143">
        <v>3</v>
      </c>
      <c r="Z1143">
        <v>2</v>
      </c>
      <c r="AA1143">
        <v>6</v>
      </c>
      <c r="AB1143">
        <v>4</v>
      </c>
      <c r="AC1143">
        <v>1</v>
      </c>
      <c r="AD1143">
        <v>1</v>
      </c>
      <c r="AE1143" t="str" cm="1">
        <f t="array" ref="AE1143">_xlfn.IFS(G1143=1,"Before College",G1143=2,"College",G1143=3,"Bachelor",G1143=4,"Master",G1143=5,"Doctor")</f>
        <v>Bachelor</v>
      </c>
      <c r="AF1143" t="str" cm="1">
        <f t="array" ref="AF1143">_xlfn.IFS(J1143=1,"Low",J1143=2,"Medium",J1143=3,"High",J1143=4,"Very High")</f>
        <v>Medium</v>
      </c>
      <c r="AG1143" t="str" cm="1">
        <f t="array" ref="AG1143">_xlfn.IFS(L1143=1,"Low",L1143=2,"Medium",L1143=3,"High",L1143=4,"Very High")</f>
        <v>Medium</v>
      </c>
      <c r="AH1143" t="str" cm="1">
        <f t="array" ref="AH1143">_xlfn.IFS(M1143=1,"Junior employee",M1143=2,"Mid-level",M1143=3,"Senior",M1143=4,"Manager",M1143=5,"Executive")</f>
        <v>Junior employee</v>
      </c>
      <c r="AI1143" t="str" cm="1">
        <f t="array" ref="AI1143">_xlfn.IFS(O1143=1,"Low",O1143=2,"Medium",O1143=3,"High",O1143=4,"Very High")</f>
        <v>Medium</v>
      </c>
      <c r="AJ1143" t="str" cm="1">
        <f t="array" ref="AJ1143">_xlfn.IFS(U1143=1,"Low",U1143=2,"Good",U1143=3,"Excellent",U1143=4,"Outstanding")</f>
        <v>Excellent</v>
      </c>
      <c r="AK1143" t="str" cm="1">
        <f t="array" ref="AK1143">_xlfn.IFS(V1143=1,"Low",V1143=2,"Medium",V1143=3,"High",V1143=4,"Very High")</f>
        <v>Medium</v>
      </c>
      <c r="AL1143" t="str" cm="1">
        <f t="array" ref="AL1143">_xlfn.IFS(Z1143=1,"Bad",Z1143=2,"Good",Z1143=3,"Better",Z1143=4,"Best")</f>
        <v>Good</v>
      </c>
      <c r="AM1143" t="str" cm="1">
        <f t="array" ref="AM1143">_xlfn.IFS(W1143=0,"No_stock",W1143=1,"Low",W1143=2,"Medium",W1143=3,"High")</f>
        <v>Low</v>
      </c>
      <c r="AN1143" t="str">
        <f t="shared" si="17"/>
        <v>Medium</v>
      </c>
    </row>
    <row r="1144" spans="1:40" x14ac:dyDescent="0.45">
      <c r="A1144">
        <v>45</v>
      </c>
      <c r="B1144" t="s">
        <v>37</v>
      </c>
      <c r="C1144" t="s">
        <v>31</v>
      </c>
      <c r="D1144">
        <v>1015</v>
      </c>
      <c r="E1144" t="s">
        <v>39</v>
      </c>
      <c r="F1144">
        <v>5</v>
      </c>
      <c r="G1144">
        <v>5</v>
      </c>
      <c r="H1144" t="s">
        <v>45</v>
      </c>
      <c r="I1144">
        <v>1611</v>
      </c>
      <c r="J1144">
        <v>3</v>
      </c>
      <c r="K1144" t="s">
        <v>34</v>
      </c>
      <c r="L1144">
        <v>1</v>
      </c>
      <c r="M1144">
        <v>2</v>
      </c>
      <c r="N1144" t="s">
        <v>44</v>
      </c>
      <c r="O1144">
        <v>1</v>
      </c>
      <c r="P1144" t="s">
        <v>36</v>
      </c>
      <c r="Q1144">
        <v>5769</v>
      </c>
      <c r="R1144">
        <v>1</v>
      </c>
      <c r="S1144" t="s">
        <v>30</v>
      </c>
      <c r="T1144">
        <v>14</v>
      </c>
      <c r="U1144">
        <v>3</v>
      </c>
      <c r="V1144">
        <v>1</v>
      </c>
      <c r="W1144">
        <v>0</v>
      </c>
      <c r="X1144">
        <v>10</v>
      </c>
      <c r="Y1144">
        <v>3</v>
      </c>
      <c r="Z1144">
        <v>3</v>
      </c>
      <c r="AA1144">
        <v>10</v>
      </c>
      <c r="AB1144">
        <v>7</v>
      </c>
      <c r="AC1144">
        <v>1</v>
      </c>
      <c r="AD1144">
        <v>4</v>
      </c>
      <c r="AE1144" t="str" cm="1">
        <f t="array" ref="AE1144">_xlfn.IFS(G1144=1,"Before College",G1144=2,"College",G1144=3,"Bachelor",G1144=4,"Master",G1144=5,"Doctor")</f>
        <v>Doctor</v>
      </c>
      <c r="AF1144" t="str" cm="1">
        <f t="array" ref="AF1144">_xlfn.IFS(J1144=1,"Low",J1144=2,"Medium",J1144=3,"High",J1144=4,"Very High")</f>
        <v>High</v>
      </c>
      <c r="AG1144" t="str" cm="1">
        <f t="array" ref="AG1144">_xlfn.IFS(L1144=1,"Low",L1144=2,"Medium",L1144=3,"High",L1144=4,"Very High")</f>
        <v>Low</v>
      </c>
      <c r="AH1144" t="str" cm="1">
        <f t="array" ref="AH1144">_xlfn.IFS(M1144=1,"Junior employee",M1144=2,"Mid-level",M1144=3,"Senior",M1144=4,"Manager",M1144=5,"Executive")</f>
        <v>Mid-level</v>
      </c>
      <c r="AI1144" t="str" cm="1">
        <f t="array" ref="AI1144">_xlfn.IFS(O1144=1,"Low",O1144=2,"Medium",O1144=3,"High",O1144=4,"Very High")</f>
        <v>Low</v>
      </c>
      <c r="AJ1144" t="str" cm="1">
        <f t="array" ref="AJ1144">_xlfn.IFS(U1144=1,"Low",U1144=2,"Good",U1144=3,"Excellent",U1144=4,"Outstanding")</f>
        <v>Excellent</v>
      </c>
      <c r="AK1144" t="str" cm="1">
        <f t="array" ref="AK1144">_xlfn.IFS(V1144=1,"Low",V1144=2,"Medium",V1144=3,"High",V1144=4,"Very High")</f>
        <v>Low</v>
      </c>
      <c r="AL1144" t="str" cm="1">
        <f t="array" ref="AL1144">_xlfn.IFS(Z1144=1,"Bad",Z1144=2,"Good",Z1144=3,"Better",Z1144=4,"Best")</f>
        <v>Better</v>
      </c>
      <c r="AM1144" t="str" cm="1">
        <f t="array" ref="AM1144">_xlfn.IFS(W1144=0,"No_stock",W1144=1,"Low",W1144=2,"Medium",W1144=3,"High")</f>
        <v>No_stock</v>
      </c>
      <c r="AN1144" t="str">
        <f t="shared" si="17"/>
        <v>Near</v>
      </c>
    </row>
    <row r="1145" spans="1:40" x14ac:dyDescent="0.45">
      <c r="A1145">
        <v>45</v>
      </c>
      <c r="B1145" t="s">
        <v>37</v>
      </c>
      <c r="C1145" t="s">
        <v>49</v>
      </c>
      <c r="D1145">
        <v>336</v>
      </c>
      <c r="E1145" t="s">
        <v>32</v>
      </c>
      <c r="F1145">
        <v>26</v>
      </c>
      <c r="G1145">
        <v>3</v>
      </c>
      <c r="H1145" t="s">
        <v>53</v>
      </c>
      <c r="I1145">
        <v>1612</v>
      </c>
      <c r="J1145">
        <v>1</v>
      </c>
      <c r="K1145" t="s">
        <v>40</v>
      </c>
      <c r="L1145">
        <v>2</v>
      </c>
      <c r="M1145">
        <v>2</v>
      </c>
      <c r="N1145" t="s">
        <v>35</v>
      </c>
      <c r="O1145">
        <v>1</v>
      </c>
      <c r="P1145" t="s">
        <v>42</v>
      </c>
      <c r="Q1145">
        <v>4385</v>
      </c>
      <c r="R1145">
        <v>1</v>
      </c>
      <c r="S1145" t="s">
        <v>37</v>
      </c>
      <c r="T1145">
        <v>15</v>
      </c>
      <c r="U1145">
        <v>3</v>
      </c>
      <c r="V1145">
        <v>1</v>
      </c>
      <c r="W1145">
        <v>1</v>
      </c>
      <c r="X1145">
        <v>10</v>
      </c>
      <c r="Y1145">
        <v>2</v>
      </c>
      <c r="Z1145">
        <v>3</v>
      </c>
      <c r="AA1145">
        <v>10</v>
      </c>
      <c r="AB1145">
        <v>7</v>
      </c>
      <c r="AC1145">
        <v>4</v>
      </c>
      <c r="AD1145">
        <v>5</v>
      </c>
      <c r="AE1145" t="str" cm="1">
        <f t="array" ref="AE1145">_xlfn.IFS(G1145=1,"Before College",G1145=2,"College",G1145=3,"Bachelor",G1145=4,"Master",G1145=5,"Doctor")</f>
        <v>Bachelor</v>
      </c>
      <c r="AF1145" t="str" cm="1">
        <f t="array" ref="AF1145">_xlfn.IFS(J1145=1,"Low",J1145=2,"Medium",J1145=3,"High",J1145=4,"Very High")</f>
        <v>Low</v>
      </c>
      <c r="AG1145" t="str" cm="1">
        <f t="array" ref="AG1145">_xlfn.IFS(L1145=1,"Low",L1145=2,"Medium",L1145=3,"High",L1145=4,"Very High")</f>
        <v>Medium</v>
      </c>
      <c r="AH1145" t="str" cm="1">
        <f t="array" ref="AH1145">_xlfn.IFS(M1145=1,"Junior employee",M1145=2,"Mid-level",M1145=3,"Senior",M1145=4,"Manager",M1145=5,"Executive")</f>
        <v>Mid-level</v>
      </c>
      <c r="AI1145" t="str" cm="1">
        <f t="array" ref="AI1145">_xlfn.IFS(O1145=1,"Low",O1145=2,"Medium",O1145=3,"High",O1145=4,"Very High")</f>
        <v>Low</v>
      </c>
      <c r="AJ1145" t="str" cm="1">
        <f t="array" ref="AJ1145">_xlfn.IFS(U1145=1,"Low",U1145=2,"Good",U1145=3,"Excellent",U1145=4,"Outstanding")</f>
        <v>Excellent</v>
      </c>
      <c r="AK1145" t="str" cm="1">
        <f t="array" ref="AK1145">_xlfn.IFS(V1145=1,"Low",V1145=2,"Medium",V1145=3,"High",V1145=4,"Very High")</f>
        <v>Low</v>
      </c>
      <c r="AL1145" t="str" cm="1">
        <f t="array" ref="AL1145">_xlfn.IFS(Z1145=1,"Bad",Z1145=2,"Good",Z1145=3,"Better",Z1145=4,"Best")</f>
        <v>Better</v>
      </c>
      <c r="AM1145" t="str" cm="1">
        <f t="array" ref="AM1145">_xlfn.IFS(W1145=0,"No_stock",W1145=1,"Low",W1145=2,"Medium",W1145=3,"High")</f>
        <v>Low</v>
      </c>
      <c r="AN1145" t="str">
        <f t="shared" si="17"/>
        <v>Far</v>
      </c>
    </row>
    <row r="1146" spans="1:40" x14ac:dyDescent="0.45">
      <c r="A1146">
        <v>31</v>
      </c>
      <c r="B1146" t="s">
        <v>37</v>
      </c>
      <c r="C1146" t="s">
        <v>38</v>
      </c>
      <c r="D1146">
        <v>715</v>
      </c>
      <c r="E1146" t="s">
        <v>32</v>
      </c>
      <c r="F1146">
        <v>2</v>
      </c>
      <c r="G1146">
        <v>4</v>
      </c>
      <c r="H1146" t="s">
        <v>43</v>
      </c>
      <c r="I1146">
        <v>1613</v>
      </c>
      <c r="J1146">
        <v>4</v>
      </c>
      <c r="K1146" t="s">
        <v>40</v>
      </c>
      <c r="L1146">
        <v>3</v>
      </c>
      <c r="M1146">
        <v>2</v>
      </c>
      <c r="N1146" t="s">
        <v>35</v>
      </c>
      <c r="O1146">
        <v>1</v>
      </c>
      <c r="P1146" t="s">
        <v>36</v>
      </c>
      <c r="Q1146">
        <v>5332</v>
      </c>
      <c r="R1146">
        <v>7</v>
      </c>
      <c r="S1146" t="s">
        <v>37</v>
      </c>
      <c r="T1146">
        <v>13</v>
      </c>
      <c r="U1146">
        <v>3</v>
      </c>
      <c r="V1146">
        <v>4</v>
      </c>
      <c r="W1146">
        <v>0</v>
      </c>
      <c r="X1146">
        <v>10</v>
      </c>
      <c r="Y1146">
        <v>3</v>
      </c>
      <c r="Z1146">
        <v>3</v>
      </c>
      <c r="AA1146">
        <v>5</v>
      </c>
      <c r="AB1146">
        <v>2</v>
      </c>
      <c r="AC1146">
        <v>0</v>
      </c>
      <c r="AD1146">
        <v>3</v>
      </c>
      <c r="AE1146" t="str" cm="1">
        <f t="array" ref="AE1146">_xlfn.IFS(G1146=1,"Before College",G1146=2,"College",G1146=3,"Bachelor",G1146=4,"Master",G1146=5,"Doctor")</f>
        <v>Master</v>
      </c>
      <c r="AF1146" t="str" cm="1">
        <f t="array" ref="AF1146">_xlfn.IFS(J1146=1,"Low",J1146=2,"Medium",J1146=3,"High",J1146=4,"Very High")</f>
        <v>Very High</v>
      </c>
      <c r="AG1146" t="str" cm="1">
        <f t="array" ref="AG1146">_xlfn.IFS(L1146=1,"Low",L1146=2,"Medium",L1146=3,"High",L1146=4,"Very High")</f>
        <v>High</v>
      </c>
      <c r="AH1146" t="str" cm="1">
        <f t="array" ref="AH1146">_xlfn.IFS(M1146=1,"Junior employee",M1146=2,"Mid-level",M1146=3,"Senior",M1146=4,"Manager",M1146=5,"Executive")</f>
        <v>Mid-level</v>
      </c>
      <c r="AI1146" t="str" cm="1">
        <f t="array" ref="AI1146">_xlfn.IFS(O1146=1,"Low",O1146=2,"Medium",O1146=3,"High",O1146=4,"Very High")</f>
        <v>Low</v>
      </c>
      <c r="AJ1146" t="str" cm="1">
        <f t="array" ref="AJ1146">_xlfn.IFS(U1146=1,"Low",U1146=2,"Good",U1146=3,"Excellent",U1146=4,"Outstanding")</f>
        <v>Excellent</v>
      </c>
      <c r="AK1146" t="str" cm="1">
        <f t="array" ref="AK1146">_xlfn.IFS(V1146=1,"Low",V1146=2,"Medium",V1146=3,"High",V1146=4,"Very High")</f>
        <v>Very High</v>
      </c>
      <c r="AL1146" t="str" cm="1">
        <f t="array" ref="AL1146">_xlfn.IFS(Z1146=1,"Bad",Z1146=2,"Good",Z1146=3,"Better",Z1146=4,"Best")</f>
        <v>Better</v>
      </c>
      <c r="AM1146" t="str" cm="1">
        <f t="array" ref="AM1146">_xlfn.IFS(W1146=0,"No_stock",W1146=1,"Low",W1146=2,"Medium",W1146=3,"High")</f>
        <v>No_stock</v>
      </c>
      <c r="AN1146" t="str">
        <f t="shared" si="17"/>
        <v>Near</v>
      </c>
    </row>
    <row r="1147" spans="1:40" x14ac:dyDescent="0.45">
      <c r="A1147">
        <v>36</v>
      </c>
      <c r="B1147" t="s">
        <v>37</v>
      </c>
      <c r="C1147" t="s">
        <v>31</v>
      </c>
      <c r="D1147">
        <v>559</v>
      </c>
      <c r="E1147" t="s">
        <v>39</v>
      </c>
      <c r="F1147">
        <v>12</v>
      </c>
      <c r="G1147">
        <v>4</v>
      </c>
      <c r="H1147" t="s">
        <v>33</v>
      </c>
      <c r="I1147">
        <v>1614</v>
      </c>
      <c r="J1147">
        <v>3</v>
      </c>
      <c r="K1147" t="s">
        <v>34</v>
      </c>
      <c r="L1147">
        <v>3</v>
      </c>
      <c r="M1147">
        <v>2</v>
      </c>
      <c r="N1147" t="s">
        <v>47</v>
      </c>
      <c r="O1147">
        <v>3</v>
      </c>
      <c r="P1147" t="s">
        <v>42</v>
      </c>
      <c r="Q1147">
        <v>4663</v>
      </c>
      <c r="R1147">
        <v>9</v>
      </c>
      <c r="S1147" t="s">
        <v>30</v>
      </c>
      <c r="T1147">
        <v>12</v>
      </c>
      <c r="U1147">
        <v>3</v>
      </c>
      <c r="V1147">
        <v>2</v>
      </c>
      <c r="W1147">
        <v>2</v>
      </c>
      <c r="X1147">
        <v>7</v>
      </c>
      <c r="Y1147">
        <v>2</v>
      </c>
      <c r="Z1147">
        <v>3</v>
      </c>
      <c r="AA1147">
        <v>3</v>
      </c>
      <c r="AB1147">
        <v>2</v>
      </c>
      <c r="AC1147">
        <v>1</v>
      </c>
      <c r="AD1147">
        <v>1</v>
      </c>
      <c r="AE1147" t="str" cm="1">
        <f t="array" ref="AE1147">_xlfn.IFS(G1147=1,"Before College",G1147=2,"College",G1147=3,"Bachelor",G1147=4,"Master",G1147=5,"Doctor")</f>
        <v>Master</v>
      </c>
      <c r="AF1147" t="str" cm="1">
        <f t="array" ref="AF1147">_xlfn.IFS(J1147=1,"Low",J1147=2,"Medium",J1147=3,"High",J1147=4,"Very High")</f>
        <v>High</v>
      </c>
      <c r="AG1147" t="str" cm="1">
        <f t="array" ref="AG1147">_xlfn.IFS(L1147=1,"Low",L1147=2,"Medium",L1147=3,"High",L1147=4,"Very High")</f>
        <v>High</v>
      </c>
      <c r="AH1147" t="str" cm="1">
        <f t="array" ref="AH1147">_xlfn.IFS(M1147=1,"Junior employee",M1147=2,"Mid-level",M1147=3,"Senior",M1147=4,"Manager",M1147=5,"Executive")</f>
        <v>Mid-level</v>
      </c>
      <c r="AI1147" t="str" cm="1">
        <f t="array" ref="AI1147">_xlfn.IFS(O1147=1,"Low",O1147=2,"Medium",O1147=3,"High",O1147=4,"Very High")</f>
        <v>High</v>
      </c>
      <c r="AJ1147" t="str" cm="1">
        <f t="array" ref="AJ1147">_xlfn.IFS(U1147=1,"Low",U1147=2,"Good",U1147=3,"Excellent",U1147=4,"Outstanding")</f>
        <v>Excellent</v>
      </c>
      <c r="AK1147" t="str" cm="1">
        <f t="array" ref="AK1147">_xlfn.IFS(V1147=1,"Low",V1147=2,"Medium",V1147=3,"High",V1147=4,"Very High")</f>
        <v>Medium</v>
      </c>
      <c r="AL1147" t="str" cm="1">
        <f t="array" ref="AL1147">_xlfn.IFS(Z1147=1,"Bad",Z1147=2,"Good",Z1147=3,"Better",Z1147=4,"Best")</f>
        <v>Better</v>
      </c>
      <c r="AM1147" t="str" cm="1">
        <f t="array" ref="AM1147">_xlfn.IFS(W1147=0,"No_stock",W1147=1,"Low",W1147=2,"Medium",W1147=3,"High")</f>
        <v>Medium</v>
      </c>
      <c r="AN1147" t="str">
        <f t="shared" si="17"/>
        <v>Medium</v>
      </c>
    </row>
    <row r="1148" spans="1:40" x14ac:dyDescent="0.45">
      <c r="A1148">
        <v>34</v>
      </c>
      <c r="B1148" t="s">
        <v>37</v>
      </c>
      <c r="C1148" t="s">
        <v>38</v>
      </c>
      <c r="D1148">
        <v>426</v>
      </c>
      <c r="E1148" t="s">
        <v>39</v>
      </c>
      <c r="F1148">
        <v>10</v>
      </c>
      <c r="G1148">
        <v>4</v>
      </c>
      <c r="H1148" t="s">
        <v>33</v>
      </c>
      <c r="I1148">
        <v>1615</v>
      </c>
      <c r="J1148">
        <v>3</v>
      </c>
      <c r="K1148" t="s">
        <v>40</v>
      </c>
      <c r="L1148">
        <v>4</v>
      </c>
      <c r="M1148">
        <v>2</v>
      </c>
      <c r="N1148" t="s">
        <v>47</v>
      </c>
      <c r="O1148">
        <v>4</v>
      </c>
      <c r="P1148" t="s">
        <v>46</v>
      </c>
      <c r="Q1148">
        <v>4724</v>
      </c>
      <c r="R1148">
        <v>1</v>
      </c>
      <c r="S1148" t="s">
        <v>37</v>
      </c>
      <c r="T1148">
        <v>13</v>
      </c>
      <c r="U1148">
        <v>3</v>
      </c>
      <c r="V1148">
        <v>1</v>
      </c>
      <c r="W1148">
        <v>1</v>
      </c>
      <c r="X1148">
        <v>9</v>
      </c>
      <c r="Y1148">
        <v>3</v>
      </c>
      <c r="Z1148">
        <v>3</v>
      </c>
      <c r="AA1148">
        <v>9</v>
      </c>
      <c r="AB1148">
        <v>7</v>
      </c>
      <c r="AC1148">
        <v>7</v>
      </c>
      <c r="AD1148">
        <v>2</v>
      </c>
      <c r="AE1148" t="str" cm="1">
        <f t="array" ref="AE1148">_xlfn.IFS(G1148=1,"Before College",G1148=2,"College",G1148=3,"Bachelor",G1148=4,"Master",G1148=5,"Doctor")</f>
        <v>Master</v>
      </c>
      <c r="AF1148" t="str" cm="1">
        <f t="array" ref="AF1148">_xlfn.IFS(J1148=1,"Low",J1148=2,"Medium",J1148=3,"High",J1148=4,"Very High")</f>
        <v>High</v>
      </c>
      <c r="AG1148" t="str" cm="1">
        <f t="array" ref="AG1148">_xlfn.IFS(L1148=1,"Low",L1148=2,"Medium",L1148=3,"High",L1148=4,"Very High")</f>
        <v>Very High</v>
      </c>
      <c r="AH1148" t="str" cm="1">
        <f t="array" ref="AH1148">_xlfn.IFS(M1148=1,"Junior employee",M1148=2,"Mid-level",M1148=3,"Senior",M1148=4,"Manager",M1148=5,"Executive")</f>
        <v>Mid-level</v>
      </c>
      <c r="AI1148" t="str" cm="1">
        <f t="array" ref="AI1148">_xlfn.IFS(O1148=1,"Low",O1148=2,"Medium",O1148=3,"High",O1148=4,"Very High")</f>
        <v>Very High</v>
      </c>
      <c r="AJ1148" t="str" cm="1">
        <f t="array" ref="AJ1148">_xlfn.IFS(U1148=1,"Low",U1148=2,"Good",U1148=3,"Excellent",U1148=4,"Outstanding")</f>
        <v>Excellent</v>
      </c>
      <c r="AK1148" t="str" cm="1">
        <f t="array" ref="AK1148">_xlfn.IFS(V1148=1,"Low",V1148=2,"Medium",V1148=3,"High",V1148=4,"Very High")</f>
        <v>Low</v>
      </c>
      <c r="AL1148" t="str" cm="1">
        <f t="array" ref="AL1148">_xlfn.IFS(Z1148=1,"Bad",Z1148=2,"Good",Z1148=3,"Better",Z1148=4,"Best")</f>
        <v>Better</v>
      </c>
      <c r="AM1148" t="str" cm="1">
        <f t="array" ref="AM1148">_xlfn.IFS(W1148=0,"No_stock",W1148=1,"Low",W1148=2,"Medium",W1148=3,"High")</f>
        <v>Low</v>
      </c>
      <c r="AN1148" t="str">
        <f t="shared" si="17"/>
        <v>Medium</v>
      </c>
    </row>
    <row r="1149" spans="1:40" x14ac:dyDescent="0.45">
      <c r="A1149">
        <v>49</v>
      </c>
      <c r="B1149" t="s">
        <v>37</v>
      </c>
      <c r="C1149" t="s">
        <v>31</v>
      </c>
      <c r="D1149">
        <v>722</v>
      </c>
      <c r="E1149" t="s">
        <v>39</v>
      </c>
      <c r="F1149">
        <v>25</v>
      </c>
      <c r="G1149">
        <v>4</v>
      </c>
      <c r="H1149" t="s">
        <v>33</v>
      </c>
      <c r="I1149">
        <v>1617</v>
      </c>
      <c r="J1149">
        <v>3</v>
      </c>
      <c r="K1149" t="s">
        <v>34</v>
      </c>
      <c r="L1149">
        <v>3</v>
      </c>
      <c r="M1149">
        <v>1</v>
      </c>
      <c r="N1149" t="s">
        <v>44</v>
      </c>
      <c r="O1149">
        <v>1</v>
      </c>
      <c r="P1149" t="s">
        <v>42</v>
      </c>
      <c r="Q1149">
        <v>3211</v>
      </c>
      <c r="R1149">
        <v>1</v>
      </c>
      <c r="S1149" t="s">
        <v>37</v>
      </c>
      <c r="T1149">
        <v>14</v>
      </c>
      <c r="U1149">
        <v>3</v>
      </c>
      <c r="V1149">
        <v>4</v>
      </c>
      <c r="W1149">
        <v>1</v>
      </c>
      <c r="X1149">
        <v>10</v>
      </c>
      <c r="Y1149">
        <v>3</v>
      </c>
      <c r="Z1149">
        <v>2</v>
      </c>
      <c r="AA1149">
        <v>9</v>
      </c>
      <c r="AB1149">
        <v>6</v>
      </c>
      <c r="AC1149">
        <v>1</v>
      </c>
      <c r="AD1149">
        <v>4</v>
      </c>
      <c r="AE1149" t="str" cm="1">
        <f t="array" ref="AE1149">_xlfn.IFS(G1149=1,"Before College",G1149=2,"College",G1149=3,"Bachelor",G1149=4,"Master",G1149=5,"Doctor")</f>
        <v>Master</v>
      </c>
      <c r="AF1149" t="str" cm="1">
        <f t="array" ref="AF1149">_xlfn.IFS(J1149=1,"Low",J1149=2,"Medium",J1149=3,"High",J1149=4,"Very High")</f>
        <v>High</v>
      </c>
      <c r="AG1149" t="str" cm="1">
        <f t="array" ref="AG1149">_xlfn.IFS(L1149=1,"Low",L1149=2,"Medium",L1149=3,"High",L1149=4,"Very High")</f>
        <v>High</v>
      </c>
      <c r="AH1149" t="str" cm="1">
        <f t="array" ref="AH1149">_xlfn.IFS(M1149=1,"Junior employee",M1149=2,"Mid-level",M1149=3,"Senior",M1149=4,"Manager",M1149=5,"Executive")</f>
        <v>Junior employee</v>
      </c>
      <c r="AI1149" t="str" cm="1">
        <f t="array" ref="AI1149">_xlfn.IFS(O1149=1,"Low",O1149=2,"Medium",O1149=3,"High",O1149=4,"Very High")</f>
        <v>Low</v>
      </c>
      <c r="AJ1149" t="str" cm="1">
        <f t="array" ref="AJ1149">_xlfn.IFS(U1149=1,"Low",U1149=2,"Good",U1149=3,"Excellent",U1149=4,"Outstanding")</f>
        <v>Excellent</v>
      </c>
      <c r="AK1149" t="str" cm="1">
        <f t="array" ref="AK1149">_xlfn.IFS(V1149=1,"Low",V1149=2,"Medium",V1149=3,"High",V1149=4,"Very High")</f>
        <v>Very High</v>
      </c>
      <c r="AL1149" t="str" cm="1">
        <f t="array" ref="AL1149">_xlfn.IFS(Z1149=1,"Bad",Z1149=2,"Good",Z1149=3,"Better",Z1149=4,"Best")</f>
        <v>Good</v>
      </c>
      <c r="AM1149" t="str" cm="1">
        <f t="array" ref="AM1149">_xlfn.IFS(W1149=0,"No_stock",W1149=1,"Low",W1149=2,"Medium",W1149=3,"High")</f>
        <v>Low</v>
      </c>
      <c r="AN1149" t="str">
        <f t="shared" si="17"/>
        <v>Far</v>
      </c>
    </row>
    <row r="1150" spans="1:40" x14ac:dyDescent="0.45">
      <c r="A1150">
        <v>39</v>
      </c>
      <c r="B1150" t="s">
        <v>37</v>
      </c>
      <c r="C1150" t="s">
        <v>31</v>
      </c>
      <c r="D1150">
        <v>1387</v>
      </c>
      <c r="E1150" t="s">
        <v>39</v>
      </c>
      <c r="F1150">
        <v>10</v>
      </c>
      <c r="G1150">
        <v>5</v>
      </c>
      <c r="H1150" t="s">
        <v>45</v>
      </c>
      <c r="I1150">
        <v>1618</v>
      </c>
      <c r="J1150">
        <v>2</v>
      </c>
      <c r="K1150" t="s">
        <v>40</v>
      </c>
      <c r="L1150">
        <v>3</v>
      </c>
      <c r="M1150">
        <v>2</v>
      </c>
      <c r="N1150" t="s">
        <v>47</v>
      </c>
      <c r="O1150">
        <v>1</v>
      </c>
      <c r="P1150" t="s">
        <v>42</v>
      </c>
      <c r="Q1150">
        <v>5377</v>
      </c>
      <c r="R1150">
        <v>2</v>
      </c>
      <c r="S1150" t="s">
        <v>37</v>
      </c>
      <c r="T1150">
        <v>13</v>
      </c>
      <c r="U1150">
        <v>3</v>
      </c>
      <c r="V1150">
        <v>4</v>
      </c>
      <c r="W1150">
        <v>3</v>
      </c>
      <c r="X1150">
        <v>10</v>
      </c>
      <c r="Y1150">
        <v>3</v>
      </c>
      <c r="Z1150">
        <v>3</v>
      </c>
      <c r="AA1150">
        <v>7</v>
      </c>
      <c r="AB1150">
        <v>7</v>
      </c>
      <c r="AC1150">
        <v>7</v>
      </c>
      <c r="AD1150">
        <v>7</v>
      </c>
      <c r="AE1150" t="str" cm="1">
        <f t="array" ref="AE1150">_xlfn.IFS(G1150=1,"Before College",G1150=2,"College",G1150=3,"Bachelor",G1150=4,"Master",G1150=5,"Doctor")</f>
        <v>Doctor</v>
      </c>
      <c r="AF1150" t="str" cm="1">
        <f t="array" ref="AF1150">_xlfn.IFS(J1150=1,"Low",J1150=2,"Medium",J1150=3,"High",J1150=4,"Very High")</f>
        <v>Medium</v>
      </c>
      <c r="AG1150" t="str" cm="1">
        <f t="array" ref="AG1150">_xlfn.IFS(L1150=1,"Low",L1150=2,"Medium",L1150=3,"High",L1150=4,"Very High")</f>
        <v>High</v>
      </c>
      <c r="AH1150" t="str" cm="1">
        <f t="array" ref="AH1150">_xlfn.IFS(M1150=1,"Junior employee",M1150=2,"Mid-level",M1150=3,"Senior",M1150=4,"Manager",M1150=5,"Executive")</f>
        <v>Mid-level</v>
      </c>
      <c r="AI1150" t="str" cm="1">
        <f t="array" ref="AI1150">_xlfn.IFS(O1150=1,"Low",O1150=2,"Medium",O1150=3,"High",O1150=4,"Very High")</f>
        <v>Low</v>
      </c>
      <c r="AJ1150" t="str" cm="1">
        <f t="array" ref="AJ1150">_xlfn.IFS(U1150=1,"Low",U1150=2,"Good",U1150=3,"Excellent",U1150=4,"Outstanding")</f>
        <v>Excellent</v>
      </c>
      <c r="AK1150" t="str" cm="1">
        <f t="array" ref="AK1150">_xlfn.IFS(V1150=1,"Low",V1150=2,"Medium",V1150=3,"High",V1150=4,"Very High")</f>
        <v>Very High</v>
      </c>
      <c r="AL1150" t="str" cm="1">
        <f t="array" ref="AL1150">_xlfn.IFS(Z1150=1,"Bad",Z1150=2,"Good",Z1150=3,"Better",Z1150=4,"Best")</f>
        <v>Better</v>
      </c>
      <c r="AM1150" t="str" cm="1">
        <f t="array" ref="AM1150">_xlfn.IFS(W1150=0,"No_stock",W1150=1,"Low",W1150=2,"Medium",W1150=3,"High")</f>
        <v>High</v>
      </c>
      <c r="AN1150" t="str">
        <f t="shared" si="17"/>
        <v>Medium</v>
      </c>
    </row>
    <row r="1151" spans="1:40" x14ac:dyDescent="0.45">
      <c r="A1151">
        <v>27</v>
      </c>
      <c r="B1151" t="s">
        <v>37</v>
      </c>
      <c r="C1151" t="s">
        <v>31</v>
      </c>
      <c r="D1151">
        <v>1302</v>
      </c>
      <c r="E1151" t="s">
        <v>39</v>
      </c>
      <c r="F1151">
        <v>19</v>
      </c>
      <c r="G1151">
        <v>3</v>
      </c>
      <c r="H1151" t="s">
        <v>43</v>
      </c>
      <c r="I1151">
        <v>1619</v>
      </c>
      <c r="J1151">
        <v>4</v>
      </c>
      <c r="K1151" t="s">
        <v>40</v>
      </c>
      <c r="L1151">
        <v>2</v>
      </c>
      <c r="M1151">
        <v>1</v>
      </c>
      <c r="N1151" t="s">
        <v>44</v>
      </c>
      <c r="O1151">
        <v>1</v>
      </c>
      <c r="P1151" t="s">
        <v>46</v>
      </c>
      <c r="Q1151">
        <v>4066</v>
      </c>
      <c r="R1151">
        <v>1</v>
      </c>
      <c r="S1151" t="s">
        <v>37</v>
      </c>
      <c r="T1151">
        <v>11</v>
      </c>
      <c r="U1151">
        <v>3</v>
      </c>
      <c r="V1151">
        <v>1</v>
      </c>
      <c r="W1151">
        <v>2</v>
      </c>
      <c r="X1151">
        <v>7</v>
      </c>
      <c r="Y1151">
        <v>3</v>
      </c>
      <c r="Z1151">
        <v>3</v>
      </c>
      <c r="AA1151">
        <v>7</v>
      </c>
      <c r="AB1151">
        <v>7</v>
      </c>
      <c r="AC1151">
        <v>0</v>
      </c>
      <c r="AD1151">
        <v>7</v>
      </c>
      <c r="AE1151" t="str" cm="1">
        <f t="array" ref="AE1151">_xlfn.IFS(G1151=1,"Before College",G1151=2,"College",G1151=3,"Bachelor",G1151=4,"Master",G1151=5,"Doctor")</f>
        <v>Bachelor</v>
      </c>
      <c r="AF1151" t="str" cm="1">
        <f t="array" ref="AF1151">_xlfn.IFS(J1151=1,"Low",J1151=2,"Medium",J1151=3,"High",J1151=4,"Very High")</f>
        <v>Very High</v>
      </c>
      <c r="AG1151" t="str" cm="1">
        <f t="array" ref="AG1151">_xlfn.IFS(L1151=1,"Low",L1151=2,"Medium",L1151=3,"High",L1151=4,"Very High")</f>
        <v>Medium</v>
      </c>
      <c r="AH1151" t="str" cm="1">
        <f t="array" ref="AH1151">_xlfn.IFS(M1151=1,"Junior employee",M1151=2,"Mid-level",M1151=3,"Senior",M1151=4,"Manager",M1151=5,"Executive")</f>
        <v>Junior employee</v>
      </c>
      <c r="AI1151" t="str" cm="1">
        <f t="array" ref="AI1151">_xlfn.IFS(O1151=1,"Low",O1151=2,"Medium",O1151=3,"High",O1151=4,"Very High")</f>
        <v>Low</v>
      </c>
      <c r="AJ1151" t="str" cm="1">
        <f t="array" ref="AJ1151">_xlfn.IFS(U1151=1,"Low",U1151=2,"Good",U1151=3,"Excellent",U1151=4,"Outstanding")</f>
        <v>Excellent</v>
      </c>
      <c r="AK1151" t="str" cm="1">
        <f t="array" ref="AK1151">_xlfn.IFS(V1151=1,"Low",V1151=2,"Medium",V1151=3,"High",V1151=4,"Very High")</f>
        <v>Low</v>
      </c>
      <c r="AL1151" t="str" cm="1">
        <f t="array" ref="AL1151">_xlfn.IFS(Z1151=1,"Bad",Z1151=2,"Good",Z1151=3,"Better",Z1151=4,"Best")</f>
        <v>Better</v>
      </c>
      <c r="AM1151" t="str" cm="1">
        <f t="array" ref="AM1151">_xlfn.IFS(W1151=0,"No_stock",W1151=1,"Low",W1151=2,"Medium",W1151=3,"High")</f>
        <v>Medium</v>
      </c>
      <c r="AN1151" t="str">
        <f t="shared" si="17"/>
        <v>Far</v>
      </c>
    </row>
    <row r="1152" spans="1:40" x14ac:dyDescent="0.45">
      <c r="A1152">
        <v>35</v>
      </c>
      <c r="B1152" t="s">
        <v>37</v>
      </c>
      <c r="C1152" t="s">
        <v>31</v>
      </c>
      <c r="D1152">
        <v>819</v>
      </c>
      <c r="E1152" t="s">
        <v>39</v>
      </c>
      <c r="F1152">
        <v>18</v>
      </c>
      <c r="G1152">
        <v>5</v>
      </c>
      <c r="H1152" t="s">
        <v>33</v>
      </c>
      <c r="I1152">
        <v>1621</v>
      </c>
      <c r="J1152">
        <v>2</v>
      </c>
      <c r="K1152" t="s">
        <v>40</v>
      </c>
      <c r="L1152">
        <v>4</v>
      </c>
      <c r="M1152">
        <v>2</v>
      </c>
      <c r="N1152" t="s">
        <v>41</v>
      </c>
      <c r="O1152">
        <v>1</v>
      </c>
      <c r="P1152" t="s">
        <v>42</v>
      </c>
      <c r="Q1152">
        <v>5208</v>
      </c>
      <c r="R1152">
        <v>1</v>
      </c>
      <c r="S1152" t="s">
        <v>37</v>
      </c>
      <c r="T1152">
        <v>11</v>
      </c>
      <c r="U1152">
        <v>3</v>
      </c>
      <c r="V1152">
        <v>4</v>
      </c>
      <c r="W1152">
        <v>0</v>
      </c>
      <c r="X1152">
        <v>16</v>
      </c>
      <c r="Y1152">
        <v>2</v>
      </c>
      <c r="Z1152">
        <v>3</v>
      </c>
      <c r="AA1152">
        <v>16</v>
      </c>
      <c r="AB1152">
        <v>15</v>
      </c>
      <c r="AC1152">
        <v>1</v>
      </c>
      <c r="AD1152">
        <v>10</v>
      </c>
      <c r="AE1152" t="str" cm="1">
        <f t="array" ref="AE1152">_xlfn.IFS(G1152=1,"Before College",G1152=2,"College",G1152=3,"Bachelor",G1152=4,"Master",G1152=5,"Doctor")</f>
        <v>Doctor</v>
      </c>
      <c r="AF1152" t="str" cm="1">
        <f t="array" ref="AF1152">_xlfn.IFS(J1152=1,"Low",J1152=2,"Medium",J1152=3,"High",J1152=4,"Very High")</f>
        <v>Medium</v>
      </c>
      <c r="AG1152" t="str" cm="1">
        <f t="array" ref="AG1152">_xlfn.IFS(L1152=1,"Low",L1152=2,"Medium",L1152=3,"High",L1152=4,"Very High")</f>
        <v>Very High</v>
      </c>
      <c r="AH1152" t="str" cm="1">
        <f t="array" ref="AH1152">_xlfn.IFS(M1152=1,"Junior employee",M1152=2,"Mid-level",M1152=3,"Senior",M1152=4,"Manager",M1152=5,"Executive")</f>
        <v>Mid-level</v>
      </c>
      <c r="AI1152" t="str" cm="1">
        <f t="array" ref="AI1152">_xlfn.IFS(O1152=1,"Low",O1152=2,"Medium",O1152=3,"High",O1152=4,"Very High")</f>
        <v>Low</v>
      </c>
      <c r="AJ1152" t="str" cm="1">
        <f t="array" ref="AJ1152">_xlfn.IFS(U1152=1,"Low",U1152=2,"Good",U1152=3,"Excellent",U1152=4,"Outstanding")</f>
        <v>Excellent</v>
      </c>
      <c r="AK1152" t="str" cm="1">
        <f t="array" ref="AK1152">_xlfn.IFS(V1152=1,"Low",V1152=2,"Medium",V1152=3,"High",V1152=4,"Very High")</f>
        <v>Very High</v>
      </c>
      <c r="AL1152" t="str" cm="1">
        <f t="array" ref="AL1152">_xlfn.IFS(Z1152=1,"Bad",Z1152=2,"Good",Z1152=3,"Better",Z1152=4,"Best")</f>
        <v>Better</v>
      </c>
      <c r="AM1152" t="str" cm="1">
        <f t="array" ref="AM1152">_xlfn.IFS(W1152=0,"No_stock",W1152=1,"Low",W1152=2,"Medium",W1152=3,"High")</f>
        <v>No_stock</v>
      </c>
      <c r="AN1152" t="str">
        <f t="shared" si="17"/>
        <v>Far</v>
      </c>
    </row>
    <row r="1153" spans="1:40" x14ac:dyDescent="0.45">
      <c r="A1153">
        <v>28</v>
      </c>
      <c r="B1153" t="s">
        <v>37</v>
      </c>
      <c r="C1153" t="s">
        <v>31</v>
      </c>
      <c r="D1153">
        <v>580</v>
      </c>
      <c r="E1153" t="s">
        <v>39</v>
      </c>
      <c r="F1153">
        <v>27</v>
      </c>
      <c r="G1153">
        <v>3</v>
      </c>
      <c r="H1153" t="s">
        <v>45</v>
      </c>
      <c r="I1153">
        <v>1622</v>
      </c>
      <c r="J1153">
        <v>2</v>
      </c>
      <c r="K1153" t="s">
        <v>34</v>
      </c>
      <c r="L1153">
        <v>1</v>
      </c>
      <c r="M1153">
        <v>2</v>
      </c>
      <c r="N1153" t="s">
        <v>47</v>
      </c>
      <c r="O1153">
        <v>1</v>
      </c>
      <c r="P1153" t="s">
        <v>46</v>
      </c>
      <c r="Q1153">
        <v>4877</v>
      </c>
      <c r="R1153">
        <v>0</v>
      </c>
      <c r="S1153" t="s">
        <v>37</v>
      </c>
      <c r="T1153">
        <v>21</v>
      </c>
      <c r="U1153">
        <v>4</v>
      </c>
      <c r="V1153">
        <v>2</v>
      </c>
      <c r="W1153">
        <v>1</v>
      </c>
      <c r="X1153">
        <v>6</v>
      </c>
      <c r="Y1153">
        <v>5</v>
      </c>
      <c r="Z1153">
        <v>2</v>
      </c>
      <c r="AA1153">
        <v>5</v>
      </c>
      <c r="AB1153">
        <v>3</v>
      </c>
      <c r="AC1153">
        <v>0</v>
      </c>
      <c r="AD1153">
        <v>0</v>
      </c>
      <c r="AE1153" t="str" cm="1">
        <f t="array" ref="AE1153">_xlfn.IFS(G1153=1,"Before College",G1153=2,"College",G1153=3,"Bachelor",G1153=4,"Master",G1153=5,"Doctor")</f>
        <v>Bachelor</v>
      </c>
      <c r="AF1153" t="str" cm="1">
        <f t="array" ref="AF1153">_xlfn.IFS(J1153=1,"Low",J1153=2,"Medium",J1153=3,"High",J1153=4,"Very High")</f>
        <v>Medium</v>
      </c>
      <c r="AG1153" t="str" cm="1">
        <f t="array" ref="AG1153">_xlfn.IFS(L1153=1,"Low",L1153=2,"Medium",L1153=3,"High",L1153=4,"Very High")</f>
        <v>Low</v>
      </c>
      <c r="AH1153" t="str" cm="1">
        <f t="array" ref="AH1153">_xlfn.IFS(M1153=1,"Junior employee",M1153=2,"Mid-level",M1153=3,"Senior",M1153=4,"Manager",M1153=5,"Executive")</f>
        <v>Mid-level</v>
      </c>
      <c r="AI1153" t="str" cm="1">
        <f t="array" ref="AI1153">_xlfn.IFS(O1153=1,"Low",O1153=2,"Medium",O1153=3,"High",O1153=4,"Very High")</f>
        <v>Low</v>
      </c>
      <c r="AJ1153" t="str" cm="1">
        <f t="array" ref="AJ1153">_xlfn.IFS(U1153=1,"Low",U1153=2,"Good",U1153=3,"Excellent",U1153=4,"Outstanding")</f>
        <v>Outstanding</v>
      </c>
      <c r="AK1153" t="str" cm="1">
        <f t="array" ref="AK1153">_xlfn.IFS(V1153=1,"Low",V1153=2,"Medium",V1153=3,"High",V1153=4,"Very High")</f>
        <v>Medium</v>
      </c>
      <c r="AL1153" t="str" cm="1">
        <f t="array" ref="AL1153">_xlfn.IFS(Z1153=1,"Bad",Z1153=2,"Good",Z1153=3,"Better",Z1153=4,"Best")</f>
        <v>Good</v>
      </c>
      <c r="AM1153" t="str" cm="1">
        <f t="array" ref="AM1153">_xlfn.IFS(W1153=0,"No_stock",W1153=1,"Low",W1153=2,"Medium",W1153=3,"High")</f>
        <v>Low</v>
      </c>
      <c r="AN1153" t="str">
        <f t="shared" si="17"/>
        <v>Far</v>
      </c>
    </row>
    <row r="1154" spans="1:40" x14ac:dyDescent="0.45">
      <c r="A1154">
        <v>21</v>
      </c>
      <c r="B1154" t="s">
        <v>37</v>
      </c>
      <c r="C1154" t="s">
        <v>31</v>
      </c>
      <c r="D1154">
        <v>546</v>
      </c>
      <c r="E1154" t="s">
        <v>39</v>
      </c>
      <c r="F1154">
        <v>5</v>
      </c>
      <c r="G1154">
        <v>1</v>
      </c>
      <c r="H1154" t="s">
        <v>45</v>
      </c>
      <c r="I1154">
        <v>1623</v>
      </c>
      <c r="J1154">
        <v>3</v>
      </c>
      <c r="K1154" t="s">
        <v>40</v>
      </c>
      <c r="L1154">
        <v>3</v>
      </c>
      <c r="M1154">
        <v>1</v>
      </c>
      <c r="N1154" t="s">
        <v>41</v>
      </c>
      <c r="O1154">
        <v>4</v>
      </c>
      <c r="P1154" t="s">
        <v>36</v>
      </c>
      <c r="Q1154">
        <v>3117</v>
      </c>
      <c r="R1154">
        <v>1</v>
      </c>
      <c r="S1154" t="s">
        <v>37</v>
      </c>
      <c r="T1154">
        <v>18</v>
      </c>
      <c r="U1154">
        <v>3</v>
      </c>
      <c r="V1154">
        <v>3</v>
      </c>
      <c r="W1154">
        <v>0</v>
      </c>
      <c r="X1154">
        <v>3</v>
      </c>
      <c r="Y1154">
        <v>2</v>
      </c>
      <c r="Z1154">
        <v>3</v>
      </c>
      <c r="AA1154">
        <v>2</v>
      </c>
      <c r="AB1154">
        <v>2</v>
      </c>
      <c r="AC1154">
        <v>2</v>
      </c>
      <c r="AD1154">
        <v>2</v>
      </c>
      <c r="AE1154" t="str" cm="1">
        <f t="array" ref="AE1154">_xlfn.IFS(G1154=1,"Before College",G1154=2,"College",G1154=3,"Bachelor",G1154=4,"Master",G1154=5,"Doctor")</f>
        <v>Before College</v>
      </c>
      <c r="AF1154" t="str" cm="1">
        <f t="array" ref="AF1154">_xlfn.IFS(J1154=1,"Low",J1154=2,"Medium",J1154=3,"High",J1154=4,"Very High")</f>
        <v>High</v>
      </c>
      <c r="AG1154" t="str" cm="1">
        <f t="array" ref="AG1154">_xlfn.IFS(L1154=1,"Low",L1154=2,"Medium",L1154=3,"High",L1154=4,"Very High")</f>
        <v>High</v>
      </c>
      <c r="AH1154" t="str" cm="1">
        <f t="array" ref="AH1154">_xlfn.IFS(M1154=1,"Junior employee",M1154=2,"Mid-level",M1154=3,"Senior",M1154=4,"Manager",M1154=5,"Executive")</f>
        <v>Junior employee</v>
      </c>
      <c r="AI1154" t="str" cm="1">
        <f t="array" ref="AI1154">_xlfn.IFS(O1154=1,"Low",O1154=2,"Medium",O1154=3,"High",O1154=4,"Very High")</f>
        <v>Very High</v>
      </c>
      <c r="AJ1154" t="str" cm="1">
        <f t="array" ref="AJ1154">_xlfn.IFS(U1154=1,"Low",U1154=2,"Good",U1154=3,"Excellent",U1154=4,"Outstanding")</f>
        <v>Excellent</v>
      </c>
      <c r="AK1154" t="str" cm="1">
        <f t="array" ref="AK1154">_xlfn.IFS(V1154=1,"Low",V1154=2,"Medium",V1154=3,"High",V1154=4,"Very High")</f>
        <v>High</v>
      </c>
      <c r="AL1154" t="str" cm="1">
        <f t="array" ref="AL1154">_xlfn.IFS(Z1154=1,"Bad",Z1154=2,"Good",Z1154=3,"Better",Z1154=4,"Best")</f>
        <v>Better</v>
      </c>
      <c r="AM1154" t="str" cm="1">
        <f t="array" ref="AM1154">_xlfn.IFS(W1154=0,"No_stock",W1154=1,"Low",W1154=2,"Medium",W1154=3,"High")</f>
        <v>No_stock</v>
      </c>
      <c r="AN1154" t="str">
        <f t="shared" ref="AN1154:AN1217" si="18">IF(F1154&lt;=5,"Near",IF(F1154&lt;=15,"Medium","Far"))</f>
        <v>Near</v>
      </c>
    </row>
    <row r="1155" spans="1:40" x14ac:dyDescent="0.45">
      <c r="A1155">
        <v>18</v>
      </c>
      <c r="B1155" t="s">
        <v>30</v>
      </c>
      <c r="C1155" t="s">
        <v>38</v>
      </c>
      <c r="D1155">
        <v>544</v>
      </c>
      <c r="E1155" t="s">
        <v>32</v>
      </c>
      <c r="F1155">
        <v>3</v>
      </c>
      <c r="G1155">
        <v>2</v>
      </c>
      <c r="H1155" t="s">
        <v>45</v>
      </c>
      <c r="I1155">
        <v>1624</v>
      </c>
      <c r="J1155">
        <v>2</v>
      </c>
      <c r="K1155" t="s">
        <v>34</v>
      </c>
      <c r="L1155">
        <v>3</v>
      </c>
      <c r="M1155">
        <v>1</v>
      </c>
      <c r="N1155" t="s">
        <v>51</v>
      </c>
      <c r="O1155">
        <v>4</v>
      </c>
      <c r="P1155" t="s">
        <v>36</v>
      </c>
      <c r="Q1155">
        <v>1569</v>
      </c>
      <c r="R1155">
        <v>1</v>
      </c>
      <c r="S1155" t="s">
        <v>30</v>
      </c>
      <c r="T1155">
        <v>12</v>
      </c>
      <c r="U1155">
        <v>3</v>
      </c>
      <c r="V1155">
        <v>3</v>
      </c>
      <c r="W1155">
        <v>0</v>
      </c>
      <c r="X1155">
        <v>0</v>
      </c>
      <c r="Y1155">
        <v>2</v>
      </c>
      <c r="Z1155">
        <v>4</v>
      </c>
      <c r="AA1155">
        <v>0</v>
      </c>
      <c r="AB1155">
        <v>0</v>
      </c>
      <c r="AC1155">
        <v>0</v>
      </c>
      <c r="AD1155">
        <v>0</v>
      </c>
      <c r="AE1155" t="str" cm="1">
        <f t="array" ref="AE1155">_xlfn.IFS(G1155=1,"Before College",G1155=2,"College",G1155=3,"Bachelor",G1155=4,"Master",G1155=5,"Doctor")</f>
        <v>College</v>
      </c>
      <c r="AF1155" t="str" cm="1">
        <f t="array" ref="AF1155">_xlfn.IFS(J1155=1,"Low",J1155=2,"Medium",J1155=3,"High",J1155=4,"Very High")</f>
        <v>Medium</v>
      </c>
      <c r="AG1155" t="str" cm="1">
        <f t="array" ref="AG1155">_xlfn.IFS(L1155=1,"Low",L1155=2,"Medium",L1155=3,"High",L1155=4,"Very High")</f>
        <v>High</v>
      </c>
      <c r="AH1155" t="str" cm="1">
        <f t="array" ref="AH1155">_xlfn.IFS(M1155=1,"Junior employee",M1155=2,"Mid-level",M1155=3,"Senior",M1155=4,"Manager",M1155=5,"Executive")</f>
        <v>Junior employee</v>
      </c>
      <c r="AI1155" t="str" cm="1">
        <f t="array" ref="AI1155">_xlfn.IFS(O1155=1,"Low",O1155=2,"Medium",O1155=3,"High",O1155=4,"Very High")</f>
        <v>Very High</v>
      </c>
      <c r="AJ1155" t="str" cm="1">
        <f t="array" ref="AJ1155">_xlfn.IFS(U1155=1,"Low",U1155=2,"Good",U1155=3,"Excellent",U1155=4,"Outstanding")</f>
        <v>Excellent</v>
      </c>
      <c r="AK1155" t="str" cm="1">
        <f t="array" ref="AK1155">_xlfn.IFS(V1155=1,"Low",V1155=2,"Medium",V1155=3,"High",V1155=4,"Very High")</f>
        <v>High</v>
      </c>
      <c r="AL1155" t="str" cm="1">
        <f t="array" ref="AL1155">_xlfn.IFS(Z1155=1,"Bad",Z1155=2,"Good",Z1155=3,"Better",Z1155=4,"Best")</f>
        <v>Best</v>
      </c>
      <c r="AM1155" t="str" cm="1">
        <f t="array" ref="AM1155">_xlfn.IFS(W1155=0,"No_stock",W1155=1,"Low",W1155=2,"Medium",W1155=3,"High")</f>
        <v>No_stock</v>
      </c>
      <c r="AN1155" t="str">
        <f t="shared" si="18"/>
        <v>Near</v>
      </c>
    </row>
    <row r="1156" spans="1:40" x14ac:dyDescent="0.45">
      <c r="A1156">
        <v>47</v>
      </c>
      <c r="B1156" t="s">
        <v>37</v>
      </c>
      <c r="C1156" t="s">
        <v>31</v>
      </c>
      <c r="D1156">
        <v>1176</v>
      </c>
      <c r="E1156" t="s">
        <v>55</v>
      </c>
      <c r="F1156">
        <v>26</v>
      </c>
      <c r="G1156">
        <v>4</v>
      </c>
      <c r="H1156" t="s">
        <v>33</v>
      </c>
      <c r="I1156">
        <v>1625</v>
      </c>
      <c r="J1156">
        <v>4</v>
      </c>
      <c r="K1156" t="s">
        <v>34</v>
      </c>
      <c r="L1156">
        <v>3</v>
      </c>
      <c r="M1156">
        <v>5</v>
      </c>
      <c r="N1156" t="s">
        <v>50</v>
      </c>
      <c r="O1156">
        <v>3</v>
      </c>
      <c r="P1156" t="s">
        <v>42</v>
      </c>
      <c r="Q1156">
        <v>19658</v>
      </c>
      <c r="R1156">
        <v>3</v>
      </c>
      <c r="S1156" t="s">
        <v>37</v>
      </c>
      <c r="T1156">
        <v>11</v>
      </c>
      <c r="U1156">
        <v>3</v>
      </c>
      <c r="V1156">
        <v>3</v>
      </c>
      <c r="W1156">
        <v>1</v>
      </c>
      <c r="X1156">
        <v>27</v>
      </c>
      <c r="Y1156">
        <v>2</v>
      </c>
      <c r="Z1156">
        <v>3</v>
      </c>
      <c r="AA1156">
        <v>5</v>
      </c>
      <c r="AB1156">
        <v>2</v>
      </c>
      <c r="AC1156">
        <v>1</v>
      </c>
      <c r="AD1156">
        <v>0</v>
      </c>
      <c r="AE1156" t="str" cm="1">
        <f t="array" ref="AE1156">_xlfn.IFS(G1156=1,"Before College",G1156=2,"College",G1156=3,"Bachelor",G1156=4,"Master",G1156=5,"Doctor")</f>
        <v>Master</v>
      </c>
      <c r="AF1156" t="str" cm="1">
        <f t="array" ref="AF1156">_xlfn.IFS(J1156=1,"Low",J1156=2,"Medium",J1156=3,"High",J1156=4,"Very High")</f>
        <v>Very High</v>
      </c>
      <c r="AG1156" t="str" cm="1">
        <f t="array" ref="AG1156">_xlfn.IFS(L1156=1,"Low",L1156=2,"Medium",L1156=3,"High",L1156=4,"Very High")</f>
        <v>High</v>
      </c>
      <c r="AH1156" t="str" cm="1">
        <f t="array" ref="AH1156">_xlfn.IFS(M1156=1,"Junior employee",M1156=2,"Mid-level",M1156=3,"Senior",M1156=4,"Manager",M1156=5,"Executive")</f>
        <v>Executive</v>
      </c>
      <c r="AI1156" t="str" cm="1">
        <f t="array" ref="AI1156">_xlfn.IFS(O1156=1,"Low",O1156=2,"Medium",O1156=3,"High",O1156=4,"Very High")</f>
        <v>High</v>
      </c>
      <c r="AJ1156" t="str" cm="1">
        <f t="array" ref="AJ1156">_xlfn.IFS(U1156=1,"Low",U1156=2,"Good",U1156=3,"Excellent",U1156=4,"Outstanding")</f>
        <v>Excellent</v>
      </c>
      <c r="AK1156" t="str" cm="1">
        <f t="array" ref="AK1156">_xlfn.IFS(V1156=1,"Low",V1156=2,"Medium",V1156=3,"High",V1156=4,"Very High")</f>
        <v>High</v>
      </c>
      <c r="AL1156" t="str" cm="1">
        <f t="array" ref="AL1156">_xlfn.IFS(Z1156=1,"Bad",Z1156=2,"Good",Z1156=3,"Better",Z1156=4,"Best")</f>
        <v>Better</v>
      </c>
      <c r="AM1156" t="str" cm="1">
        <f t="array" ref="AM1156">_xlfn.IFS(W1156=0,"No_stock",W1156=1,"Low",W1156=2,"Medium",W1156=3,"High")</f>
        <v>Low</v>
      </c>
      <c r="AN1156" t="str">
        <f t="shared" si="18"/>
        <v>Far</v>
      </c>
    </row>
    <row r="1157" spans="1:40" x14ac:dyDescent="0.45">
      <c r="A1157">
        <v>39</v>
      </c>
      <c r="B1157" t="s">
        <v>37</v>
      </c>
      <c r="C1157" t="s">
        <v>31</v>
      </c>
      <c r="D1157">
        <v>170</v>
      </c>
      <c r="E1157" t="s">
        <v>39</v>
      </c>
      <c r="F1157">
        <v>3</v>
      </c>
      <c r="G1157">
        <v>2</v>
      </c>
      <c r="H1157" t="s">
        <v>45</v>
      </c>
      <c r="I1157">
        <v>1627</v>
      </c>
      <c r="J1157">
        <v>3</v>
      </c>
      <c r="K1157" t="s">
        <v>40</v>
      </c>
      <c r="L1157">
        <v>2</v>
      </c>
      <c r="M1157">
        <v>2</v>
      </c>
      <c r="N1157" t="s">
        <v>44</v>
      </c>
      <c r="O1157">
        <v>3</v>
      </c>
      <c r="P1157" t="s">
        <v>46</v>
      </c>
      <c r="Q1157">
        <v>3069</v>
      </c>
      <c r="R1157">
        <v>0</v>
      </c>
      <c r="S1157" t="s">
        <v>37</v>
      </c>
      <c r="T1157">
        <v>15</v>
      </c>
      <c r="U1157">
        <v>3</v>
      </c>
      <c r="V1157">
        <v>4</v>
      </c>
      <c r="W1157">
        <v>1</v>
      </c>
      <c r="X1157">
        <v>11</v>
      </c>
      <c r="Y1157">
        <v>3</v>
      </c>
      <c r="Z1157">
        <v>3</v>
      </c>
      <c r="AA1157">
        <v>10</v>
      </c>
      <c r="AB1157">
        <v>8</v>
      </c>
      <c r="AC1157">
        <v>0</v>
      </c>
      <c r="AD1157">
        <v>7</v>
      </c>
      <c r="AE1157" t="str" cm="1">
        <f t="array" ref="AE1157">_xlfn.IFS(G1157=1,"Before College",G1157=2,"College",G1157=3,"Bachelor",G1157=4,"Master",G1157=5,"Doctor")</f>
        <v>College</v>
      </c>
      <c r="AF1157" t="str" cm="1">
        <f t="array" ref="AF1157">_xlfn.IFS(J1157=1,"Low",J1157=2,"Medium",J1157=3,"High",J1157=4,"Very High")</f>
        <v>High</v>
      </c>
      <c r="AG1157" t="str" cm="1">
        <f t="array" ref="AG1157">_xlfn.IFS(L1157=1,"Low",L1157=2,"Medium",L1157=3,"High",L1157=4,"Very High")</f>
        <v>Medium</v>
      </c>
      <c r="AH1157" t="str" cm="1">
        <f t="array" ref="AH1157">_xlfn.IFS(M1157=1,"Junior employee",M1157=2,"Mid-level",M1157=3,"Senior",M1157=4,"Manager",M1157=5,"Executive")</f>
        <v>Mid-level</v>
      </c>
      <c r="AI1157" t="str" cm="1">
        <f t="array" ref="AI1157">_xlfn.IFS(O1157=1,"Low",O1157=2,"Medium",O1157=3,"High",O1157=4,"Very High")</f>
        <v>High</v>
      </c>
      <c r="AJ1157" t="str" cm="1">
        <f t="array" ref="AJ1157">_xlfn.IFS(U1157=1,"Low",U1157=2,"Good",U1157=3,"Excellent",U1157=4,"Outstanding")</f>
        <v>Excellent</v>
      </c>
      <c r="AK1157" t="str" cm="1">
        <f t="array" ref="AK1157">_xlfn.IFS(V1157=1,"Low",V1157=2,"Medium",V1157=3,"High",V1157=4,"Very High")</f>
        <v>Very High</v>
      </c>
      <c r="AL1157" t="str" cm="1">
        <f t="array" ref="AL1157">_xlfn.IFS(Z1157=1,"Bad",Z1157=2,"Good",Z1157=3,"Better",Z1157=4,"Best")</f>
        <v>Better</v>
      </c>
      <c r="AM1157" t="str" cm="1">
        <f t="array" ref="AM1157">_xlfn.IFS(W1157=0,"No_stock",W1157=1,"Low",W1157=2,"Medium",W1157=3,"High")</f>
        <v>Low</v>
      </c>
      <c r="AN1157" t="str">
        <f t="shared" si="18"/>
        <v>Near</v>
      </c>
    </row>
    <row r="1158" spans="1:40" x14ac:dyDescent="0.45">
      <c r="A1158">
        <v>40</v>
      </c>
      <c r="B1158" t="s">
        <v>37</v>
      </c>
      <c r="C1158" t="s">
        <v>31</v>
      </c>
      <c r="D1158">
        <v>884</v>
      </c>
      <c r="E1158" t="s">
        <v>39</v>
      </c>
      <c r="F1158">
        <v>15</v>
      </c>
      <c r="G1158">
        <v>3</v>
      </c>
      <c r="H1158" t="s">
        <v>33</v>
      </c>
      <c r="I1158">
        <v>1628</v>
      </c>
      <c r="J1158">
        <v>1</v>
      </c>
      <c r="K1158" t="s">
        <v>34</v>
      </c>
      <c r="L1158">
        <v>2</v>
      </c>
      <c r="M1158">
        <v>3</v>
      </c>
      <c r="N1158" t="s">
        <v>47</v>
      </c>
      <c r="O1158">
        <v>3</v>
      </c>
      <c r="P1158" t="s">
        <v>42</v>
      </c>
      <c r="Q1158">
        <v>10435</v>
      </c>
      <c r="R1158">
        <v>1</v>
      </c>
      <c r="S1158" t="s">
        <v>37</v>
      </c>
      <c r="T1158">
        <v>13</v>
      </c>
      <c r="U1158">
        <v>3</v>
      </c>
      <c r="V1158">
        <v>4</v>
      </c>
      <c r="W1158">
        <v>2</v>
      </c>
      <c r="X1158">
        <v>18</v>
      </c>
      <c r="Y1158">
        <v>2</v>
      </c>
      <c r="Z1158">
        <v>3</v>
      </c>
      <c r="AA1158">
        <v>18</v>
      </c>
      <c r="AB1158">
        <v>15</v>
      </c>
      <c r="AC1158">
        <v>14</v>
      </c>
      <c r="AD1158">
        <v>12</v>
      </c>
      <c r="AE1158" t="str" cm="1">
        <f t="array" ref="AE1158">_xlfn.IFS(G1158=1,"Before College",G1158=2,"College",G1158=3,"Bachelor",G1158=4,"Master",G1158=5,"Doctor")</f>
        <v>Bachelor</v>
      </c>
      <c r="AF1158" t="str" cm="1">
        <f t="array" ref="AF1158">_xlfn.IFS(J1158=1,"Low",J1158=2,"Medium",J1158=3,"High",J1158=4,"Very High")</f>
        <v>Low</v>
      </c>
      <c r="AG1158" t="str" cm="1">
        <f t="array" ref="AG1158">_xlfn.IFS(L1158=1,"Low",L1158=2,"Medium",L1158=3,"High",L1158=4,"Very High")</f>
        <v>Medium</v>
      </c>
      <c r="AH1158" t="str" cm="1">
        <f t="array" ref="AH1158">_xlfn.IFS(M1158=1,"Junior employee",M1158=2,"Mid-level",M1158=3,"Senior",M1158=4,"Manager",M1158=5,"Executive")</f>
        <v>Senior</v>
      </c>
      <c r="AI1158" t="str" cm="1">
        <f t="array" ref="AI1158">_xlfn.IFS(O1158=1,"Low",O1158=2,"Medium",O1158=3,"High",O1158=4,"Very High")</f>
        <v>High</v>
      </c>
      <c r="AJ1158" t="str" cm="1">
        <f t="array" ref="AJ1158">_xlfn.IFS(U1158=1,"Low",U1158=2,"Good",U1158=3,"Excellent",U1158=4,"Outstanding")</f>
        <v>Excellent</v>
      </c>
      <c r="AK1158" t="str" cm="1">
        <f t="array" ref="AK1158">_xlfn.IFS(V1158=1,"Low",V1158=2,"Medium",V1158=3,"High",V1158=4,"Very High")</f>
        <v>Very High</v>
      </c>
      <c r="AL1158" t="str" cm="1">
        <f t="array" ref="AL1158">_xlfn.IFS(Z1158=1,"Bad",Z1158=2,"Good",Z1158=3,"Better",Z1158=4,"Best")</f>
        <v>Better</v>
      </c>
      <c r="AM1158" t="str" cm="1">
        <f t="array" ref="AM1158">_xlfn.IFS(W1158=0,"No_stock",W1158=1,"Low",W1158=2,"Medium",W1158=3,"High")</f>
        <v>Medium</v>
      </c>
      <c r="AN1158" t="str">
        <f t="shared" si="18"/>
        <v>Medium</v>
      </c>
    </row>
    <row r="1159" spans="1:40" x14ac:dyDescent="0.45">
      <c r="A1159">
        <v>35</v>
      </c>
      <c r="B1159" t="s">
        <v>37</v>
      </c>
      <c r="C1159" t="s">
        <v>49</v>
      </c>
      <c r="D1159">
        <v>208</v>
      </c>
      <c r="E1159" t="s">
        <v>39</v>
      </c>
      <c r="F1159">
        <v>8</v>
      </c>
      <c r="G1159">
        <v>4</v>
      </c>
      <c r="H1159" t="s">
        <v>33</v>
      </c>
      <c r="I1159">
        <v>1630</v>
      </c>
      <c r="J1159">
        <v>3</v>
      </c>
      <c r="K1159" t="s">
        <v>34</v>
      </c>
      <c r="L1159">
        <v>3</v>
      </c>
      <c r="M1159">
        <v>2</v>
      </c>
      <c r="N1159" t="s">
        <v>48</v>
      </c>
      <c r="O1159">
        <v>3</v>
      </c>
      <c r="P1159" t="s">
        <v>42</v>
      </c>
      <c r="Q1159">
        <v>4148</v>
      </c>
      <c r="R1159">
        <v>1</v>
      </c>
      <c r="S1159" t="s">
        <v>37</v>
      </c>
      <c r="T1159">
        <v>12</v>
      </c>
      <c r="U1159">
        <v>3</v>
      </c>
      <c r="V1159">
        <v>4</v>
      </c>
      <c r="W1159">
        <v>1</v>
      </c>
      <c r="X1159">
        <v>15</v>
      </c>
      <c r="Y1159">
        <v>5</v>
      </c>
      <c r="Z1159">
        <v>3</v>
      </c>
      <c r="AA1159">
        <v>14</v>
      </c>
      <c r="AB1159">
        <v>11</v>
      </c>
      <c r="AC1159">
        <v>2</v>
      </c>
      <c r="AD1159">
        <v>9</v>
      </c>
      <c r="AE1159" t="str" cm="1">
        <f t="array" ref="AE1159">_xlfn.IFS(G1159=1,"Before College",G1159=2,"College",G1159=3,"Bachelor",G1159=4,"Master",G1159=5,"Doctor")</f>
        <v>Master</v>
      </c>
      <c r="AF1159" t="str" cm="1">
        <f t="array" ref="AF1159">_xlfn.IFS(J1159=1,"Low",J1159=2,"Medium",J1159=3,"High",J1159=4,"Very High")</f>
        <v>High</v>
      </c>
      <c r="AG1159" t="str" cm="1">
        <f t="array" ref="AG1159">_xlfn.IFS(L1159=1,"Low",L1159=2,"Medium",L1159=3,"High",L1159=4,"Very High")</f>
        <v>High</v>
      </c>
      <c r="AH1159" t="str" cm="1">
        <f t="array" ref="AH1159">_xlfn.IFS(M1159=1,"Junior employee",M1159=2,"Mid-level",M1159=3,"Senior",M1159=4,"Manager",M1159=5,"Executive")</f>
        <v>Mid-level</v>
      </c>
      <c r="AI1159" t="str" cm="1">
        <f t="array" ref="AI1159">_xlfn.IFS(O1159=1,"Low",O1159=2,"Medium",O1159=3,"High",O1159=4,"Very High")</f>
        <v>High</v>
      </c>
      <c r="AJ1159" t="str" cm="1">
        <f t="array" ref="AJ1159">_xlfn.IFS(U1159=1,"Low",U1159=2,"Good",U1159=3,"Excellent",U1159=4,"Outstanding")</f>
        <v>Excellent</v>
      </c>
      <c r="AK1159" t="str" cm="1">
        <f t="array" ref="AK1159">_xlfn.IFS(V1159=1,"Low",V1159=2,"Medium",V1159=3,"High",V1159=4,"Very High")</f>
        <v>Very High</v>
      </c>
      <c r="AL1159" t="str" cm="1">
        <f t="array" ref="AL1159">_xlfn.IFS(Z1159=1,"Bad",Z1159=2,"Good",Z1159=3,"Better",Z1159=4,"Best")</f>
        <v>Better</v>
      </c>
      <c r="AM1159" t="str" cm="1">
        <f t="array" ref="AM1159">_xlfn.IFS(W1159=0,"No_stock",W1159=1,"Low",W1159=2,"Medium",W1159=3,"High")</f>
        <v>Low</v>
      </c>
      <c r="AN1159" t="str">
        <f t="shared" si="18"/>
        <v>Medium</v>
      </c>
    </row>
    <row r="1160" spans="1:40" x14ac:dyDescent="0.45">
      <c r="A1160">
        <v>37</v>
      </c>
      <c r="B1160" t="s">
        <v>37</v>
      </c>
      <c r="C1160" t="s">
        <v>31</v>
      </c>
      <c r="D1160">
        <v>671</v>
      </c>
      <c r="E1160" t="s">
        <v>39</v>
      </c>
      <c r="F1160">
        <v>19</v>
      </c>
      <c r="G1160">
        <v>3</v>
      </c>
      <c r="H1160" t="s">
        <v>33</v>
      </c>
      <c r="I1160">
        <v>1631</v>
      </c>
      <c r="J1160">
        <v>3</v>
      </c>
      <c r="K1160" t="s">
        <v>40</v>
      </c>
      <c r="L1160">
        <v>3</v>
      </c>
      <c r="M1160">
        <v>2</v>
      </c>
      <c r="N1160" t="s">
        <v>47</v>
      </c>
      <c r="O1160">
        <v>3</v>
      </c>
      <c r="P1160" t="s">
        <v>42</v>
      </c>
      <c r="Q1160">
        <v>5768</v>
      </c>
      <c r="R1160">
        <v>3</v>
      </c>
      <c r="S1160" t="s">
        <v>37</v>
      </c>
      <c r="T1160">
        <v>17</v>
      </c>
      <c r="U1160">
        <v>3</v>
      </c>
      <c r="V1160">
        <v>1</v>
      </c>
      <c r="W1160">
        <v>3</v>
      </c>
      <c r="X1160">
        <v>9</v>
      </c>
      <c r="Y1160">
        <v>2</v>
      </c>
      <c r="Z1160">
        <v>2</v>
      </c>
      <c r="AA1160">
        <v>4</v>
      </c>
      <c r="AB1160">
        <v>3</v>
      </c>
      <c r="AC1160">
        <v>0</v>
      </c>
      <c r="AD1160">
        <v>2</v>
      </c>
      <c r="AE1160" t="str" cm="1">
        <f t="array" ref="AE1160">_xlfn.IFS(G1160=1,"Before College",G1160=2,"College",G1160=3,"Bachelor",G1160=4,"Master",G1160=5,"Doctor")</f>
        <v>Bachelor</v>
      </c>
      <c r="AF1160" t="str" cm="1">
        <f t="array" ref="AF1160">_xlfn.IFS(J1160=1,"Low",J1160=2,"Medium",J1160=3,"High",J1160=4,"Very High")</f>
        <v>High</v>
      </c>
      <c r="AG1160" t="str" cm="1">
        <f t="array" ref="AG1160">_xlfn.IFS(L1160=1,"Low",L1160=2,"Medium",L1160=3,"High",L1160=4,"Very High")</f>
        <v>High</v>
      </c>
      <c r="AH1160" t="str" cm="1">
        <f t="array" ref="AH1160">_xlfn.IFS(M1160=1,"Junior employee",M1160=2,"Mid-level",M1160=3,"Senior",M1160=4,"Manager",M1160=5,"Executive")</f>
        <v>Mid-level</v>
      </c>
      <c r="AI1160" t="str" cm="1">
        <f t="array" ref="AI1160">_xlfn.IFS(O1160=1,"Low",O1160=2,"Medium",O1160=3,"High",O1160=4,"Very High")</f>
        <v>High</v>
      </c>
      <c r="AJ1160" t="str" cm="1">
        <f t="array" ref="AJ1160">_xlfn.IFS(U1160=1,"Low",U1160=2,"Good",U1160=3,"Excellent",U1160=4,"Outstanding")</f>
        <v>Excellent</v>
      </c>
      <c r="AK1160" t="str" cm="1">
        <f t="array" ref="AK1160">_xlfn.IFS(V1160=1,"Low",V1160=2,"Medium",V1160=3,"High",V1160=4,"Very High")</f>
        <v>Low</v>
      </c>
      <c r="AL1160" t="str" cm="1">
        <f t="array" ref="AL1160">_xlfn.IFS(Z1160=1,"Bad",Z1160=2,"Good",Z1160=3,"Better",Z1160=4,"Best")</f>
        <v>Good</v>
      </c>
      <c r="AM1160" t="str" cm="1">
        <f t="array" ref="AM1160">_xlfn.IFS(W1160=0,"No_stock",W1160=1,"Low",W1160=2,"Medium",W1160=3,"High")</f>
        <v>High</v>
      </c>
      <c r="AN1160" t="str">
        <f t="shared" si="18"/>
        <v>Far</v>
      </c>
    </row>
    <row r="1161" spans="1:40" x14ac:dyDescent="0.45">
      <c r="A1161">
        <v>39</v>
      </c>
      <c r="B1161" t="s">
        <v>37</v>
      </c>
      <c r="C1161" t="s">
        <v>38</v>
      </c>
      <c r="D1161">
        <v>711</v>
      </c>
      <c r="E1161" t="s">
        <v>39</v>
      </c>
      <c r="F1161">
        <v>4</v>
      </c>
      <c r="G1161">
        <v>3</v>
      </c>
      <c r="H1161" t="s">
        <v>45</v>
      </c>
      <c r="I1161">
        <v>1633</v>
      </c>
      <c r="J1161">
        <v>1</v>
      </c>
      <c r="K1161" t="s">
        <v>34</v>
      </c>
      <c r="L1161">
        <v>3</v>
      </c>
      <c r="M1161">
        <v>2</v>
      </c>
      <c r="N1161" t="s">
        <v>47</v>
      </c>
      <c r="O1161">
        <v>3</v>
      </c>
      <c r="P1161" t="s">
        <v>36</v>
      </c>
      <c r="Q1161">
        <v>5042</v>
      </c>
      <c r="R1161">
        <v>0</v>
      </c>
      <c r="S1161" t="s">
        <v>37</v>
      </c>
      <c r="T1161">
        <v>13</v>
      </c>
      <c r="U1161">
        <v>3</v>
      </c>
      <c r="V1161">
        <v>4</v>
      </c>
      <c r="W1161">
        <v>0</v>
      </c>
      <c r="X1161">
        <v>10</v>
      </c>
      <c r="Y1161">
        <v>2</v>
      </c>
      <c r="Z1161">
        <v>1</v>
      </c>
      <c r="AA1161">
        <v>9</v>
      </c>
      <c r="AB1161">
        <v>2</v>
      </c>
      <c r="AC1161">
        <v>3</v>
      </c>
      <c r="AD1161">
        <v>8</v>
      </c>
      <c r="AE1161" t="str" cm="1">
        <f t="array" ref="AE1161">_xlfn.IFS(G1161=1,"Before College",G1161=2,"College",G1161=3,"Bachelor",G1161=4,"Master",G1161=5,"Doctor")</f>
        <v>Bachelor</v>
      </c>
      <c r="AF1161" t="str" cm="1">
        <f t="array" ref="AF1161">_xlfn.IFS(J1161=1,"Low",J1161=2,"Medium",J1161=3,"High",J1161=4,"Very High")</f>
        <v>Low</v>
      </c>
      <c r="AG1161" t="str" cm="1">
        <f t="array" ref="AG1161">_xlfn.IFS(L1161=1,"Low",L1161=2,"Medium",L1161=3,"High",L1161=4,"Very High")</f>
        <v>High</v>
      </c>
      <c r="AH1161" t="str" cm="1">
        <f t="array" ref="AH1161">_xlfn.IFS(M1161=1,"Junior employee",M1161=2,"Mid-level",M1161=3,"Senior",M1161=4,"Manager",M1161=5,"Executive")</f>
        <v>Mid-level</v>
      </c>
      <c r="AI1161" t="str" cm="1">
        <f t="array" ref="AI1161">_xlfn.IFS(O1161=1,"Low",O1161=2,"Medium",O1161=3,"High",O1161=4,"Very High")</f>
        <v>High</v>
      </c>
      <c r="AJ1161" t="str" cm="1">
        <f t="array" ref="AJ1161">_xlfn.IFS(U1161=1,"Low",U1161=2,"Good",U1161=3,"Excellent",U1161=4,"Outstanding")</f>
        <v>Excellent</v>
      </c>
      <c r="AK1161" t="str" cm="1">
        <f t="array" ref="AK1161">_xlfn.IFS(V1161=1,"Low",V1161=2,"Medium",V1161=3,"High",V1161=4,"Very High")</f>
        <v>Very High</v>
      </c>
      <c r="AL1161" t="str" cm="1">
        <f t="array" ref="AL1161">_xlfn.IFS(Z1161=1,"Bad",Z1161=2,"Good",Z1161=3,"Better",Z1161=4,"Best")</f>
        <v>Bad</v>
      </c>
      <c r="AM1161" t="str" cm="1">
        <f t="array" ref="AM1161">_xlfn.IFS(W1161=0,"No_stock",W1161=1,"Low",W1161=2,"Medium",W1161=3,"High")</f>
        <v>No_stock</v>
      </c>
      <c r="AN1161" t="str">
        <f t="shared" si="18"/>
        <v>Near</v>
      </c>
    </row>
    <row r="1162" spans="1:40" x14ac:dyDescent="0.45">
      <c r="A1162">
        <v>45</v>
      </c>
      <c r="B1162" t="s">
        <v>37</v>
      </c>
      <c r="C1162" t="s">
        <v>31</v>
      </c>
      <c r="D1162">
        <v>1329</v>
      </c>
      <c r="E1162" t="s">
        <v>39</v>
      </c>
      <c r="F1162">
        <v>2</v>
      </c>
      <c r="G1162">
        <v>2</v>
      </c>
      <c r="H1162" t="s">
        <v>43</v>
      </c>
      <c r="I1162">
        <v>1635</v>
      </c>
      <c r="J1162">
        <v>4</v>
      </c>
      <c r="K1162" t="s">
        <v>34</v>
      </c>
      <c r="L1162">
        <v>2</v>
      </c>
      <c r="M1162">
        <v>2</v>
      </c>
      <c r="N1162" t="s">
        <v>47</v>
      </c>
      <c r="O1162">
        <v>4</v>
      </c>
      <c r="P1162" t="s">
        <v>46</v>
      </c>
      <c r="Q1162">
        <v>5770</v>
      </c>
      <c r="R1162">
        <v>1</v>
      </c>
      <c r="S1162" t="s">
        <v>37</v>
      </c>
      <c r="T1162">
        <v>19</v>
      </c>
      <c r="U1162">
        <v>3</v>
      </c>
      <c r="V1162">
        <v>1</v>
      </c>
      <c r="W1162">
        <v>2</v>
      </c>
      <c r="X1162">
        <v>10</v>
      </c>
      <c r="Y1162">
        <v>3</v>
      </c>
      <c r="Z1162">
        <v>3</v>
      </c>
      <c r="AA1162">
        <v>10</v>
      </c>
      <c r="AB1162">
        <v>7</v>
      </c>
      <c r="AC1162">
        <v>3</v>
      </c>
      <c r="AD1162">
        <v>9</v>
      </c>
      <c r="AE1162" t="str" cm="1">
        <f t="array" ref="AE1162">_xlfn.IFS(G1162=1,"Before College",G1162=2,"College",G1162=3,"Bachelor",G1162=4,"Master",G1162=5,"Doctor")</f>
        <v>College</v>
      </c>
      <c r="AF1162" t="str" cm="1">
        <f t="array" ref="AF1162">_xlfn.IFS(J1162=1,"Low",J1162=2,"Medium",J1162=3,"High",J1162=4,"Very High")</f>
        <v>Very High</v>
      </c>
      <c r="AG1162" t="str" cm="1">
        <f t="array" ref="AG1162">_xlfn.IFS(L1162=1,"Low",L1162=2,"Medium",L1162=3,"High",L1162=4,"Very High")</f>
        <v>Medium</v>
      </c>
      <c r="AH1162" t="str" cm="1">
        <f t="array" ref="AH1162">_xlfn.IFS(M1162=1,"Junior employee",M1162=2,"Mid-level",M1162=3,"Senior",M1162=4,"Manager",M1162=5,"Executive")</f>
        <v>Mid-level</v>
      </c>
      <c r="AI1162" t="str" cm="1">
        <f t="array" ref="AI1162">_xlfn.IFS(O1162=1,"Low",O1162=2,"Medium",O1162=3,"High",O1162=4,"Very High")</f>
        <v>Very High</v>
      </c>
      <c r="AJ1162" t="str" cm="1">
        <f t="array" ref="AJ1162">_xlfn.IFS(U1162=1,"Low",U1162=2,"Good",U1162=3,"Excellent",U1162=4,"Outstanding")</f>
        <v>Excellent</v>
      </c>
      <c r="AK1162" t="str" cm="1">
        <f t="array" ref="AK1162">_xlfn.IFS(V1162=1,"Low",V1162=2,"Medium",V1162=3,"High",V1162=4,"Very High")</f>
        <v>Low</v>
      </c>
      <c r="AL1162" t="str" cm="1">
        <f t="array" ref="AL1162">_xlfn.IFS(Z1162=1,"Bad",Z1162=2,"Good",Z1162=3,"Better",Z1162=4,"Best")</f>
        <v>Better</v>
      </c>
      <c r="AM1162" t="str" cm="1">
        <f t="array" ref="AM1162">_xlfn.IFS(W1162=0,"No_stock",W1162=1,"Low",W1162=2,"Medium",W1162=3,"High")</f>
        <v>Medium</v>
      </c>
      <c r="AN1162" t="str">
        <f t="shared" si="18"/>
        <v>Near</v>
      </c>
    </row>
    <row r="1163" spans="1:40" x14ac:dyDescent="0.45">
      <c r="A1163">
        <v>38</v>
      </c>
      <c r="B1163" t="s">
        <v>37</v>
      </c>
      <c r="C1163" t="s">
        <v>31</v>
      </c>
      <c r="D1163">
        <v>397</v>
      </c>
      <c r="E1163" t="s">
        <v>39</v>
      </c>
      <c r="F1163">
        <v>2</v>
      </c>
      <c r="G1163">
        <v>2</v>
      </c>
      <c r="H1163" t="s">
        <v>45</v>
      </c>
      <c r="I1163">
        <v>1638</v>
      </c>
      <c r="J1163">
        <v>4</v>
      </c>
      <c r="K1163" t="s">
        <v>34</v>
      </c>
      <c r="L1163">
        <v>2</v>
      </c>
      <c r="M1163">
        <v>3</v>
      </c>
      <c r="N1163" t="s">
        <v>47</v>
      </c>
      <c r="O1163">
        <v>3</v>
      </c>
      <c r="P1163" t="s">
        <v>42</v>
      </c>
      <c r="Q1163">
        <v>7756</v>
      </c>
      <c r="R1163">
        <v>3</v>
      </c>
      <c r="S1163" t="s">
        <v>30</v>
      </c>
      <c r="T1163">
        <v>19</v>
      </c>
      <c r="U1163">
        <v>3</v>
      </c>
      <c r="V1163">
        <v>4</v>
      </c>
      <c r="W1163">
        <v>1</v>
      </c>
      <c r="X1163">
        <v>10</v>
      </c>
      <c r="Y1163">
        <v>6</v>
      </c>
      <c r="Z1163">
        <v>4</v>
      </c>
      <c r="AA1163">
        <v>5</v>
      </c>
      <c r="AB1163">
        <v>4</v>
      </c>
      <c r="AC1163">
        <v>0</v>
      </c>
      <c r="AD1163">
        <v>2</v>
      </c>
      <c r="AE1163" t="str" cm="1">
        <f t="array" ref="AE1163">_xlfn.IFS(G1163=1,"Before College",G1163=2,"College",G1163=3,"Bachelor",G1163=4,"Master",G1163=5,"Doctor")</f>
        <v>College</v>
      </c>
      <c r="AF1163" t="str" cm="1">
        <f t="array" ref="AF1163">_xlfn.IFS(J1163=1,"Low",J1163=2,"Medium",J1163=3,"High",J1163=4,"Very High")</f>
        <v>Very High</v>
      </c>
      <c r="AG1163" t="str" cm="1">
        <f t="array" ref="AG1163">_xlfn.IFS(L1163=1,"Low",L1163=2,"Medium",L1163=3,"High",L1163=4,"Very High")</f>
        <v>Medium</v>
      </c>
      <c r="AH1163" t="str" cm="1">
        <f t="array" ref="AH1163">_xlfn.IFS(M1163=1,"Junior employee",M1163=2,"Mid-level",M1163=3,"Senior",M1163=4,"Manager",M1163=5,"Executive")</f>
        <v>Senior</v>
      </c>
      <c r="AI1163" t="str" cm="1">
        <f t="array" ref="AI1163">_xlfn.IFS(O1163=1,"Low",O1163=2,"Medium",O1163=3,"High",O1163=4,"Very High")</f>
        <v>High</v>
      </c>
      <c r="AJ1163" t="str" cm="1">
        <f t="array" ref="AJ1163">_xlfn.IFS(U1163=1,"Low",U1163=2,"Good",U1163=3,"Excellent",U1163=4,"Outstanding")</f>
        <v>Excellent</v>
      </c>
      <c r="AK1163" t="str" cm="1">
        <f t="array" ref="AK1163">_xlfn.IFS(V1163=1,"Low",V1163=2,"Medium",V1163=3,"High",V1163=4,"Very High")</f>
        <v>Very High</v>
      </c>
      <c r="AL1163" t="str" cm="1">
        <f t="array" ref="AL1163">_xlfn.IFS(Z1163=1,"Bad",Z1163=2,"Good",Z1163=3,"Better",Z1163=4,"Best")</f>
        <v>Best</v>
      </c>
      <c r="AM1163" t="str" cm="1">
        <f t="array" ref="AM1163">_xlfn.IFS(W1163=0,"No_stock",W1163=1,"Low",W1163=2,"Medium",W1163=3,"High")</f>
        <v>Low</v>
      </c>
      <c r="AN1163" t="str">
        <f t="shared" si="18"/>
        <v>Near</v>
      </c>
    </row>
    <row r="1164" spans="1:40" x14ac:dyDescent="0.45">
      <c r="A1164">
        <v>35</v>
      </c>
      <c r="B1164" t="s">
        <v>30</v>
      </c>
      <c r="C1164" t="s">
        <v>31</v>
      </c>
      <c r="D1164">
        <v>737</v>
      </c>
      <c r="E1164" t="s">
        <v>32</v>
      </c>
      <c r="F1164">
        <v>10</v>
      </c>
      <c r="G1164">
        <v>3</v>
      </c>
      <c r="H1164" t="s">
        <v>45</v>
      </c>
      <c r="I1164">
        <v>1639</v>
      </c>
      <c r="J1164">
        <v>4</v>
      </c>
      <c r="K1164" t="s">
        <v>40</v>
      </c>
      <c r="L1164">
        <v>2</v>
      </c>
      <c r="M1164">
        <v>3</v>
      </c>
      <c r="N1164" t="s">
        <v>35</v>
      </c>
      <c r="O1164">
        <v>1</v>
      </c>
      <c r="P1164" t="s">
        <v>42</v>
      </c>
      <c r="Q1164">
        <v>10306</v>
      </c>
      <c r="R1164">
        <v>9</v>
      </c>
      <c r="S1164" t="s">
        <v>37</v>
      </c>
      <c r="T1164">
        <v>17</v>
      </c>
      <c r="U1164">
        <v>3</v>
      </c>
      <c r="V1164">
        <v>3</v>
      </c>
      <c r="W1164">
        <v>0</v>
      </c>
      <c r="X1164">
        <v>15</v>
      </c>
      <c r="Y1164">
        <v>3</v>
      </c>
      <c r="Z1164">
        <v>3</v>
      </c>
      <c r="AA1164">
        <v>13</v>
      </c>
      <c r="AB1164">
        <v>12</v>
      </c>
      <c r="AC1164">
        <v>6</v>
      </c>
      <c r="AD1164">
        <v>0</v>
      </c>
      <c r="AE1164" t="str" cm="1">
        <f t="array" ref="AE1164">_xlfn.IFS(G1164=1,"Before College",G1164=2,"College",G1164=3,"Bachelor",G1164=4,"Master",G1164=5,"Doctor")</f>
        <v>Bachelor</v>
      </c>
      <c r="AF1164" t="str" cm="1">
        <f t="array" ref="AF1164">_xlfn.IFS(J1164=1,"Low",J1164=2,"Medium",J1164=3,"High",J1164=4,"Very High")</f>
        <v>Very High</v>
      </c>
      <c r="AG1164" t="str" cm="1">
        <f t="array" ref="AG1164">_xlfn.IFS(L1164=1,"Low",L1164=2,"Medium",L1164=3,"High",L1164=4,"Very High")</f>
        <v>Medium</v>
      </c>
      <c r="AH1164" t="str" cm="1">
        <f t="array" ref="AH1164">_xlfn.IFS(M1164=1,"Junior employee",M1164=2,"Mid-level",M1164=3,"Senior",M1164=4,"Manager",M1164=5,"Executive")</f>
        <v>Senior</v>
      </c>
      <c r="AI1164" t="str" cm="1">
        <f t="array" ref="AI1164">_xlfn.IFS(O1164=1,"Low",O1164=2,"Medium",O1164=3,"High",O1164=4,"Very High")</f>
        <v>Low</v>
      </c>
      <c r="AJ1164" t="str" cm="1">
        <f t="array" ref="AJ1164">_xlfn.IFS(U1164=1,"Low",U1164=2,"Good",U1164=3,"Excellent",U1164=4,"Outstanding")</f>
        <v>Excellent</v>
      </c>
      <c r="AK1164" t="str" cm="1">
        <f t="array" ref="AK1164">_xlfn.IFS(V1164=1,"Low",V1164=2,"Medium",V1164=3,"High",V1164=4,"Very High")</f>
        <v>High</v>
      </c>
      <c r="AL1164" t="str" cm="1">
        <f t="array" ref="AL1164">_xlfn.IFS(Z1164=1,"Bad",Z1164=2,"Good",Z1164=3,"Better",Z1164=4,"Best")</f>
        <v>Better</v>
      </c>
      <c r="AM1164" t="str" cm="1">
        <f t="array" ref="AM1164">_xlfn.IFS(W1164=0,"No_stock",W1164=1,"Low",W1164=2,"Medium",W1164=3,"High")</f>
        <v>No_stock</v>
      </c>
      <c r="AN1164" t="str">
        <f t="shared" si="18"/>
        <v>Medium</v>
      </c>
    </row>
    <row r="1165" spans="1:40" x14ac:dyDescent="0.45">
      <c r="A1165">
        <v>37</v>
      </c>
      <c r="B1165" t="s">
        <v>37</v>
      </c>
      <c r="C1165" t="s">
        <v>31</v>
      </c>
      <c r="D1165">
        <v>1470</v>
      </c>
      <c r="E1165" t="s">
        <v>39</v>
      </c>
      <c r="F1165">
        <v>10</v>
      </c>
      <c r="G1165">
        <v>3</v>
      </c>
      <c r="H1165" t="s">
        <v>45</v>
      </c>
      <c r="I1165">
        <v>1640</v>
      </c>
      <c r="J1165">
        <v>2</v>
      </c>
      <c r="K1165" t="s">
        <v>34</v>
      </c>
      <c r="L1165">
        <v>3</v>
      </c>
      <c r="M1165">
        <v>1</v>
      </c>
      <c r="N1165" t="s">
        <v>41</v>
      </c>
      <c r="O1165">
        <v>2</v>
      </c>
      <c r="P1165" t="s">
        <v>42</v>
      </c>
      <c r="Q1165">
        <v>3936</v>
      </c>
      <c r="R1165">
        <v>1</v>
      </c>
      <c r="S1165" t="s">
        <v>37</v>
      </c>
      <c r="T1165">
        <v>11</v>
      </c>
      <c r="U1165">
        <v>3</v>
      </c>
      <c r="V1165">
        <v>1</v>
      </c>
      <c r="W1165">
        <v>1</v>
      </c>
      <c r="X1165">
        <v>8</v>
      </c>
      <c r="Y1165">
        <v>2</v>
      </c>
      <c r="Z1165">
        <v>1</v>
      </c>
      <c r="AA1165">
        <v>8</v>
      </c>
      <c r="AB1165">
        <v>4</v>
      </c>
      <c r="AC1165">
        <v>7</v>
      </c>
      <c r="AD1165">
        <v>7</v>
      </c>
      <c r="AE1165" t="str" cm="1">
        <f t="array" ref="AE1165">_xlfn.IFS(G1165=1,"Before College",G1165=2,"College",G1165=3,"Bachelor",G1165=4,"Master",G1165=5,"Doctor")</f>
        <v>Bachelor</v>
      </c>
      <c r="AF1165" t="str" cm="1">
        <f t="array" ref="AF1165">_xlfn.IFS(J1165=1,"Low",J1165=2,"Medium",J1165=3,"High",J1165=4,"Very High")</f>
        <v>Medium</v>
      </c>
      <c r="AG1165" t="str" cm="1">
        <f t="array" ref="AG1165">_xlfn.IFS(L1165=1,"Low",L1165=2,"Medium",L1165=3,"High",L1165=4,"Very High")</f>
        <v>High</v>
      </c>
      <c r="AH1165" t="str" cm="1">
        <f t="array" ref="AH1165">_xlfn.IFS(M1165=1,"Junior employee",M1165=2,"Mid-level",M1165=3,"Senior",M1165=4,"Manager",M1165=5,"Executive")</f>
        <v>Junior employee</v>
      </c>
      <c r="AI1165" t="str" cm="1">
        <f t="array" ref="AI1165">_xlfn.IFS(O1165=1,"Low",O1165=2,"Medium",O1165=3,"High",O1165=4,"Very High")</f>
        <v>Medium</v>
      </c>
      <c r="AJ1165" t="str" cm="1">
        <f t="array" ref="AJ1165">_xlfn.IFS(U1165=1,"Low",U1165=2,"Good",U1165=3,"Excellent",U1165=4,"Outstanding")</f>
        <v>Excellent</v>
      </c>
      <c r="AK1165" t="str" cm="1">
        <f t="array" ref="AK1165">_xlfn.IFS(V1165=1,"Low",V1165=2,"Medium",V1165=3,"High",V1165=4,"Very High")</f>
        <v>Low</v>
      </c>
      <c r="AL1165" t="str" cm="1">
        <f t="array" ref="AL1165">_xlfn.IFS(Z1165=1,"Bad",Z1165=2,"Good",Z1165=3,"Better",Z1165=4,"Best")</f>
        <v>Bad</v>
      </c>
      <c r="AM1165" t="str" cm="1">
        <f t="array" ref="AM1165">_xlfn.IFS(W1165=0,"No_stock",W1165=1,"Low",W1165=2,"Medium",W1165=3,"High")</f>
        <v>Low</v>
      </c>
      <c r="AN1165" t="str">
        <f t="shared" si="18"/>
        <v>Medium</v>
      </c>
    </row>
    <row r="1166" spans="1:40" x14ac:dyDescent="0.45">
      <c r="A1166">
        <v>40</v>
      </c>
      <c r="B1166" t="s">
        <v>37</v>
      </c>
      <c r="C1166" t="s">
        <v>31</v>
      </c>
      <c r="D1166">
        <v>448</v>
      </c>
      <c r="E1166" t="s">
        <v>39</v>
      </c>
      <c r="F1166">
        <v>16</v>
      </c>
      <c r="G1166">
        <v>3</v>
      </c>
      <c r="H1166" t="s">
        <v>33</v>
      </c>
      <c r="I1166">
        <v>1641</v>
      </c>
      <c r="J1166">
        <v>3</v>
      </c>
      <c r="K1166" t="s">
        <v>34</v>
      </c>
      <c r="L1166">
        <v>3</v>
      </c>
      <c r="M1166">
        <v>3</v>
      </c>
      <c r="N1166" t="s">
        <v>47</v>
      </c>
      <c r="O1166">
        <v>4</v>
      </c>
      <c r="P1166" t="s">
        <v>36</v>
      </c>
      <c r="Q1166">
        <v>7945</v>
      </c>
      <c r="R1166">
        <v>6</v>
      </c>
      <c r="S1166" t="s">
        <v>30</v>
      </c>
      <c r="T1166">
        <v>15</v>
      </c>
      <c r="U1166">
        <v>3</v>
      </c>
      <c r="V1166">
        <v>4</v>
      </c>
      <c r="W1166">
        <v>0</v>
      </c>
      <c r="X1166">
        <v>18</v>
      </c>
      <c r="Y1166">
        <v>2</v>
      </c>
      <c r="Z1166">
        <v>2</v>
      </c>
      <c r="AA1166">
        <v>4</v>
      </c>
      <c r="AB1166">
        <v>2</v>
      </c>
      <c r="AC1166">
        <v>3</v>
      </c>
      <c r="AD1166">
        <v>3</v>
      </c>
      <c r="AE1166" t="str" cm="1">
        <f t="array" ref="AE1166">_xlfn.IFS(G1166=1,"Before College",G1166=2,"College",G1166=3,"Bachelor",G1166=4,"Master",G1166=5,"Doctor")</f>
        <v>Bachelor</v>
      </c>
      <c r="AF1166" t="str" cm="1">
        <f t="array" ref="AF1166">_xlfn.IFS(J1166=1,"Low",J1166=2,"Medium",J1166=3,"High",J1166=4,"Very High")</f>
        <v>High</v>
      </c>
      <c r="AG1166" t="str" cm="1">
        <f t="array" ref="AG1166">_xlfn.IFS(L1166=1,"Low",L1166=2,"Medium",L1166=3,"High",L1166=4,"Very High")</f>
        <v>High</v>
      </c>
      <c r="AH1166" t="str" cm="1">
        <f t="array" ref="AH1166">_xlfn.IFS(M1166=1,"Junior employee",M1166=2,"Mid-level",M1166=3,"Senior",M1166=4,"Manager",M1166=5,"Executive")</f>
        <v>Senior</v>
      </c>
      <c r="AI1166" t="str" cm="1">
        <f t="array" ref="AI1166">_xlfn.IFS(O1166=1,"Low",O1166=2,"Medium",O1166=3,"High",O1166=4,"Very High")</f>
        <v>Very High</v>
      </c>
      <c r="AJ1166" t="str" cm="1">
        <f t="array" ref="AJ1166">_xlfn.IFS(U1166=1,"Low",U1166=2,"Good",U1166=3,"Excellent",U1166=4,"Outstanding")</f>
        <v>Excellent</v>
      </c>
      <c r="AK1166" t="str" cm="1">
        <f t="array" ref="AK1166">_xlfn.IFS(V1166=1,"Low",V1166=2,"Medium",V1166=3,"High",V1166=4,"Very High")</f>
        <v>Very High</v>
      </c>
      <c r="AL1166" t="str" cm="1">
        <f t="array" ref="AL1166">_xlfn.IFS(Z1166=1,"Bad",Z1166=2,"Good",Z1166=3,"Better",Z1166=4,"Best")</f>
        <v>Good</v>
      </c>
      <c r="AM1166" t="str" cm="1">
        <f t="array" ref="AM1166">_xlfn.IFS(W1166=0,"No_stock",W1166=1,"Low",W1166=2,"Medium",W1166=3,"High")</f>
        <v>No_stock</v>
      </c>
      <c r="AN1166" t="str">
        <f t="shared" si="18"/>
        <v>Far</v>
      </c>
    </row>
    <row r="1167" spans="1:40" x14ac:dyDescent="0.45">
      <c r="A1167">
        <v>44</v>
      </c>
      <c r="B1167" t="s">
        <v>37</v>
      </c>
      <c r="C1167" t="s">
        <v>38</v>
      </c>
      <c r="D1167">
        <v>602</v>
      </c>
      <c r="E1167" t="s">
        <v>55</v>
      </c>
      <c r="F1167">
        <v>1</v>
      </c>
      <c r="G1167">
        <v>5</v>
      </c>
      <c r="H1167" t="s">
        <v>55</v>
      </c>
      <c r="I1167">
        <v>1642</v>
      </c>
      <c r="J1167">
        <v>1</v>
      </c>
      <c r="K1167" t="s">
        <v>40</v>
      </c>
      <c r="L1167">
        <v>3</v>
      </c>
      <c r="M1167">
        <v>2</v>
      </c>
      <c r="N1167" t="s">
        <v>55</v>
      </c>
      <c r="O1167">
        <v>4</v>
      </c>
      <c r="P1167" t="s">
        <v>42</v>
      </c>
      <c r="Q1167">
        <v>5743</v>
      </c>
      <c r="R1167">
        <v>4</v>
      </c>
      <c r="S1167" t="s">
        <v>30</v>
      </c>
      <c r="T1167">
        <v>11</v>
      </c>
      <c r="U1167">
        <v>3</v>
      </c>
      <c r="V1167">
        <v>3</v>
      </c>
      <c r="W1167">
        <v>0</v>
      </c>
      <c r="X1167">
        <v>14</v>
      </c>
      <c r="Y1167">
        <v>3</v>
      </c>
      <c r="Z1167">
        <v>3</v>
      </c>
      <c r="AA1167">
        <v>10</v>
      </c>
      <c r="AB1167">
        <v>7</v>
      </c>
      <c r="AC1167">
        <v>0</v>
      </c>
      <c r="AD1167">
        <v>2</v>
      </c>
      <c r="AE1167" t="str" cm="1">
        <f t="array" ref="AE1167">_xlfn.IFS(G1167=1,"Before College",G1167=2,"College",G1167=3,"Bachelor",G1167=4,"Master",G1167=5,"Doctor")</f>
        <v>Doctor</v>
      </c>
      <c r="AF1167" t="str" cm="1">
        <f t="array" ref="AF1167">_xlfn.IFS(J1167=1,"Low",J1167=2,"Medium",J1167=3,"High",J1167=4,"Very High")</f>
        <v>Low</v>
      </c>
      <c r="AG1167" t="str" cm="1">
        <f t="array" ref="AG1167">_xlfn.IFS(L1167=1,"Low",L1167=2,"Medium",L1167=3,"High",L1167=4,"Very High")</f>
        <v>High</v>
      </c>
      <c r="AH1167" t="str" cm="1">
        <f t="array" ref="AH1167">_xlfn.IFS(M1167=1,"Junior employee",M1167=2,"Mid-level",M1167=3,"Senior",M1167=4,"Manager",M1167=5,"Executive")</f>
        <v>Mid-level</v>
      </c>
      <c r="AI1167" t="str" cm="1">
        <f t="array" ref="AI1167">_xlfn.IFS(O1167=1,"Low",O1167=2,"Medium",O1167=3,"High",O1167=4,"Very High")</f>
        <v>Very High</v>
      </c>
      <c r="AJ1167" t="str" cm="1">
        <f t="array" ref="AJ1167">_xlfn.IFS(U1167=1,"Low",U1167=2,"Good",U1167=3,"Excellent",U1167=4,"Outstanding")</f>
        <v>Excellent</v>
      </c>
      <c r="AK1167" t="str" cm="1">
        <f t="array" ref="AK1167">_xlfn.IFS(V1167=1,"Low",V1167=2,"Medium",V1167=3,"High",V1167=4,"Very High")</f>
        <v>High</v>
      </c>
      <c r="AL1167" t="str" cm="1">
        <f t="array" ref="AL1167">_xlfn.IFS(Z1167=1,"Bad",Z1167=2,"Good",Z1167=3,"Better",Z1167=4,"Best")</f>
        <v>Better</v>
      </c>
      <c r="AM1167" t="str" cm="1">
        <f t="array" ref="AM1167">_xlfn.IFS(W1167=0,"No_stock",W1167=1,"Low",W1167=2,"Medium",W1167=3,"High")</f>
        <v>No_stock</v>
      </c>
      <c r="AN1167" t="str">
        <f t="shared" si="18"/>
        <v>Near</v>
      </c>
    </row>
    <row r="1168" spans="1:40" x14ac:dyDescent="0.45">
      <c r="A1168">
        <v>48</v>
      </c>
      <c r="B1168" t="s">
        <v>37</v>
      </c>
      <c r="C1168" t="s">
        <v>38</v>
      </c>
      <c r="D1168">
        <v>365</v>
      </c>
      <c r="E1168" t="s">
        <v>39</v>
      </c>
      <c r="F1168">
        <v>4</v>
      </c>
      <c r="G1168">
        <v>5</v>
      </c>
      <c r="H1168" t="s">
        <v>45</v>
      </c>
      <c r="I1168">
        <v>1644</v>
      </c>
      <c r="J1168">
        <v>3</v>
      </c>
      <c r="K1168" t="s">
        <v>40</v>
      </c>
      <c r="L1168">
        <v>2</v>
      </c>
      <c r="M1168">
        <v>4</v>
      </c>
      <c r="N1168" t="s">
        <v>50</v>
      </c>
      <c r="O1168">
        <v>4</v>
      </c>
      <c r="P1168" t="s">
        <v>42</v>
      </c>
      <c r="Q1168">
        <v>15202</v>
      </c>
      <c r="R1168">
        <v>2</v>
      </c>
      <c r="S1168" t="s">
        <v>37</v>
      </c>
      <c r="T1168">
        <v>25</v>
      </c>
      <c r="U1168">
        <v>4</v>
      </c>
      <c r="V1168">
        <v>2</v>
      </c>
      <c r="W1168">
        <v>1</v>
      </c>
      <c r="X1168">
        <v>23</v>
      </c>
      <c r="Y1168">
        <v>3</v>
      </c>
      <c r="Z1168">
        <v>3</v>
      </c>
      <c r="AA1168">
        <v>2</v>
      </c>
      <c r="AB1168">
        <v>2</v>
      </c>
      <c r="AC1168">
        <v>2</v>
      </c>
      <c r="AD1168">
        <v>2</v>
      </c>
      <c r="AE1168" t="str" cm="1">
        <f t="array" ref="AE1168">_xlfn.IFS(G1168=1,"Before College",G1168=2,"College",G1168=3,"Bachelor",G1168=4,"Master",G1168=5,"Doctor")</f>
        <v>Doctor</v>
      </c>
      <c r="AF1168" t="str" cm="1">
        <f t="array" ref="AF1168">_xlfn.IFS(J1168=1,"Low",J1168=2,"Medium",J1168=3,"High",J1168=4,"Very High")</f>
        <v>High</v>
      </c>
      <c r="AG1168" t="str" cm="1">
        <f t="array" ref="AG1168">_xlfn.IFS(L1168=1,"Low",L1168=2,"Medium",L1168=3,"High",L1168=4,"Very High")</f>
        <v>Medium</v>
      </c>
      <c r="AH1168" t="str" cm="1">
        <f t="array" ref="AH1168">_xlfn.IFS(M1168=1,"Junior employee",M1168=2,"Mid-level",M1168=3,"Senior",M1168=4,"Manager",M1168=5,"Executive")</f>
        <v>Manager</v>
      </c>
      <c r="AI1168" t="str" cm="1">
        <f t="array" ref="AI1168">_xlfn.IFS(O1168=1,"Low",O1168=2,"Medium",O1168=3,"High",O1168=4,"Very High")</f>
        <v>Very High</v>
      </c>
      <c r="AJ1168" t="str" cm="1">
        <f t="array" ref="AJ1168">_xlfn.IFS(U1168=1,"Low",U1168=2,"Good",U1168=3,"Excellent",U1168=4,"Outstanding")</f>
        <v>Outstanding</v>
      </c>
      <c r="AK1168" t="str" cm="1">
        <f t="array" ref="AK1168">_xlfn.IFS(V1168=1,"Low",V1168=2,"Medium",V1168=3,"High",V1168=4,"Very High")</f>
        <v>Medium</v>
      </c>
      <c r="AL1168" t="str" cm="1">
        <f t="array" ref="AL1168">_xlfn.IFS(Z1168=1,"Bad",Z1168=2,"Good",Z1168=3,"Better",Z1168=4,"Best")</f>
        <v>Better</v>
      </c>
      <c r="AM1168" t="str" cm="1">
        <f t="array" ref="AM1168">_xlfn.IFS(W1168=0,"No_stock",W1168=1,"Low",W1168=2,"Medium",W1168=3,"High")</f>
        <v>Low</v>
      </c>
      <c r="AN1168" t="str">
        <f t="shared" si="18"/>
        <v>Near</v>
      </c>
    </row>
    <row r="1169" spans="1:40" x14ac:dyDescent="0.45">
      <c r="A1169">
        <v>35</v>
      </c>
      <c r="B1169" t="s">
        <v>30</v>
      </c>
      <c r="C1169" t="s">
        <v>31</v>
      </c>
      <c r="D1169">
        <v>763</v>
      </c>
      <c r="E1169" t="s">
        <v>32</v>
      </c>
      <c r="F1169">
        <v>15</v>
      </c>
      <c r="G1169">
        <v>2</v>
      </c>
      <c r="H1169" t="s">
        <v>45</v>
      </c>
      <c r="I1169">
        <v>1645</v>
      </c>
      <c r="J1169">
        <v>1</v>
      </c>
      <c r="K1169" t="s">
        <v>40</v>
      </c>
      <c r="L1169">
        <v>1</v>
      </c>
      <c r="M1169">
        <v>2</v>
      </c>
      <c r="N1169" t="s">
        <v>35</v>
      </c>
      <c r="O1169">
        <v>4</v>
      </c>
      <c r="P1169" t="s">
        <v>46</v>
      </c>
      <c r="Q1169">
        <v>5440</v>
      </c>
      <c r="R1169">
        <v>6</v>
      </c>
      <c r="S1169" t="s">
        <v>30</v>
      </c>
      <c r="T1169">
        <v>14</v>
      </c>
      <c r="U1169">
        <v>3</v>
      </c>
      <c r="V1169">
        <v>4</v>
      </c>
      <c r="W1169">
        <v>2</v>
      </c>
      <c r="X1169">
        <v>7</v>
      </c>
      <c r="Y1169">
        <v>2</v>
      </c>
      <c r="Z1169">
        <v>2</v>
      </c>
      <c r="AA1169">
        <v>2</v>
      </c>
      <c r="AB1169">
        <v>2</v>
      </c>
      <c r="AC1169">
        <v>2</v>
      </c>
      <c r="AD1169">
        <v>2</v>
      </c>
      <c r="AE1169" t="str" cm="1">
        <f t="array" ref="AE1169">_xlfn.IFS(G1169=1,"Before College",G1169=2,"College",G1169=3,"Bachelor",G1169=4,"Master",G1169=5,"Doctor")</f>
        <v>College</v>
      </c>
      <c r="AF1169" t="str" cm="1">
        <f t="array" ref="AF1169">_xlfn.IFS(J1169=1,"Low",J1169=2,"Medium",J1169=3,"High",J1169=4,"Very High")</f>
        <v>Low</v>
      </c>
      <c r="AG1169" t="str" cm="1">
        <f t="array" ref="AG1169">_xlfn.IFS(L1169=1,"Low",L1169=2,"Medium",L1169=3,"High",L1169=4,"Very High")</f>
        <v>Low</v>
      </c>
      <c r="AH1169" t="str" cm="1">
        <f t="array" ref="AH1169">_xlfn.IFS(M1169=1,"Junior employee",M1169=2,"Mid-level",M1169=3,"Senior",M1169=4,"Manager",M1169=5,"Executive")</f>
        <v>Mid-level</v>
      </c>
      <c r="AI1169" t="str" cm="1">
        <f t="array" ref="AI1169">_xlfn.IFS(O1169=1,"Low",O1169=2,"Medium",O1169=3,"High",O1169=4,"Very High")</f>
        <v>Very High</v>
      </c>
      <c r="AJ1169" t="str" cm="1">
        <f t="array" ref="AJ1169">_xlfn.IFS(U1169=1,"Low",U1169=2,"Good",U1169=3,"Excellent",U1169=4,"Outstanding")</f>
        <v>Excellent</v>
      </c>
      <c r="AK1169" t="str" cm="1">
        <f t="array" ref="AK1169">_xlfn.IFS(V1169=1,"Low",V1169=2,"Medium",V1169=3,"High",V1169=4,"Very High")</f>
        <v>Very High</v>
      </c>
      <c r="AL1169" t="str" cm="1">
        <f t="array" ref="AL1169">_xlfn.IFS(Z1169=1,"Bad",Z1169=2,"Good",Z1169=3,"Better",Z1169=4,"Best")</f>
        <v>Good</v>
      </c>
      <c r="AM1169" t="str" cm="1">
        <f t="array" ref="AM1169">_xlfn.IFS(W1169=0,"No_stock",W1169=1,"Low",W1169=2,"Medium",W1169=3,"High")</f>
        <v>Medium</v>
      </c>
      <c r="AN1169" t="str">
        <f t="shared" si="18"/>
        <v>Medium</v>
      </c>
    </row>
    <row r="1170" spans="1:40" x14ac:dyDescent="0.45">
      <c r="A1170">
        <v>24</v>
      </c>
      <c r="B1170" t="s">
        <v>37</v>
      </c>
      <c r="C1170" t="s">
        <v>38</v>
      </c>
      <c r="D1170">
        <v>567</v>
      </c>
      <c r="E1170" t="s">
        <v>39</v>
      </c>
      <c r="F1170">
        <v>2</v>
      </c>
      <c r="G1170">
        <v>1</v>
      </c>
      <c r="H1170" t="s">
        <v>54</v>
      </c>
      <c r="I1170">
        <v>1646</v>
      </c>
      <c r="J1170">
        <v>1</v>
      </c>
      <c r="K1170" t="s">
        <v>34</v>
      </c>
      <c r="L1170">
        <v>3</v>
      </c>
      <c r="M1170">
        <v>1</v>
      </c>
      <c r="N1170" t="s">
        <v>41</v>
      </c>
      <c r="O1170">
        <v>4</v>
      </c>
      <c r="P1170" t="s">
        <v>36</v>
      </c>
      <c r="Q1170">
        <v>3760</v>
      </c>
      <c r="R1170">
        <v>1</v>
      </c>
      <c r="S1170" t="s">
        <v>30</v>
      </c>
      <c r="T1170">
        <v>13</v>
      </c>
      <c r="U1170">
        <v>3</v>
      </c>
      <c r="V1170">
        <v>3</v>
      </c>
      <c r="W1170">
        <v>0</v>
      </c>
      <c r="X1170">
        <v>6</v>
      </c>
      <c r="Y1170">
        <v>2</v>
      </c>
      <c r="Z1170">
        <v>3</v>
      </c>
      <c r="AA1170">
        <v>6</v>
      </c>
      <c r="AB1170">
        <v>3</v>
      </c>
      <c r="AC1170">
        <v>1</v>
      </c>
      <c r="AD1170">
        <v>3</v>
      </c>
      <c r="AE1170" t="str" cm="1">
        <f t="array" ref="AE1170">_xlfn.IFS(G1170=1,"Before College",G1170=2,"College",G1170=3,"Bachelor",G1170=4,"Master",G1170=5,"Doctor")</f>
        <v>Before College</v>
      </c>
      <c r="AF1170" t="str" cm="1">
        <f t="array" ref="AF1170">_xlfn.IFS(J1170=1,"Low",J1170=2,"Medium",J1170=3,"High",J1170=4,"Very High")</f>
        <v>Low</v>
      </c>
      <c r="AG1170" t="str" cm="1">
        <f t="array" ref="AG1170">_xlfn.IFS(L1170=1,"Low",L1170=2,"Medium",L1170=3,"High",L1170=4,"Very High")</f>
        <v>High</v>
      </c>
      <c r="AH1170" t="str" cm="1">
        <f t="array" ref="AH1170">_xlfn.IFS(M1170=1,"Junior employee",M1170=2,"Mid-level",M1170=3,"Senior",M1170=4,"Manager",M1170=5,"Executive")</f>
        <v>Junior employee</v>
      </c>
      <c r="AI1170" t="str" cm="1">
        <f t="array" ref="AI1170">_xlfn.IFS(O1170=1,"Low",O1170=2,"Medium",O1170=3,"High",O1170=4,"Very High")</f>
        <v>Very High</v>
      </c>
      <c r="AJ1170" t="str" cm="1">
        <f t="array" ref="AJ1170">_xlfn.IFS(U1170=1,"Low",U1170=2,"Good",U1170=3,"Excellent",U1170=4,"Outstanding")</f>
        <v>Excellent</v>
      </c>
      <c r="AK1170" t="str" cm="1">
        <f t="array" ref="AK1170">_xlfn.IFS(V1170=1,"Low",V1170=2,"Medium",V1170=3,"High",V1170=4,"Very High")</f>
        <v>High</v>
      </c>
      <c r="AL1170" t="str" cm="1">
        <f t="array" ref="AL1170">_xlfn.IFS(Z1170=1,"Bad",Z1170=2,"Good",Z1170=3,"Better",Z1170=4,"Best")</f>
        <v>Better</v>
      </c>
      <c r="AM1170" t="str" cm="1">
        <f t="array" ref="AM1170">_xlfn.IFS(W1170=0,"No_stock",W1170=1,"Low",W1170=2,"Medium",W1170=3,"High")</f>
        <v>No_stock</v>
      </c>
      <c r="AN1170" t="str">
        <f t="shared" si="18"/>
        <v>Near</v>
      </c>
    </row>
    <row r="1171" spans="1:40" x14ac:dyDescent="0.45">
      <c r="A1171">
        <v>27</v>
      </c>
      <c r="B1171" t="s">
        <v>37</v>
      </c>
      <c r="C1171" t="s">
        <v>31</v>
      </c>
      <c r="D1171">
        <v>486</v>
      </c>
      <c r="E1171" t="s">
        <v>39</v>
      </c>
      <c r="F1171">
        <v>8</v>
      </c>
      <c r="G1171">
        <v>3</v>
      </c>
      <c r="H1171" t="s">
        <v>45</v>
      </c>
      <c r="I1171">
        <v>1647</v>
      </c>
      <c r="J1171">
        <v>2</v>
      </c>
      <c r="K1171" t="s">
        <v>34</v>
      </c>
      <c r="L1171">
        <v>4</v>
      </c>
      <c r="M1171">
        <v>1</v>
      </c>
      <c r="N1171" t="s">
        <v>41</v>
      </c>
      <c r="O1171">
        <v>3</v>
      </c>
      <c r="P1171" t="s">
        <v>42</v>
      </c>
      <c r="Q1171">
        <v>3517</v>
      </c>
      <c r="R1171">
        <v>7</v>
      </c>
      <c r="S1171" t="s">
        <v>37</v>
      </c>
      <c r="T1171">
        <v>17</v>
      </c>
      <c r="U1171">
        <v>3</v>
      </c>
      <c r="V1171">
        <v>1</v>
      </c>
      <c r="W1171">
        <v>0</v>
      </c>
      <c r="X1171">
        <v>5</v>
      </c>
      <c r="Y1171">
        <v>0</v>
      </c>
      <c r="Z1171">
        <v>3</v>
      </c>
      <c r="AA1171">
        <v>3</v>
      </c>
      <c r="AB1171">
        <v>2</v>
      </c>
      <c r="AC1171">
        <v>0</v>
      </c>
      <c r="AD1171">
        <v>2</v>
      </c>
      <c r="AE1171" t="str" cm="1">
        <f t="array" ref="AE1171">_xlfn.IFS(G1171=1,"Before College",G1171=2,"College",G1171=3,"Bachelor",G1171=4,"Master",G1171=5,"Doctor")</f>
        <v>Bachelor</v>
      </c>
      <c r="AF1171" t="str" cm="1">
        <f t="array" ref="AF1171">_xlfn.IFS(J1171=1,"Low",J1171=2,"Medium",J1171=3,"High",J1171=4,"Very High")</f>
        <v>Medium</v>
      </c>
      <c r="AG1171" t="str" cm="1">
        <f t="array" ref="AG1171">_xlfn.IFS(L1171=1,"Low",L1171=2,"Medium",L1171=3,"High",L1171=4,"Very High")</f>
        <v>Very High</v>
      </c>
      <c r="AH1171" t="str" cm="1">
        <f t="array" ref="AH1171">_xlfn.IFS(M1171=1,"Junior employee",M1171=2,"Mid-level",M1171=3,"Senior",M1171=4,"Manager",M1171=5,"Executive")</f>
        <v>Junior employee</v>
      </c>
      <c r="AI1171" t="str" cm="1">
        <f t="array" ref="AI1171">_xlfn.IFS(O1171=1,"Low",O1171=2,"Medium",O1171=3,"High",O1171=4,"Very High")</f>
        <v>High</v>
      </c>
      <c r="AJ1171" t="str" cm="1">
        <f t="array" ref="AJ1171">_xlfn.IFS(U1171=1,"Low",U1171=2,"Good",U1171=3,"Excellent",U1171=4,"Outstanding")</f>
        <v>Excellent</v>
      </c>
      <c r="AK1171" t="str" cm="1">
        <f t="array" ref="AK1171">_xlfn.IFS(V1171=1,"Low",V1171=2,"Medium",V1171=3,"High",V1171=4,"Very High")</f>
        <v>Low</v>
      </c>
      <c r="AL1171" t="str" cm="1">
        <f t="array" ref="AL1171">_xlfn.IFS(Z1171=1,"Bad",Z1171=2,"Good",Z1171=3,"Better",Z1171=4,"Best")</f>
        <v>Better</v>
      </c>
      <c r="AM1171" t="str" cm="1">
        <f t="array" ref="AM1171">_xlfn.IFS(W1171=0,"No_stock",W1171=1,"Low",W1171=2,"Medium",W1171=3,"High")</f>
        <v>No_stock</v>
      </c>
      <c r="AN1171" t="str">
        <f t="shared" si="18"/>
        <v>Medium</v>
      </c>
    </row>
    <row r="1172" spans="1:40" x14ac:dyDescent="0.45">
      <c r="A1172">
        <v>27</v>
      </c>
      <c r="B1172" t="s">
        <v>37</v>
      </c>
      <c r="C1172" t="s">
        <v>38</v>
      </c>
      <c r="D1172">
        <v>591</v>
      </c>
      <c r="E1172" t="s">
        <v>39</v>
      </c>
      <c r="F1172">
        <v>2</v>
      </c>
      <c r="G1172">
        <v>3</v>
      </c>
      <c r="H1172" t="s">
        <v>45</v>
      </c>
      <c r="I1172">
        <v>1648</v>
      </c>
      <c r="J1172">
        <v>4</v>
      </c>
      <c r="K1172" t="s">
        <v>40</v>
      </c>
      <c r="L1172">
        <v>3</v>
      </c>
      <c r="M1172">
        <v>1</v>
      </c>
      <c r="N1172" t="s">
        <v>41</v>
      </c>
      <c r="O1172">
        <v>4</v>
      </c>
      <c r="P1172" t="s">
        <v>36</v>
      </c>
      <c r="Q1172">
        <v>2580</v>
      </c>
      <c r="R1172">
        <v>2</v>
      </c>
      <c r="S1172" t="s">
        <v>37</v>
      </c>
      <c r="T1172">
        <v>13</v>
      </c>
      <c r="U1172">
        <v>3</v>
      </c>
      <c r="V1172">
        <v>3</v>
      </c>
      <c r="W1172">
        <v>0</v>
      </c>
      <c r="X1172">
        <v>6</v>
      </c>
      <c r="Y1172">
        <v>0</v>
      </c>
      <c r="Z1172">
        <v>2</v>
      </c>
      <c r="AA1172">
        <v>4</v>
      </c>
      <c r="AB1172">
        <v>2</v>
      </c>
      <c r="AC1172">
        <v>1</v>
      </c>
      <c r="AD1172">
        <v>2</v>
      </c>
      <c r="AE1172" t="str" cm="1">
        <f t="array" ref="AE1172">_xlfn.IFS(G1172=1,"Before College",G1172=2,"College",G1172=3,"Bachelor",G1172=4,"Master",G1172=5,"Doctor")</f>
        <v>Bachelor</v>
      </c>
      <c r="AF1172" t="str" cm="1">
        <f t="array" ref="AF1172">_xlfn.IFS(J1172=1,"Low",J1172=2,"Medium",J1172=3,"High",J1172=4,"Very High")</f>
        <v>Very High</v>
      </c>
      <c r="AG1172" t="str" cm="1">
        <f t="array" ref="AG1172">_xlfn.IFS(L1172=1,"Low",L1172=2,"Medium",L1172=3,"High",L1172=4,"Very High")</f>
        <v>High</v>
      </c>
      <c r="AH1172" t="str" cm="1">
        <f t="array" ref="AH1172">_xlfn.IFS(M1172=1,"Junior employee",M1172=2,"Mid-level",M1172=3,"Senior",M1172=4,"Manager",M1172=5,"Executive")</f>
        <v>Junior employee</v>
      </c>
      <c r="AI1172" t="str" cm="1">
        <f t="array" ref="AI1172">_xlfn.IFS(O1172=1,"Low",O1172=2,"Medium",O1172=3,"High",O1172=4,"Very High")</f>
        <v>Very High</v>
      </c>
      <c r="AJ1172" t="str" cm="1">
        <f t="array" ref="AJ1172">_xlfn.IFS(U1172=1,"Low",U1172=2,"Good",U1172=3,"Excellent",U1172=4,"Outstanding")</f>
        <v>Excellent</v>
      </c>
      <c r="AK1172" t="str" cm="1">
        <f t="array" ref="AK1172">_xlfn.IFS(V1172=1,"Low",V1172=2,"Medium",V1172=3,"High",V1172=4,"Very High")</f>
        <v>High</v>
      </c>
      <c r="AL1172" t="str" cm="1">
        <f t="array" ref="AL1172">_xlfn.IFS(Z1172=1,"Bad",Z1172=2,"Good",Z1172=3,"Better",Z1172=4,"Best")</f>
        <v>Good</v>
      </c>
      <c r="AM1172" t="str" cm="1">
        <f t="array" ref="AM1172">_xlfn.IFS(W1172=0,"No_stock",W1172=1,"Low",W1172=2,"Medium",W1172=3,"High")</f>
        <v>No_stock</v>
      </c>
      <c r="AN1172" t="str">
        <f t="shared" si="18"/>
        <v>Near</v>
      </c>
    </row>
    <row r="1173" spans="1:40" x14ac:dyDescent="0.45">
      <c r="A1173">
        <v>40</v>
      </c>
      <c r="B1173" t="s">
        <v>30</v>
      </c>
      <c r="C1173" t="s">
        <v>31</v>
      </c>
      <c r="D1173">
        <v>1329</v>
      </c>
      <c r="E1173" t="s">
        <v>39</v>
      </c>
      <c r="F1173">
        <v>7</v>
      </c>
      <c r="G1173">
        <v>3</v>
      </c>
      <c r="H1173" t="s">
        <v>33</v>
      </c>
      <c r="I1173">
        <v>1649</v>
      </c>
      <c r="J1173">
        <v>1</v>
      </c>
      <c r="K1173" t="s">
        <v>40</v>
      </c>
      <c r="L1173">
        <v>3</v>
      </c>
      <c r="M1173">
        <v>1</v>
      </c>
      <c r="N1173" t="s">
        <v>44</v>
      </c>
      <c r="O1173">
        <v>1</v>
      </c>
      <c r="P1173" t="s">
        <v>36</v>
      </c>
      <c r="Q1173">
        <v>2166</v>
      </c>
      <c r="R1173">
        <v>3</v>
      </c>
      <c r="S1173" t="s">
        <v>30</v>
      </c>
      <c r="T1173">
        <v>14</v>
      </c>
      <c r="U1173">
        <v>3</v>
      </c>
      <c r="V1173">
        <v>2</v>
      </c>
      <c r="W1173">
        <v>0</v>
      </c>
      <c r="X1173">
        <v>10</v>
      </c>
      <c r="Y1173">
        <v>3</v>
      </c>
      <c r="Z1173">
        <v>1</v>
      </c>
      <c r="AA1173">
        <v>4</v>
      </c>
      <c r="AB1173">
        <v>2</v>
      </c>
      <c r="AC1173">
        <v>0</v>
      </c>
      <c r="AD1173">
        <v>3</v>
      </c>
      <c r="AE1173" t="str" cm="1">
        <f t="array" ref="AE1173">_xlfn.IFS(G1173=1,"Before College",G1173=2,"College",G1173=3,"Bachelor",G1173=4,"Master",G1173=5,"Doctor")</f>
        <v>Bachelor</v>
      </c>
      <c r="AF1173" t="str" cm="1">
        <f t="array" ref="AF1173">_xlfn.IFS(J1173=1,"Low",J1173=2,"Medium",J1173=3,"High",J1173=4,"Very High")</f>
        <v>Low</v>
      </c>
      <c r="AG1173" t="str" cm="1">
        <f t="array" ref="AG1173">_xlfn.IFS(L1173=1,"Low",L1173=2,"Medium",L1173=3,"High",L1173=4,"Very High")</f>
        <v>High</v>
      </c>
      <c r="AH1173" t="str" cm="1">
        <f t="array" ref="AH1173">_xlfn.IFS(M1173=1,"Junior employee",M1173=2,"Mid-level",M1173=3,"Senior",M1173=4,"Manager",M1173=5,"Executive")</f>
        <v>Junior employee</v>
      </c>
      <c r="AI1173" t="str" cm="1">
        <f t="array" ref="AI1173">_xlfn.IFS(O1173=1,"Low",O1173=2,"Medium",O1173=3,"High",O1173=4,"Very High")</f>
        <v>Low</v>
      </c>
      <c r="AJ1173" t="str" cm="1">
        <f t="array" ref="AJ1173">_xlfn.IFS(U1173=1,"Low",U1173=2,"Good",U1173=3,"Excellent",U1173=4,"Outstanding")</f>
        <v>Excellent</v>
      </c>
      <c r="AK1173" t="str" cm="1">
        <f t="array" ref="AK1173">_xlfn.IFS(V1173=1,"Low",V1173=2,"Medium",V1173=3,"High",V1173=4,"Very High")</f>
        <v>Medium</v>
      </c>
      <c r="AL1173" t="str" cm="1">
        <f t="array" ref="AL1173">_xlfn.IFS(Z1173=1,"Bad",Z1173=2,"Good",Z1173=3,"Better",Z1173=4,"Best")</f>
        <v>Bad</v>
      </c>
      <c r="AM1173" t="str" cm="1">
        <f t="array" ref="AM1173">_xlfn.IFS(W1173=0,"No_stock",W1173=1,"Low",W1173=2,"Medium",W1173=3,"High")</f>
        <v>No_stock</v>
      </c>
      <c r="AN1173" t="str">
        <f t="shared" si="18"/>
        <v>Medium</v>
      </c>
    </row>
    <row r="1174" spans="1:40" x14ac:dyDescent="0.45">
      <c r="A1174">
        <v>29</v>
      </c>
      <c r="B1174" t="s">
        <v>37</v>
      </c>
      <c r="C1174" t="s">
        <v>31</v>
      </c>
      <c r="D1174">
        <v>469</v>
      </c>
      <c r="E1174" t="s">
        <v>32</v>
      </c>
      <c r="F1174">
        <v>10</v>
      </c>
      <c r="G1174">
        <v>3</v>
      </c>
      <c r="H1174" t="s">
        <v>45</v>
      </c>
      <c r="I1174">
        <v>1650</v>
      </c>
      <c r="J1174">
        <v>3</v>
      </c>
      <c r="K1174" t="s">
        <v>40</v>
      </c>
      <c r="L1174">
        <v>2</v>
      </c>
      <c r="M1174">
        <v>2</v>
      </c>
      <c r="N1174" t="s">
        <v>35</v>
      </c>
      <c r="O1174">
        <v>3</v>
      </c>
      <c r="P1174" t="s">
        <v>36</v>
      </c>
      <c r="Q1174">
        <v>5869</v>
      </c>
      <c r="R1174">
        <v>9</v>
      </c>
      <c r="S1174" t="s">
        <v>37</v>
      </c>
      <c r="T1174">
        <v>11</v>
      </c>
      <c r="U1174">
        <v>3</v>
      </c>
      <c r="V1174">
        <v>3</v>
      </c>
      <c r="W1174">
        <v>0</v>
      </c>
      <c r="X1174">
        <v>8</v>
      </c>
      <c r="Y1174">
        <v>2</v>
      </c>
      <c r="Z1174">
        <v>3</v>
      </c>
      <c r="AA1174">
        <v>5</v>
      </c>
      <c r="AB1174">
        <v>2</v>
      </c>
      <c r="AC1174">
        <v>1</v>
      </c>
      <c r="AD1174">
        <v>4</v>
      </c>
      <c r="AE1174" t="str" cm="1">
        <f t="array" ref="AE1174">_xlfn.IFS(G1174=1,"Before College",G1174=2,"College",G1174=3,"Bachelor",G1174=4,"Master",G1174=5,"Doctor")</f>
        <v>Bachelor</v>
      </c>
      <c r="AF1174" t="str" cm="1">
        <f t="array" ref="AF1174">_xlfn.IFS(J1174=1,"Low",J1174=2,"Medium",J1174=3,"High",J1174=4,"Very High")</f>
        <v>High</v>
      </c>
      <c r="AG1174" t="str" cm="1">
        <f t="array" ref="AG1174">_xlfn.IFS(L1174=1,"Low",L1174=2,"Medium",L1174=3,"High",L1174=4,"Very High")</f>
        <v>Medium</v>
      </c>
      <c r="AH1174" t="str" cm="1">
        <f t="array" ref="AH1174">_xlfn.IFS(M1174=1,"Junior employee",M1174=2,"Mid-level",M1174=3,"Senior",M1174=4,"Manager",M1174=5,"Executive")</f>
        <v>Mid-level</v>
      </c>
      <c r="AI1174" t="str" cm="1">
        <f t="array" ref="AI1174">_xlfn.IFS(O1174=1,"Low",O1174=2,"Medium",O1174=3,"High",O1174=4,"Very High")</f>
        <v>High</v>
      </c>
      <c r="AJ1174" t="str" cm="1">
        <f t="array" ref="AJ1174">_xlfn.IFS(U1174=1,"Low",U1174=2,"Good",U1174=3,"Excellent",U1174=4,"Outstanding")</f>
        <v>Excellent</v>
      </c>
      <c r="AK1174" t="str" cm="1">
        <f t="array" ref="AK1174">_xlfn.IFS(V1174=1,"Low",V1174=2,"Medium",V1174=3,"High",V1174=4,"Very High")</f>
        <v>High</v>
      </c>
      <c r="AL1174" t="str" cm="1">
        <f t="array" ref="AL1174">_xlfn.IFS(Z1174=1,"Bad",Z1174=2,"Good",Z1174=3,"Better",Z1174=4,"Best")</f>
        <v>Better</v>
      </c>
      <c r="AM1174" t="str" cm="1">
        <f t="array" ref="AM1174">_xlfn.IFS(W1174=0,"No_stock",W1174=1,"Low",W1174=2,"Medium",W1174=3,"High")</f>
        <v>No_stock</v>
      </c>
      <c r="AN1174" t="str">
        <f t="shared" si="18"/>
        <v>Medium</v>
      </c>
    </row>
    <row r="1175" spans="1:40" x14ac:dyDescent="0.45">
      <c r="A1175">
        <v>36</v>
      </c>
      <c r="B1175" t="s">
        <v>37</v>
      </c>
      <c r="C1175" t="s">
        <v>31</v>
      </c>
      <c r="D1175">
        <v>711</v>
      </c>
      <c r="E1175" t="s">
        <v>39</v>
      </c>
      <c r="F1175">
        <v>5</v>
      </c>
      <c r="G1175">
        <v>4</v>
      </c>
      <c r="H1175" t="s">
        <v>33</v>
      </c>
      <c r="I1175">
        <v>1651</v>
      </c>
      <c r="J1175">
        <v>2</v>
      </c>
      <c r="K1175" t="s">
        <v>34</v>
      </c>
      <c r="L1175">
        <v>3</v>
      </c>
      <c r="M1175">
        <v>3</v>
      </c>
      <c r="N1175" t="s">
        <v>48</v>
      </c>
      <c r="O1175">
        <v>1</v>
      </c>
      <c r="P1175" t="s">
        <v>42</v>
      </c>
      <c r="Q1175">
        <v>8008</v>
      </c>
      <c r="R1175">
        <v>4</v>
      </c>
      <c r="S1175" t="s">
        <v>37</v>
      </c>
      <c r="T1175">
        <v>12</v>
      </c>
      <c r="U1175">
        <v>3</v>
      </c>
      <c r="V1175">
        <v>3</v>
      </c>
      <c r="W1175">
        <v>2</v>
      </c>
      <c r="X1175">
        <v>9</v>
      </c>
      <c r="Y1175">
        <v>6</v>
      </c>
      <c r="Z1175">
        <v>3</v>
      </c>
      <c r="AA1175">
        <v>3</v>
      </c>
      <c r="AB1175">
        <v>2</v>
      </c>
      <c r="AC1175">
        <v>0</v>
      </c>
      <c r="AD1175">
        <v>2</v>
      </c>
      <c r="AE1175" t="str" cm="1">
        <f t="array" ref="AE1175">_xlfn.IFS(G1175=1,"Before College",G1175=2,"College",G1175=3,"Bachelor",G1175=4,"Master",G1175=5,"Doctor")</f>
        <v>Master</v>
      </c>
      <c r="AF1175" t="str" cm="1">
        <f t="array" ref="AF1175">_xlfn.IFS(J1175=1,"Low",J1175=2,"Medium",J1175=3,"High",J1175=4,"Very High")</f>
        <v>Medium</v>
      </c>
      <c r="AG1175" t="str" cm="1">
        <f t="array" ref="AG1175">_xlfn.IFS(L1175=1,"Low",L1175=2,"Medium",L1175=3,"High",L1175=4,"Very High")</f>
        <v>High</v>
      </c>
      <c r="AH1175" t="str" cm="1">
        <f t="array" ref="AH1175">_xlfn.IFS(M1175=1,"Junior employee",M1175=2,"Mid-level",M1175=3,"Senior",M1175=4,"Manager",M1175=5,"Executive")</f>
        <v>Senior</v>
      </c>
      <c r="AI1175" t="str" cm="1">
        <f t="array" ref="AI1175">_xlfn.IFS(O1175=1,"Low",O1175=2,"Medium",O1175=3,"High",O1175=4,"Very High")</f>
        <v>Low</v>
      </c>
      <c r="AJ1175" t="str" cm="1">
        <f t="array" ref="AJ1175">_xlfn.IFS(U1175=1,"Low",U1175=2,"Good",U1175=3,"Excellent",U1175=4,"Outstanding")</f>
        <v>Excellent</v>
      </c>
      <c r="AK1175" t="str" cm="1">
        <f t="array" ref="AK1175">_xlfn.IFS(V1175=1,"Low",V1175=2,"Medium",V1175=3,"High",V1175=4,"Very High")</f>
        <v>High</v>
      </c>
      <c r="AL1175" t="str" cm="1">
        <f t="array" ref="AL1175">_xlfn.IFS(Z1175=1,"Bad",Z1175=2,"Good",Z1175=3,"Better",Z1175=4,"Best")</f>
        <v>Better</v>
      </c>
      <c r="AM1175" t="str" cm="1">
        <f t="array" ref="AM1175">_xlfn.IFS(W1175=0,"No_stock",W1175=1,"Low",W1175=2,"Medium",W1175=3,"High")</f>
        <v>Medium</v>
      </c>
      <c r="AN1175" t="str">
        <f t="shared" si="18"/>
        <v>Near</v>
      </c>
    </row>
    <row r="1176" spans="1:40" x14ac:dyDescent="0.45">
      <c r="A1176">
        <v>25</v>
      </c>
      <c r="B1176" t="s">
        <v>37</v>
      </c>
      <c r="C1176" t="s">
        <v>38</v>
      </c>
      <c r="D1176">
        <v>772</v>
      </c>
      <c r="E1176" t="s">
        <v>39</v>
      </c>
      <c r="F1176">
        <v>2</v>
      </c>
      <c r="G1176">
        <v>1</v>
      </c>
      <c r="H1176" t="s">
        <v>33</v>
      </c>
      <c r="I1176">
        <v>1653</v>
      </c>
      <c r="J1176">
        <v>4</v>
      </c>
      <c r="K1176" t="s">
        <v>40</v>
      </c>
      <c r="L1176">
        <v>4</v>
      </c>
      <c r="M1176">
        <v>2</v>
      </c>
      <c r="N1176" t="s">
        <v>47</v>
      </c>
      <c r="O1176">
        <v>3</v>
      </c>
      <c r="P1176" t="s">
        <v>46</v>
      </c>
      <c r="Q1176">
        <v>5206</v>
      </c>
      <c r="R1176">
        <v>1</v>
      </c>
      <c r="S1176" t="s">
        <v>37</v>
      </c>
      <c r="T1176">
        <v>17</v>
      </c>
      <c r="U1176">
        <v>3</v>
      </c>
      <c r="V1176">
        <v>3</v>
      </c>
      <c r="W1176">
        <v>2</v>
      </c>
      <c r="X1176">
        <v>7</v>
      </c>
      <c r="Y1176">
        <v>6</v>
      </c>
      <c r="Z1176">
        <v>3</v>
      </c>
      <c r="AA1176">
        <v>7</v>
      </c>
      <c r="AB1176">
        <v>7</v>
      </c>
      <c r="AC1176">
        <v>0</v>
      </c>
      <c r="AD1176">
        <v>7</v>
      </c>
      <c r="AE1176" t="str" cm="1">
        <f t="array" ref="AE1176">_xlfn.IFS(G1176=1,"Before College",G1176=2,"College",G1176=3,"Bachelor",G1176=4,"Master",G1176=5,"Doctor")</f>
        <v>Before College</v>
      </c>
      <c r="AF1176" t="str" cm="1">
        <f t="array" ref="AF1176">_xlfn.IFS(J1176=1,"Low",J1176=2,"Medium",J1176=3,"High",J1176=4,"Very High")</f>
        <v>Very High</v>
      </c>
      <c r="AG1176" t="str" cm="1">
        <f t="array" ref="AG1176">_xlfn.IFS(L1176=1,"Low",L1176=2,"Medium",L1176=3,"High",L1176=4,"Very High")</f>
        <v>Very High</v>
      </c>
      <c r="AH1176" t="str" cm="1">
        <f t="array" ref="AH1176">_xlfn.IFS(M1176=1,"Junior employee",M1176=2,"Mid-level",M1176=3,"Senior",M1176=4,"Manager",M1176=5,"Executive")</f>
        <v>Mid-level</v>
      </c>
      <c r="AI1176" t="str" cm="1">
        <f t="array" ref="AI1176">_xlfn.IFS(O1176=1,"Low",O1176=2,"Medium",O1176=3,"High",O1176=4,"Very High")</f>
        <v>High</v>
      </c>
      <c r="AJ1176" t="str" cm="1">
        <f t="array" ref="AJ1176">_xlfn.IFS(U1176=1,"Low",U1176=2,"Good",U1176=3,"Excellent",U1176=4,"Outstanding")</f>
        <v>Excellent</v>
      </c>
      <c r="AK1176" t="str" cm="1">
        <f t="array" ref="AK1176">_xlfn.IFS(V1176=1,"Low",V1176=2,"Medium",V1176=3,"High",V1176=4,"Very High")</f>
        <v>High</v>
      </c>
      <c r="AL1176" t="str" cm="1">
        <f t="array" ref="AL1176">_xlfn.IFS(Z1176=1,"Bad",Z1176=2,"Good",Z1176=3,"Better",Z1176=4,"Best")</f>
        <v>Better</v>
      </c>
      <c r="AM1176" t="str" cm="1">
        <f t="array" ref="AM1176">_xlfn.IFS(W1176=0,"No_stock",W1176=1,"Low",W1176=2,"Medium",W1176=3,"High")</f>
        <v>Medium</v>
      </c>
      <c r="AN1176" t="str">
        <f t="shared" si="18"/>
        <v>Near</v>
      </c>
    </row>
    <row r="1177" spans="1:40" x14ac:dyDescent="0.45">
      <c r="A1177">
        <v>39</v>
      </c>
      <c r="B1177" t="s">
        <v>37</v>
      </c>
      <c r="C1177" t="s">
        <v>31</v>
      </c>
      <c r="D1177">
        <v>492</v>
      </c>
      <c r="E1177" t="s">
        <v>39</v>
      </c>
      <c r="F1177">
        <v>12</v>
      </c>
      <c r="G1177">
        <v>3</v>
      </c>
      <c r="H1177" t="s">
        <v>45</v>
      </c>
      <c r="I1177">
        <v>1654</v>
      </c>
      <c r="J1177">
        <v>4</v>
      </c>
      <c r="K1177" t="s">
        <v>40</v>
      </c>
      <c r="L1177">
        <v>3</v>
      </c>
      <c r="M1177">
        <v>2</v>
      </c>
      <c r="N1177" t="s">
        <v>47</v>
      </c>
      <c r="O1177">
        <v>2</v>
      </c>
      <c r="P1177" t="s">
        <v>42</v>
      </c>
      <c r="Q1177">
        <v>5295</v>
      </c>
      <c r="R1177">
        <v>4</v>
      </c>
      <c r="S1177" t="s">
        <v>37</v>
      </c>
      <c r="T1177">
        <v>21</v>
      </c>
      <c r="U1177">
        <v>4</v>
      </c>
      <c r="V1177">
        <v>3</v>
      </c>
      <c r="W1177">
        <v>0</v>
      </c>
      <c r="X1177">
        <v>7</v>
      </c>
      <c r="Y1177">
        <v>3</v>
      </c>
      <c r="Z1177">
        <v>3</v>
      </c>
      <c r="AA1177">
        <v>5</v>
      </c>
      <c r="AB1177">
        <v>4</v>
      </c>
      <c r="AC1177">
        <v>1</v>
      </c>
      <c r="AD1177">
        <v>0</v>
      </c>
      <c r="AE1177" t="str" cm="1">
        <f t="array" ref="AE1177">_xlfn.IFS(G1177=1,"Before College",G1177=2,"College",G1177=3,"Bachelor",G1177=4,"Master",G1177=5,"Doctor")</f>
        <v>Bachelor</v>
      </c>
      <c r="AF1177" t="str" cm="1">
        <f t="array" ref="AF1177">_xlfn.IFS(J1177=1,"Low",J1177=2,"Medium",J1177=3,"High",J1177=4,"Very High")</f>
        <v>Very High</v>
      </c>
      <c r="AG1177" t="str" cm="1">
        <f t="array" ref="AG1177">_xlfn.IFS(L1177=1,"Low",L1177=2,"Medium",L1177=3,"High",L1177=4,"Very High")</f>
        <v>High</v>
      </c>
      <c r="AH1177" t="str" cm="1">
        <f t="array" ref="AH1177">_xlfn.IFS(M1177=1,"Junior employee",M1177=2,"Mid-level",M1177=3,"Senior",M1177=4,"Manager",M1177=5,"Executive")</f>
        <v>Mid-level</v>
      </c>
      <c r="AI1177" t="str" cm="1">
        <f t="array" ref="AI1177">_xlfn.IFS(O1177=1,"Low",O1177=2,"Medium",O1177=3,"High",O1177=4,"Very High")</f>
        <v>Medium</v>
      </c>
      <c r="AJ1177" t="str" cm="1">
        <f t="array" ref="AJ1177">_xlfn.IFS(U1177=1,"Low",U1177=2,"Good",U1177=3,"Excellent",U1177=4,"Outstanding")</f>
        <v>Outstanding</v>
      </c>
      <c r="AK1177" t="str" cm="1">
        <f t="array" ref="AK1177">_xlfn.IFS(V1177=1,"Low",V1177=2,"Medium",V1177=3,"High",V1177=4,"Very High")</f>
        <v>High</v>
      </c>
      <c r="AL1177" t="str" cm="1">
        <f t="array" ref="AL1177">_xlfn.IFS(Z1177=1,"Bad",Z1177=2,"Good",Z1177=3,"Better",Z1177=4,"Best")</f>
        <v>Better</v>
      </c>
      <c r="AM1177" t="str" cm="1">
        <f t="array" ref="AM1177">_xlfn.IFS(W1177=0,"No_stock",W1177=1,"Low",W1177=2,"Medium",W1177=3,"High")</f>
        <v>No_stock</v>
      </c>
      <c r="AN1177" t="str">
        <f t="shared" si="18"/>
        <v>Medium</v>
      </c>
    </row>
    <row r="1178" spans="1:40" x14ac:dyDescent="0.45">
      <c r="A1178">
        <v>49</v>
      </c>
      <c r="B1178" t="s">
        <v>37</v>
      </c>
      <c r="C1178" t="s">
        <v>31</v>
      </c>
      <c r="D1178">
        <v>301</v>
      </c>
      <c r="E1178" t="s">
        <v>39</v>
      </c>
      <c r="F1178">
        <v>22</v>
      </c>
      <c r="G1178">
        <v>4</v>
      </c>
      <c r="H1178" t="s">
        <v>43</v>
      </c>
      <c r="I1178">
        <v>1655</v>
      </c>
      <c r="J1178">
        <v>1</v>
      </c>
      <c r="K1178" t="s">
        <v>34</v>
      </c>
      <c r="L1178">
        <v>3</v>
      </c>
      <c r="M1178">
        <v>4</v>
      </c>
      <c r="N1178" t="s">
        <v>52</v>
      </c>
      <c r="O1178">
        <v>2</v>
      </c>
      <c r="P1178" t="s">
        <v>42</v>
      </c>
      <c r="Q1178">
        <v>16413</v>
      </c>
      <c r="R1178">
        <v>3</v>
      </c>
      <c r="S1178" t="s">
        <v>37</v>
      </c>
      <c r="T1178">
        <v>16</v>
      </c>
      <c r="U1178">
        <v>3</v>
      </c>
      <c r="V1178">
        <v>2</v>
      </c>
      <c r="W1178">
        <v>2</v>
      </c>
      <c r="X1178">
        <v>27</v>
      </c>
      <c r="Y1178">
        <v>2</v>
      </c>
      <c r="Z1178">
        <v>3</v>
      </c>
      <c r="AA1178">
        <v>4</v>
      </c>
      <c r="AB1178">
        <v>2</v>
      </c>
      <c r="AC1178">
        <v>1</v>
      </c>
      <c r="AD1178">
        <v>2</v>
      </c>
      <c r="AE1178" t="str" cm="1">
        <f t="array" ref="AE1178">_xlfn.IFS(G1178=1,"Before College",G1178=2,"College",G1178=3,"Bachelor",G1178=4,"Master",G1178=5,"Doctor")</f>
        <v>Master</v>
      </c>
      <c r="AF1178" t="str" cm="1">
        <f t="array" ref="AF1178">_xlfn.IFS(J1178=1,"Low",J1178=2,"Medium",J1178=3,"High",J1178=4,"Very High")</f>
        <v>Low</v>
      </c>
      <c r="AG1178" t="str" cm="1">
        <f t="array" ref="AG1178">_xlfn.IFS(L1178=1,"Low",L1178=2,"Medium",L1178=3,"High",L1178=4,"Very High")</f>
        <v>High</v>
      </c>
      <c r="AH1178" t="str" cm="1">
        <f t="array" ref="AH1178">_xlfn.IFS(M1178=1,"Junior employee",M1178=2,"Mid-level",M1178=3,"Senior",M1178=4,"Manager",M1178=5,"Executive")</f>
        <v>Manager</v>
      </c>
      <c r="AI1178" t="str" cm="1">
        <f t="array" ref="AI1178">_xlfn.IFS(O1178=1,"Low",O1178=2,"Medium",O1178=3,"High",O1178=4,"Very High")</f>
        <v>Medium</v>
      </c>
      <c r="AJ1178" t="str" cm="1">
        <f t="array" ref="AJ1178">_xlfn.IFS(U1178=1,"Low",U1178=2,"Good",U1178=3,"Excellent",U1178=4,"Outstanding")</f>
        <v>Excellent</v>
      </c>
      <c r="AK1178" t="str" cm="1">
        <f t="array" ref="AK1178">_xlfn.IFS(V1178=1,"Low",V1178=2,"Medium",V1178=3,"High",V1178=4,"Very High")</f>
        <v>Medium</v>
      </c>
      <c r="AL1178" t="str" cm="1">
        <f t="array" ref="AL1178">_xlfn.IFS(Z1178=1,"Bad",Z1178=2,"Good",Z1178=3,"Better",Z1178=4,"Best")</f>
        <v>Better</v>
      </c>
      <c r="AM1178" t="str" cm="1">
        <f t="array" ref="AM1178">_xlfn.IFS(W1178=0,"No_stock",W1178=1,"Low",W1178=2,"Medium",W1178=3,"High")</f>
        <v>Medium</v>
      </c>
      <c r="AN1178" t="str">
        <f t="shared" si="18"/>
        <v>Far</v>
      </c>
    </row>
    <row r="1179" spans="1:40" x14ac:dyDescent="0.45">
      <c r="A1179">
        <v>50</v>
      </c>
      <c r="B1179" t="s">
        <v>37</v>
      </c>
      <c r="C1179" t="s">
        <v>31</v>
      </c>
      <c r="D1179">
        <v>813</v>
      </c>
      <c r="E1179" t="s">
        <v>39</v>
      </c>
      <c r="F1179">
        <v>17</v>
      </c>
      <c r="G1179">
        <v>5</v>
      </c>
      <c r="H1179" t="s">
        <v>33</v>
      </c>
      <c r="I1179">
        <v>1656</v>
      </c>
      <c r="J1179">
        <v>4</v>
      </c>
      <c r="K1179" t="s">
        <v>34</v>
      </c>
      <c r="L1179">
        <v>2</v>
      </c>
      <c r="M1179">
        <v>3</v>
      </c>
      <c r="N1179" t="s">
        <v>52</v>
      </c>
      <c r="O1179">
        <v>1</v>
      </c>
      <c r="P1179" t="s">
        <v>46</v>
      </c>
      <c r="Q1179">
        <v>13269</v>
      </c>
      <c r="R1179">
        <v>5</v>
      </c>
      <c r="S1179" t="s">
        <v>37</v>
      </c>
      <c r="T1179">
        <v>15</v>
      </c>
      <c r="U1179">
        <v>3</v>
      </c>
      <c r="V1179">
        <v>3</v>
      </c>
      <c r="W1179">
        <v>3</v>
      </c>
      <c r="X1179">
        <v>19</v>
      </c>
      <c r="Y1179">
        <v>3</v>
      </c>
      <c r="Z1179">
        <v>3</v>
      </c>
      <c r="AA1179">
        <v>14</v>
      </c>
      <c r="AB1179">
        <v>11</v>
      </c>
      <c r="AC1179">
        <v>1</v>
      </c>
      <c r="AD1179">
        <v>11</v>
      </c>
      <c r="AE1179" t="str" cm="1">
        <f t="array" ref="AE1179">_xlfn.IFS(G1179=1,"Before College",G1179=2,"College",G1179=3,"Bachelor",G1179=4,"Master",G1179=5,"Doctor")</f>
        <v>Doctor</v>
      </c>
      <c r="AF1179" t="str" cm="1">
        <f t="array" ref="AF1179">_xlfn.IFS(J1179=1,"Low",J1179=2,"Medium",J1179=3,"High",J1179=4,"Very High")</f>
        <v>Very High</v>
      </c>
      <c r="AG1179" t="str" cm="1">
        <f t="array" ref="AG1179">_xlfn.IFS(L1179=1,"Low",L1179=2,"Medium",L1179=3,"High",L1179=4,"Very High")</f>
        <v>Medium</v>
      </c>
      <c r="AH1179" t="str" cm="1">
        <f t="array" ref="AH1179">_xlfn.IFS(M1179=1,"Junior employee",M1179=2,"Mid-level",M1179=3,"Senior",M1179=4,"Manager",M1179=5,"Executive")</f>
        <v>Senior</v>
      </c>
      <c r="AI1179" t="str" cm="1">
        <f t="array" ref="AI1179">_xlfn.IFS(O1179=1,"Low",O1179=2,"Medium",O1179=3,"High",O1179=4,"Very High")</f>
        <v>Low</v>
      </c>
      <c r="AJ1179" t="str" cm="1">
        <f t="array" ref="AJ1179">_xlfn.IFS(U1179=1,"Low",U1179=2,"Good",U1179=3,"Excellent",U1179=4,"Outstanding")</f>
        <v>Excellent</v>
      </c>
      <c r="AK1179" t="str" cm="1">
        <f t="array" ref="AK1179">_xlfn.IFS(V1179=1,"Low",V1179=2,"Medium",V1179=3,"High",V1179=4,"Very High")</f>
        <v>High</v>
      </c>
      <c r="AL1179" t="str" cm="1">
        <f t="array" ref="AL1179">_xlfn.IFS(Z1179=1,"Bad",Z1179=2,"Good",Z1179=3,"Better",Z1179=4,"Best")</f>
        <v>Better</v>
      </c>
      <c r="AM1179" t="str" cm="1">
        <f t="array" ref="AM1179">_xlfn.IFS(W1179=0,"No_stock",W1179=1,"Low",W1179=2,"Medium",W1179=3,"High")</f>
        <v>High</v>
      </c>
      <c r="AN1179" t="str">
        <f t="shared" si="18"/>
        <v>Far</v>
      </c>
    </row>
    <row r="1180" spans="1:40" x14ac:dyDescent="0.45">
      <c r="A1180">
        <v>20</v>
      </c>
      <c r="B1180" t="s">
        <v>37</v>
      </c>
      <c r="C1180" t="s">
        <v>31</v>
      </c>
      <c r="D1180">
        <v>1141</v>
      </c>
      <c r="E1180" t="s">
        <v>32</v>
      </c>
      <c r="F1180">
        <v>2</v>
      </c>
      <c r="G1180">
        <v>3</v>
      </c>
      <c r="H1180" t="s">
        <v>45</v>
      </c>
      <c r="I1180">
        <v>1657</v>
      </c>
      <c r="J1180">
        <v>3</v>
      </c>
      <c r="K1180" t="s">
        <v>34</v>
      </c>
      <c r="L1180">
        <v>3</v>
      </c>
      <c r="M1180">
        <v>1</v>
      </c>
      <c r="N1180" t="s">
        <v>51</v>
      </c>
      <c r="O1180">
        <v>3</v>
      </c>
      <c r="P1180" t="s">
        <v>36</v>
      </c>
      <c r="Q1180">
        <v>2783</v>
      </c>
      <c r="R1180">
        <v>1</v>
      </c>
      <c r="S1180" t="s">
        <v>37</v>
      </c>
      <c r="T1180">
        <v>19</v>
      </c>
      <c r="U1180">
        <v>3</v>
      </c>
      <c r="V1180">
        <v>1</v>
      </c>
      <c r="W1180">
        <v>0</v>
      </c>
      <c r="X1180">
        <v>2</v>
      </c>
      <c r="Y1180">
        <v>3</v>
      </c>
      <c r="Z1180">
        <v>3</v>
      </c>
      <c r="AA1180">
        <v>2</v>
      </c>
      <c r="AB1180">
        <v>2</v>
      </c>
      <c r="AC1180">
        <v>2</v>
      </c>
      <c r="AD1180">
        <v>2</v>
      </c>
      <c r="AE1180" t="str" cm="1">
        <f t="array" ref="AE1180">_xlfn.IFS(G1180=1,"Before College",G1180=2,"College",G1180=3,"Bachelor",G1180=4,"Master",G1180=5,"Doctor")</f>
        <v>Bachelor</v>
      </c>
      <c r="AF1180" t="str" cm="1">
        <f t="array" ref="AF1180">_xlfn.IFS(J1180=1,"Low",J1180=2,"Medium",J1180=3,"High",J1180=4,"Very High")</f>
        <v>High</v>
      </c>
      <c r="AG1180" t="str" cm="1">
        <f t="array" ref="AG1180">_xlfn.IFS(L1180=1,"Low",L1180=2,"Medium",L1180=3,"High",L1180=4,"Very High")</f>
        <v>High</v>
      </c>
      <c r="AH1180" t="str" cm="1">
        <f t="array" ref="AH1180">_xlfn.IFS(M1180=1,"Junior employee",M1180=2,"Mid-level",M1180=3,"Senior",M1180=4,"Manager",M1180=5,"Executive")</f>
        <v>Junior employee</v>
      </c>
      <c r="AI1180" t="str" cm="1">
        <f t="array" ref="AI1180">_xlfn.IFS(O1180=1,"Low",O1180=2,"Medium",O1180=3,"High",O1180=4,"Very High")</f>
        <v>High</v>
      </c>
      <c r="AJ1180" t="str" cm="1">
        <f t="array" ref="AJ1180">_xlfn.IFS(U1180=1,"Low",U1180=2,"Good",U1180=3,"Excellent",U1180=4,"Outstanding")</f>
        <v>Excellent</v>
      </c>
      <c r="AK1180" t="str" cm="1">
        <f t="array" ref="AK1180">_xlfn.IFS(V1180=1,"Low",V1180=2,"Medium",V1180=3,"High",V1180=4,"Very High")</f>
        <v>Low</v>
      </c>
      <c r="AL1180" t="str" cm="1">
        <f t="array" ref="AL1180">_xlfn.IFS(Z1180=1,"Bad",Z1180=2,"Good",Z1180=3,"Better",Z1180=4,"Best")</f>
        <v>Better</v>
      </c>
      <c r="AM1180" t="str" cm="1">
        <f t="array" ref="AM1180">_xlfn.IFS(W1180=0,"No_stock",W1180=1,"Low",W1180=2,"Medium",W1180=3,"High")</f>
        <v>No_stock</v>
      </c>
      <c r="AN1180" t="str">
        <f t="shared" si="18"/>
        <v>Near</v>
      </c>
    </row>
    <row r="1181" spans="1:40" x14ac:dyDescent="0.45">
      <c r="A1181">
        <v>34</v>
      </c>
      <c r="B1181" t="s">
        <v>37</v>
      </c>
      <c r="C1181" t="s">
        <v>31</v>
      </c>
      <c r="D1181">
        <v>1130</v>
      </c>
      <c r="E1181" t="s">
        <v>39</v>
      </c>
      <c r="F1181">
        <v>3</v>
      </c>
      <c r="G1181">
        <v>3</v>
      </c>
      <c r="H1181" t="s">
        <v>33</v>
      </c>
      <c r="I1181">
        <v>1658</v>
      </c>
      <c r="J1181">
        <v>4</v>
      </c>
      <c r="K1181" t="s">
        <v>34</v>
      </c>
      <c r="L1181">
        <v>3</v>
      </c>
      <c r="M1181">
        <v>2</v>
      </c>
      <c r="N1181" t="s">
        <v>41</v>
      </c>
      <c r="O1181">
        <v>2</v>
      </c>
      <c r="P1181" t="s">
        <v>46</v>
      </c>
      <c r="Q1181">
        <v>5433</v>
      </c>
      <c r="R1181">
        <v>1</v>
      </c>
      <c r="S1181" t="s">
        <v>37</v>
      </c>
      <c r="T1181">
        <v>12</v>
      </c>
      <c r="U1181">
        <v>3</v>
      </c>
      <c r="V1181">
        <v>3</v>
      </c>
      <c r="W1181">
        <v>1</v>
      </c>
      <c r="X1181">
        <v>11</v>
      </c>
      <c r="Y1181">
        <v>2</v>
      </c>
      <c r="Z1181">
        <v>3</v>
      </c>
      <c r="AA1181">
        <v>11</v>
      </c>
      <c r="AB1181">
        <v>8</v>
      </c>
      <c r="AC1181">
        <v>7</v>
      </c>
      <c r="AD1181">
        <v>9</v>
      </c>
      <c r="AE1181" t="str" cm="1">
        <f t="array" ref="AE1181">_xlfn.IFS(G1181=1,"Before College",G1181=2,"College",G1181=3,"Bachelor",G1181=4,"Master",G1181=5,"Doctor")</f>
        <v>Bachelor</v>
      </c>
      <c r="AF1181" t="str" cm="1">
        <f t="array" ref="AF1181">_xlfn.IFS(J1181=1,"Low",J1181=2,"Medium",J1181=3,"High",J1181=4,"Very High")</f>
        <v>Very High</v>
      </c>
      <c r="AG1181" t="str" cm="1">
        <f t="array" ref="AG1181">_xlfn.IFS(L1181=1,"Low",L1181=2,"Medium",L1181=3,"High",L1181=4,"Very High")</f>
        <v>High</v>
      </c>
      <c r="AH1181" t="str" cm="1">
        <f t="array" ref="AH1181">_xlfn.IFS(M1181=1,"Junior employee",M1181=2,"Mid-level",M1181=3,"Senior",M1181=4,"Manager",M1181=5,"Executive")</f>
        <v>Mid-level</v>
      </c>
      <c r="AI1181" t="str" cm="1">
        <f t="array" ref="AI1181">_xlfn.IFS(O1181=1,"Low",O1181=2,"Medium",O1181=3,"High",O1181=4,"Very High")</f>
        <v>Medium</v>
      </c>
      <c r="AJ1181" t="str" cm="1">
        <f t="array" ref="AJ1181">_xlfn.IFS(U1181=1,"Low",U1181=2,"Good",U1181=3,"Excellent",U1181=4,"Outstanding")</f>
        <v>Excellent</v>
      </c>
      <c r="AK1181" t="str" cm="1">
        <f t="array" ref="AK1181">_xlfn.IFS(V1181=1,"Low",V1181=2,"Medium",V1181=3,"High",V1181=4,"Very High")</f>
        <v>High</v>
      </c>
      <c r="AL1181" t="str" cm="1">
        <f t="array" ref="AL1181">_xlfn.IFS(Z1181=1,"Bad",Z1181=2,"Good",Z1181=3,"Better",Z1181=4,"Best")</f>
        <v>Better</v>
      </c>
      <c r="AM1181" t="str" cm="1">
        <f t="array" ref="AM1181">_xlfn.IFS(W1181=0,"No_stock",W1181=1,"Low",W1181=2,"Medium",W1181=3,"High")</f>
        <v>Low</v>
      </c>
      <c r="AN1181" t="str">
        <f t="shared" si="18"/>
        <v>Near</v>
      </c>
    </row>
    <row r="1182" spans="1:40" x14ac:dyDescent="0.45">
      <c r="A1182">
        <v>36</v>
      </c>
      <c r="B1182" t="s">
        <v>37</v>
      </c>
      <c r="C1182" t="s">
        <v>31</v>
      </c>
      <c r="D1182">
        <v>311</v>
      </c>
      <c r="E1182" t="s">
        <v>39</v>
      </c>
      <c r="F1182">
        <v>7</v>
      </c>
      <c r="G1182">
        <v>3</v>
      </c>
      <c r="H1182" t="s">
        <v>33</v>
      </c>
      <c r="I1182">
        <v>1659</v>
      </c>
      <c r="J1182">
        <v>1</v>
      </c>
      <c r="K1182" t="s">
        <v>40</v>
      </c>
      <c r="L1182">
        <v>3</v>
      </c>
      <c r="M1182">
        <v>1</v>
      </c>
      <c r="N1182" t="s">
        <v>44</v>
      </c>
      <c r="O1182">
        <v>2</v>
      </c>
      <c r="P1182" t="s">
        <v>36</v>
      </c>
      <c r="Q1182">
        <v>2013</v>
      </c>
      <c r="R1182">
        <v>2</v>
      </c>
      <c r="S1182" t="s">
        <v>37</v>
      </c>
      <c r="T1182">
        <v>11</v>
      </c>
      <c r="U1182">
        <v>3</v>
      </c>
      <c r="V1182">
        <v>3</v>
      </c>
      <c r="W1182">
        <v>0</v>
      </c>
      <c r="X1182">
        <v>15</v>
      </c>
      <c r="Y1182">
        <v>4</v>
      </c>
      <c r="Z1182">
        <v>3</v>
      </c>
      <c r="AA1182">
        <v>4</v>
      </c>
      <c r="AB1182">
        <v>3</v>
      </c>
      <c r="AC1182">
        <v>1</v>
      </c>
      <c r="AD1182">
        <v>3</v>
      </c>
      <c r="AE1182" t="str" cm="1">
        <f t="array" ref="AE1182">_xlfn.IFS(G1182=1,"Before College",G1182=2,"College",G1182=3,"Bachelor",G1182=4,"Master",G1182=5,"Doctor")</f>
        <v>Bachelor</v>
      </c>
      <c r="AF1182" t="str" cm="1">
        <f t="array" ref="AF1182">_xlfn.IFS(J1182=1,"Low",J1182=2,"Medium",J1182=3,"High",J1182=4,"Very High")</f>
        <v>Low</v>
      </c>
      <c r="AG1182" t="str" cm="1">
        <f t="array" ref="AG1182">_xlfn.IFS(L1182=1,"Low",L1182=2,"Medium",L1182=3,"High",L1182=4,"Very High")</f>
        <v>High</v>
      </c>
      <c r="AH1182" t="str" cm="1">
        <f t="array" ref="AH1182">_xlfn.IFS(M1182=1,"Junior employee",M1182=2,"Mid-level",M1182=3,"Senior",M1182=4,"Manager",M1182=5,"Executive")</f>
        <v>Junior employee</v>
      </c>
      <c r="AI1182" t="str" cm="1">
        <f t="array" ref="AI1182">_xlfn.IFS(O1182=1,"Low",O1182=2,"Medium",O1182=3,"High",O1182=4,"Very High")</f>
        <v>Medium</v>
      </c>
      <c r="AJ1182" t="str" cm="1">
        <f t="array" ref="AJ1182">_xlfn.IFS(U1182=1,"Low",U1182=2,"Good",U1182=3,"Excellent",U1182=4,"Outstanding")</f>
        <v>Excellent</v>
      </c>
      <c r="AK1182" t="str" cm="1">
        <f t="array" ref="AK1182">_xlfn.IFS(V1182=1,"Low",V1182=2,"Medium",V1182=3,"High",V1182=4,"Very High")</f>
        <v>High</v>
      </c>
      <c r="AL1182" t="str" cm="1">
        <f t="array" ref="AL1182">_xlfn.IFS(Z1182=1,"Bad",Z1182=2,"Good",Z1182=3,"Better",Z1182=4,"Best")</f>
        <v>Better</v>
      </c>
      <c r="AM1182" t="str" cm="1">
        <f t="array" ref="AM1182">_xlfn.IFS(W1182=0,"No_stock",W1182=1,"Low",W1182=2,"Medium",W1182=3,"High")</f>
        <v>No_stock</v>
      </c>
      <c r="AN1182" t="str">
        <f t="shared" si="18"/>
        <v>Medium</v>
      </c>
    </row>
    <row r="1183" spans="1:40" x14ac:dyDescent="0.45">
      <c r="A1183">
        <v>49</v>
      </c>
      <c r="B1183" t="s">
        <v>37</v>
      </c>
      <c r="C1183" t="s">
        <v>31</v>
      </c>
      <c r="D1183">
        <v>465</v>
      </c>
      <c r="E1183" t="s">
        <v>39</v>
      </c>
      <c r="F1183">
        <v>6</v>
      </c>
      <c r="G1183">
        <v>1</v>
      </c>
      <c r="H1183" t="s">
        <v>33</v>
      </c>
      <c r="I1183">
        <v>1661</v>
      </c>
      <c r="J1183">
        <v>3</v>
      </c>
      <c r="K1183" t="s">
        <v>34</v>
      </c>
      <c r="L1183">
        <v>2</v>
      </c>
      <c r="M1183">
        <v>4</v>
      </c>
      <c r="N1183" t="s">
        <v>48</v>
      </c>
      <c r="O1183">
        <v>3</v>
      </c>
      <c r="P1183" t="s">
        <v>42</v>
      </c>
      <c r="Q1183">
        <v>13966</v>
      </c>
      <c r="R1183">
        <v>2</v>
      </c>
      <c r="S1183" t="s">
        <v>30</v>
      </c>
      <c r="T1183">
        <v>19</v>
      </c>
      <c r="U1183">
        <v>3</v>
      </c>
      <c r="V1183">
        <v>2</v>
      </c>
      <c r="W1183">
        <v>1</v>
      </c>
      <c r="X1183">
        <v>30</v>
      </c>
      <c r="Y1183">
        <v>3</v>
      </c>
      <c r="Z1183">
        <v>3</v>
      </c>
      <c r="AA1183">
        <v>15</v>
      </c>
      <c r="AB1183">
        <v>11</v>
      </c>
      <c r="AC1183">
        <v>2</v>
      </c>
      <c r="AD1183">
        <v>12</v>
      </c>
      <c r="AE1183" t="str" cm="1">
        <f t="array" ref="AE1183">_xlfn.IFS(G1183=1,"Before College",G1183=2,"College",G1183=3,"Bachelor",G1183=4,"Master",G1183=5,"Doctor")</f>
        <v>Before College</v>
      </c>
      <c r="AF1183" t="str" cm="1">
        <f t="array" ref="AF1183">_xlfn.IFS(J1183=1,"Low",J1183=2,"Medium",J1183=3,"High",J1183=4,"Very High")</f>
        <v>High</v>
      </c>
      <c r="AG1183" t="str" cm="1">
        <f t="array" ref="AG1183">_xlfn.IFS(L1183=1,"Low",L1183=2,"Medium",L1183=3,"High",L1183=4,"Very High")</f>
        <v>Medium</v>
      </c>
      <c r="AH1183" t="str" cm="1">
        <f t="array" ref="AH1183">_xlfn.IFS(M1183=1,"Junior employee",M1183=2,"Mid-level",M1183=3,"Senior",M1183=4,"Manager",M1183=5,"Executive")</f>
        <v>Manager</v>
      </c>
      <c r="AI1183" t="str" cm="1">
        <f t="array" ref="AI1183">_xlfn.IFS(O1183=1,"Low",O1183=2,"Medium",O1183=3,"High",O1183=4,"Very High")</f>
        <v>High</v>
      </c>
      <c r="AJ1183" t="str" cm="1">
        <f t="array" ref="AJ1183">_xlfn.IFS(U1183=1,"Low",U1183=2,"Good",U1183=3,"Excellent",U1183=4,"Outstanding")</f>
        <v>Excellent</v>
      </c>
      <c r="AK1183" t="str" cm="1">
        <f t="array" ref="AK1183">_xlfn.IFS(V1183=1,"Low",V1183=2,"Medium",V1183=3,"High",V1183=4,"Very High")</f>
        <v>Medium</v>
      </c>
      <c r="AL1183" t="str" cm="1">
        <f t="array" ref="AL1183">_xlfn.IFS(Z1183=1,"Bad",Z1183=2,"Good",Z1183=3,"Better",Z1183=4,"Best")</f>
        <v>Better</v>
      </c>
      <c r="AM1183" t="str" cm="1">
        <f t="array" ref="AM1183">_xlfn.IFS(W1183=0,"No_stock",W1183=1,"Low",W1183=2,"Medium",W1183=3,"High")</f>
        <v>Low</v>
      </c>
      <c r="AN1183" t="str">
        <f t="shared" si="18"/>
        <v>Medium</v>
      </c>
    </row>
    <row r="1184" spans="1:40" x14ac:dyDescent="0.45">
      <c r="A1184">
        <v>36</v>
      </c>
      <c r="B1184" t="s">
        <v>37</v>
      </c>
      <c r="C1184" t="s">
        <v>49</v>
      </c>
      <c r="D1184">
        <v>894</v>
      </c>
      <c r="E1184" t="s">
        <v>39</v>
      </c>
      <c r="F1184">
        <v>1</v>
      </c>
      <c r="G1184">
        <v>4</v>
      </c>
      <c r="H1184" t="s">
        <v>45</v>
      </c>
      <c r="I1184">
        <v>1662</v>
      </c>
      <c r="J1184">
        <v>4</v>
      </c>
      <c r="K1184" t="s">
        <v>34</v>
      </c>
      <c r="L1184">
        <v>2</v>
      </c>
      <c r="M1184">
        <v>2</v>
      </c>
      <c r="N1184" t="s">
        <v>47</v>
      </c>
      <c r="O1184">
        <v>3</v>
      </c>
      <c r="P1184" t="s">
        <v>42</v>
      </c>
      <c r="Q1184">
        <v>4374</v>
      </c>
      <c r="R1184">
        <v>0</v>
      </c>
      <c r="S1184" t="s">
        <v>37</v>
      </c>
      <c r="T1184">
        <v>15</v>
      </c>
      <c r="U1184">
        <v>3</v>
      </c>
      <c r="V1184">
        <v>3</v>
      </c>
      <c r="W1184">
        <v>0</v>
      </c>
      <c r="X1184">
        <v>4</v>
      </c>
      <c r="Y1184">
        <v>6</v>
      </c>
      <c r="Z1184">
        <v>3</v>
      </c>
      <c r="AA1184">
        <v>3</v>
      </c>
      <c r="AB1184">
        <v>2</v>
      </c>
      <c r="AC1184">
        <v>1</v>
      </c>
      <c r="AD1184">
        <v>2</v>
      </c>
      <c r="AE1184" t="str" cm="1">
        <f t="array" ref="AE1184">_xlfn.IFS(G1184=1,"Before College",G1184=2,"College",G1184=3,"Bachelor",G1184=4,"Master",G1184=5,"Doctor")</f>
        <v>Master</v>
      </c>
      <c r="AF1184" t="str" cm="1">
        <f t="array" ref="AF1184">_xlfn.IFS(J1184=1,"Low",J1184=2,"Medium",J1184=3,"High",J1184=4,"Very High")</f>
        <v>Very High</v>
      </c>
      <c r="AG1184" t="str" cm="1">
        <f t="array" ref="AG1184">_xlfn.IFS(L1184=1,"Low",L1184=2,"Medium",L1184=3,"High",L1184=4,"Very High")</f>
        <v>Medium</v>
      </c>
      <c r="AH1184" t="str" cm="1">
        <f t="array" ref="AH1184">_xlfn.IFS(M1184=1,"Junior employee",M1184=2,"Mid-level",M1184=3,"Senior",M1184=4,"Manager",M1184=5,"Executive")</f>
        <v>Mid-level</v>
      </c>
      <c r="AI1184" t="str" cm="1">
        <f t="array" ref="AI1184">_xlfn.IFS(O1184=1,"Low",O1184=2,"Medium",O1184=3,"High",O1184=4,"Very High")</f>
        <v>High</v>
      </c>
      <c r="AJ1184" t="str" cm="1">
        <f t="array" ref="AJ1184">_xlfn.IFS(U1184=1,"Low",U1184=2,"Good",U1184=3,"Excellent",U1184=4,"Outstanding")</f>
        <v>Excellent</v>
      </c>
      <c r="AK1184" t="str" cm="1">
        <f t="array" ref="AK1184">_xlfn.IFS(V1184=1,"Low",V1184=2,"Medium",V1184=3,"High",V1184=4,"Very High")</f>
        <v>High</v>
      </c>
      <c r="AL1184" t="str" cm="1">
        <f t="array" ref="AL1184">_xlfn.IFS(Z1184=1,"Bad",Z1184=2,"Good",Z1184=3,"Better",Z1184=4,"Best")</f>
        <v>Better</v>
      </c>
      <c r="AM1184" t="str" cm="1">
        <f t="array" ref="AM1184">_xlfn.IFS(W1184=0,"No_stock",W1184=1,"Low",W1184=2,"Medium",W1184=3,"High")</f>
        <v>No_stock</v>
      </c>
      <c r="AN1184" t="str">
        <f t="shared" si="18"/>
        <v>Near</v>
      </c>
    </row>
    <row r="1185" spans="1:40" x14ac:dyDescent="0.45">
      <c r="A1185">
        <v>36</v>
      </c>
      <c r="B1185" t="s">
        <v>37</v>
      </c>
      <c r="C1185" t="s">
        <v>31</v>
      </c>
      <c r="D1185">
        <v>1040</v>
      </c>
      <c r="E1185" t="s">
        <v>39</v>
      </c>
      <c r="F1185">
        <v>3</v>
      </c>
      <c r="G1185">
        <v>2</v>
      </c>
      <c r="H1185" t="s">
        <v>33</v>
      </c>
      <c r="I1185">
        <v>1664</v>
      </c>
      <c r="J1185">
        <v>4</v>
      </c>
      <c r="K1185" t="s">
        <v>40</v>
      </c>
      <c r="L1185">
        <v>4</v>
      </c>
      <c r="M1185">
        <v>2</v>
      </c>
      <c r="N1185" t="s">
        <v>48</v>
      </c>
      <c r="O1185">
        <v>1</v>
      </c>
      <c r="P1185" t="s">
        <v>46</v>
      </c>
      <c r="Q1185">
        <v>6842</v>
      </c>
      <c r="R1185">
        <v>6</v>
      </c>
      <c r="S1185" t="s">
        <v>37</v>
      </c>
      <c r="T1185">
        <v>20</v>
      </c>
      <c r="U1185">
        <v>4</v>
      </c>
      <c r="V1185">
        <v>1</v>
      </c>
      <c r="W1185">
        <v>1</v>
      </c>
      <c r="X1185">
        <v>13</v>
      </c>
      <c r="Y1185">
        <v>3</v>
      </c>
      <c r="Z1185">
        <v>3</v>
      </c>
      <c r="AA1185">
        <v>5</v>
      </c>
      <c r="AB1185">
        <v>4</v>
      </c>
      <c r="AC1185">
        <v>0</v>
      </c>
      <c r="AD1185">
        <v>4</v>
      </c>
      <c r="AE1185" t="str" cm="1">
        <f t="array" ref="AE1185">_xlfn.IFS(G1185=1,"Before College",G1185=2,"College",G1185=3,"Bachelor",G1185=4,"Master",G1185=5,"Doctor")</f>
        <v>College</v>
      </c>
      <c r="AF1185" t="str" cm="1">
        <f t="array" ref="AF1185">_xlfn.IFS(J1185=1,"Low",J1185=2,"Medium",J1185=3,"High",J1185=4,"Very High")</f>
        <v>Very High</v>
      </c>
      <c r="AG1185" t="str" cm="1">
        <f t="array" ref="AG1185">_xlfn.IFS(L1185=1,"Low",L1185=2,"Medium",L1185=3,"High",L1185=4,"Very High")</f>
        <v>Very High</v>
      </c>
      <c r="AH1185" t="str" cm="1">
        <f t="array" ref="AH1185">_xlfn.IFS(M1185=1,"Junior employee",M1185=2,"Mid-level",M1185=3,"Senior",M1185=4,"Manager",M1185=5,"Executive")</f>
        <v>Mid-level</v>
      </c>
      <c r="AI1185" t="str" cm="1">
        <f t="array" ref="AI1185">_xlfn.IFS(O1185=1,"Low",O1185=2,"Medium",O1185=3,"High",O1185=4,"Very High")</f>
        <v>Low</v>
      </c>
      <c r="AJ1185" t="str" cm="1">
        <f t="array" ref="AJ1185">_xlfn.IFS(U1185=1,"Low",U1185=2,"Good",U1185=3,"Excellent",U1185=4,"Outstanding")</f>
        <v>Outstanding</v>
      </c>
      <c r="AK1185" t="str" cm="1">
        <f t="array" ref="AK1185">_xlfn.IFS(V1185=1,"Low",V1185=2,"Medium",V1185=3,"High",V1185=4,"Very High")</f>
        <v>Low</v>
      </c>
      <c r="AL1185" t="str" cm="1">
        <f t="array" ref="AL1185">_xlfn.IFS(Z1185=1,"Bad",Z1185=2,"Good",Z1185=3,"Better",Z1185=4,"Best")</f>
        <v>Better</v>
      </c>
      <c r="AM1185" t="str" cm="1">
        <f t="array" ref="AM1185">_xlfn.IFS(W1185=0,"No_stock",W1185=1,"Low",W1185=2,"Medium",W1185=3,"High")</f>
        <v>Low</v>
      </c>
      <c r="AN1185" t="str">
        <f t="shared" si="18"/>
        <v>Near</v>
      </c>
    </row>
    <row r="1186" spans="1:40" x14ac:dyDescent="0.45">
      <c r="A1186">
        <v>54</v>
      </c>
      <c r="B1186" t="s">
        <v>37</v>
      </c>
      <c r="C1186" t="s">
        <v>31</v>
      </c>
      <c r="D1186">
        <v>584</v>
      </c>
      <c r="E1186" t="s">
        <v>39</v>
      </c>
      <c r="F1186">
        <v>22</v>
      </c>
      <c r="G1186">
        <v>5</v>
      </c>
      <c r="H1186" t="s">
        <v>45</v>
      </c>
      <c r="I1186">
        <v>1665</v>
      </c>
      <c r="J1186">
        <v>2</v>
      </c>
      <c r="K1186" t="s">
        <v>34</v>
      </c>
      <c r="L1186">
        <v>3</v>
      </c>
      <c r="M1186">
        <v>4</v>
      </c>
      <c r="N1186" t="s">
        <v>50</v>
      </c>
      <c r="O1186">
        <v>3</v>
      </c>
      <c r="P1186" t="s">
        <v>42</v>
      </c>
      <c r="Q1186">
        <v>17426</v>
      </c>
      <c r="R1186">
        <v>3</v>
      </c>
      <c r="S1186" t="s">
        <v>37</v>
      </c>
      <c r="T1186">
        <v>25</v>
      </c>
      <c r="U1186">
        <v>4</v>
      </c>
      <c r="V1186">
        <v>3</v>
      </c>
      <c r="W1186">
        <v>1</v>
      </c>
      <c r="X1186">
        <v>36</v>
      </c>
      <c r="Y1186">
        <v>6</v>
      </c>
      <c r="Z1186">
        <v>3</v>
      </c>
      <c r="AA1186">
        <v>10</v>
      </c>
      <c r="AB1186">
        <v>8</v>
      </c>
      <c r="AC1186">
        <v>4</v>
      </c>
      <c r="AD1186">
        <v>7</v>
      </c>
      <c r="AE1186" t="str" cm="1">
        <f t="array" ref="AE1186">_xlfn.IFS(G1186=1,"Before College",G1186=2,"College",G1186=3,"Bachelor",G1186=4,"Master",G1186=5,"Doctor")</f>
        <v>Doctor</v>
      </c>
      <c r="AF1186" t="str" cm="1">
        <f t="array" ref="AF1186">_xlfn.IFS(J1186=1,"Low",J1186=2,"Medium",J1186=3,"High",J1186=4,"Very High")</f>
        <v>Medium</v>
      </c>
      <c r="AG1186" t="str" cm="1">
        <f t="array" ref="AG1186">_xlfn.IFS(L1186=1,"Low",L1186=2,"Medium",L1186=3,"High",L1186=4,"Very High")</f>
        <v>High</v>
      </c>
      <c r="AH1186" t="str" cm="1">
        <f t="array" ref="AH1186">_xlfn.IFS(M1186=1,"Junior employee",M1186=2,"Mid-level",M1186=3,"Senior",M1186=4,"Manager",M1186=5,"Executive")</f>
        <v>Manager</v>
      </c>
      <c r="AI1186" t="str" cm="1">
        <f t="array" ref="AI1186">_xlfn.IFS(O1186=1,"Low",O1186=2,"Medium",O1186=3,"High",O1186=4,"Very High")</f>
        <v>High</v>
      </c>
      <c r="AJ1186" t="str" cm="1">
        <f t="array" ref="AJ1186">_xlfn.IFS(U1186=1,"Low",U1186=2,"Good",U1186=3,"Excellent",U1186=4,"Outstanding")</f>
        <v>Outstanding</v>
      </c>
      <c r="AK1186" t="str" cm="1">
        <f t="array" ref="AK1186">_xlfn.IFS(V1186=1,"Low",V1186=2,"Medium",V1186=3,"High",V1186=4,"Very High")</f>
        <v>High</v>
      </c>
      <c r="AL1186" t="str" cm="1">
        <f t="array" ref="AL1186">_xlfn.IFS(Z1186=1,"Bad",Z1186=2,"Good",Z1186=3,"Better",Z1186=4,"Best")</f>
        <v>Better</v>
      </c>
      <c r="AM1186" t="str" cm="1">
        <f t="array" ref="AM1186">_xlfn.IFS(W1186=0,"No_stock",W1186=1,"Low",W1186=2,"Medium",W1186=3,"High")</f>
        <v>Low</v>
      </c>
      <c r="AN1186" t="str">
        <f t="shared" si="18"/>
        <v>Far</v>
      </c>
    </row>
    <row r="1187" spans="1:40" x14ac:dyDescent="0.45">
      <c r="A1187">
        <v>43</v>
      </c>
      <c r="B1187" t="s">
        <v>37</v>
      </c>
      <c r="C1187" t="s">
        <v>31</v>
      </c>
      <c r="D1187">
        <v>1291</v>
      </c>
      <c r="E1187" t="s">
        <v>39</v>
      </c>
      <c r="F1187">
        <v>15</v>
      </c>
      <c r="G1187">
        <v>2</v>
      </c>
      <c r="H1187" t="s">
        <v>33</v>
      </c>
      <c r="I1187">
        <v>1666</v>
      </c>
      <c r="J1187">
        <v>3</v>
      </c>
      <c r="K1187" t="s">
        <v>40</v>
      </c>
      <c r="L1187">
        <v>2</v>
      </c>
      <c r="M1187">
        <v>4</v>
      </c>
      <c r="N1187" t="s">
        <v>52</v>
      </c>
      <c r="O1187">
        <v>3</v>
      </c>
      <c r="P1187" t="s">
        <v>42</v>
      </c>
      <c r="Q1187">
        <v>17603</v>
      </c>
      <c r="R1187">
        <v>1</v>
      </c>
      <c r="S1187" t="s">
        <v>37</v>
      </c>
      <c r="T1187">
        <v>24</v>
      </c>
      <c r="U1187">
        <v>4</v>
      </c>
      <c r="V1187">
        <v>1</v>
      </c>
      <c r="W1187">
        <v>1</v>
      </c>
      <c r="X1187">
        <v>14</v>
      </c>
      <c r="Y1187">
        <v>3</v>
      </c>
      <c r="Z1187">
        <v>3</v>
      </c>
      <c r="AA1187">
        <v>14</v>
      </c>
      <c r="AB1187">
        <v>10</v>
      </c>
      <c r="AC1187">
        <v>6</v>
      </c>
      <c r="AD1187">
        <v>11</v>
      </c>
      <c r="AE1187" t="str" cm="1">
        <f t="array" ref="AE1187">_xlfn.IFS(G1187=1,"Before College",G1187=2,"College",G1187=3,"Bachelor",G1187=4,"Master",G1187=5,"Doctor")</f>
        <v>College</v>
      </c>
      <c r="AF1187" t="str" cm="1">
        <f t="array" ref="AF1187">_xlfn.IFS(J1187=1,"Low",J1187=2,"Medium",J1187=3,"High",J1187=4,"Very High")</f>
        <v>High</v>
      </c>
      <c r="AG1187" t="str" cm="1">
        <f t="array" ref="AG1187">_xlfn.IFS(L1187=1,"Low",L1187=2,"Medium",L1187=3,"High",L1187=4,"Very High")</f>
        <v>Medium</v>
      </c>
      <c r="AH1187" t="str" cm="1">
        <f t="array" ref="AH1187">_xlfn.IFS(M1187=1,"Junior employee",M1187=2,"Mid-level",M1187=3,"Senior",M1187=4,"Manager",M1187=5,"Executive")</f>
        <v>Manager</v>
      </c>
      <c r="AI1187" t="str" cm="1">
        <f t="array" ref="AI1187">_xlfn.IFS(O1187=1,"Low",O1187=2,"Medium",O1187=3,"High",O1187=4,"Very High")</f>
        <v>High</v>
      </c>
      <c r="AJ1187" t="str" cm="1">
        <f t="array" ref="AJ1187">_xlfn.IFS(U1187=1,"Low",U1187=2,"Good",U1187=3,"Excellent",U1187=4,"Outstanding")</f>
        <v>Outstanding</v>
      </c>
      <c r="AK1187" t="str" cm="1">
        <f t="array" ref="AK1187">_xlfn.IFS(V1187=1,"Low",V1187=2,"Medium",V1187=3,"High",V1187=4,"Very High")</f>
        <v>Low</v>
      </c>
      <c r="AL1187" t="str" cm="1">
        <f t="array" ref="AL1187">_xlfn.IFS(Z1187=1,"Bad",Z1187=2,"Good",Z1187=3,"Better",Z1187=4,"Best")</f>
        <v>Better</v>
      </c>
      <c r="AM1187" t="str" cm="1">
        <f t="array" ref="AM1187">_xlfn.IFS(W1187=0,"No_stock",W1187=1,"Low",W1187=2,"Medium",W1187=3,"High")</f>
        <v>Low</v>
      </c>
      <c r="AN1187" t="str">
        <f t="shared" si="18"/>
        <v>Medium</v>
      </c>
    </row>
    <row r="1188" spans="1:40" x14ac:dyDescent="0.45">
      <c r="A1188">
        <v>35</v>
      </c>
      <c r="B1188" t="s">
        <v>30</v>
      </c>
      <c r="C1188" t="s">
        <v>38</v>
      </c>
      <c r="D1188">
        <v>880</v>
      </c>
      <c r="E1188" t="s">
        <v>32</v>
      </c>
      <c r="F1188">
        <v>12</v>
      </c>
      <c r="G1188">
        <v>4</v>
      </c>
      <c r="H1188" t="s">
        <v>43</v>
      </c>
      <c r="I1188">
        <v>1667</v>
      </c>
      <c r="J1188">
        <v>4</v>
      </c>
      <c r="K1188" t="s">
        <v>40</v>
      </c>
      <c r="L1188">
        <v>3</v>
      </c>
      <c r="M1188">
        <v>2</v>
      </c>
      <c r="N1188" t="s">
        <v>35</v>
      </c>
      <c r="O1188">
        <v>4</v>
      </c>
      <c r="P1188" t="s">
        <v>36</v>
      </c>
      <c r="Q1188">
        <v>4581</v>
      </c>
      <c r="R1188">
        <v>3</v>
      </c>
      <c r="S1188" t="s">
        <v>30</v>
      </c>
      <c r="T1188">
        <v>24</v>
      </c>
      <c r="U1188">
        <v>4</v>
      </c>
      <c r="V1188">
        <v>1</v>
      </c>
      <c r="W1188">
        <v>0</v>
      </c>
      <c r="X1188">
        <v>13</v>
      </c>
      <c r="Y1188">
        <v>2</v>
      </c>
      <c r="Z1188">
        <v>4</v>
      </c>
      <c r="AA1188">
        <v>11</v>
      </c>
      <c r="AB1188">
        <v>9</v>
      </c>
      <c r="AC1188">
        <v>6</v>
      </c>
      <c r="AD1188">
        <v>7</v>
      </c>
      <c r="AE1188" t="str" cm="1">
        <f t="array" ref="AE1188">_xlfn.IFS(G1188=1,"Before College",G1188=2,"College",G1188=3,"Bachelor",G1188=4,"Master",G1188=5,"Doctor")</f>
        <v>Master</v>
      </c>
      <c r="AF1188" t="str" cm="1">
        <f t="array" ref="AF1188">_xlfn.IFS(J1188=1,"Low",J1188=2,"Medium",J1188=3,"High",J1188=4,"Very High")</f>
        <v>Very High</v>
      </c>
      <c r="AG1188" t="str" cm="1">
        <f t="array" ref="AG1188">_xlfn.IFS(L1188=1,"Low",L1188=2,"Medium",L1188=3,"High",L1188=4,"Very High")</f>
        <v>High</v>
      </c>
      <c r="AH1188" t="str" cm="1">
        <f t="array" ref="AH1188">_xlfn.IFS(M1188=1,"Junior employee",M1188=2,"Mid-level",M1188=3,"Senior",M1188=4,"Manager",M1188=5,"Executive")</f>
        <v>Mid-level</v>
      </c>
      <c r="AI1188" t="str" cm="1">
        <f t="array" ref="AI1188">_xlfn.IFS(O1188=1,"Low",O1188=2,"Medium",O1188=3,"High",O1188=4,"Very High")</f>
        <v>Very High</v>
      </c>
      <c r="AJ1188" t="str" cm="1">
        <f t="array" ref="AJ1188">_xlfn.IFS(U1188=1,"Low",U1188=2,"Good",U1188=3,"Excellent",U1188=4,"Outstanding")</f>
        <v>Outstanding</v>
      </c>
      <c r="AK1188" t="str" cm="1">
        <f t="array" ref="AK1188">_xlfn.IFS(V1188=1,"Low",V1188=2,"Medium",V1188=3,"High",V1188=4,"Very High")</f>
        <v>Low</v>
      </c>
      <c r="AL1188" t="str" cm="1">
        <f t="array" ref="AL1188">_xlfn.IFS(Z1188=1,"Bad",Z1188=2,"Good",Z1188=3,"Better",Z1188=4,"Best")</f>
        <v>Best</v>
      </c>
      <c r="AM1188" t="str" cm="1">
        <f t="array" ref="AM1188">_xlfn.IFS(W1188=0,"No_stock",W1188=1,"Low",W1188=2,"Medium",W1188=3,"High")</f>
        <v>No_stock</v>
      </c>
      <c r="AN1188" t="str">
        <f t="shared" si="18"/>
        <v>Medium</v>
      </c>
    </row>
    <row r="1189" spans="1:40" x14ac:dyDescent="0.45">
      <c r="A1189">
        <v>38</v>
      </c>
      <c r="B1189" t="s">
        <v>37</v>
      </c>
      <c r="C1189" t="s">
        <v>38</v>
      </c>
      <c r="D1189">
        <v>1189</v>
      </c>
      <c r="E1189" t="s">
        <v>39</v>
      </c>
      <c r="F1189">
        <v>1</v>
      </c>
      <c r="G1189">
        <v>3</v>
      </c>
      <c r="H1189" t="s">
        <v>33</v>
      </c>
      <c r="I1189">
        <v>1668</v>
      </c>
      <c r="J1189">
        <v>4</v>
      </c>
      <c r="K1189" t="s">
        <v>40</v>
      </c>
      <c r="L1189">
        <v>3</v>
      </c>
      <c r="M1189">
        <v>2</v>
      </c>
      <c r="N1189" t="s">
        <v>41</v>
      </c>
      <c r="O1189">
        <v>4</v>
      </c>
      <c r="P1189" t="s">
        <v>42</v>
      </c>
      <c r="Q1189">
        <v>4735</v>
      </c>
      <c r="R1189">
        <v>7</v>
      </c>
      <c r="S1189" t="s">
        <v>37</v>
      </c>
      <c r="T1189">
        <v>15</v>
      </c>
      <c r="U1189">
        <v>3</v>
      </c>
      <c r="V1189">
        <v>4</v>
      </c>
      <c r="W1189">
        <v>2</v>
      </c>
      <c r="X1189">
        <v>19</v>
      </c>
      <c r="Y1189">
        <v>4</v>
      </c>
      <c r="Z1189">
        <v>4</v>
      </c>
      <c r="AA1189">
        <v>13</v>
      </c>
      <c r="AB1189">
        <v>11</v>
      </c>
      <c r="AC1189">
        <v>2</v>
      </c>
      <c r="AD1189">
        <v>9</v>
      </c>
      <c r="AE1189" t="str" cm="1">
        <f t="array" ref="AE1189">_xlfn.IFS(G1189=1,"Before College",G1189=2,"College",G1189=3,"Bachelor",G1189=4,"Master",G1189=5,"Doctor")</f>
        <v>Bachelor</v>
      </c>
      <c r="AF1189" t="str" cm="1">
        <f t="array" ref="AF1189">_xlfn.IFS(J1189=1,"Low",J1189=2,"Medium",J1189=3,"High",J1189=4,"Very High")</f>
        <v>Very High</v>
      </c>
      <c r="AG1189" t="str" cm="1">
        <f t="array" ref="AG1189">_xlfn.IFS(L1189=1,"Low",L1189=2,"Medium",L1189=3,"High",L1189=4,"Very High")</f>
        <v>High</v>
      </c>
      <c r="AH1189" t="str" cm="1">
        <f t="array" ref="AH1189">_xlfn.IFS(M1189=1,"Junior employee",M1189=2,"Mid-level",M1189=3,"Senior",M1189=4,"Manager",M1189=5,"Executive")</f>
        <v>Mid-level</v>
      </c>
      <c r="AI1189" t="str" cm="1">
        <f t="array" ref="AI1189">_xlfn.IFS(O1189=1,"Low",O1189=2,"Medium",O1189=3,"High",O1189=4,"Very High")</f>
        <v>Very High</v>
      </c>
      <c r="AJ1189" t="str" cm="1">
        <f t="array" ref="AJ1189">_xlfn.IFS(U1189=1,"Low",U1189=2,"Good",U1189=3,"Excellent",U1189=4,"Outstanding")</f>
        <v>Excellent</v>
      </c>
      <c r="AK1189" t="str" cm="1">
        <f t="array" ref="AK1189">_xlfn.IFS(V1189=1,"Low",V1189=2,"Medium",V1189=3,"High",V1189=4,"Very High")</f>
        <v>Very High</v>
      </c>
      <c r="AL1189" t="str" cm="1">
        <f t="array" ref="AL1189">_xlfn.IFS(Z1189=1,"Bad",Z1189=2,"Good",Z1189=3,"Better",Z1189=4,"Best")</f>
        <v>Best</v>
      </c>
      <c r="AM1189" t="str" cm="1">
        <f t="array" ref="AM1189">_xlfn.IFS(W1189=0,"No_stock",W1189=1,"Low",W1189=2,"Medium",W1189=3,"High")</f>
        <v>Medium</v>
      </c>
      <c r="AN1189" t="str">
        <f t="shared" si="18"/>
        <v>Near</v>
      </c>
    </row>
    <row r="1190" spans="1:40" x14ac:dyDescent="0.45">
      <c r="A1190">
        <v>29</v>
      </c>
      <c r="B1190" t="s">
        <v>37</v>
      </c>
      <c r="C1190" t="s">
        <v>31</v>
      </c>
      <c r="D1190">
        <v>991</v>
      </c>
      <c r="E1190" t="s">
        <v>32</v>
      </c>
      <c r="F1190">
        <v>5</v>
      </c>
      <c r="G1190">
        <v>3</v>
      </c>
      <c r="H1190" t="s">
        <v>45</v>
      </c>
      <c r="I1190">
        <v>1669</v>
      </c>
      <c r="J1190">
        <v>1</v>
      </c>
      <c r="K1190" t="s">
        <v>40</v>
      </c>
      <c r="L1190">
        <v>2</v>
      </c>
      <c r="M1190">
        <v>2</v>
      </c>
      <c r="N1190" t="s">
        <v>35</v>
      </c>
      <c r="O1190">
        <v>2</v>
      </c>
      <c r="P1190" t="s">
        <v>46</v>
      </c>
      <c r="Q1190">
        <v>4187</v>
      </c>
      <c r="R1190">
        <v>1</v>
      </c>
      <c r="S1190" t="s">
        <v>30</v>
      </c>
      <c r="T1190">
        <v>13</v>
      </c>
      <c r="U1190">
        <v>3</v>
      </c>
      <c r="V1190">
        <v>2</v>
      </c>
      <c r="W1190">
        <v>1</v>
      </c>
      <c r="X1190">
        <v>10</v>
      </c>
      <c r="Y1190">
        <v>3</v>
      </c>
      <c r="Z1190">
        <v>2</v>
      </c>
      <c r="AA1190">
        <v>10</v>
      </c>
      <c r="AB1190">
        <v>0</v>
      </c>
      <c r="AC1190">
        <v>0</v>
      </c>
      <c r="AD1190">
        <v>9</v>
      </c>
      <c r="AE1190" t="str" cm="1">
        <f t="array" ref="AE1190">_xlfn.IFS(G1190=1,"Before College",G1190=2,"College",G1190=3,"Bachelor",G1190=4,"Master",G1190=5,"Doctor")</f>
        <v>Bachelor</v>
      </c>
      <c r="AF1190" t="str" cm="1">
        <f t="array" ref="AF1190">_xlfn.IFS(J1190=1,"Low",J1190=2,"Medium",J1190=3,"High",J1190=4,"Very High")</f>
        <v>Low</v>
      </c>
      <c r="AG1190" t="str" cm="1">
        <f t="array" ref="AG1190">_xlfn.IFS(L1190=1,"Low",L1190=2,"Medium",L1190=3,"High",L1190=4,"Very High")</f>
        <v>Medium</v>
      </c>
      <c r="AH1190" t="str" cm="1">
        <f t="array" ref="AH1190">_xlfn.IFS(M1190=1,"Junior employee",M1190=2,"Mid-level",M1190=3,"Senior",M1190=4,"Manager",M1190=5,"Executive")</f>
        <v>Mid-level</v>
      </c>
      <c r="AI1190" t="str" cm="1">
        <f t="array" ref="AI1190">_xlfn.IFS(O1190=1,"Low",O1190=2,"Medium",O1190=3,"High",O1190=4,"Very High")</f>
        <v>Medium</v>
      </c>
      <c r="AJ1190" t="str" cm="1">
        <f t="array" ref="AJ1190">_xlfn.IFS(U1190=1,"Low",U1190=2,"Good",U1190=3,"Excellent",U1190=4,"Outstanding")</f>
        <v>Excellent</v>
      </c>
      <c r="AK1190" t="str" cm="1">
        <f t="array" ref="AK1190">_xlfn.IFS(V1190=1,"Low",V1190=2,"Medium",V1190=3,"High",V1190=4,"Very High")</f>
        <v>Medium</v>
      </c>
      <c r="AL1190" t="str" cm="1">
        <f t="array" ref="AL1190">_xlfn.IFS(Z1190=1,"Bad",Z1190=2,"Good",Z1190=3,"Better",Z1190=4,"Best")</f>
        <v>Good</v>
      </c>
      <c r="AM1190" t="str" cm="1">
        <f t="array" ref="AM1190">_xlfn.IFS(W1190=0,"No_stock",W1190=1,"Low",W1190=2,"Medium",W1190=3,"High")</f>
        <v>Low</v>
      </c>
      <c r="AN1190" t="str">
        <f t="shared" si="18"/>
        <v>Near</v>
      </c>
    </row>
    <row r="1191" spans="1:40" x14ac:dyDescent="0.45">
      <c r="A1191">
        <v>33</v>
      </c>
      <c r="B1191" t="s">
        <v>37</v>
      </c>
      <c r="C1191" t="s">
        <v>31</v>
      </c>
      <c r="D1191">
        <v>392</v>
      </c>
      <c r="E1191" t="s">
        <v>32</v>
      </c>
      <c r="F1191">
        <v>2</v>
      </c>
      <c r="G1191">
        <v>4</v>
      </c>
      <c r="H1191" t="s">
        <v>45</v>
      </c>
      <c r="I1191">
        <v>1670</v>
      </c>
      <c r="J1191">
        <v>4</v>
      </c>
      <c r="K1191" t="s">
        <v>40</v>
      </c>
      <c r="L1191">
        <v>3</v>
      </c>
      <c r="M1191">
        <v>2</v>
      </c>
      <c r="N1191" t="s">
        <v>35</v>
      </c>
      <c r="O1191">
        <v>4</v>
      </c>
      <c r="P1191" t="s">
        <v>46</v>
      </c>
      <c r="Q1191">
        <v>5505</v>
      </c>
      <c r="R1191">
        <v>1</v>
      </c>
      <c r="S1191" t="s">
        <v>37</v>
      </c>
      <c r="T1191">
        <v>14</v>
      </c>
      <c r="U1191">
        <v>3</v>
      </c>
      <c r="V1191">
        <v>3</v>
      </c>
      <c r="W1191">
        <v>2</v>
      </c>
      <c r="X1191">
        <v>6</v>
      </c>
      <c r="Y1191">
        <v>5</v>
      </c>
      <c r="Z1191">
        <v>3</v>
      </c>
      <c r="AA1191">
        <v>6</v>
      </c>
      <c r="AB1191">
        <v>2</v>
      </c>
      <c r="AC1191">
        <v>0</v>
      </c>
      <c r="AD1191">
        <v>4</v>
      </c>
      <c r="AE1191" t="str" cm="1">
        <f t="array" ref="AE1191">_xlfn.IFS(G1191=1,"Before College",G1191=2,"College",G1191=3,"Bachelor",G1191=4,"Master",G1191=5,"Doctor")</f>
        <v>Master</v>
      </c>
      <c r="AF1191" t="str" cm="1">
        <f t="array" ref="AF1191">_xlfn.IFS(J1191=1,"Low",J1191=2,"Medium",J1191=3,"High",J1191=4,"Very High")</f>
        <v>Very High</v>
      </c>
      <c r="AG1191" t="str" cm="1">
        <f t="array" ref="AG1191">_xlfn.IFS(L1191=1,"Low",L1191=2,"Medium",L1191=3,"High",L1191=4,"Very High")</f>
        <v>High</v>
      </c>
      <c r="AH1191" t="str" cm="1">
        <f t="array" ref="AH1191">_xlfn.IFS(M1191=1,"Junior employee",M1191=2,"Mid-level",M1191=3,"Senior",M1191=4,"Manager",M1191=5,"Executive")</f>
        <v>Mid-level</v>
      </c>
      <c r="AI1191" t="str" cm="1">
        <f t="array" ref="AI1191">_xlfn.IFS(O1191=1,"Low",O1191=2,"Medium",O1191=3,"High",O1191=4,"Very High")</f>
        <v>Very High</v>
      </c>
      <c r="AJ1191" t="str" cm="1">
        <f t="array" ref="AJ1191">_xlfn.IFS(U1191=1,"Low",U1191=2,"Good",U1191=3,"Excellent",U1191=4,"Outstanding")</f>
        <v>Excellent</v>
      </c>
      <c r="AK1191" t="str" cm="1">
        <f t="array" ref="AK1191">_xlfn.IFS(V1191=1,"Low",V1191=2,"Medium",V1191=3,"High",V1191=4,"Very High")</f>
        <v>High</v>
      </c>
      <c r="AL1191" t="str" cm="1">
        <f t="array" ref="AL1191">_xlfn.IFS(Z1191=1,"Bad",Z1191=2,"Good",Z1191=3,"Better",Z1191=4,"Best")</f>
        <v>Better</v>
      </c>
      <c r="AM1191" t="str" cm="1">
        <f t="array" ref="AM1191">_xlfn.IFS(W1191=0,"No_stock",W1191=1,"Low",W1191=2,"Medium",W1191=3,"High")</f>
        <v>Medium</v>
      </c>
      <c r="AN1191" t="str">
        <f t="shared" si="18"/>
        <v>Near</v>
      </c>
    </row>
    <row r="1192" spans="1:40" x14ac:dyDescent="0.45">
      <c r="A1192">
        <v>32</v>
      </c>
      <c r="B1192" t="s">
        <v>37</v>
      </c>
      <c r="C1192" t="s">
        <v>31</v>
      </c>
      <c r="D1192">
        <v>977</v>
      </c>
      <c r="E1192" t="s">
        <v>39</v>
      </c>
      <c r="F1192">
        <v>2</v>
      </c>
      <c r="G1192">
        <v>3</v>
      </c>
      <c r="H1192" t="s">
        <v>45</v>
      </c>
      <c r="I1192">
        <v>1671</v>
      </c>
      <c r="J1192">
        <v>4</v>
      </c>
      <c r="K1192" t="s">
        <v>40</v>
      </c>
      <c r="L1192">
        <v>3</v>
      </c>
      <c r="M1192">
        <v>2</v>
      </c>
      <c r="N1192" t="s">
        <v>41</v>
      </c>
      <c r="O1192">
        <v>2</v>
      </c>
      <c r="P1192" t="s">
        <v>46</v>
      </c>
      <c r="Q1192">
        <v>5470</v>
      </c>
      <c r="R1192">
        <v>0</v>
      </c>
      <c r="S1192" t="s">
        <v>37</v>
      </c>
      <c r="T1192">
        <v>13</v>
      </c>
      <c r="U1192">
        <v>3</v>
      </c>
      <c r="V1192">
        <v>3</v>
      </c>
      <c r="W1192">
        <v>2</v>
      </c>
      <c r="X1192">
        <v>10</v>
      </c>
      <c r="Y1192">
        <v>4</v>
      </c>
      <c r="Z1192">
        <v>2</v>
      </c>
      <c r="AA1192">
        <v>9</v>
      </c>
      <c r="AB1192">
        <v>5</v>
      </c>
      <c r="AC1192">
        <v>1</v>
      </c>
      <c r="AD1192">
        <v>6</v>
      </c>
      <c r="AE1192" t="str" cm="1">
        <f t="array" ref="AE1192">_xlfn.IFS(G1192=1,"Before College",G1192=2,"College",G1192=3,"Bachelor",G1192=4,"Master",G1192=5,"Doctor")</f>
        <v>Bachelor</v>
      </c>
      <c r="AF1192" t="str" cm="1">
        <f t="array" ref="AF1192">_xlfn.IFS(J1192=1,"Low",J1192=2,"Medium",J1192=3,"High",J1192=4,"Very High")</f>
        <v>Very High</v>
      </c>
      <c r="AG1192" t="str" cm="1">
        <f t="array" ref="AG1192">_xlfn.IFS(L1192=1,"Low",L1192=2,"Medium",L1192=3,"High",L1192=4,"Very High")</f>
        <v>High</v>
      </c>
      <c r="AH1192" t="str" cm="1">
        <f t="array" ref="AH1192">_xlfn.IFS(M1192=1,"Junior employee",M1192=2,"Mid-level",M1192=3,"Senior",M1192=4,"Manager",M1192=5,"Executive")</f>
        <v>Mid-level</v>
      </c>
      <c r="AI1192" t="str" cm="1">
        <f t="array" ref="AI1192">_xlfn.IFS(O1192=1,"Low",O1192=2,"Medium",O1192=3,"High",O1192=4,"Very High")</f>
        <v>Medium</v>
      </c>
      <c r="AJ1192" t="str" cm="1">
        <f t="array" ref="AJ1192">_xlfn.IFS(U1192=1,"Low",U1192=2,"Good",U1192=3,"Excellent",U1192=4,"Outstanding")</f>
        <v>Excellent</v>
      </c>
      <c r="AK1192" t="str" cm="1">
        <f t="array" ref="AK1192">_xlfn.IFS(V1192=1,"Low",V1192=2,"Medium",V1192=3,"High",V1192=4,"Very High")</f>
        <v>High</v>
      </c>
      <c r="AL1192" t="str" cm="1">
        <f t="array" ref="AL1192">_xlfn.IFS(Z1192=1,"Bad",Z1192=2,"Good",Z1192=3,"Better",Z1192=4,"Best")</f>
        <v>Good</v>
      </c>
      <c r="AM1192" t="str" cm="1">
        <f t="array" ref="AM1192">_xlfn.IFS(W1192=0,"No_stock",W1192=1,"Low",W1192=2,"Medium",W1192=3,"High")</f>
        <v>Medium</v>
      </c>
      <c r="AN1192" t="str">
        <f t="shared" si="18"/>
        <v>Near</v>
      </c>
    </row>
    <row r="1193" spans="1:40" x14ac:dyDescent="0.45">
      <c r="A1193">
        <v>31</v>
      </c>
      <c r="B1193" t="s">
        <v>37</v>
      </c>
      <c r="C1193" t="s">
        <v>31</v>
      </c>
      <c r="D1193">
        <v>1112</v>
      </c>
      <c r="E1193" t="s">
        <v>32</v>
      </c>
      <c r="F1193">
        <v>5</v>
      </c>
      <c r="G1193">
        <v>4</v>
      </c>
      <c r="H1193" t="s">
        <v>33</v>
      </c>
      <c r="I1193">
        <v>1673</v>
      </c>
      <c r="J1193">
        <v>1</v>
      </c>
      <c r="K1193" t="s">
        <v>34</v>
      </c>
      <c r="L1193">
        <v>3</v>
      </c>
      <c r="M1193">
        <v>2</v>
      </c>
      <c r="N1193" t="s">
        <v>35</v>
      </c>
      <c r="O1193">
        <v>4</v>
      </c>
      <c r="P1193" t="s">
        <v>42</v>
      </c>
      <c r="Q1193">
        <v>5476</v>
      </c>
      <c r="R1193">
        <v>1</v>
      </c>
      <c r="S1193" t="s">
        <v>37</v>
      </c>
      <c r="T1193">
        <v>11</v>
      </c>
      <c r="U1193">
        <v>3</v>
      </c>
      <c r="V1193">
        <v>1</v>
      </c>
      <c r="W1193">
        <v>2</v>
      </c>
      <c r="X1193">
        <v>10</v>
      </c>
      <c r="Y1193">
        <v>2</v>
      </c>
      <c r="Z1193">
        <v>3</v>
      </c>
      <c r="AA1193">
        <v>10</v>
      </c>
      <c r="AB1193">
        <v>0</v>
      </c>
      <c r="AC1193">
        <v>0</v>
      </c>
      <c r="AD1193">
        <v>2</v>
      </c>
      <c r="AE1193" t="str" cm="1">
        <f t="array" ref="AE1193">_xlfn.IFS(G1193=1,"Before College",G1193=2,"College",G1193=3,"Bachelor",G1193=4,"Master",G1193=5,"Doctor")</f>
        <v>Master</v>
      </c>
      <c r="AF1193" t="str" cm="1">
        <f t="array" ref="AF1193">_xlfn.IFS(J1193=1,"Low",J1193=2,"Medium",J1193=3,"High",J1193=4,"Very High")</f>
        <v>Low</v>
      </c>
      <c r="AG1193" t="str" cm="1">
        <f t="array" ref="AG1193">_xlfn.IFS(L1193=1,"Low",L1193=2,"Medium",L1193=3,"High",L1193=4,"Very High")</f>
        <v>High</v>
      </c>
      <c r="AH1193" t="str" cm="1">
        <f t="array" ref="AH1193">_xlfn.IFS(M1193=1,"Junior employee",M1193=2,"Mid-level",M1193=3,"Senior",M1193=4,"Manager",M1193=5,"Executive")</f>
        <v>Mid-level</v>
      </c>
      <c r="AI1193" t="str" cm="1">
        <f t="array" ref="AI1193">_xlfn.IFS(O1193=1,"Low",O1193=2,"Medium",O1193=3,"High",O1193=4,"Very High")</f>
        <v>Very High</v>
      </c>
      <c r="AJ1193" t="str" cm="1">
        <f t="array" ref="AJ1193">_xlfn.IFS(U1193=1,"Low",U1193=2,"Good",U1193=3,"Excellent",U1193=4,"Outstanding")</f>
        <v>Excellent</v>
      </c>
      <c r="AK1193" t="str" cm="1">
        <f t="array" ref="AK1193">_xlfn.IFS(V1193=1,"Low",V1193=2,"Medium",V1193=3,"High",V1193=4,"Very High")</f>
        <v>Low</v>
      </c>
      <c r="AL1193" t="str" cm="1">
        <f t="array" ref="AL1193">_xlfn.IFS(Z1193=1,"Bad",Z1193=2,"Good",Z1193=3,"Better",Z1193=4,"Best")</f>
        <v>Better</v>
      </c>
      <c r="AM1193" t="str" cm="1">
        <f t="array" ref="AM1193">_xlfn.IFS(W1193=0,"No_stock",W1193=1,"Low",W1193=2,"Medium",W1193=3,"High")</f>
        <v>Medium</v>
      </c>
      <c r="AN1193" t="str">
        <f t="shared" si="18"/>
        <v>Near</v>
      </c>
    </row>
    <row r="1194" spans="1:40" x14ac:dyDescent="0.45">
      <c r="A1194">
        <v>49</v>
      </c>
      <c r="B1194" t="s">
        <v>37</v>
      </c>
      <c r="C1194" t="s">
        <v>31</v>
      </c>
      <c r="D1194">
        <v>464</v>
      </c>
      <c r="E1194" t="s">
        <v>39</v>
      </c>
      <c r="F1194">
        <v>16</v>
      </c>
      <c r="G1194">
        <v>3</v>
      </c>
      <c r="H1194" t="s">
        <v>45</v>
      </c>
      <c r="I1194">
        <v>1674</v>
      </c>
      <c r="J1194">
        <v>4</v>
      </c>
      <c r="K1194" t="s">
        <v>34</v>
      </c>
      <c r="L1194">
        <v>3</v>
      </c>
      <c r="M1194">
        <v>1</v>
      </c>
      <c r="N1194" t="s">
        <v>44</v>
      </c>
      <c r="O1194">
        <v>1</v>
      </c>
      <c r="P1194" t="s">
        <v>46</v>
      </c>
      <c r="Q1194">
        <v>2587</v>
      </c>
      <c r="R1194">
        <v>4</v>
      </c>
      <c r="S1194" t="s">
        <v>30</v>
      </c>
      <c r="T1194">
        <v>16</v>
      </c>
      <c r="U1194">
        <v>3</v>
      </c>
      <c r="V1194">
        <v>2</v>
      </c>
      <c r="W1194">
        <v>1</v>
      </c>
      <c r="X1194">
        <v>17</v>
      </c>
      <c r="Y1194">
        <v>2</v>
      </c>
      <c r="Z1194">
        <v>2</v>
      </c>
      <c r="AA1194">
        <v>2</v>
      </c>
      <c r="AB1194">
        <v>2</v>
      </c>
      <c r="AC1194">
        <v>2</v>
      </c>
      <c r="AD1194">
        <v>2</v>
      </c>
      <c r="AE1194" t="str" cm="1">
        <f t="array" ref="AE1194">_xlfn.IFS(G1194=1,"Before College",G1194=2,"College",G1194=3,"Bachelor",G1194=4,"Master",G1194=5,"Doctor")</f>
        <v>Bachelor</v>
      </c>
      <c r="AF1194" t="str" cm="1">
        <f t="array" ref="AF1194">_xlfn.IFS(J1194=1,"Low",J1194=2,"Medium",J1194=3,"High",J1194=4,"Very High")</f>
        <v>Very High</v>
      </c>
      <c r="AG1194" t="str" cm="1">
        <f t="array" ref="AG1194">_xlfn.IFS(L1194=1,"Low",L1194=2,"Medium",L1194=3,"High",L1194=4,"Very High")</f>
        <v>High</v>
      </c>
      <c r="AH1194" t="str" cm="1">
        <f t="array" ref="AH1194">_xlfn.IFS(M1194=1,"Junior employee",M1194=2,"Mid-level",M1194=3,"Senior",M1194=4,"Manager",M1194=5,"Executive")</f>
        <v>Junior employee</v>
      </c>
      <c r="AI1194" t="str" cm="1">
        <f t="array" ref="AI1194">_xlfn.IFS(O1194=1,"Low",O1194=2,"Medium",O1194=3,"High",O1194=4,"Very High")</f>
        <v>Low</v>
      </c>
      <c r="AJ1194" t="str" cm="1">
        <f t="array" ref="AJ1194">_xlfn.IFS(U1194=1,"Low",U1194=2,"Good",U1194=3,"Excellent",U1194=4,"Outstanding")</f>
        <v>Excellent</v>
      </c>
      <c r="AK1194" t="str" cm="1">
        <f t="array" ref="AK1194">_xlfn.IFS(V1194=1,"Low",V1194=2,"Medium",V1194=3,"High",V1194=4,"Very High")</f>
        <v>Medium</v>
      </c>
      <c r="AL1194" t="str" cm="1">
        <f t="array" ref="AL1194">_xlfn.IFS(Z1194=1,"Bad",Z1194=2,"Good",Z1194=3,"Better",Z1194=4,"Best")</f>
        <v>Good</v>
      </c>
      <c r="AM1194" t="str" cm="1">
        <f t="array" ref="AM1194">_xlfn.IFS(W1194=0,"No_stock",W1194=1,"Low",W1194=2,"Medium",W1194=3,"High")</f>
        <v>Low</v>
      </c>
      <c r="AN1194" t="str">
        <f t="shared" si="18"/>
        <v>Far</v>
      </c>
    </row>
    <row r="1195" spans="1:40" x14ac:dyDescent="0.45">
      <c r="A1195">
        <v>38</v>
      </c>
      <c r="B1195" t="s">
        <v>37</v>
      </c>
      <c r="C1195" t="s">
        <v>38</v>
      </c>
      <c r="D1195">
        <v>148</v>
      </c>
      <c r="E1195" t="s">
        <v>39</v>
      </c>
      <c r="F1195">
        <v>2</v>
      </c>
      <c r="G1195">
        <v>3</v>
      </c>
      <c r="H1195" t="s">
        <v>45</v>
      </c>
      <c r="I1195">
        <v>1675</v>
      </c>
      <c r="J1195">
        <v>4</v>
      </c>
      <c r="K1195" t="s">
        <v>34</v>
      </c>
      <c r="L1195">
        <v>2</v>
      </c>
      <c r="M1195">
        <v>1</v>
      </c>
      <c r="N1195" t="s">
        <v>44</v>
      </c>
      <c r="O1195">
        <v>2</v>
      </c>
      <c r="P1195" t="s">
        <v>36</v>
      </c>
      <c r="Q1195">
        <v>2440</v>
      </c>
      <c r="R1195">
        <v>1</v>
      </c>
      <c r="S1195" t="s">
        <v>37</v>
      </c>
      <c r="T1195">
        <v>22</v>
      </c>
      <c r="U1195">
        <v>4</v>
      </c>
      <c r="V1195">
        <v>2</v>
      </c>
      <c r="W1195">
        <v>0</v>
      </c>
      <c r="X1195">
        <v>4</v>
      </c>
      <c r="Y1195">
        <v>3</v>
      </c>
      <c r="Z1195">
        <v>3</v>
      </c>
      <c r="AA1195">
        <v>4</v>
      </c>
      <c r="AB1195">
        <v>3</v>
      </c>
      <c r="AC1195">
        <v>3</v>
      </c>
      <c r="AD1195">
        <v>3</v>
      </c>
      <c r="AE1195" t="str" cm="1">
        <f t="array" ref="AE1195">_xlfn.IFS(G1195=1,"Before College",G1195=2,"College",G1195=3,"Bachelor",G1195=4,"Master",G1195=5,"Doctor")</f>
        <v>Bachelor</v>
      </c>
      <c r="AF1195" t="str" cm="1">
        <f t="array" ref="AF1195">_xlfn.IFS(J1195=1,"Low",J1195=2,"Medium",J1195=3,"High",J1195=4,"Very High")</f>
        <v>Very High</v>
      </c>
      <c r="AG1195" t="str" cm="1">
        <f t="array" ref="AG1195">_xlfn.IFS(L1195=1,"Low",L1195=2,"Medium",L1195=3,"High",L1195=4,"Very High")</f>
        <v>Medium</v>
      </c>
      <c r="AH1195" t="str" cm="1">
        <f t="array" ref="AH1195">_xlfn.IFS(M1195=1,"Junior employee",M1195=2,"Mid-level",M1195=3,"Senior",M1195=4,"Manager",M1195=5,"Executive")</f>
        <v>Junior employee</v>
      </c>
      <c r="AI1195" t="str" cm="1">
        <f t="array" ref="AI1195">_xlfn.IFS(O1195=1,"Low",O1195=2,"Medium",O1195=3,"High",O1195=4,"Very High")</f>
        <v>Medium</v>
      </c>
      <c r="AJ1195" t="str" cm="1">
        <f t="array" ref="AJ1195">_xlfn.IFS(U1195=1,"Low",U1195=2,"Good",U1195=3,"Excellent",U1195=4,"Outstanding")</f>
        <v>Outstanding</v>
      </c>
      <c r="AK1195" t="str" cm="1">
        <f t="array" ref="AK1195">_xlfn.IFS(V1195=1,"Low",V1195=2,"Medium",V1195=3,"High",V1195=4,"Very High")</f>
        <v>Medium</v>
      </c>
      <c r="AL1195" t="str" cm="1">
        <f t="array" ref="AL1195">_xlfn.IFS(Z1195=1,"Bad",Z1195=2,"Good",Z1195=3,"Better",Z1195=4,"Best")</f>
        <v>Better</v>
      </c>
      <c r="AM1195" t="str" cm="1">
        <f t="array" ref="AM1195">_xlfn.IFS(W1195=0,"No_stock",W1195=1,"Low",W1195=2,"Medium",W1195=3,"High")</f>
        <v>No_stock</v>
      </c>
      <c r="AN1195" t="str">
        <f t="shared" si="18"/>
        <v>Near</v>
      </c>
    </row>
    <row r="1196" spans="1:40" x14ac:dyDescent="0.45">
      <c r="A1196">
        <v>47</v>
      </c>
      <c r="B1196" t="s">
        <v>37</v>
      </c>
      <c r="C1196" t="s">
        <v>31</v>
      </c>
      <c r="D1196">
        <v>1225</v>
      </c>
      <c r="E1196" t="s">
        <v>32</v>
      </c>
      <c r="F1196">
        <v>2</v>
      </c>
      <c r="G1196">
        <v>4</v>
      </c>
      <c r="H1196" t="s">
        <v>33</v>
      </c>
      <c r="I1196">
        <v>1676</v>
      </c>
      <c r="J1196">
        <v>2</v>
      </c>
      <c r="K1196" t="s">
        <v>34</v>
      </c>
      <c r="L1196">
        <v>4</v>
      </c>
      <c r="M1196">
        <v>4</v>
      </c>
      <c r="N1196" t="s">
        <v>50</v>
      </c>
      <c r="O1196">
        <v>2</v>
      </c>
      <c r="P1196" t="s">
        <v>46</v>
      </c>
      <c r="Q1196">
        <v>15972</v>
      </c>
      <c r="R1196">
        <v>6</v>
      </c>
      <c r="S1196" t="s">
        <v>37</v>
      </c>
      <c r="T1196">
        <v>14</v>
      </c>
      <c r="U1196">
        <v>3</v>
      </c>
      <c r="V1196">
        <v>3</v>
      </c>
      <c r="W1196">
        <v>3</v>
      </c>
      <c r="X1196">
        <v>29</v>
      </c>
      <c r="Y1196">
        <v>2</v>
      </c>
      <c r="Z1196">
        <v>3</v>
      </c>
      <c r="AA1196">
        <v>3</v>
      </c>
      <c r="AB1196">
        <v>2</v>
      </c>
      <c r="AC1196">
        <v>1</v>
      </c>
      <c r="AD1196">
        <v>2</v>
      </c>
      <c r="AE1196" t="str" cm="1">
        <f t="array" ref="AE1196">_xlfn.IFS(G1196=1,"Before College",G1196=2,"College",G1196=3,"Bachelor",G1196=4,"Master",G1196=5,"Doctor")</f>
        <v>Master</v>
      </c>
      <c r="AF1196" t="str" cm="1">
        <f t="array" ref="AF1196">_xlfn.IFS(J1196=1,"Low",J1196=2,"Medium",J1196=3,"High",J1196=4,"Very High")</f>
        <v>Medium</v>
      </c>
      <c r="AG1196" t="str" cm="1">
        <f t="array" ref="AG1196">_xlfn.IFS(L1196=1,"Low",L1196=2,"Medium",L1196=3,"High",L1196=4,"Very High")</f>
        <v>Very High</v>
      </c>
      <c r="AH1196" t="str" cm="1">
        <f t="array" ref="AH1196">_xlfn.IFS(M1196=1,"Junior employee",M1196=2,"Mid-level",M1196=3,"Senior",M1196=4,"Manager",M1196=5,"Executive")</f>
        <v>Manager</v>
      </c>
      <c r="AI1196" t="str" cm="1">
        <f t="array" ref="AI1196">_xlfn.IFS(O1196=1,"Low",O1196=2,"Medium",O1196=3,"High",O1196=4,"Very High")</f>
        <v>Medium</v>
      </c>
      <c r="AJ1196" t="str" cm="1">
        <f t="array" ref="AJ1196">_xlfn.IFS(U1196=1,"Low",U1196=2,"Good",U1196=3,"Excellent",U1196=4,"Outstanding")</f>
        <v>Excellent</v>
      </c>
      <c r="AK1196" t="str" cm="1">
        <f t="array" ref="AK1196">_xlfn.IFS(V1196=1,"Low",V1196=2,"Medium",V1196=3,"High",V1196=4,"Very High")</f>
        <v>High</v>
      </c>
      <c r="AL1196" t="str" cm="1">
        <f t="array" ref="AL1196">_xlfn.IFS(Z1196=1,"Bad",Z1196=2,"Good",Z1196=3,"Better",Z1196=4,"Best")</f>
        <v>Better</v>
      </c>
      <c r="AM1196" t="str" cm="1">
        <f t="array" ref="AM1196">_xlfn.IFS(W1196=0,"No_stock",W1196=1,"Low",W1196=2,"Medium",W1196=3,"High")</f>
        <v>High</v>
      </c>
      <c r="AN1196" t="str">
        <f t="shared" si="18"/>
        <v>Near</v>
      </c>
    </row>
    <row r="1197" spans="1:40" x14ac:dyDescent="0.45">
      <c r="A1197">
        <v>49</v>
      </c>
      <c r="B1197" t="s">
        <v>37</v>
      </c>
      <c r="C1197" t="s">
        <v>31</v>
      </c>
      <c r="D1197">
        <v>809</v>
      </c>
      <c r="E1197" t="s">
        <v>39</v>
      </c>
      <c r="F1197">
        <v>1</v>
      </c>
      <c r="G1197">
        <v>3</v>
      </c>
      <c r="H1197" t="s">
        <v>33</v>
      </c>
      <c r="I1197">
        <v>1677</v>
      </c>
      <c r="J1197">
        <v>3</v>
      </c>
      <c r="K1197" t="s">
        <v>40</v>
      </c>
      <c r="L1197">
        <v>3</v>
      </c>
      <c r="M1197">
        <v>4</v>
      </c>
      <c r="N1197" t="s">
        <v>50</v>
      </c>
      <c r="O1197">
        <v>3</v>
      </c>
      <c r="P1197" t="s">
        <v>36</v>
      </c>
      <c r="Q1197">
        <v>15379</v>
      </c>
      <c r="R1197">
        <v>4</v>
      </c>
      <c r="S1197" t="s">
        <v>37</v>
      </c>
      <c r="T1197">
        <v>14</v>
      </c>
      <c r="U1197">
        <v>3</v>
      </c>
      <c r="V1197">
        <v>1</v>
      </c>
      <c r="W1197">
        <v>0</v>
      </c>
      <c r="X1197">
        <v>23</v>
      </c>
      <c r="Y1197">
        <v>2</v>
      </c>
      <c r="Z1197">
        <v>3</v>
      </c>
      <c r="AA1197">
        <v>8</v>
      </c>
      <c r="AB1197">
        <v>7</v>
      </c>
      <c r="AC1197">
        <v>0</v>
      </c>
      <c r="AD1197">
        <v>0</v>
      </c>
      <c r="AE1197" t="str" cm="1">
        <f t="array" ref="AE1197">_xlfn.IFS(G1197=1,"Before College",G1197=2,"College",G1197=3,"Bachelor",G1197=4,"Master",G1197=5,"Doctor")</f>
        <v>Bachelor</v>
      </c>
      <c r="AF1197" t="str" cm="1">
        <f t="array" ref="AF1197">_xlfn.IFS(J1197=1,"Low",J1197=2,"Medium",J1197=3,"High",J1197=4,"Very High")</f>
        <v>High</v>
      </c>
      <c r="AG1197" t="str" cm="1">
        <f t="array" ref="AG1197">_xlfn.IFS(L1197=1,"Low",L1197=2,"Medium",L1197=3,"High",L1197=4,"Very High")</f>
        <v>High</v>
      </c>
      <c r="AH1197" t="str" cm="1">
        <f t="array" ref="AH1197">_xlfn.IFS(M1197=1,"Junior employee",M1197=2,"Mid-level",M1197=3,"Senior",M1197=4,"Manager",M1197=5,"Executive")</f>
        <v>Manager</v>
      </c>
      <c r="AI1197" t="str" cm="1">
        <f t="array" ref="AI1197">_xlfn.IFS(O1197=1,"Low",O1197=2,"Medium",O1197=3,"High",O1197=4,"Very High")</f>
        <v>High</v>
      </c>
      <c r="AJ1197" t="str" cm="1">
        <f t="array" ref="AJ1197">_xlfn.IFS(U1197=1,"Low",U1197=2,"Good",U1197=3,"Excellent",U1197=4,"Outstanding")</f>
        <v>Excellent</v>
      </c>
      <c r="AK1197" t="str" cm="1">
        <f t="array" ref="AK1197">_xlfn.IFS(V1197=1,"Low",V1197=2,"Medium",V1197=3,"High",V1197=4,"Very High")</f>
        <v>Low</v>
      </c>
      <c r="AL1197" t="str" cm="1">
        <f t="array" ref="AL1197">_xlfn.IFS(Z1197=1,"Bad",Z1197=2,"Good",Z1197=3,"Better",Z1197=4,"Best")</f>
        <v>Better</v>
      </c>
      <c r="AM1197" t="str" cm="1">
        <f t="array" ref="AM1197">_xlfn.IFS(W1197=0,"No_stock",W1197=1,"Low",W1197=2,"Medium",W1197=3,"High")</f>
        <v>No_stock</v>
      </c>
      <c r="AN1197" t="str">
        <f t="shared" si="18"/>
        <v>Near</v>
      </c>
    </row>
    <row r="1198" spans="1:40" x14ac:dyDescent="0.45">
      <c r="A1198">
        <v>41</v>
      </c>
      <c r="B1198" t="s">
        <v>37</v>
      </c>
      <c r="C1198" t="s">
        <v>31</v>
      </c>
      <c r="D1198">
        <v>1206</v>
      </c>
      <c r="E1198" t="s">
        <v>32</v>
      </c>
      <c r="F1198">
        <v>23</v>
      </c>
      <c r="G1198">
        <v>2</v>
      </c>
      <c r="H1198" t="s">
        <v>33</v>
      </c>
      <c r="I1198">
        <v>1678</v>
      </c>
      <c r="J1198">
        <v>4</v>
      </c>
      <c r="K1198" t="s">
        <v>40</v>
      </c>
      <c r="L1198">
        <v>3</v>
      </c>
      <c r="M1198">
        <v>3</v>
      </c>
      <c r="N1198" t="s">
        <v>35</v>
      </c>
      <c r="O1198">
        <v>3</v>
      </c>
      <c r="P1198" t="s">
        <v>36</v>
      </c>
      <c r="Q1198">
        <v>7082</v>
      </c>
      <c r="R1198">
        <v>3</v>
      </c>
      <c r="S1198" t="s">
        <v>30</v>
      </c>
      <c r="T1198">
        <v>16</v>
      </c>
      <c r="U1198">
        <v>3</v>
      </c>
      <c r="V1198">
        <v>4</v>
      </c>
      <c r="W1198">
        <v>0</v>
      </c>
      <c r="X1198">
        <v>21</v>
      </c>
      <c r="Y1198">
        <v>2</v>
      </c>
      <c r="Z1198">
        <v>3</v>
      </c>
      <c r="AA1198">
        <v>2</v>
      </c>
      <c r="AB1198">
        <v>0</v>
      </c>
      <c r="AC1198">
        <v>0</v>
      </c>
      <c r="AD1198">
        <v>2</v>
      </c>
      <c r="AE1198" t="str" cm="1">
        <f t="array" ref="AE1198">_xlfn.IFS(G1198=1,"Before College",G1198=2,"College",G1198=3,"Bachelor",G1198=4,"Master",G1198=5,"Doctor")</f>
        <v>College</v>
      </c>
      <c r="AF1198" t="str" cm="1">
        <f t="array" ref="AF1198">_xlfn.IFS(J1198=1,"Low",J1198=2,"Medium",J1198=3,"High",J1198=4,"Very High")</f>
        <v>Very High</v>
      </c>
      <c r="AG1198" t="str" cm="1">
        <f t="array" ref="AG1198">_xlfn.IFS(L1198=1,"Low",L1198=2,"Medium",L1198=3,"High",L1198=4,"Very High")</f>
        <v>High</v>
      </c>
      <c r="AH1198" t="str" cm="1">
        <f t="array" ref="AH1198">_xlfn.IFS(M1198=1,"Junior employee",M1198=2,"Mid-level",M1198=3,"Senior",M1198=4,"Manager",M1198=5,"Executive")</f>
        <v>Senior</v>
      </c>
      <c r="AI1198" t="str" cm="1">
        <f t="array" ref="AI1198">_xlfn.IFS(O1198=1,"Low",O1198=2,"Medium",O1198=3,"High",O1198=4,"Very High")</f>
        <v>High</v>
      </c>
      <c r="AJ1198" t="str" cm="1">
        <f t="array" ref="AJ1198">_xlfn.IFS(U1198=1,"Low",U1198=2,"Good",U1198=3,"Excellent",U1198=4,"Outstanding")</f>
        <v>Excellent</v>
      </c>
      <c r="AK1198" t="str" cm="1">
        <f t="array" ref="AK1198">_xlfn.IFS(V1198=1,"Low",V1198=2,"Medium",V1198=3,"High",V1198=4,"Very High")</f>
        <v>Very High</v>
      </c>
      <c r="AL1198" t="str" cm="1">
        <f t="array" ref="AL1198">_xlfn.IFS(Z1198=1,"Bad",Z1198=2,"Good",Z1198=3,"Better",Z1198=4,"Best")</f>
        <v>Better</v>
      </c>
      <c r="AM1198" t="str" cm="1">
        <f t="array" ref="AM1198">_xlfn.IFS(W1198=0,"No_stock",W1198=1,"Low",W1198=2,"Medium",W1198=3,"High")</f>
        <v>No_stock</v>
      </c>
      <c r="AN1198" t="str">
        <f t="shared" si="18"/>
        <v>Far</v>
      </c>
    </row>
    <row r="1199" spans="1:40" x14ac:dyDescent="0.45">
      <c r="A1199">
        <v>20</v>
      </c>
      <c r="B1199" t="s">
        <v>37</v>
      </c>
      <c r="C1199" t="s">
        <v>31</v>
      </c>
      <c r="D1199">
        <v>727</v>
      </c>
      <c r="E1199" t="s">
        <v>32</v>
      </c>
      <c r="F1199">
        <v>9</v>
      </c>
      <c r="G1199">
        <v>1</v>
      </c>
      <c r="H1199" t="s">
        <v>33</v>
      </c>
      <c r="I1199">
        <v>1680</v>
      </c>
      <c r="J1199">
        <v>4</v>
      </c>
      <c r="K1199" t="s">
        <v>40</v>
      </c>
      <c r="L1199">
        <v>3</v>
      </c>
      <c r="M1199">
        <v>1</v>
      </c>
      <c r="N1199" t="s">
        <v>51</v>
      </c>
      <c r="O1199">
        <v>1</v>
      </c>
      <c r="P1199" t="s">
        <v>36</v>
      </c>
      <c r="Q1199">
        <v>2728</v>
      </c>
      <c r="R1199">
        <v>1</v>
      </c>
      <c r="S1199" t="s">
        <v>37</v>
      </c>
      <c r="T1199">
        <v>11</v>
      </c>
      <c r="U1199">
        <v>3</v>
      </c>
      <c r="V1199">
        <v>1</v>
      </c>
      <c r="W1199">
        <v>0</v>
      </c>
      <c r="X1199">
        <v>2</v>
      </c>
      <c r="Y1199">
        <v>3</v>
      </c>
      <c r="Z1199">
        <v>3</v>
      </c>
      <c r="AA1199">
        <v>2</v>
      </c>
      <c r="AB1199">
        <v>2</v>
      </c>
      <c r="AC1199">
        <v>0</v>
      </c>
      <c r="AD1199">
        <v>2</v>
      </c>
      <c r="AE1199" t="str" cm="1">
        <f t="array" ref="AE1199">_xlfn.IFS(G1199=1,"Before College",G1199=2,"College",G1199=3,"Bachelor",G1199=4,"Master",G1199=5,"Doctor")</f>
        <v>Before College</v>
      </c>
      <c r="AF1199" t="str" cm="1">
        <f t="array" ref="AF1199">_xlfn.IFS(J1199=1,"Low",J1199=2,"Medium",J1199=3,"High",J1199=4,"Very High")</f>
        <v>Very High</v>
      </c>
      <c r="AG1199" t="str" cm="1">
        <f t="array" ref="AG1199">_xlfn.IFS(L1199=1,"Low",L1199=2,"Medium",L1199=3,"High",L1199=4,"Very High")</f>
        <v>High</v>
      </c>
      <c r="AH1199" t="str" cm="1">
        <f t="array" ref="AH1199">_xlfn.IFS(M1199=1,"Junior employee",M1199=2,"Mid-level",M1199=3,"Senior",M1199=4,"Manager",M1199=5,"Executive")</f>
        <v>Junior employee</v>
      </c>
      <c r="AI1199" t="str" cm="1">
        <f t="array" ref="AI1199">_xlfn.IFS(O1199=1,"Low",O1199=2,"Medium",O1199=3,"High",O1199=4,"Very High")</f>
        <v>Low</v>
      </c>
      <c r="AJ1199" t="str" cm="1">
        <f t="array" ref="AJ1199">_xlfn.IFS(U1199=1,"Low",U1199=2,"Good",U1199=3,"Excellent",U1199=4,"Outstanding")</f>
        <v>Excellent</v>
      </c>
      <c r="AK1199" t="str" cm="1">
        <f t="array" ref="AK1199">_xlfn.IFS(V1199=1,"Low",V1199=2,"Medium",V1199=3,"High",V1199=4,"Very High")</f>
        <v>Low</v>
      </c>
      <c r="AL1199" t="str" cm="1">
        <f t="array" ref="AL1199">_xlfn.IFS(Z1199=1,"Bad",Z1199=2,"Good",Z1199=3,"Better",Z1199=4,"Best")</f>
        <v>Better</v>
      </c>
      <c r="AM1199" t="str" cm="1">
        <f t="array" ref="AM1199">_xlfn.IFS(W1199=0,"No_stock",W1199=1,"Low",W1199=2,"Medium",W1199=3,"High")</f>
        <v>No_stock</v>
      </c>
      <c r="AN1199" t="str">
        <f t="shared" si="18"/>
        <v>Medium</v>
      </c>
    </row>
    <row r="1200" spans="1:40" x14ac:dyDescent="0.45">
      <c r="A1200">
        <v>33</v>
      </c>
      <c r="B1200" t="s">
        <v>37</v>
      </c>
      <c r="C1200" t="s">
        <v>49</v>
      </c>
      <c r="D1200">
        <v>530</v>
      </c>
      <c r="E1200" t="s">
        <v>32</v>
      </c>
      <c r="F1200">
        <v>16</v>
      </c>
      <c r="G1200">
        <v>3</v>
      </c>
      <c r="H1200" t="s">
        <v>33</v>
      </c>
      <c r="I1200">
        <v>1681</v>
      </c>
      <c r="J1200">
        <v>3</v>
      </c>
      <c r="K1200" t="s">
        <v>34</v>
      </c>
      <c r="L1200">
        <v>3</v>
      </c>
      <c r="M1200">
        <v>2</v>
      </c>
      <c r="N1200" t="s">
        <v>35</v>
      </c>
      <c r="O1200">
        <v>4</v>
      </c>
      <c r="P1200" t="s">
        <v>46</v>
      </c>
      <c r="Q1200">
        <v>5368</v>
      </c>
      <c r="R1200">
        <v>1</v>
      </c>
      <c r="S1200" t="s">
        <v>30</v>
      </c>
      <c r="T1200">
        <v>25</v>
      </c>
      <c r="U1200">
        <v>4</v>
      </c>
      <c r="V1200">
        <v>3</v>
      </c>
      <c r="W1200">
        <v>1</v>
      </c>
      <c r="X1200">
        <v>7</v>
      </c>
      <c r="Y1200">
        <v>2</v>
      </c>
      <c r="Z1200">
        <v>3</v>
      </c>
      <c r="AA1200">
        <v>6</v>
      </c>
      <c r="AB1200">
        <v>5</v>
      </c>
      <c r="AC1200">
        <v>1</v>
      </c>
      <c r="AD1200">
        <v>2</v>
      </c>
      <c r="AE1200" t="str" cm="1">
        <f t="array" ref="AE1200">_xlfn.IFS(G1200=1,"Before College",G1200=2,"College",G1200=3,"Bachelor",G1200=4,"Master",G1200=5,"Doctor")</f>
        <v>Bachelor</v>
      </c>
      <c r="AF1200" t="str" cm="1">
        <f t="array" ref="AF1200">_xlfn.IFS(J1200=1,"Low",J1200=2,"Medium",J1200=3,"High",J1200=4,"Very High")</f>
        <v>High</v>
      </c>
      <c r="AG1200" t="str" cm="1">
        <f t="array" ref="AG1200">_xlfn.IFS(L1200=1,"Low",L1200=2,"Medium",L1200=3,"High",L1200=4,"Very High")</f>
        <v>High</v>
      </c>
      <c r="AH1200" t="str" cm="1">
        <f t="array" ref="AH1200">_xlfn.IFS(M1200=1,"Junior employee",M1200=2,"Mid-level",M1200=3,"Senior",M1200=4,"Manager",M1200=5,"Executive")</f>
        <v>Mid-level</v>
      </c>
      <c r="AI1200" t="str" cm="1">
        <f t="array" ref="AI1200">_xlfn.IFS(O1200=1,"Low",O1200=2,"Medium",O1200=3,"High",O1200=4,"Very High")</f>
        <v>Very High</v>
      </c>
      <c r="AJ1200" t="str" cm="1">
        <f t="array" ref="AJ1200">_xlfn.IFS(U1200=1,"Low",U1200=2,"Good",U1200=3,"Excellent",U1200=4,"Outstanding")</f>
        <v>Outstanding</v>
      </c>
      <c r="AK1200" t="str" cm="1">
        <f t="array" ref="AK1200">_xlfn.IFS(V1200=1,"Low",V1200=2,"Medium",V1200=3,"High",V1200=4,"Very High")</f>
        <v>High</v>
      </c>
      <c r="AL1200" t="str" cm="1">
        <f t="array" ref="AL1200">_xlfn.IFS(Z1200=1,"Bad",Z1200=2,"Good",Z1200=3,"Better",Z1200=4,"Best")</f>
        <v>Better</v>
      </c>
      <c r="AM1200" t="str" cm="1">
        <f t="array" ref="AM1200">_xlfn.IFS(W1200=0,"No_stock",W1200=1,"Low",W1200=2,"Medium",W1200=3,"High")</f>
        <v>Low</v>
      </c>
      <c r="AN1200" t="str">
        <f t="shared" si="18"/>
        <v>Far</v>
      </c>
    </row>
    <row r="1201" spans="1:40" x14ac:dyDescent="0.45">
      <c r="A1201">
        <v>36</v>
      </c>
      <c r="B1201" t="s">
        <v>37</v>
      </c>
      <c r="C1201" t="s">
        <v>31</v>
      </c>
      <c r="D1201">
        <v>1351</v>
      </c>
      <c r="E1201" t="s">
        <v>39</v>
      </c>
      <c r="F1201">
        <v>26</v>
      </c>
      <c r="G1201">
        <v>4</v>
      </c>
      <c r="H1201" t="s">
        <v>33</v>
      </c>
      <c r="I1201">
        <v>1682</v>
      </c>
      <c r="J1201">
        <v>1</v>
      </c>
      <c r="K1201" t="s">
        <v>40</v>
      </c>
      <c r="L1201">
        <v>3</v>
      </c>
      <c r="M1201">
        <v>2</v>
      </c>
      <c r="N1201" t="s">
        <v>48</v>
      </c>
      <c r="O1201">
        <v>3</v>
      </c>
      <c r="P1201" t="s">
        <v>42</v>
      </c>
      <c r="Q1201">
        <v>5347</v>
      </c>
      <c r="R1201">
        <v>6</v>
      </c>
      <c r="S1201" t="s">
        <v>37</v>
      </c>
      <c r="T1201">
        <v>14</v>
      </c>
      <c r="U1201">
        <v>3</v>
      </c>
      <c r="V1201">
        <v>2</v>
      </c>
      <c r="W1201">
        <v>2</v>
      </c>
      <c r="X1201">
        <v>10</v>
      </c>
      <c r="Y1201">
        <v>2</v>
      </c>
      <c r="Z1201">
        <v>2</v>
      </c>
      <c r="AA1201">
        <v>3</v>
      </c>
      <c r="AB1201">
        <v>2</v>
      </c>
      <c r="AC1201">
        <v>0</v>
      </c>
      <c r="AD1201">
        <v>2</v>
      </c>
      <c r="AE1201" t="str" cm="1">
        <f t="array" ref="AE1201">_xlfn.IFS(G1201=1,"Before College",G1201=2,"College",G1201=3,"Bachelor",G1201=4,"Master",G1201=5,"Doctor")</f>
        <v>Master</v>
      </c>
      <c r="AF1201" t="str" cm="1">
        <f t="array" ref="AF1201">_xlfn.IFS(J1201=1,"Low",J1201=2,"Medium",J1201=3,"High",J1201=4,"Very High")</f>
        <v>Low</v>
      </c>
      <c r="AG1201" t="str" cm="1">
        <f t="array" ref="AG1201">_xlfn.IFS(L1201=1,"Low",L1201=2,"Medium",L1201=3,"High",L1201=4,"Very High")</f>
        <v>High</v>
      </c>
      <c r="AH1201" t="str" cm="1">
        <f t="array" ref="AH1201">_xlfn.IFS(M1201=1,"Junior employee",M1201=2,"Mid-level",M1201=3,"Senior",M1201=4,"Manager",M1201=5,"Executive")</f>
        <v>Mid-level</v>
      </c>
      <c r="AI1201" t="str" cm="1">
        <f t="array" ref="AI1201">_xlfn.IFS(O1201=1,"Low",O1201=2,"Medium",O1201=3,"High",O1201=4,"Very High")</f>
        <v>High</v>
      </c>
      <c r="AJ1201" t="str" cm="1">
        <f t="array" ref="AJ1201">_xlfn.IFS(U1201=1,"Low",U1201=2,"Good",U1201=3,"Excellent",U1201=4,"Outstanding")</f>
        <v>Excellent</v>
      </c>
      <c r="AK1201" t="str" cm="1">
        <f t="array" ref="AK1201">_xlfn.IFS(V1201=1,"Low",V1201=2,"Medium",V1201=3,"High",V1201=4,"Very High")</f>
        <v>Medium</v>
      </c>
      <c r="AL1201" t="str" cm="1">
        <f t="array" ref="AL1201">_xlfn.IFS(Z1201=1,"Bad",Z1201=2,"Good",Z1201=3,"Better",Z1201=4,"Best")</f>
        <v>Good</v>
      </c>
      <c r="AM1201" t="str" cm="1">
        <f t="array" ref="AM1201">_xlfn.IFS(W1201=0,"No_stock",W1201=1,"Low",W1201=2,"Medium",W1201=3,"High")</f>
        <v>Medium</v>
      </c>
      <c r="AN1201" t="str">
        <f t="shared" si="18"/>
        <v>Far</v>
      </c>
    </row>
    <row r="1202" spans="1:40" x14ac:dyDescent="0.45">
      <c r="A1202">
        <v>44</v>
      </c>
      <c r="B1202" t="s">
        <v>37</v>
      </c>
      <c r="C1202" t="s">
        <v>31</v>
      </c>
      <c r="D1202">
        <v>528</v>
      </c>
      <c r="E1202" t="s">
        <v>55</v>
      </c>
      <c r="F1202">
        <v>1</v>
      </c>
      <c r="G1202">
        <v>3</v>
      </c>
      <c r="H1202" t="s">
        <v>33</v>
      </c>
      <c r="I1202">
        <v>1683</v>
      </c>
      <c r="J1202">
        <v>3</v>
      </c>
      <c r="K1202" t="s">
        <v>34</v>
      </c>
      <c r="L1202">
        <v>3</v>
      </c>
      <c r="M1202">
        <v>1</v>
      </c>
      <c r="N1202" t="s">
        <v>55</v>
      </c>
      <c r="O1202">
        <v>4</v>
      </c>
      <c r="P1202" t="s">
        <v>46</v>
      </c>
      <c r="Q1202">
        <v>3195</v>
      </c>
      <c r="R1202">
        <v>4</v>
      </c>
      <c r="S1202" t="s">
        <v>30</v>
      </c>
      <c r="T1202">
        <v>18</v>
      </c>
      <c r="U1202">
        <v>3</v>
      </c>
      <c r="V1202">
        <v>1</v>
      </c>
      <c r="W1202">
        <v>3</v>
      </c>
      <c r="X1202">
        <v>8</v>
      </c>
      <c r="Y1202">
        <v>2</v>
      </c>
      <c r="Z1202">
        <v>3</v>
      </c>
      <c r="AA1202">
        <v>2</v>
      </c>
      <c r="AB1202">
        <v>2</v>
      </c>
      <c r="AC1202">
        <v>2</v>
      </c>
      <c r="AD1202">
        <v>2</v>
      </c>
      <c r="AE1202" t="str" cm="1">
        <f t="array" ref="AE1202">_xlfn.IFS(G1202=1,"Before College",G1202=2,"College",G1202=3,"Bachelor",G1202=4,"Master",G1202=5,"Doctor")</f>
        <v>Bachelor</v>
      </c>
      <c r="AF1202" t="str" cm="1">
        <f t="array" ref="AF1202">_xlfn.IFS(J1202=1,"Low",J1202=2,"Medium",J1202=3,"High",J1202=4,"Very High")</f>
        <v>High</v>
      </c>
      <c r="AG1202" t="str" cm="1">
        <f t="array" ref="AG1202">_xlfn.IFS(L1202=1,"Low",L1202=2,"Medium",L1202=3,"High",L1202=4,"Very High")</f>
        <v>High</v>
      </c>
      <c r="AH1202" t="str" cm="1">
        <f t="array" ref="AH1202">_xlfn.IFS(M1202=1,"Junior employee",M1202=2,"Mid-level",M1202=3,"Senior",M1202=4,"Manager",M1202=5,"Executive")</f>
        <v>Junior employee</v>
      </c>
      <c r="AI1202" t="str" cm="1">
        <f t="array" ref="AI1202">_xlfn.IFS(O1202=1,"Low",O1202=2,"Medium",O1202=3,"High",O1202=4,"Very High")</f>
        <v>Very High</v>
      </c>
      <c r="AJ1202" t="str" cm="1">
        <f t="array" ref="AJ1202">_xlfn.IFS(U1202=1,"Low",U1202=2,"Good",U1202=3,"Excellent",U1202=4,"Outstanding")</f>
        <v>Excellent</v>
      </c>
      <c r="AK1202" t="str" cm="1">
        <f t="array" ref="AK1202">_xlfn.IFS(V1202=1,"Low",V1202=2,"Medium",V1202=3,"High",V1202=4,"Very High")</f>
        <v>Low</v>
      </c>
      <c r="AL1202" t="str" cm="1">
        <f t="array" ref="AL1202">_xlfn.IFS(Z1202=1,"Bad",Z1202=2,"Good",Z1202=3,"Better",Z1202=4,"Best")</f>
        <v>Better</v>
      </c>
      <c r="AM1202" t="str" cm="1">
        <f t="array" ref="AM1202">_xlfn.IFS(W1202=0,"No_stock",W1202=1,"Low",W1202=2,"Medium",W1202=3,"High")</f>
        <v>High</v>
      </c>
      <c r="AN1202" t="str">
        <f t="shared" si="18"/>
        <v>Near</v>
      </c>
    </row>
    <row r="1203" spans="1:40" x14ac:dyDescent="0.45">
      <c r="A1203">
        <v>23</v>
      </c>
      <c r="B1203" t="s">
        <v>30</v>
      </c>
      <c r="C1203" t="s">
        <v>31</v>
      </c>
      <c r="D1203">
        <v>1320</v>
      </c>
      <c r="E1203" t="s">
        <v>39</v>
      </c>
      <c r="F1203">
        <v>8</v>
      </c>
      <c r="G1203">
        <v>1</v>
      </c>
      <c r="H1203" t="s">
        <v>45</v>
      </c>
      <c r="I1203">
        <v>1684</v>
      </c>
      <c r="J1203">
        <v>4</v>
      </c>
      <c r="K1203" t="s">
        <v>40</v>
      </c>
      <c r="L1203">
        <v>2</v>
      </c>
      <c r="M1203">
        <v>1</v>
      </c>
      <c r="N1203" t="s">
        <v>44</v>
      </c>
      <c r="O1203">
        <v>3</v>
      </c>
      <c r="P1203" t="s">
        <v>36</v>
      </c>
      <c r="Q1203">
        <v>3989</v>
      </c>
      <c r="R1203">
        <v>1</v>
      </c>
      <c r="S1203" t="s">
        <v>30</v>
      </c>
      <c r="T1203">
        <v>11</v>
      </c>
      <c r="U1203">
        <v>3</v>
      </c>
      <c r="V1203">
        <v>1</v>
      </c>
      <c r="W1203">
        <v>0</v>
      </c>
      <c r="X1203">
        <v>5</v>
      </c>
      <c r="Y1203">
        <v>2</v>
      </c>
      <c r="Z1203">
        <v>3</v>
      </c>
      <c r="AA1203">
        <v>5</v>
      </c>
      <c r="AB1203">
        <v>4</v>
      </c>
      <c r="AC1203">
        <v>1</v>
      </c>
      <c r="AD1203">
        <v>2</v>
      </c>
      <c r="AE1203" t="str" cm="1">
        <f t="array" ref="AE1203">_xlfn.IFS(G1203=1,"Before College",G1203=2,"College",G1203=3,"Bachelor",G1203=4,"Master",G1203=5,"Doctor")</f>
        <v>Before College</v>
      </c>
      <c r="AF1203" t="str" cm="1">
        <f t="array" ref="AF1203">_xlfn.IFS(J1203=1,"Low",J1203=2,"Medium",J1203=3,"High",J1203=4,"Very High")</f>
        <v>Very High</v>
      </c>
      <c r="AG1203" t="str" cm="1">
        <f t="array" ref="AG1203">_xlfn.IFS(L1203=1,"Low",L1203=2,"Medium",L1203=3,"High",L1203=4,"Very High")</f>
        <v>Medium</v>
      </c>
      <c r="AH1203" t="str" cm="1">
        <f t="array" ref="AH1203">_xlfn.IFS(M1203=1,"Junior employee",M1203=2,"Mid-level",M1203=3,"Senior",M1203=4,"Manager",M1203=5,"Executive")</f>
        <v>Junior employee</v>
      </c>
      <c r="AI1203" t="str" cm="1">
        <f t="array" ref="AI1203">_xlfn.IFS(O1203=1,"Low",O1203=2,"Medium",O1203=3,"High",O1203=4,"Very High")</f>
        <v>High</v>
      </c>
      <c r="AJ1203" t="str" cm="1">
        <f t="array" ref="AJ1203">_xlfn.IFS(U1203=1,"Low",U1203=2,"Good",U1203=3,"Excellent",U1203=4,"Outstanding")</f>
        <v>Excellent</v>
      </c>
      <c r="AK1203" t="str" cm="1">
        <f t="array" ref="AK1203">_xlfn.IFS(V1203=1,"Low",V1203=2,"Medium",V1203=3,"High",V1203=4,"Very High")</f>
        <v>Low</v>
      </c>
      <c r="AL1203" t="str" cm="1">
        <f t="array" ref="AL1203">_xlfn.IFS(Z1203=1,"Bad",Z1203=2,"Good",Z1203=3,"Better",Z1203=4,"Best")</f>
        <v>Better</v>
      </c>
      <c r="AM1203" t="str" cm="1">
        <f t="array" ref="AM1203">_xlfn.IFS(W1203=0,"No_stock",W1203=1,"Low",W1203=2,"Medium",W1203=3,"High")</f>
        <v>No_stock</v>
      </c>
      <c r="AN1203" t="str">
        <f t="shared" si="18"/>
        <v>Medium</v>
      </c>
    </row>
    <row r="1204" spans="1:40" x14ac:dyDescent="0.45">
      <c r="A1204">
        <v>38</v>
      </c>
      <c r="B1204" t="s">
        <v>37</v>
      </c>
      <c r="C1204" t="s">
        <v>31</v>
      </c>
      <c r="D1204">
        <v>1495</v>
      </c>
      <c r="E1204" t="s">
        <v>39</v>
      </c>
      <c r="F1204">
        <v>4</v>
      </c>
      <c r="G1204">
        <v>2</v>
      </c>
      <c r="H1204" t="s">
        <v>45</v>
      </c>
      <c r="I1204">
        <v>1687</v>
      </c>
      <c r="J1204">
        <v>4</v>
      </c>
      <c r="K1204" t="s">
        <v>34</v>
      </c>
      <c r="L1204">
        <v>3</v>
      </c>
      <c r="M1204">
        <v>1</v>
      </c>
      <c r="N1204" t="s">
        <v>44</v>
      </c>
      <c r="O1204">
        <v>3</v>
      </c>
      <c r="P1204" t="s">
        <v>42</v>
      </c>
      <c r="Q1204">
        <v>3306</v>
      </c>
      <c r="R1204">
        <v>7</v>
      </c>
      <c r="S1204" t="s">
        <v>37</v>
      </c>
      <c r="T1204">
        <v>19</v>
      </c>
      <c r="U1204">
        <v>3</v>
      </c>
      <c r="V1204">
        <v>4</v>
      </c>
      <c r="W1204">
        <v>1</v>
      </c>
      <c r="X1204">
        <v>7</v>
      </c>
      <c r="Y1204">
        <v>5</v>
      </c>
      <c r="Z1204">
        <v>2</v>
      </c>
      <c r="AA1204">
        <v>0</v>
      </c>
      <c r="AB1204">
        <v>0</v>
      </c>
      <c r="AC1204">
        <v>0</v>
      </c>
      <c r="AD1204">
        <v>0</v>
      </c>
      <c r="AE1204" t="str" cm="1">
        <f t="array" ref="AE1204">_xlfn.IFS(G1204=1,"Before College",G1204=2,"College",G1204=3,"Bachelor",G1204=4,"Master",G1204=5,"Doctor")</f>
        <v>College</v>
      </c>
      <c r="AF1204" t="str" cm="1">
        <f t="array" ref="AF1204">_xlfn.IFS(J1204=1,"Low",J1204=2,"Medium",J1204=3,"High",J1204=4,"Very High")</f>
        <v>Very High</v>
      </c>
      <c r="AG1204" t="str" cm="1">
        <f t="array" ref="AG1204">_xlfn.IFS(L1204=1,"Low",L1204=2,"Medium",L1204=3,"High",L1204=4,"Very High")</f>
        <v>High</v>
      </c>
      <c r="AH1204" t="str" cm="1">
        <f t="array" ref="AH1204">_xlfn.IFS(M1204=1,"Junior employee",M1204=2,"Mid-level",M1204=3,"Senior",M1204=4,"Manager",M1204=5,"Executive")</f>
        <v>Junior employee</v>
      </c>
      <c r="AI1204" t="str" cm="1">
        <f t="array" ref="AI1204">_xlfn.IFS(O1204=1,"Low",O1204=2,"Medium",O1204=3,"High",O1204=4,"Very High")</f>
        <v>High</v>
      </c>
      <c r="AJ1204" t="str" cm="1">
        <f t="array" ref="AJ1204">_xlfn.IFS(U1204=1,"Low",U1204=2,"Good",U1204=3,"Excellent",U1204=4,"Outstanding")</f>
        <v>Excellent</v>
      </c>
      <c r="AK1204" t="str" cm="1">
        <f t="array" ref="AK1204">_xlfn.IFS(V1204=1,"Low",V1204=2,"Medium",V1204=3,"High",V1204=4,"Very High")</f>
        <v>Very High</v>
      </c>
      <c r="AL1204" t="str" cm="1">
        <f t="array" ref="AL1204">_xlfn.IFS(Z1204=1,"Bad",Z1204=2,"Good",Z1204=3,"Better",Z1204=4,"Best")</f>
        <v>Good</v>
      </c>
      <c r="AM1204" t="str" cm="1">
        <f t="array" ref="AM1204">_xlfn.IFS(W1204=0,"No_stock",W1204=1,"Low",W1204=2,"Medium",W1204=3,"High")</f>
        <v>Low</v>
      </c>
      <c r="AN1204" t="str">
        <f t="shared" si="18"/>
        <v>Near</v>
      </c>
    </row>
    <row r="1205" spans="1:40" x14ac:dyDescent="0.45">
      <c r="A1205">
        <v>53</v>
      </c>
      <c r="B1205" t="s">
        <v>37</v>
      </c>
      <c r="C1205" t="s">
        <v>31</v>
      </c>
      <c r="D1205">
        <v>1395</v>
      </c>
      <c r="E1205" t="s">
        <v>39</v>
      </c>
      <c r="F1205">
        <v>24</v>
      </c>
      <c r="G1205">
        <v>4</v>
      </c>
      <c r="H1205" t="s">
        <v>45</v>
      </c>
      <c r="I1205">
        <v>1689</v>
      </c>
      <c r="J1205">
        <v>2</v>
      </c>
      <c r="K1205" t="s">
        <v>40</v>
      </c>
      <c r="L1205">
        <v>4</v>
      </c>
      <c r="M1205">
        <v>3</v>
      </c>
      <c r="N1205" t="s">
        <v>48</v>
      </c>
      <c r="O1205">
        <v>4</v>
      </c>
      <c r="P1205" t="s">
        <v>42</v>
      </c>
      <c r="Q1205">
        <v>7005</v>
      </c>
      <c r="R1205">
        <v>3</v>
      </c>
      <c r="S1205" t="s">
        <v>37</v>
      </c>
      <c r="T1205">
        <v>15</v>
      </c>
      <c r="U1205">
        <v>3</v>
      </c>
      <c r="V1205">
        <v>3</v>
      </c>
      <c r="W1205">
        <v>0</v>
      </c>
      <c r="X1205">
        <v>11</v>
      </c>
      <c r="Y1205">
        <v>2</v>
      </c>
      <c r="Z1205">
        <v>3</v>
      </c>
      <c r="AA1205">
        <v>4</v>
      </c>
      <c r="AB1205">
        <v>3</v>
      </c>
      <c r="AC1205">
        <v>1</v>
      </c>
      <c r="AD1205">
        <v>2</v>
      </c>
      <c r="AE1205" t="str" cm="1">
        <f t="array" ref="AE1205">_xlfn.IFS(G1205=1,"Before College",G1205=2,"College",G1205=3,"Bachelor",G1205=4,"Master",G1205=5,"Doctor")</f>
        <v>Master</v>
      </c>
      <c r="AF1205" t="str" cm="1">
        <f t="array" ref="AF1205">_xlfn.IFS(J1205=1,"Low",J1205=2,"Medium",J1205=3,"High",J1205=4,"Very High")</f>
        <v>Medium</v>
      </c>
      <c r="AG1205" t="str" cm="1">
        <f t="array" ref="AG1205">_xlfn.IFS(L1205=1,"Low",L1205=2,"Medium",L1205=3,"High",L1205=4,"Very High")</f>
        <v>Very High</v>
      </c>
      <c r="AH1205" t="str" cm="1">
        <f t="array" ref="AH1205">_xlfn.IFS(M1205=1,"Junior employee",M1205=2,"Mid-level",M1205=3,"Senior",M1205=4,"Manager",M1205=5,"Executive")</f>
        <v>Senior</v>
      </c>
      <c r="AI1205" t="str" cm="1">
        <f t="array" ref="AI1205">_xlfn.IFS(O1205=1,"Low",O1205=2,"Medium",O1205=3,"High",O1205=4,"Very High")</f>
        <v>Very High</v>
      </c>
      <c r="AJ1205" t="str" cm="1">
        <f t="array" ref="AJ1205">_xlfn.IFS(U1205=1,"Low",U1205=2,"Good",U1205=3,"Excellent",U1205=4,"Outstanding")</f>
        <v>Excellent</v>
      </c>
      <c r="AK1205" t="str" cm="1">
        <f t="array" ref="AK1205">_xlfn.IFS(V1205=1,"Low",V1205=2,"Medium",V1205=3,"High",V1205=4,"Very High")</f>
        <v>High</v>
      </c>
      <c r="AL1205" t="str" cm="1">
        <f t="array" ref="AL1205">_xlfn.IFS(Z1205=1,"Bad",Z1205=2,"Good",Z1205=3,"Better",Z1205=4,"Best")</f>
        <v>Better</v>
      </c>
      <c r="AM1205" t="str" cm="1">
        <f t="array" ref="AM1205">_xlfn.IFS(W1205=0,"No_stock",W1205=1,"Low",W1205=2,"Medium",W1205=3,"High")</f>
        <v>No_stock</v>
      </c>
      <c r="AN1205" t="str">
        <f t="shared" si="18"/>
        <v>Far</v>
      </c>
    </row>
    <row r="1206" spans="1:40" x14ac:dyDescent="0.45">
      <c r="A1206">
        <v>48</v>
      </c>
      <c r="B1206" t="s">
        <v>30</v>
      </c>
      <c r="C1206" t="s">
        <v>38</v>
      </c>
      <c r="D1206">
        <v>708</v>
      </c>
      <c r="E1206" t="s">
        <v>32</v>
      </c>
      <c r="F1206">
        <v>7</v>
      </c>
      <c r="G1206">
        <v>2</v>
      </c>
      <c r="H1206" t="s">
        <v>45</v>
      </c>
      <c r="I1206">
        <v>1691</v>
      </c>
      <c r="J1206">
        <v>4</v>
      </c>
      <c r="K1206" t="s">
        <v>34</v>
      </c>
      <c r="L1206">
        <v>3</v>
      </c>
      <c r="M1206">
        <v>1</v>
      </c>
      <c r="N1206" t="s">
        <v>51</v>
      </c>
      <c r="O1206">
        <v>3</v>
      </c>
      <c r="P1206" t="s">
        <v>42</v>
      </c>
      <c r="Q1206">
        <v>2655</v>
      </c>
      <c r="R1206">
        <v>2</v>
      </c>
      <c r="S1206" t="s">
        <v>30</v>
      </c>
      <c r="T1206">
        <v>11</v>
      </c>
      <c r="U1206">
        <v>3</v>
      </c>
      <c r="V1206">
        <v>3</v>
      </c>
      <c r="W1206">
        <v>2</v>
      </c>
      <c r="X1206">
        <v>19</v>
      </c>
      <c r="Y1206">
        <v>3</v>
      </c>
      <c r="Z1206">
        <v>3</v>
      </c>
      <c r="AA1206">
        <v>9</v>
      </c>
      <c r="AB1206">
        <v>7</v>
      </c>
      <c r="AC1206">
        <v>7</v>
      </c>
      <c r="AD1206">
        <v>7</v>
      </c>
      <c r="AE1206" t="str" cm="1">
        <f t="array" ref="AE1206">_xlfn.IFS(G1206=1,"Before College",G1206=2,"College",G1206=3,"Bachelor",G1206=4,"Master",G1206=5,"Doctor")</f>
        <v>College</v>
      </c>
      <c r="AF1206" t="str" cm="1">
        <f t="array" ref="AF1206">_xlfn.IFS(J1206=1,"Low",J1206=2,"Medium",J1206=3,"High",J1206=4,"Very High")</f>
        <v>Very High</v>
      </c>
      <c r="AG1206" t="str" cm="1">
        <f t="array" ref="AG1206">_xlfn.IFS(L1206=1,"Low",L1206=2,"Medium",L1206=3,"High",L1206=4,"Very High")</f>
        <v>High</v>
      </c>
      <c r="AH1206" t="str" cm="1">
        <f t="array" ref="AH1206">_xlfn.IFS(M1206=1,"Junior employee",M1206=2,"Mid-level",M1206=3,"Senior",M1206=4,"Manager",M1206=5,"Executive")</f>
        <v>Junior employee</v>
      </c>
      <c r="AI1206" t="str" cm="1">
        <f t="array" ref="AI1206">_xlfn.IFS(O1206=1,"Low",O1206=2,"Medium",O1206=3,"High",O1206=4,"Very High")</f>
        <v>High</v>
      </c>
      <c r="AJ1206" t="str" cm="1">
        <f t="array" ref="AJ1206">_xlfn.IFS(U1206=1,"Low",U1206=2,"Good",U1206=3,"Excellent",U1206=4,"Outstanding")</f>
        <v>Excellent</v>
      </c>
      <c r="AK1206" t="str" cm="1">
        <f t="array" ref="AK1206">_xlfn.IFS(V1206=1,"Low",V1206=2,"Medium",V1206=3,"High",V1206=4,"Very High")</f>
        <v>High</v>
      </c>
      <c r="AL1206" t="str" cm="1">
        <f t="array" ref="AL1206">_xlfn.IFS(Z1206=1,"Bad",Z1206=2,"Good",Z1206=3,"Better",Z1206=4,"Best")</f>
        <v>Better</v>
      </c>
      <c r="AM1206" t="str" cm="1">
        <f t="array" ref="AM1206">_xlfn.IFS(W1206=0,"No_stock",W1206=1,"Low",W1206=2,"Medium",W1206=3,"High")</f>
        <v>Medium</v>
      </c>
      <c r="AN1206" t="str">
        <f t="shared" si="18"/>
        <v>Medium</v>
      </c>
    </row>
    <row r="1207" spans="1:40" x14ac:dyDescent="0.45">
      <c r="A1207">
        <v>32</v>
      </c>
      <c r="B1207" t="s">
        <v>30</v>
      </c>
      <c r="C1207" t="s">
        <v>31</v>
      </c>
      <c r="D1207">
        <v>1259</v>
      </c>
      <c r="E1207" t="s">
        <v>39</v>
      </c>
      <c r="F1207">
        <v>2</v>
      </c>
      <c r="G1207">
        <v>4</v>
      </c>
      <c r="H1207" t="s">
        <v>33</v>
      </c>
      <c r="I1207">
        <v>1692</v>
      </c>
      <c r="J1207">
        <v>4</v>
      </c>
      <c r="K1207" t="s">
        <v>40</v>
      </c>
      <c r="L1207">
        <v>3</v>
      </c>
      <c r="M1207">
        <v>1</v>
      </c>
      <c r="N1207" t="s">
        <v>44</v>
      </c>
      <c r="O1207">
        <v>2</v>
      </c>
      <c r="P1207" t="s">
        <v>36</v>
      </c>
      <c r="Q1207">
        <v>1393</v>
      </c>
      <c r="R1207">
        <v>1</v>
      </c>
      <c r="S1207" t="s">
        <v>37</v>
      </c>
      <c r="T1207">
        <v>12</v>
      </c>
      <c r="U1207">
        <v>3</v>
      </c>
      <c r="V1207">
        <v>1</v>
      </c>
      <c r="W1207">
        <v>0</v>
      </c>
      <c r="X1207">
        <v>1</v>
      </c>
      <c r="Y1207">
        <v>2</v>
      </c>
      <c r="Z1207">
        <v>3</v>
      </c>
      <c r="AA1207">
        <v>1</v>
      </c>
      <c r="AB1207">
        <v>0</v>
      </c>
      <c r="AC1207">
        <v>0</v>
      </c>
      <c r="AD1207">
        <v>0</v>
      </c>
      <c r="AE1207" t="str" cm="1">
        <f t="array" ref="AE1207">_xlfn.IFS(G1207=1,"Before College",G1207=2,"College",G1207=3,"Bachelor",G1207=4,"Master",G1207=5,"Doctor")</f>
        <v>Master</v>
      </c>
      <c r="AF1207" t="str" cm="1">
        <f t="array" ref="AF1207">_xlfn.IFS(J1207=1,"Low",J1207=2,"Medium",J1207=3,"High",J1207=4,"Very High")</f>
        <v>Very High</v>
      </c>
      <c r="AG1207" t="str" cm="1">
        <f t="array" ref="AG1207">_xlfn.IFS(L1207=1,"Low",L1207=2,"Medium",L1207=3,"High",L1207=4,"Very High")</f>
        <v>High</v>
      </c>
      <c r="AH1207" t="str" cm="1">
        <f t="array" ref="AH1207">_xlfn.IFS(M1207=1,"Junior employee",M1207=2,"Mid-level",M1207=3,"Senior",M1207=4,"Manager",M1207=5,"Executive")</f>
        <v>Junior employee</v>
      </c>
      <c r="AI1207" t="str" cm="1">
        <f t="array" ref="AI1207">_xlfn.IFS(O1207=1,"Low",O1207=2,"Medium",O1207=3,"High",O1207=4,"Very High")</f>
        <v>Medium</v>
      </c>
      <c r="AJ1207" t="str" cm="1">
        <f t="array" ref="AJ1207">_xlfn.IFS(U1207=1,"Low",U1207=2,"Good",U1207=3,"Excellent",U1207=4,"Outstanding")</f>
        <v>Excellent</v>
      </c>
      <c r="AK1207" t="str" cm="1">
        <f t="array" ref="AK1207">_xlfn.IFS(V1207=1,"Low",V1207=2,"Medium",V1207=3,"High",V1207=4,"Very High")</f>
        <v>Low</v>
      </c>
      <c r="AL1207" t="str" cm="1">
        <f t="array" ref="AL1207">_xlfn.IFS(Z1207=1,"Bad",Z1207=2,"Good",Z1207=3,"Better",Z1207=4,"Best")</f>
        <v>Better</v>
      </c>
      <c r="AM1207" t="str" cm="1">
        <f t="array" ref="AM1207">_xlfn.IFS(W1207=0,"No_stock",W1207=1,"Low",W1207=2,"Medium",W1207=3,"High")</f>
        <v>No_stock</v>
      </c>
      <c r="AN1207" t="str">
        <f t="shared" si="18"/>
        <v>Near</v>
      </c>
    </row>
    <row r="1208" spans="1:40" x14ac:dyDescent="0.45">
      <c r="A1208">
        <v>26</v>
      </c>
      <c r="B1208" t="s">
        <v>37</v>
      </c>
      <c r="C1208" t="s">
        <v>49</v>
      </c>
      <c r="D1208">
        <v>786</v>
      </c>
      <c r="E1208" t="s">
        <v>39</v>
      </c>
      <c r="F1208">
        <v>7</v>
      </c>
      <c r="G1208">
        <v>3</v>
      </c>
      <c r="H1208" t="s">
        <v>45</v>
      </c>
      <c r="I1208">
        <v>1693</v>
      </c>
      <c r="J1208">
        <v>4</v>
      </c>
      <c r="K1208" t="s">
        <v>40</v>
      </c>
      <c r="L1208">
        <v>3</v>
      </c>
      <c r="M1208">
        <v>1</v>
      </c>
      <c r="N1208" t="s">
        <v>44</v>
      </c>
      <c r="O1208">
        <v>4</v>
      </c>
      <c r="P1208" t="s">
        <v>36</v>
      </c>
      <c r="Q1208">
        <v>2570</v>
      </c>
      <c r="R1208">
        <v>1</v>
      </c>
      <c r="S1208" t="s">
        <v>37</v>
      </c>
      <c r="T1208">
        <v>20</v>
      </c>
      <c r="U1208">
        <v>4</v>
      </c>
      <c r="V1208">
        <v>3</v>
      </c>
      <c r="W1208">
        <v>0</v>
      </c>
      <c r="X1208">
        <v>7</v>
      </c>
      <c r="Y1208">
        <v>5</v>
      </c>
      <c r="Z1208">
        <v>3</v>
      </c>
      <c r="AA1208">
        <v>7</v>
      </c>
      <c r="AB1208">
        <v>7</v>
      </c>
      <c r="AC1208">
        <v>5</v>
      </c>
      <c r="AD1208">
        <v>7</v>
      </c>
      <c r="AE1208" t="str" cm="1">
        <f t="array" ref="AE1208">_xlfn.IFS(G1208=1,"Before College",G1208=2,"College",G1208=3,"Bachelor",G1208=4,"Master",G1208=5,"Doctor")</f>
        <v>Bachelor</v>
      </c>
      <c r="AF1208" t="str" cm="1">
        <f t="array" ref="AF1208">_xlfn.IFS(J1208=1,"Low",J1208=2,"Medium",J1208=3,"High",J1208=4,"Very High")</f>
        <v>Very High</v>
      </c>
      <c r="AG1208" t="str" cm="1">
        <f t="array" ref="AG1208">_xlfn.IFS(L1208=1,"Low",L1208=2,"Medium",L1208=3,"High",L1208=4,"Very High")</f>
        <v>High</v>
      </c>
      <c r="AH1208" t="str" cm="1">
        <f t="array" ref="AH1208">_xlfn.IFS(M1208=1,"Junior employee",M1208=2,"Mid-level",M1208=3,"Senior",M1208=4,"Manager",M1208=5,"Executive")</f>
        <v>Junior employee</v>
      </c>
      <c r="AI1208" t="str" cm="1">
        <f t="array" ref="AI1208">_xlfn.IFS(O1208=1,"Low",O1208=2,"Medium",O1208=3,"High",O1208=4,"Very High")</f>
        <v>Very High</v>
      </c>
      <c r="AJ1208" t="str" cm="1">
        <f t="array" ref="AJ1208">_xlfn.IFS(U1208=1,"Low",U1208=2,"Good",U1208=3,"Excellent",U1208=4,"Outstanding")</f>
        <v>Outstanding</v>
      </c>
      <c r="AK1208" t="str" cm="1">
        <f t="array" ref="AK1208">_xlfn.IFS(V1208=1,"Low",V1208=2,"Medium",V1208=3,"High",V1208=4,"Very High")</f>
        <v>High</v>
      </c>
      <c r="AL1208" t="str" cm="1">
        <f t="array" ref="AL1208">_xlfn.IFS(Z1208=1,"Bad",Z1208=2,"Good",Z1208=3,"Better",Z1208=4,"Best")</f>
        <v>Better</v>
      </c>
      <c r="AM1208" t="str" cm="1">
        <f t="array" ref="AM1208">_xlfn.IFS(W1208=0,"No_stock",W1208=1,"Low",W1208=2,"Medium",W1208=3,"High")</f>
        <v>No_stock</v>
      </c>
      <c r="AN1208" t="str">
        <f t="shared" si="18"/>
        <v>Medium</v>
      </c>
    </row>
    <row r="1209" spans="1:40" x14ac:dyDescent="0.45">
      <c r="A1209">
        <v>55</v>
      </c>
      <c r="B1209" t="s">
        <v>37</v>
      </c>
      <c r="C1209" t="s">
        <v>31</v>
      </c>
      <c r="D1209">
        <v>1441</v>
      </c>
      <c r="E1209" t="s">
        <v>39</v>
      </c>
      <c r="F1209">
        <v>22</v>
      </c>
      <c r="G1209">
        <v>3</v>
      </c>
      <c r="H1209" t="s">
        <v>54</v>
      </c>
      <c r="I1209">
        <v>1694</v>
      </c>
      <c r="J1209">
        <v>1</v>
      </c>
      <c r="K1209" t="s">
        <v>40</v>
      </c>
      <c r="L1209">
        <v>2</v>
      </c>
      <c r="M1209">
        <v>1</v>
      </c>
      <c r="N1209" t="s">
        <v>41</v>
      </c>
      <c r="O1209">
        <v>2</v>
      </c>
      <c r="P1209" t="s">
        <v>46</v>
      </c>
      <c r="Q1209">
        <v>3537</v>
      </c>
      <c r="R1209">
        <v>5</v>
      </c>
      <c r="S1209" t="s">
        <v>37</v>
      </c>
      <c r="T1209">
        <v>12</v>
      </c>
      <c r="U1209">
        <v>3</v>
      </c>
      <c r="V1209">
        <v>4</v>
      </c>
      <c r="W1209">
        <v>1</v>
      </c>
      <c r="X1209">
        <v>8</v>
      </c>
      <c r="Y1209">
        <v>1</v>
      </c>
      <c r="Z1209">
        <v>3</v>
      </c>
      <c r="AA1209">
        <v>4</v>
      </c>
      <c r="AB1209">
        <v>2</v>
      </c>
      <c r="AC1209">
        <v>1</v>
      </c>
      <c r="AD1209">
        <v>2</v>
      </c>
      <c r="AE1209" t="str" cm="1">
        <f t="array" ref="AE1209">_xlfn.IFS(G1209=1,"Before College",G1209=2,"College",G1209=3,"Bachelor",G1209=4,"Master",G1209=5,"Doctor")</f>
        <v>Bachelor</v>
      </c>
      <c r="AF1209" t="str" cm="1">
        <f t="array" ref="AF1209">_xlfn.IFS(J1209=1,"Low",J1209=2,"Medium",J1209=3,"High",J1209=4,"Very High")</f>
        <v>Low</v>
      </c>
      <c r="AG1209" t="str" cm="1">
        <f t="array" ref="AG1209">_xlfn.IFS(L1209=1,"Low",L1209=2,"Medium",L1209=3,"High",L1209=4,"Very High")</f>
        <v>Medium</v>
      </c>
      <c r="AH1209" t="str" cm="1">
        <f t="array" ref="AH1209">_xlfn.IFS(M1209=1,"Junior employee",M1209=2,"Mid-level",M1209=3,"Senior",M1209=4,"Manager",M1209=5,"Executive")</f>
        <v>Junior employee</v>
      </c>
      <c r="AI1209" t="str" cm="1">
        <f t="array" ref="AI1209">_xlfn.IFS(O1209=1,"Low",O1209=2,"Medium",O1209=3,"High",O1209=4,"Very High")</f>
        <v>Medium</v>
      </c>
      <c r="AJ1209" t="str" cm="1">
        <f t="array" ref="AJ1209">_xlfn.IFS(U1209=1,"Low",U1209=2,"Good",U1209=3,"Excellent",U1209=4,"Outstanding")</f>
        <v>Excellent</v>
      </c>
      <c r="AK1209" t="str" cm="1">
        <f t="array" ref="AK1209">_xlfn.IFS(V1209=1,"Low",V1209=2,"Medium",V1209=3,"High",V1209=4,"Very High")</f>
        <v>Very High</v>
      </c>
      <c r="AL1209" t="str" cm="1">
        <f t="array" ref="AL1209">_xlfn.IFS(Z1209=1,"Bad",Z1209=2,"Good",Z1209=3,"Better",Z1209=4,"Best")</f>
        <v>Better</v>
      </c>
      <c r="AM1209" t="str" cm="1">
        <f t="array" ref="AM1209">_xlfn.IFS(W1209=0,"No_stock",W1209=1,"Low",W1209=2,"Medium",W1209=3,"High")</f>
        <v>Low</v>
      </c>
      <c r="AN1209" t="str">
        <f t="shared" si="18"/>
        <v>Far</v>
      </c>
    </row>
    <row r="1210" spans="1:40" x14ac:dyDescent="0.45">
      <c r="A1210">
        <v>34</v>
      </c>
      <c r="B1210" t="s">
        <v>37</v>
      </c>
      <c r="C1210" t="s">
        <v>31</v>
      </c>
      <c r="D1210">
        <v>1157</v>
      </c>
      <c r="E1210" t="s">
        <v>39</v>
      </c>
      <c r="F1210">
        <v>5</v>
      </c>
      <c r="G1210">
        <v>2</v>
      </c>
      <c r="H1210" t="s">
        <v>45</v>
      </c>
      <c r="I1210">
        <v>1696</v>
      </c>
      <c r="J1210">
        <v>2</v>
      </c>
      <c r="K1210" t="s">
        <v>40</v>
      </c>
      <c r="L1210">
        <v>2</v>
      </c>
      <c r="M1210">
        <v>2</v>
      </c>
      <c r="N1210" t="s">
        <v>44</v>
      </c>
      <c r="O1210">
        <v>4</v>
      </c>
      <c r="P1210" t="s">
        <v>42</v>
      </c>
      <c r="Q1210">
        <v>3986</v>
      </c>
      <c r="R1210">
        <v>1</v>
      </c>
      <c r="S1210" t="s">
        <v>37</v>
      </c>
      <c r="T1210">
        <v>14</v>
      </c>
      <c r="U1210">
        <v>3</v>
      </c>
      <c r="V1210">
        <v>3</v>
      </c>
      <c r="W1210">
        <v>1</v>
      </c>
      <c r="X1210">
        <v>15</v>
      </c>
      <c r="Y1210">
        <v>3</v>
      </c>
      <c r="Z1210">
        <v>4</v>
      </c>
      <c r="AA1210">
        <v>15</v>
      </c>
      <c r="AB1210">
        <v>10</v>
      </c>
      <c r="AC1210">
        <v>4</v>
      </c>
      <c r="AD1210">
        <v>13</v>
      </c>
      <c r="AE1210" t="str" cm="1">
        <f t="array" ref="AE1210">_xlfn.IFS(G1210=1,"Before College",G1210=2,"College",G1210=3,"Bachelor",G1210=4,"Master",G1210=5,"Doctor")</f>
        <v>College</v>
      </c>
      <c r="AF1210" t="str" cm="1">
        <f t="array" ref="AF1210">_xlfn.IFS(J1210=1,"Low",J1210=2,"Medium",J1210=3,"High",J1210=4,"Very High")</f>
        <v>Medium</v>
      </c>
      <c r="AG1210" t="str" cm="1">
        <f t="array" ref="AG1210">_xlfn.IFS(L1210=1,"Low",L1210=2,"Medium",L1210=3,"High",L1210=4,"Very High")</f>
        <v>Medium</v>
      </c>
      <c r="AH1210" t="str" cm="1">
        <f t="array" ref="AH1210">_xlfn.IFS(M1210=1,"Junior employee",M1210=2,"Mid-level",M1210=3,"Senior",M1210=4,"Manager",M1210=5,"Executive")</f>
        <v>Mid-level</v>
      </c>
      <c r="AI1210" t="str" cm="1">
        <f t="array" ref="AI1210">_xlfn.IFS(O1210=1,"Low",O1210=2,"Medium",O1210=3,"High",O1210=4,"Very High")</f>
        <v>Very High</v>
      </c>
      <c r="AJ1210" t="str" cm="1">
        <f t="array" ref="AJ1210">_xlfn.IFS(U1210=1,"Low",U1210=2,"Good",U1210=3,"Excellent",U1210=4,"Outstanding")</f>
        <v>Excellent</v>
      </c>
      <c r="AK1210" t="str" cm="1">
        <f t="array" ref="AK1210">_xlfn.IFS(V1210=1,"Low",V1210=2,"Medium",V1210=3,"High",V1210=4,"Very High")</f>
        <v>High</v>
      </c>
      <c r="AL1210" t="str" cm="1">
        <f t="array" ref="AL1210">_xlfn.IFS(Z1210=1,"Bad",Z1210=2,"Good",Z1210=3,"Better",Z1210=4,"Best")</f>
        <v>Best</v>
      </c>
      <c r="AM1210" t="str" cm="1">
        <f t="array" ref="AM1210">_xlfn.IFS(W1210=0,"No_stock",W1210=1,"Low",W1210=2,"Medium",W1210=3,"High")</f>
        <v>Low</v>
      </c>
      <c r="AN1210" t="str">
        <f t="shared" si="18"/>
        <v>Near</v>
      </c>
    </row>
    <row r="1211" spans="1:40" x14ac:dyDescent="0.45">
      <c r="A1211">
        <v>60</v>
      </c>
      <c r="B1211" t="s">
        <v>37</v>
      </c>
      <c r="C1211" t="s">
        <v>31</v>
      </c>
      <c r="D1211">
        <v>370</v>
      </c>
      <c r="E1211" t="s">
        <v>39</v>
      </c>
      <c r="F1211">
        <v>1</v>
      </c>
      <c r="G1211">
        <v>4</v>
      </c>
      <c r="H1211" t="s">
        <v>45</v>
      </c>
      <c r="I1211">
        <v>1697</v>
      </c>
      <c r="J1211">
        <v>3</v>
      </c>
      <c r="K1211" t="s">
        <v>40</v>
      </c>
      <c r="L1211">
        <v>1</v>
      </c>
      <c r="M1211">
        <v>3</v>
      </c>
      <c r="N1211" t="s">
        <v>48</v>
      </c>
      <c r="O1211">
        <v>4</v>
      </c>
      <c r="P1211" t="s">
        <v>46</v>
      </c>
      <c r="Q1211">
        <v>10883</v>
      </c>
      <c r="R1211">
        <v>3</v>
      </c>
      <c r="S1211" t="s">
        <v>37</v>
      </c>
      <c r="T1211">
        <v>20</v>
      </c>
      <c r="U1211">
        <v>4</v>
      </c>
      <c r="V1211">
        <v>3</v>
      </c>
      <c r="W1211">
        <v>1</v>
      </c>
      <c r="X1211">
        <v>19</v>
      </c>
      <c r="Y1211">
        <v>2</v>
      </c>
      <c r="Z1211">
        <v>4</v>
      </c>
      <c r="AA1211">
        <v>1</v>
      </c>
      <c r="AB1211">
        <v>0</v>
      </c>
      <c r="AC1211">
        <v>0</v>
      </c>
      <c r="AD1211">
        <v>0</v>
      </c>
      <c r="AE1211" t="str" cm="1">
        <f t="array" ref="AE1211">_xlfn.IFS(G1211=1,"Before College",G1211=2,"College",G1211=3,"Bachelor",G1211=4,"Master",G1211=5,"Doctor")</f>
        <v>Master</v>
      </c>
      <c r="AF1211" t="str" cm="1">
        <f t="array" ref="AF1211">_xlfn.IFS(J1211=1,"Low",J1211=2,"Medium",J1211=3,"High",J1211=4,"Very High")</f>
        <v>High</v>
      </c>
      <c r="AG1211" t="str" cm="1">
        <f t="array" ref="AG1211">_xlfn.IFS(L1211=1,"Low",L1211=2,"Medium",L1211=3,"High",L1211=4,"Very High")</f>
        <v>Low</v>
      </c>
      <c r="AH1211" t="str" cm="1">
        <f t="array" ref="AH1211">_xlfn.IFS(M1211=1,"Junior employee",M1211=2,"Mid-level",M1211=3,"Senior",M1211=4,"Manager",M1211=5,"Executive")</f>
        <v>Senior</v>
      </c>
      <c r="AI1211" t="str" cm="1">
        <f t="array" ref="AI1211">_xlfn.IFS(O1211=1,"Low",O1211=2,"Medium",O1211=3,"High",O1211=4,"Very High")</f>
        <v>Very High</v>
      </c>
      <c r="AJ1211" t="str" cm="1">
        <f t="array" ref="AJ1211">_xlfn.IFS(U1211=1,"Low",U1211=2,"Good",U1211=3,"Excellent",U1211=4,"Outstanding")</f>
        <v>Outstanding</v>
      </c>
      <c r="AK1211" t="str" cm="1">
        <f t="array" ref="AK1211">_xlfn.IFS(V1211=1,"Low",V1211=2,"Medium",V1211=3,"High",V1211=4,"Very High")</f>
        <v>High</v>
      </c>
      <c r="AL1211" t="str" cm="1">
        <f t="array" ref="AL1211">_xlfn.IFS(Z1211=1,"Bad",Z1211=2,"Good",Z1211=3,"Better",Z1211=4,"Best")</f>
        <v>Best</v>
      </c>
      <c r="AM1211" t="str" cm="1">
        <f t="array" ref="AM1211">_xlfn.IFS(W1211=0,"No_stock",W1211=1,"Low",W1211=2,"Medium",W1211=3,"High")</f>
        <v>Low</v>
      </c>
      <c r="AN1211" t="str">
        <f t="shared" si="18"/>
        <v>Near</v>
      </c>
    </row>
    <row r="1212" spans="1:40" x14ac:dyDescent="0.45">
      <c r="A1212">
        <v>33</v>
      </c>
      <c r="B1212" t="s">
        <v>37</v>
      </c>
      <c r="C1212" t="s">
        <v>31</v>
      </c>
      <c r="D1212">
        <v>267</v>
      </c>
      <c r="E1212" t="s">
        <v>39</v>
      </c>
      <c r="F1212">
        <v>21</v>
      </c>
      <c r="G1212">
        <v>3</v>
      </c>
      <c r="H1212" t="s">
        <v>45</v>
      </c>
      <c r="I1212">
        <v>1698</v>
      </c>
      <c r="J1212">
        <v>2</v>
      </c>
      <c r="K1212" t="s">
        <v>40</v>
      </c>
      <c r="L1212">
        <v>4</v>
      </c>
      <c r="M1212">
        <v>1</v>
      </c>
      <c r="N1212" t="s">
        <v>44</v>
      </c>
      <c r="O1212">
        <v>2</v>
      </c>
      <c r="P1212" t="s">
        <v>42</v>
      </c>
      <c r="Q1212">
        <v>2028</v>
      </c>
      <c r="R1212">
        <v>1</v>
      </c>
      <c r="S1212" t="s">
        <v>37</v>
      </c>
      <c r="T1212">
        <v>18</v>
      </c>
      <c r="U1212">
        <v>3</v>
      </c>
      <c r="V1212">
        <v>4</v>
      </c>
      <c r="W1212">
        <v>3</v>
      </c>
      <c r="X1212">
        <v>14</v>
      </c>
      <c r="Y1212">
        <v>6</v>
      </c>
      <c r="Z1212">
        <v>3</v>
      </c>
      <c r="AA1212">
        <v>14</v>
      </c>
      <c r="AB1212">
        <v>11</v>
      </c>
      <c r="AC1212">
        <v>2</v>
      </c>
      <c r="AD1212">
        <v>13</v>
      </c>
      <c r="AE1212" t="str" cm="1">
        <f t="array" ref="AE1212">_xlfn.IFS(G1212=1,"Before College",G1212=2,"College",G1212=3,"Bachelor",G1212=4,"Master",G1212=5,"Doctor")</f>
        <v>Bachelor</v>
      </c>
      <c r="AF1212" t="str" cm="1">
        <f t="array" ref="AF1212">_xlfn.IFS(J1212=1,"Low",J1212=2,"Medium",J1212=3,"High",J1212=4,"Very High")</f>
        <v>Medium</v>
      </c>
      <c r="AG1212" t="str" cm="1">
        <f t="array" ref="AG1212">_xlfn.IFS(L1212=1,"Low",L1212=2,"Medium",L1212=3,"High",L1212=4,"Very High")</f>
        <v>Very High</v>
      </c>
      <c r="AH1212" t="str" cm="1">
        <f t="array" ref="AH1212">_xlfn.IFS(M1212=1,"Junior employee",M1212=2,"Mid-level",M1212=3,"Senior",M1212=4,"Manager",M1212=5,"Executive")</f>
        <v>Junior employee</v>
      </c>
      <c r="AI1212" t="str" cm="1">
        <f t="array" ref="AI1212">_xlfn.IFS(O1212=1,"Low",O1212=2,"Medium",O1212=3,"High",O1212=4,"Very High")</f>
        <v>Medium</v>
      </c>
      <c r="AJ1212" t="str" cm="1">
        <f t="array" ref="AJ1212">_xlfn.IFS(U1212=1,"Low",U1212=2,"Good",U1212=3,"Excellent",U1212=4,"Outstanding")</f>
        <v>Excellent</v>
      </c>
      <c r="AK1212" t="str" cm="1">
        <f t="array" ref="AK1212">_xlfn.IFS(V1212=1,"Low",V1212=2,"Medium",V1212=3,"High",V1212=4,"Very High")</f>
        <v>Very High</v>
      </c>
      <c r="AL1212" t="str" cm="1">
        <f t="array" ref="AL1212">_xlfn.IFS(Z1212=1,"Bad",Z1212=2,"Good",Z1212=3,"Better",Z1212=4,"Best")</f>
        <v>Better</v>
      </c>
      <c r="AM1212" t="str" cm="1">
        <f t="array" ref="AM1212">_xlfn.IFS(W1212=0,"No_stock",W1212=1,"Low",W1212=2,"Medium",W1212=3,"High")</f>
        <v>High</v>
      </c>
      <c r="AN1212" t="str">
        <f t="shared" si="18"/>
        <v>Far</v>
      </c>
    </row>
    <row r="1213" spans="1:40" x14ac:dyDescent="0.45">
      <c r="A1213">
        <v>37</v>
      </c>
      <c r="B1213" t="s">
        <v>37</v>
      </c>
      <c r="C1213" t="s">
        <v>38</v>
      </c>
      <c r="D1213">
        <v>1278</v>
      </c>
      <c r="E1213" t="s">
        <v>32</v>
      </c>
      <c r="F1213">
        <v>1</v>
      </c>
      <c r="G1213">
        <v>4</v>
      </c>
      <c r="H1213" t="s">
        <v>45</v>
      </c>
      <c r="I1213">
        <v>1700</v>
      </c>
      <c r="J1213">
        <v>3</v>
      </c>
      <c r="K1213" t="s">
        <v>40</v>
      </c>
      <c r="L1213">
        <v>1</v>
      </c>
      <c r="M1213">
        <v>2</v>
      </c>
      <c r="N1213" t="s">
        <v>35</v>
      </c>
      <c r="O1213">
        <v>4</v>
      </c>
      <c r="P1213" t="s">
        <v>46</v>
      </c>
      <c r="Q1213">
        <v>9525</v>
      </c>
      <c r="R1213">
        <v>1</v>
      </c>
      <c r="S1213" t="s">
        <v>37</v>
      </c>
      <c r="T1213">
        <v>14</v>
      </c>
      <c r="U1213">
        <v>3</v>
      </c>
      <c r="V1213">
        <v>3</v>
      </c>
      <c r="W1213">
        <v>2</v>
      </c>
      <c r="X1213">
        <v>6</v>
      </c>
      <c r="Y1213">
        <v>2</v>
      </c>
      <c r="Z1213">
        <v>2</v>
      </c>
      <c r="AA1213">
        <v>6</v>
      </c>
      <c r="AB1213">
        <v>3</v>
      </c>
      <c r="AC1213">
        <v>1</v>
      </c>
      <c r="AD1213">
        <v>3</v>
      </c>
      <c r="AE1213" t="str" cm="1">
        <f t="array" ref="AE1213">_xlfn.IFS(G1213=1,"Before College",G1213=2,"College",G1213=3,"Bachelor",G1213=4,"Master",G1213=5,"Doctor")</f>
        <v>Master</v>
      </c>
      <c r="AF1213" t="str" cm="1">
        <f t="array" ref="AF1213">_xlfn.IFS(J1213=1,"Low",J1213=2,"Medium",J1213=3,"High",J1213=4,"Very High")</f>
        <v>High</v>
      </c>
      <c r="AG1213" t="str" cm="1">
        <f t="array" ref="AG1213">_xlfn.IFS(L1213=1,"Low",L1213=2,"Medium",L1213=3,"High",L1213=4,"Very High")</f>
        <v>Low</v>
      </c>
      <c r="AH1213" t="str" cm="1">
        <f t="array" ref="AH1213">_xlfn.IFS(M1213=1,"Junior employee",M1213=2,"Mid-level",M1213=3,"Senior",M1213=4,"Manager",M1213=5,"Executive")</f>
        <v>Mid-level</v>
      </c>
      <c r="AI1213" t="str" cm="1">
        <f t="array" ref="AI1213">_xlfn.IFS(O1213=1,"Low",O1213=2,"Medium",O1213=3,"High",O1213=4,"Very High")</f>
        <v>Very High</v>
      </c>
      <c r="AJ1213" t="str" cm="1">
        <f t="array" ref="AJ1213">_xlfn.IFS(U1213=1,"Low",U1213=2,"Good",U1213=3,"Excellent",U1213=4,"Outstanding")</f>
        <v>Excellent</v>
      </c>
      <c r="AK1213" t="str" cm="1">
        <f t="array" ref="AK1213">_xlfn.IFS(V1213=1,"Low",V1213=2,"Medium",V1213=3,"High",V1213=4,"Very High")</f>
        <v>High</v>
      </c>
      <c r="AL1213" t="str" cm="1">
        <f t="array" ref="AL1213">_xlfn.IFS(Z1213=1,"Bad",Z1213=2,"Good",Z1213=3,"Better",Z1213=4,"Best")</f>
        <v>Good</v>
      </c>
      <c r="AM1213" t="str" cm="1">
        <f t="array" ref="AM1213">_xlfn.IFS(W1213=0,"No_stock",W1213=1,"Low",W1213=2,"Medium",W1213=3,"High")</f>
        <v>Medium</v>
      </c>
      <c r="AN1213" t="str">
        <f t="shared" si="18"/>
        <v>Near</v>
      </c>
    </row>
    <row r="1214" spans="1:40" x14ac:dyDescent="0.45">
      <c r="A1214">
        <v>34</v>
      </c>
      <c r="B1214" t="s">
        <v>37</v>
      </c>
      <c r="C1214" t="s">
        <v>31</v>
      </c>
      <c r="D1214">
        <v>678</v>
      </c>
      <c r="E1214" t="s">
        <v>39</v>
      </c>
      <c r="F1214">
        <v>19</v>
      </c>
      <c r="G1214">
        <v>3</v>
      </c>
      <c r="H1214" t="s">
        <v>33</v>
      </c>
      <c r="I1214">
        <v>1701</v>
      </c>
      <c r="J1214">
        <v>2</v>
      </c>
      <c r="K1214" t="s">
        <v>34</v>
      </c>
      <c r="L1214">
        <v>2</v>
      </c>
      <c r="M1214">
        <v>1</v>
      </c>
      <c r="N1214" t="s">
        <v>41</v>
      </c>
      <c r="O1214">
        <v>4</v>
      </c>
      <c r="P1214" t="s">
        <v>42</v>
      </c>
      <c r="Q1214">
        <v>2929</v>
      </c>
      <c r="R1214">
        <v>1</v>
      </c>
      <c r="S1214" t="s">
        <v>37</v>
      </c>
      <c r="T1214">
        <v>12</v>
      </c>
      <c r="U1214">
        <v>3</v>
      </c>
      <c r="V1214">
        <v>2</v>
      </c>
      <c r="W1214">
        <v>0</v>
      </c>
      <c r="X1214">
        <v>10</v>
      </c>
      <c r="Y1214">
        <v>3</v>
      </c>
      <c r="Z1214">
        <v>3</v>
      </c>
      <c r="AA1214">
        <v>10</v>
      </c>
      <c r="AB1214">
        <v>9</v>
      </c>
      <c r="AC1214">
        <v>8</v>
      </c>
      <c r="AD1214">
        <v>7</v>
      </c>
      <c r="AE1214" t="str" cm="1">
        <f t="array" ref="AE1214">_xlfn.IFS(G1214=1,"Before College",G1214=2,"College",G1214=3,"Bachelor",G1214=4,"Master",G1214=5,"Doctor")</f>
        <v>Bachelor</v>
      </c>
      <c r="AF1214" t="str" cm="1">
        <f t="array" ref="AF1214">_xlfn.IFS(J1214=1,"Low",J1214=2,"Medium",J1214=3,"High",J1214=4,"Very High")</f>
        <v>Medium</v>
      </c>
      <c r="AG1214" t="str" cm="1">
        <f t="array" ref="AG1214">_xlfn.IFS(L1214=1,"Low",L1214=2,"Medium",L1214=3,"High",L1214=4,"Very High")</f>
        <v>Medium</v>
      </c>
      <c r="AH1214" t="str" cm="1">
        <f t="array" ref="AH1214">_xlfn.IFS(M1214=1,"Junior employee",M1214=2,"Mid-level",M1214=3,"Senior",M1214=4,"Manager",M1214=5,"Executive")</f>
        <v>Junior employee</v>
      </c>
      <c r="AI1214" t="str" cm="1">
        <f t="array" ref="AI1214">_xlfn.IFS(O1214=1,"Low",O1214=2,"Medium",O1214=3,"High",O1214=4,"Very High")</f>
        <v>Very High</v>
      </c>
      <c r="AJ1214" t="str" cm="1">
        <f t="array" ref="AJ1214">_xlfn.IFS(U1214=1,"Low",U1214=2,"Good",U1214=3,"Excellent",U1214=4,"Outstanding")</f>
        <v>Excellent</v>
      </c>
      <c r="AK1214" t="str" cm="1">
        <f t="array" ref="AK1214">_xlfn.IFS(V1214=1,"Low",V1214=2,"Medium",V1214=3,"High",V1214=4,"Very High")</f>
        <v>Medium</v>
      </c>
      <c r="AL1214" t="str" cm="1">
        <f t="array" ref="AL1214">_xlfn.IFS(Z1214=1,"Bad",Z1214=2,"Good",Z1214=3,"Better",Z1214=4,"Best")</f>
        <v>Better</v>
      </c>
      <c r="AM1214" t="str" cm="1">
        <f t="array" ref="AM1214">_xlfn.IFS(W1214=0,"No_stock",W1214=1,"Low",W1214=2,"Medium",W1214=3,"High")</f>
        <v>No_stock</v>
      </c>
      <c r="AN1214" t="str">
        <f t="shared" si="18"/>
        <v>Far</v>
      </c>
    </row>
    <row r="1215" spans="1:40" x14ac:dyDescent="0.45">
      <c r="A1215">
        <v>23</v>
      </c>
      <c r="B1215" t="s">
        <v>30</v>
      </c>
      <c r="C1215" t="s">
        <v>31</v>
      </c>
      <c r="D1215">
        <v>427</v>
      </c>
      <c r="E1215" t="s">
        <v>32</v>
      </c>
      <c r="F1215">
        <v>7</v>
      </c>
      <c r="G1215">
        <v>3</v>
      </c>
      <c r="H1215" t="s">
        <v>33</v>
      </c>
      <c r="I1215">
        <v>1702</v>
      </c>
      <c r="J1215">
        <v>3</v>
      </c>
      <c r="K1215" t="s">
        <v>40</v>
      </c>
      <c r="L1215">
        <v>3</v>
      </c>
      <c r="M1215">
        <v>1</v>
      </c>
      <c r="N1215" t="s">
        <v>51</v>
      </c>
      <c r="O1215">
        <v>4</v>
      </c>
      <c r="P1215" t="s">
        <v>46</v>
      </c>
      <c r="Q1215">
        <v>2275</v>
      </c>
      <c r="R1215">
        <v>1</v>
      </c>
      <c r="S1215" t="s">
        <v>30</v>
      </c>
      <c r="T1215">
        <v>21</v>
      </c>
      <c r="U1215">
        <v>4</v>
      </c>
      <c r="V1215">
        <v>2</v>
      </c>
      <c r="W1215">
        <v>1</v>
      </c>
      <c r="X1215">
        <v>3</v>
      </c>
      <c r="Y1215">
        <v>2</v>
      </c>
      <c r="Z1215">
        <v>3</v>
      </c>
      <c r="AA1215">
        <v>3</v>
      </c>
      <c r="AB1215">
        <v>2</v>
      </c>
      <c r="AC1215">
        <v>0</v>
      </c>
      <c r="AD1215">
        <v>2</v>
      </c>
      <c r="AE1215" t="str" cm="1">
        <f t="array" ref="AE1215">_xlfn.IFS(G1215=1,"Before College",G1215=2,"College",G1215=3,"Bachelor",G1215=4,"Master",G1215=5,"Doctor")</f>
        <v>Bachelor</v>
      </c>
      <c r="AF1215" t="str" cm="1">
        <f t="array" ref="AF1215">_xlfn.IFS(J1215=1,"Low",J1215=2,"Medium",J1215=3,"High",J1215=4,"Very High")</f>
        <v>High</v>
      </c>
      <c r="AG1215" t="str" cm="1">
        <f t="array" ref="AG1215">_xlfn.IFS(L1215=1,"Low",L1215=2,"Medium",L1215=3,"High",L1215=4,"Very High")</f>
        <v>High</v>
      </c>
      <c r="AH1215" t="str" cm="1">
        <f t="array" ref="AH1215">_xlfn.IFS(M1215=1,"Junior employee",M1215=2,"Mid-level",M1215=3,"Senior",M1215=4,"Manager",M1215=5,"Executive")</f>
        <v>Junior employee</v>
      </c>
      <c r="AI1215" t="str" cm="1">
        <f t="array" ref="AI1215">_xlfn.IFS(O1215=1,"Low",O1215=2,"Medium",O1215=3,"High",O1215=4,"Very High")</f>
        <v>Very High</v>
      </c>
      <c r="AJ1215" t="str" cm="1">
        <f t="array" ref="AJ1215">_xlfn.IFS(U1215=1,"Low",U1215=2,"Good",U1215=3,"Excellent",U1215=4,"Outstanding")</f>
        <v>Outstanding</v>
      </c>
      <c r="AK1215" t="str" cm="1">
        <f t="array" ref="AK1215">_xlfn.IFS(V1215=1,"Low",V1215=2,"Medium",V1215=3,"High",V1215=4,"Very High")</f>
        <v>Medium</v>
      </c>
      <c r="AL1215" t="str" cm="1">
        <f t="array" ref="AL1215">_xlfn.IFS(Z1215=1,"Bad",Z1215=2,"Good",Z1215=3,"Better",Z1215=4,"Best")</f>
        <v>Better</v>
      </c>
      <c r="AM1215" t="str" cm="1">
        <f t="array" ref="AM1215">_xlfn.IFS(W1215=0,"No_stock",W1215=1,"Low",W1215=2,"Medium",W1215=3,"High")</f>
        <v>Low</v>
      </c>
      <c r="AN1215" t="str">
        <f t="shared" si="18"/>
        <v>Medium</v>
      </c>
    </row>
    <row r="1216" spans="1:40" x14ac:dyDescent="0.45">
      <c r="A1216">
        <v>44</v>
      </c>
      <c r="B1216" t="s">
        <v>37</v>
      </c>
      <c r="C1216" t="s">
        <v>31</v>
      </c>
      <c r="D1216">
        <v>921</v>
      </c>
      <c r="E1216" t="s">
        <v>39</v>
      </c>
      <c r="F1216">
        <v>2</v>
      </c>
      <c r="G1216">
        <v>3</v>
      </c>
      <c r="H1216" t="s">
        <v>33</v>
      </c>
      <c r="I1216">
        <v>1703</v>
      </c>
      <c r="J1216">
        <v>3</v>
      </c>
      <c r="K1216" t="s">
        <v>34</v>
      </c>
      <c r="L1216">
        <v>4</v>
      </c>
      <c r="M1216">
        <v>3</v>
      </c>
      <c r="N1216" t="s">
        <v>48</v>
      </c>
      <c r="O1216">
        <v>4</v>
      </c>
      <c r="P1216" t="s">
        <v>42</v>
      </c>
      <c r="Q1216">
        <v>7879</v>
      </c>
      <c r="R1216">
        <v>1</v>
      </c>
      <c r="S1216" t="s">
        <v>30</v>
      </c>
      <c r="T1216">
        <v>19</v>
      </c>
      <c r="U1216">
        <v>3</v>
      </c>
      <c r="V1216">
        <v>2</v>
      </c>
      <c r="W1216">
        <v>1</v>
      </c>
      <c r="X1216">
        <v>9</v>
      </c>
      <c r="Y1216">
        <v>2</v>
      </c>
      <c r="Z1216">
        <v>3</v>
      </c>
      <c r="AA1216">
        <v>8</v>
      </c>
      <c r="AB1216">
        <v>7</v>
      </c>
      <c r="AC1216">
        <v>6</v>
      </c>
      <c r="AD1216">
        <v>7</v>
      </c>
      <c r="AE1216" t="str" cm="1">
        <f t="array" ref="AE1216">_xlfn.IFS(G1216=1,"Before College",G1216=2,"College",G1216=3,"Bachelor",G1216=4,"Master",G1216=5,"Doctor")</f>
        <v>Bachelor</v>
      </c>
      <c r="AF1216" t="str" cm="1">
        <f t="array" ref="AF1216">_xlfn.IFS(J1216=1,"Low",J1216=2,"Medium",J1216=3,"High",J1216=4,"Very High")</f>
        <v>High</v>
      </c>
      <c r="AG1216" t="str" cm="1">
        <f t="array" ref="AG1216">_xlfn.IFS(L1216=1,"Low",L1216=2,"Medium",L1216=3,"High",L1216=4,"Very High")</f>
        <v>Very High</v>
      </c>
      <c r="AH1216" t="str" cm="1">
        <f t="array" ref="AH1216">_xlfn.IFS(M1216=1,"Junior employee",M1216=2,"Mid-level",M1216=3,"Senior",M1216=4,"Manager",M1216=5,"Executive")</f>
        <v>Senior</v>
      </c>
      <c r="AI1216" t="str" cm="1">
        <f t="array" ref="AI1216">_xlfn.IFS(O1216=1,"Low",O1216=2,"Medium",O1216=3,"High",O1216=4,"Very High")</f>
        <v>Very High</v>
      </c>
      <c r="AJ1216" t="str" cm="1">
        <f t="array" ref="AJ1216">_xlfn.IFS(U1216=1,"Low",U1216=2,"Good",U1216=3,"Excellent",U1216=4,"Outstanding")</f>
        <v>Excellent</v>
      </c>
      <c r="AK1216" t="str" cm="1">
        <f t="array" ref="AK1216">_xlfn.IFS(V1216=1,"Low",V1216=2,"Medium",V1216=3,"High",V1216=4,"Very High")</f>
        <v>Medium</v>
      </c>
      <c r="AL1216" t="str" cm="1">
        <f t="array" ref="AL1216">_xlfn.IFS(Z1216=1,"Bad",Z1216=2,"Good",Z1216=3,"Better",Z1216=4,"Best")</f>
        <v>Better</v>
      </c>
      <c r="AM1216" t="str" cm="1">
        <f t="array" ref="AM1216">_xlfn.IFS(W1216=0,"No_stock",W1216=1,"Low",W1216=2,"Medium",W1216=3,"High")</f>
        <v>Low</v>
      </c>
      <c r="AN1216" t="str">
        <f t="shared" si="18"/>
        <v>Near</v>
      </c>
    </row>
    <row r="1217" spans="1:40" x14ac:dyDescent="0.45">
      <c r="A1217">
        <v>35</v>
      </c>
      <c r="B1217" t="s">
        <v>37</v>
      </c>
      <c r="C1217" t="s">
        <v>38</v>
      </c>
      <c r="D1217">
        <v>146</v>
      </c>
      <c r="E1217" t="s">
        <v>39</v>
      </c>
      <c r="F1217">
        <v>2</v>
      </c>
      <c r="G1217">
        <v>4</v>
      </c>
      <c r="H1217" t="s">
        <v>45</v>
      </c>
      <c r="I1217">
        <v>1704</v>
      </c>
      <c r="J1217">
        <v>1</v>
      </c>
      <c r="K1217" t="s">
        <v>40</v>
      </c>
      <c r="L1217">
        <v>2</v>
      </c>
      <c r="M1217">
        <v>1</v>
      </c>
      <c r="N1217" t="s">
        <v>41</v>
      </c>
      <c r="O1217">
        <v>4</v>
      </c>
      <c r="P1217" t="s">
        <v>36</v>
      </c>
      <c r="Q1217">
        <v>4930</v>
      </c>
      <c r="R1217">
        <v>0</v>
      </c>
      <c r="S1217" t="s">
        <v>30</v>
      </c>
      <c r="T1217">
        <v>14</v>
      </c>
      <c r="U1217">
        <v>3</v>
      </c>
      <c r="V1217">
        <v>3</v>
      </c>
      <c r="W1217">
        <v>0</v>
      </c>
      <c r="X1217">
        <v>6</v>
      </c>
      <c r="Y1217">
        <v>2</v>
      </c>
      <c r="Z1217">
        <v>4</v>
      </c>
      <c r="AA1217">
        <v>5</v>
      </c>
      <c r="AB1217">
        <v>4</v>
      </c>
      <c r="AC1217">
        <v>1</v>
      </c>
      <c r="AD1217">
        <v>4</v>
      </c>
      <c r="AE1217" t="str" cm="1">
        <f t="array" ref="AE1217">_xlfn.IFS(G1217=1,"Before College",G1217=2,"College",G1217=3,"Bachelor",G1217=4,"Master",G1217=5,"Doctor")</f>
        <v>Master</v>
      </c>
      <c r="AF1217" t="str" cm="1">
        <f t="array" ref="AF1217">_xlfn.IFS(J1217=1,"Low",J1217=2,"Medium",J1217=3,"High",J1217=4,"Very High")</f>
        <v>Low</v>
      </c>
      <c r="AG1217" t="str" cm="1">
        <f t="array" ref="AG1217">_xlfn.IFS(L1217=1,"Low",L1217=2,"Medium",L1217=3,"High",L1217=4,"Very High")</f>
        <v>Medium</v>
      </c>
      <c r="AH1217" t="str" cm="1">
        <f t="array" ref="AH1217">_xlfn.IFS(M1217=1,"Junior employee",M1217=2,"Mid-level",M1217=3,"Senior",M1217=4,"Manager",M1217=5,"Executive")</f>
        <v>Junior employee</v>
      </c>
      <c r="AI1217" t="str" cm="1">
        <f t="array" ref="AI1217">_xlfn.IFS(O1217=1,"Low",O1217=2,"Medium",O1217=3,"High",O1217=4,"Very High")</f>
        <v>Very High</v>
      </c>
      <c r="AJ1217" t="str" cm="1">
        <f t="array" ref="AJ1217">_xlfn.IFS(U1217=1,"Low",U1217=2,"Good",U1217=3,"Excellent",U1217=4,"Outstanding")</f>
        <v>Excellent</v>
      </c>
      <c r="AK1217" t="str" cm="1">
        <f t="array" ref="AK1217">_xlfn.IFS(V1217=1,"Low",V1217=2,"Medium",V1217=3,"High",V1217=4,"Very High")</f>
        <v>High</v>
      </c>
      <c r="AL1217" t="str" cm="1">
        <f t="array" ref="AL1217">_xlfn.IFS(Z1217=1,"Bad",Z1217=2,"Good",Z1217=3,"Better",Z1217=4,"Best")</f>
        <v>Best</v>
      </c>
      <c r="AM1217" t="str" cm="1">
        <f t="array" ref="AM1217">_xlfn.IFS(W1217=0,"No_stock",W1217=1,"Low",W1217=2,"Medium",W1217=3,"High")</f>
        <v>No_stock</v>
      </c>
      <c r="AN1217" t="str">
        <f t="shared" si="18"/>
        <v>Near</v>
      </c>
    </row>
    <row r="1218" spans="1:40" x14ac:dyDescent="0.45">
      <c r="A1218">
        <v>43</v>
      </c>
      <c r="B1218" t="s">
        <v>37</v>
      </c>
      <c r="C1218" t="s">
        <v>31</v>
      </c>
      <c r="D1218">
        <v>1179</v>
      </c>
      <c r="E1218" t="s">
        <v>32</v>
      </c>
      <c r="F1218">
        <v>2</v>
      </c>
      <c r="G1218">
        <v>3</v>
      </c>
      <c r="H1218" t="s">
        <v>45</v>
      </c>
      <c r="I1218">
        <v>1706</v>
      </c>
      <c r="J1218">
        <v>4</v>
      </c>
      <c r="K1218" t="s">
        <v>40</v>
      </c>
      <c r="L1218">
        <v>3</v>
      </c>
      <c r="M1218">
        <v>2</v>
      </c>
      <c r="N1218" t="s">
        <v>35</v>
      </c>
      <c r="O1218">
        <v>4</v>
      </c>
      <c r="P1218" t="s">
        <v>42</v>
      </c>
      <c r="Q1218">
        <v>7847</v>
      </c>
      <c r="R1218">
        <v>1</v>
      </c>
      <c r="S1218" t="s">
        <v>30</v>
      </c>
      <c r="T1218">
        <v>17</v>
      </c>
      <c r="U1218">
        <v>3</v>
      </c>
      <c r="V1218">
        <v>1</v>
      </c>
      <c r="W1218">
        <v>1</v>
      </c>
      <c r="X1218">
        <v>10</v>
      </c>
      <c r="Y1218">
        <v>3</v>
      </c>
      <c r="Z1218">
        <v>3</v>
      </c>
      <c r="AA1218">
        <v>10</v>
      </c>
      <c r="AB1218">
        <v>9</v>
      </c>
      <c r="AC1218">
        <v>8</v>
      </c>
      <c r="AD1218">
        <v>8</v>
      </c>
      <c r="AE1218" t="str" cm="1">
        <f t="array" ref="AE1218">_xlfn.IFS(G1218=1,"Before College",G1218=2,"College",G1218=3,"Bachelor",G1218=4,"Master",G1218=5,"Doctor")</f>
        <v>Bachelor</v>
      </c>
      <c r="AF1218" t="str" cm="1">
        <f t="array" ref="AF1218">_xlfn.IFS(J1218=1,"Low",J1218=2,"Medium",J1218=3,"High",J1218=4,"Very High")</f>
        <v>Very High</v>
      </c>
      <c r="AG1218" t="str" cm="1">
        <f t="array" ref="AG1218">_xlfn.IFS(L1218=1,"Low",L1218=2,"Medium",L1218=3,"High",L1218=4,"Very High")</f>
        <v>High</v>
      </c>
      <c r="AH1218" t="str" cm="1">
        <f t="array" ref="AH1218">_xlfn.IFS(M1218=1,"Junior employee",M1218=2,"Mid-level",M1218=3,"Senior",M1218=4,"Manager",M1218=5,"Executive")</f>
        <v>Mid-level</v>
      </c>
      <c r="AI1218" t="str" cm="1">
        <f t="array" ref="AI1218">_xlfn.IFS(O1218=1,"Low",O1218=2,"Medium",O1218=3,"High",O1218=4,"Very High")</f>
        <v>Very High</v>
      </c>
      <c r="AJ1218" t="str" cm="1">
        <f t="array" ref="AJ1218">_xlfn.IFS(U1218=1,"Low",U1218=2,"Good",U1218=3,"Excellent",U1218=4,"Outstanding")</f>
        <v>Excellent</v>
      </c>
      <c r="AK1218" t="str" cm="1">
        <f t="array" ref="AK1218">_xlfn.IFS(V1218=1,"Low",V1218=2,"Medium",V1218=3,"High",V1218=4,"Very High")</f>
        <v>Low</v>
      </c>
      <c r="AL1218" t="str" cm="1">
        <f t="array" ref="AL1218">_xlfn.IFS(Z1218=1,"Bad",Z1218=2,"Good",Z1218=3,"Better",Z1218=4,"Best")</f>
        <v>Better</v>
      </c>
      <c r="AM1218" t="str" cm="1">
        <f t="array" ref="AM1218">_xlfn.IFS(W1218=0,"No_stock",W1218=1,"Low",W1218=2,"Medium",W1218=3,"High")</f>
        <v>Low</v>
      </c>
      <c r="AN1218" t="str">
        <f t="shared" ref="AN1218:AN1281" si="19">IF(F1218&lt;=5,"Near",IF(F1218&lt;=15,"Medium","Far"))</f>
        <v>Near</v>
      </c>
    </row>
    <row r="1219" spans="1:40" x14ac:dyDescent="0.45">
      <c r="A1219">
        <v>24</v>
      </c>
      <c r="B1219" t="s">
        <v>37</v>
      </c>
      <c r="C1219" t="s">
        <v>31</v>
      </c>
      <c r="D1219">
        <v>581</v>
      </c>
      <c r="E1219" t="s">
        <v>39</v>
      </c>
      <c r="F1219">
        <v>9</v>
      </c>
      <c r="G1219">
        <v>3</v>
      </c>
      <c r="H1219" t="s">
        <v>45</v>
      </c>
      <c r="I1219">
        <v>1707</v>
      </c>
      <c r="J1219">
        <v>3</v>
      </c>
      <c r="K1219" t="s">
        <v>40</v>
      </c>
      <c r="L1219">
        <v>4</v>
      </c>
      <c r="M1219">
        <v>1</v>
      </c>
      <c r="N1219" t="s">
        <v>41</v>
      </c>
      <c r="O1219">
        <v>3</v>
      </c>
      <c r="P1219" t="s">
        <v>42</v>
      </c>
      <c r="Q1219">
        <v>4401</v>
      </c>
      <c r="R1219">
        <v>1</v>
      </c>
      <c r="S1219" t="s">
        <v>37</v>
      </c>
      <c r="T1219">
        <v>16</v>
      </c>
      <c r="U1219">
        <v>3</v>
      </c>
      <c r="V1219">
        <v>4</v>
      </c>
      <c r="W1219">
        <v>1</v>
      </c>
      <c r="X1219">
        <v>5</v>
      </c>
      <c r="Y1219">
        <v>1</v>
      </c>
      <c r="Z1219">
        <v>3</v>
      </c>
      <c r="AA1219">
        <v>5</v>
      </c>
      <c r="AB1219">
        <v>3</v>
      </c>
      <c r="AC1219">
        <v>0</v>
      </c>
      <c r="AD1219">
        <v>4</v>
      </c>
      <c r="AE1219" t="str" cm="1">
        <f t="array" ref="AE1219">_xlfn.IFS(G1219=1,"Before College",G1219=2,"College",G1219=3,"Bachelor",G1219=4,"Master",G1219=5,"Doctor")</f>
        <v>Bachelor</v>
      </c>
      <c r="AF1219" t="str" cm="1">
        <f t="array" ref="AF1219">_xlfn.IFS(J1219=1,"Low",J1219=2,"Medium",J1219=3,"High",J1219=4,"Very High")</f>
        <v>High</v>
      </c>
      <c r="AG1219" t="str" cm="1">
        <f t="array" ref="AG1219">_xlfn.IFS(L1219=1,"Low",L1219=2,"Medium",L1219=3,"High",L1219=4,"Very High")</f>
        <v>Very High</v>
      </c>
      <c r="AH1219" t="str" cm="1">
        <f t="array" ref="AH1219">_xlfn.IFS(M1219=1,"Junior employee",M1219=2,"Mid-level",M1219=3,"Senior",M1219=4,"Manager",M1219=5,"Executive")</f>
        <v>Junior employee</v>
      </c>
      <c r="AI1219" t="str" cm="1">
        <f t="array" ref="AI1219">_xlfn.IFS(O1219=1,"Low",O1219=2,"Medium",O1219=3,"High",O1219=4,"Very High")</f>
        <v>High</v>
      </c>
      <c r="AJ1219" t="str" cm="1">
        <f t="array" ref="AJ1219">_xlfn.IFS(U1219=1,"Low",U1219=2,"Good",U1219=3,"Excellent",U1219=4,"Outstanding")</f>
        <v>Excellent</v>
      </c>
      <c r="AK1219" t="str" cm="1">
        <f t="array" ref="AK1219">_xlfn.IFS(V1219=1,"Low",V1219=2,"Medium",V1219=3,"High",V1219=4,"Very High")</f>
        <v>Very High</v>
      </c>
      <c r="AL1219" t="str" cm="1">
        <f t="array" ref="AL1219">_xlfn.IFS(Z1219=1,"Bad",Z1219=2,"Good",Z1219=3,"Better",Z1219=4,"Best")</f>
        <v>Better</v>
      </c>
      <c r="AM1219" t="str" cm="1">
        <f t="array" ref="AM1219">_xlfn.IFS(W1219=0,"No_stock",W1219=1,"Low",W1219=2,"Medium",W1219=3,"High")</f>
        <v>Low</v>
      </c>
      <c r="AN1219" t="str">
        <f t="shared" si="19"/>
        <v>Medium</v>
      </c>
    </row>
    <row r="1220" spans="1:40" x14ac:dyDescent="0.45">
      <c r="A1220">
        <v>41</v>
      </c>
      <c r="B1220" t="s">
        <v>37</v>
      </c>
      <c r="C1220" t="s">
        <v>31</v>
      </c>
      <c r="D1220">
        <v>918</v>
      </c>
      <c r="E1220" t="s">
        <v>32</v>
      </c>
      <c r="F1220">
        <v>6</v>
      </c>
      <c r="G1220">
        <v>3</v>
      </c>
      <c r="H1220" t="s">
        <v>53</v>
      </c>
      <c r="I1220">
        <v>1708</v>
      </c>
      <c r="J1220">
        <v>4</v>
      </c>
      <c r="K1220" t="s">
        <v>40</v>
      </c>
      <c r="L1220">
        <v>3</v>
      </c>
      <c r="M1220">
        <v>3</v>
      </c>
      <c r="N1220" t="s">
        <v>35</v>
      </c>
      <c r="O1220">
        <v>3</v>
      </c>
      <c r="P1220" t="s">
        <v>36</v>
      </c>
      <c r="Q1220">
        <v>9241</v>
      </c>
      <c r="R1220">
        <v>1</v>
      </c>
      <c r="S1220" t="s">
        <v>37</v>
      </c>
      <c r="T1220">
        <v>12</v>
      </c>
      <c r="U1220">
        <v>3</v>
      </c>
      <c r="V1220">
        <v>2</v>
      </c>
      <c r="W1220">
        <v>0</v>
      </c>
      <c r="X1220">
        <v>10</v>
      </c>
      <c r="Y1220">
        <v>3</v>
      </c>
      <c r="Z1220">
        <v>3</v>
      </c>
      <c r="AA1220">
        <v>10</v>
      </c>
      <c r="AB1220">
        <v>8</v>
      </c>
      <c r="AC1220">
        <v>8</v>
      </c>
      <c r="AD1220">
        <v>7</v>
      </c>
      <c r="AE1220" t="str" cm="1">
        <f t="array" ref="AE1220">_xlfn.IFS(G1220=1,"Before College",G1220=2,"College",G1220=3,"Bachelor",G1220=4,"Master",G1220=5,"Doctor")</f>
        <v>Bachelor</v>
      </c>
      <c r="AF1220" t="str" cm="1">
        <f t="array" ref="AF1220">_xlfn.IFS(J1220=1,"Low",J1220=2,"Medium",J1220=3,"High",J1220=4,"Very High")</f>
        <v>Very High</v>
      </c>
      <c r="AG1220" t="str" cm="1">
        <f t="array" ref="AG1220">_xlfn.IFS(L1220=1,"Low",L1220=2,"Medium",L1220=3,"High",L1220=4,"Very High")</f>
        <v>High</v>
      </c>
      <c r="AH1220" t="str" cm="1">
        <f t="array" ref="AH1220">_xlfn.IFS(M1220=1,"Junior employee",M1220=2,"Mid-level",M1220=3,"Senior",M1220=4,"Manager",M1220=5,"Executive")</f>
        <v>Senior</v>
      </c>
      <c r="AI1220" t="str" cm="1">
        <f t="array" ref="AI1220">_xlfn.IFS(O1220=1,"Low",O1220=2,"Medium",O1220=3,"High",O1220=4,"Very High")</f>
        <v>High</v>
      </c>
      <c r="AJ1220" t="str" cm="1">
        <f t="array" ref="AJ1220">_xlfn.IFS(U1220=1,"Low",U1220=2,"Good",U1220=3,"Excellent",U1220=4,"Outstanding")</f>
        <v>Excellent</v>
      </c>
      <c r="AK1220" t="str" cm="1">
        <f t="array" ref="AK1220">_xlfn.IFS(V1220=1,"Low",V1220=2,"Medium",V1220=3,"High",V1220=4,"Very High")</f>
        <v>Medium</v>
      </c>
      <c r="AL1220" t="str" cm="1">
        <f t="array" ref="AL1220">_xlfn.IFS(Z1220=1,"Bad",Z1220=2,"Good",Z1220=3,"Better",Z1220=4,"Best")</f>
        <v>Better</v>
      </c>
      <c r="AM1220" t="str" cm="1">
        <f t="array" ref="AM1220">_xlfn.IFS(W1220=0,"No_stock",W1220=1,"Low",W1220=2,"Medium",W1220=3,"High")</f>
        <v>No_stock</v>
      </c>
      <c r="AN1220" t="str">
        <f t="shared" si="19"/>
        <v>Medium</v>
      </c>
    </row>
    <row r="1221" spans="1:40" x14ac:dyDescent="0.45">
      <c r="A1221">
        <v>29</v>
      </c>
      <c r="B1221" t="s">
        <v>37</v>
      </c>
      <c r="C1221" t="s">
        <v>31</v>
      </c>
      <c r="D1221">
        <v>1082</v>
      </c>
      <c r="E1221" t="s">
        <v>39</v>
      </c>
      <c r="F1221">
        <v>9</v>
      </c>
      <c r="G1221">
        <v>4</v>
      </c>
      <c r="H1221" t="s">
        <v>45</v>
      </c>
      <c r="I1221">
        <v>1709</v>
      </c>
      <c r="J1221">
        <v>4</v>
      </c>
      <c r="K1221" t="s">
        <v>34</v>
      </c>
      <c r="L1221">
        <v>3</v>
      </c>
      <c r="M1221">
        <v>1</v>
      </c>
      <c r="N1221" t="s">
        <v>44</v>
      </c>
      <c r="O1221">
        <v>3</v>
      </c>
      <c r="P1221" t="s">
        <v>42</v>
      </c>
      <c r="Q1221">
        <v>2974</v>
      </c>
      <c r="R1221">
        <v>9</v>
      </c>
      <c r="S1221" t="s">
        <v>37</v>
      </c>
      <c r="T1221">
        <v>17</v>
      </c>
      <c r="U1221">
        <v>3</v>
      </c>
      <c r="V1221">
        <v>3</v>
      </c>
      <c r="W1221">
        <v>1</v>
      </c>
      <c r="X1221">
        <v>9</v>
      </c>
      <c r="Y1221">
        <v>2</v>
      </c>
      <c r="Z1221">
        <v>3</v>
      </c>
      <c r="AA1221">
        <v>5</v>
      </c>
      <c r="AB1221">
        <v>3</v>
      </c>
      <c r="AC1221">
        <v>1</v>
      </c>
      <c r="AD1221">
        <v>2</v>
      </c>
      <c r="AE1221" t="str" cm="1">
        <f t="array" ref="AE1221">_xlfn.IFS(G1221=1,"Before College",G1221=2,"College",G1221=3,"Bachelor",G1221=4,"Master",G1221=5,"Doctor")</f>
        <v>Master</v>
      </c>
      <c r="AF1221" t="str" cm="1">
        <f t="array" ref="AF1221">_xlfn.IFS(J1221=1,"Low",J1221=2,"Medium",J1221=3,"High",J1221=4,"Very High")</f>
        <v>Very High</v>
      </c>
      <c r="AG1221" t="str" cm="1">
        <f t="array" ref="AG1221">_xlfn.IFS(L1221=1,"Low",L1221=2,"Medium",L1221=3,"High",L1221=4,"Very High")</f>
        <v>High</v>
      </c>
      <c r="AH1221" t="str" cm="1">
        <f t="array" ref="AH1221">_xlfn.IFS(M1221=1,"Junior employee",M1221=2,"Mid-level",M1221=3,"Senior",M1221=4,"Manager",M1221=5,"Executive")</f>
        <v>Junior employee</v>
      </c>
      <c r="AI1221" t="str" cm="1">
        <f t="array" ref="AI1221">_xlfn.IFS(O1221=1,"Low",O1221=2,"Medium",O1221=3,"High",O1221=4,"Very High")</f>
        <v>High</v>
      </c>
      <c r="AJ1221" t="str" cm="1">
        <f t="array" ref="AJ1221">_xlfn.IFS(U1221=1,"Low",U1221=2,"Good",U1221=3,"Excellent",U1221=4,"Outstanding")</f>
        <v>Excellent</v>
      </c>
      <c r="AK1221" t="str" cm="1">
        <f t="array" ref="AK1221">_xlfn.IFS(V1221=1,"Low",V1221=2,"Medium",V1221=3,"High",V1221=4,"Very High")</f>
        <v>High</v>
      </c>
      <c r="AL1221" t="str" cm="1">
        <f t="array" ref="AL1221">_xlfn.IFS(Z1221=1,"Bad",Z1221=2,"Good",Z1221=3,"Better",Z1221=4,"Best")</f>
        <v>Better</v>
      </c>
      <c r="AM1221" t="str" cm="1">
        <f t="array" ref="AM1221">_xlfn.IFS(W1221=0,"No_stock",W1221=1,"Low",W1221=2,"Medium",W1221=3,"High")</f>
        <v>Low</v>
      </c>
      <c r="AN1221" t="str">
        <f t="shared" si="19"/>
        <v>Medium</v>
      </c>
    </row>
    <row r="1222" spans="1:40" x14ac:dyDescent="0.45">
      <c r="A1222">
        <v>36</v>
      </c>
      <c r="B1222" t="s">
        <v>37</v>
      </c>
      <c r="C1222" t="s">
        <v>31</v>
      </c>
      <c r="D1222">
        <v>530</v>
      </c>
      <c r="E1222" t="s">
        <v>32</v>
      </c>
      <c r="F1222">
        <v>2</v>
      </c>
      <c r="G1222">
        <v>4</v>
      </c>
      <c r="H1222" t="s">
        <v>33</v>
      </c>
      <c r="I1222">
        <v>1710</v>
      </c>
      <c r="J1222">
        <v>3</v>
      </c>
      <c r="K1222" t="s">
        <v>34</v>
      </c>
      <c r="L1222">
        <v>3</v>
      </c>
      <c r="M1222">
        <v>2</v>
      </c>
      <c r="N1222" t="s">
        <v>51</v>
      </c>
      <c r="O1222">
        <v>4</v>
      </c>
      <c r="P1222" t="s">
        <v>36</v>
      </c>
      <c r="Q1222">
        <v>4502</v>
      </c>
      <c r="R1222">
        <v>3</v>
      </c>
      <c r="S1222" t="s">
        <v>37</v>
      </c>
      <c r="T1222">
        <v>15</v>
      </c>
      <c r="U1222">
        <v>3</v>
      </c>
      <c r="V1222">
        <v>3</v>
      </c>
      <c r="W1222">
        <v>0</v>
      </c>
      <c r="X1222">
        <v>17</v>
      </c>
      <c r="Y1222">
        <v>2</v>
      </c>
      <c r="Z1222">
        <v>2</v>
      </c>
      <c r="AA1222">
        <v>13</v>
      </c>
      <c r="AB1222">
        <v>7</v>
      </c>
      <c r="AC1222">
        <v>6</v>
      </c>
      <c r="AD1222">
        <v>7</v>
      </c>
      <c r="AE1222" t="str" cm="1">
        <f t="array" ref="AE1222">_xlfn.IFS(G1222=1,"Before College",G1222=2,"College",G1222=3,"Bachelor",G1222=4,"Master",G1222=5,"Doctor")</f>
        <v>Master</v>
      </c>
      <c r="AF1222" t="str" cm="1">
        <f t="array" ref="AF1222">_xlfn.IFS(J1222=1,"Low",J1222=2,"Medium",J1222=3,"High",J1222=4,"Very High")</f>
        <v>High</v>
      </c>
      <c r="AG1222" t="str" cm="1">
        <f t="array" ref="AG1222">_xlfn.IFS(L1222=1,"Low",L1222=2,"Medium",L1222=3,"High",L1222=4,"Very High")</f>
        <v>High</v>
      </c>
      <c r="AH1222" t="str" cm="1">
        <f t="array" ref="AH1222">_xlfn.IFS(M1222=1,"Junior employee",M1222=2,"Mid-level",M1222=3,"Senior",M1222=4,"Manager",M1222=5,"Executive")</f>
        <v>Mid-level</v>
      </c>
      <c r="AI1222" t="str" cm="1">
        <f t="array" ref="AI1222">_xlfn.IFS(O1222=1,"Low",O1222=2,"Medium",O1222=3,"High",O1222=4,"Very High")</f>
        <v>Very High</v>
      </c>
      <c r="AJ1222" t="str" cm="1">
        <f t="array" ref="AJ1222">_xlfn.IFS(U1222=1,"Low",U1222=2,"Good",U1222=3,"Excellent",U1222=4,"Outstanding")</f>
        <v>Excellent</v>
      </c>
      <c r="AK1222" t="str" cm="1">
        <f t="array" ref="AK1222">_xlfn.IFS(V1222=1,"Low",V1222=2,"Medium",V1222=3,"High",V1222=4,"Very High")</f>
        <v>High</v>
      </c>
      <c r="AL1222" t="str" cm="1">
        <f t="array" ref="AL1222">_xlfn.IFS(Z1222=1,"Bad",Z1222=2,"Good",Z1222=3,"Better",Z1222=4,"Best")</f>
        <v>Good</v>
      </c>
      <c r="AM1222" t="str" cm="1">
        <f t="array" ref="AM1222">_xlfn.IFS(W1222=0,"No_stock",W1222=1,"Low",W1222=2,"Medium",W1222=3,"High")</f>
        <v>No_stock</v>
      </c>
      <c r="AN1222" t="str">
        <f t="shared" si="19"/>
        <v>Near</v>
      </c>
    </row>
    <row r="1223" spans="1:40" x14ac:dyDescent="0.45">
      <c r="A1223">
        <v>45</v>
      </c>
      <c r="B1223" t="s">
        <v>37</v>
      </c>
      <c r="C1223" t="s">
        <v>49</v>
      </c>
      <c r="D1223">
        <v>1238</v>
      </c>
      <c r="E1223" t="s">
        <v>39</v>
      </c>
      <c r="F1223">
        <v>1</v>
      </c>
      <c r="G1223">
        <v>1</v>
      </c>
      <c r="H1223" t="s">
        <v>33</v>
      </c>
      <c r="I1223">
        <v>1712</v>
      </c>
      <c r="J1223">
        <v>3</v>
      </c>
      <c r="K1223" t="s">
        <v>40</v>
      </c>
      <c r="L1223">
        <v>2</v>
      </c>
      <c r="M1223">
        <v>3</v>
      </c>
      <c r="N1223" t="s">
        <v>48</v>
      </c>
      <c r="O1223">
        <v>3</v>
      </c>
      <c r="P1223" t="s">
        <v>42</v>
      </c>
      <c r="Q1223">
        <v>10748</v>
      </c>
      <c r="R1223">
        <v>3</v>
      </c>
      <c r="S1223" t="s">
        <v>37</v>
      </c>
      <c r="T1223">
        <v>23</v>
      </c>
      <c r="U1223">
        <v>4</v>
      </c>
      <c r="V1223">
        <v>4</v>
      </c>
      <c r="W1223">
        <v>1</v>
      </c>
      <c r="X1223">
        <v>25</v>
      </c>
      <c r="Y1223">
        <v>3</v>
      </c>
      <c r="Z1223">
        <v>2</v>
      </c>
      <c r="AA1223">
        <v>23</v>
      </c>
      <c r="AB1223">
        <v>15</v>
      </c>
      <c r="AC1223">
        <v>14</v>
      </c>
      <c r="AD1223">
        <v>4</v>
      </c>
      <c r="AE1223" t="str" cm="1">
        <f t="array" ref="AE1223">_xlfn.IFS(G1223=1,"Before College",G1223=2,"College",G1223=3,"Bachelor",G1223=4,"Master",G1223=5,"Doctor")</f>
        <v>Before College</v>
      </c>
      <c r="AF1223" t="str" cm="1">
        <f t="array" ref="AF1223">_xlfn.IFS(J1223=1,"Low",J1223=2,"Medium",J1223=3,"High",J1223=4,"Very High")</f>
        <v>High</v>
      </c>
      <c r="AG1223" t="str" cm="1">
        <f t="array" ref="AG1223">_xlfn.IFS(L1223=1,"Low",L1223=2,"Medium",L1223=3,"High",L1223=4,"Very High")</f>
        <v>Medium</v>
      </c>
      <c r="AH1223" t="str" cm="1">
        <f t="array" ref="AH1223">_xlfn.IFS(M1223=1,"Junior employee",M1223=2,"Mid-level",M1223=3,"Senior",M1223=4,"Manager",M1223=5,"Executive")</f>
        <v>Senior</v>
      </c>
      <c r="AI1223" t="str" cm="1">
        <f t="array" ref="AI1223">_xlfn.IFS(O1223=1,"Low",O1223=2,"Medium",O1223=3,"High",O1223=4,"Very High")</f>
        <v>High</v>
      </c>
      <c r="AJ1223" t="str" cm="1">
        <f t="array" ref="AJ1223">_xlfn.IFS(U1223=1,"Low",U1223=2,"Good",U1223=3,"Excellent",U1223=4,"Outstanding")</f>
        <v>Outstanding</v>
      </c>
      <c r="AK1223" t="str" cm="1">
        <f t="array" ref="AK1223">_xlfn.IFS(V1223=1,"Low",V1223=2,"Medium",V1223=3,"High",V1223=4,"Very High")</f>
        <v>Very High</v>
      </c>
      <c r="AL1223" t="str" cm="1">
        <f t="array" ref="AL1223">_xlfn.IFS(Z1223=1,"Bad",Z1223=2,"Good",Z1223=3,"Better",Z1223=4,"Best")</f>
        <v>Good</v>
      </c>
      <c r="AM1223" t="str" cm="1">
        <f t="array" ref="AM1223">_xlfn.IFS(W1223=0,"No_stock",W1223=1,"Low",W1223=2,"Medium",W1223=3,"High")</f>
        <v>Low</v>
      </c>
      <c r="AN1223" t="str">
        <f t="shared" si="19"/>
        <v>Near</v>
      </c>
    </row>
    <row r="1224" spans="1:40" x14ac:dyDescent="0.45">
      <c r="A1224">
        <v>24</v>
      </c>
      <c r="B1224" t="s">
        <v>30</v>
      </c>
      <c r="C1224" t="s">
        <v>31</v>
      </c>
      <c r="D1224">
        <v>240</v>
      </c>
      <c r="E1224" t="s">
        <v>55</v>
      </c>
      <c r="F1224">
        <v>22</v>
      </c>
      <c r="G1224">
        <v>1</v>
      </c>
      <c r="H1224" t="s">
        <v>55</v>
      </c>
      <c r="I1224">
        <v>1714</v>
      </c>
      <c r="J1224">
        <v>4</v>
      </c>
      <c r="K1224" t="s">
        <v>40</v>
      </c>
      <c r="L1224">
        <v>1</v>
      </c>
      <c r="M1224">
        <v>1</v>
      </c>
      <c r="N1224" t="s">
        <v>55</v>
      </c>
      <c r="O1224">
        <v>3</v>
      </c>
      <c r="P1224" t="s">
        <v>42</v>
      </c>
      <c r="Q1224">
        <v>1555</v>
      </c>
      <c r="R1224">
        <v>1</v>
      </c>
      <c r="S1224" t="s">
        <v>37</v>
      </c>
      <c r="T1224">
        <v>11</v>
      </c>
      <c r="U1224">
        <v>3</v>
      </c>
      <c r="V1224">
        <v>3</v>
      </c>
      <c r="W1224">
        <v>1</v>
      </c>
      <c r="X1224">
        <v>1</v>
      </c>
      <c r="Y1224">
        <v>2</v>
      </c>
      <c r="Z1224">
        <v>3</v>
      </c>
      <c r="AA1224">
        <v>1</v>
      </c>
      <c r="AB1224">
        <v>0</v>
      </c>
      <c r="AC1224">
        <v>0</v>
      </c>
      <c r="AD1224">
        <v>0</v>
      </c>
      <c r="AE1224" t="str" cm="1">
        <f t="array" ref="AE1224">_xlfn.IFS(G1224=1,"Before College",G1224=2,"College",G1224=3,"Bachelor",G1224=4,"Master",G1224=5,"Doctor")</f>
        <v>Before College</v>
      </c>
      <c r="AF1224" t="str" cm="1">
        <f t="array" ref="AF1224">_xlfn.IFS(J1224=1,"Low",J1224=2,"Medium",J1224=3,"High",J1224=4,"Very High")</f>
        <v>Very High</v>
      </c>
      <c r="AG1224" t="str" cm="1">
        <f t="array" ref="AG1224">_xlfn.IFS(L1224=1,"Low",L1224=2,"Medium",L1224=3,"High",L1224=4,"Very High")</f>
        <v>Low</v>
      </c>
      <c r="AH1224" t="str" cm="1">
        <f t="array" ref="AH1224">_xlfn.IFS(M1224=1,"Junior employee",M1224=2,"Mid-level",M1224=3,"Senior",M1224=4,"Manager",M1224=5,"Executive")</f>
        <v>Junior employee</v>
      </c>
      <c r="AI1224" t="str" cm="1">
        <f t="array" ref="AI1224">_xlfn.IFS(O1224=1,"Low",O1224=2,"Medium",O1224=3,"High",O1224=4,"Very High")</f>
        <v>High</v>
      </c>
      <c r="AJ1224" t="str" cm="1">
        <f t="array" ref="AJ1224">_xlfn.IFS(U1224=1,"Low",U1224=2,"Good",U1224=3,"Excellent",U1224=4,"Outstanding")</f>
        <v>Excellent</v>
      </c>
      <c r="AK1224" t="str" cm="1">
        <f t="array" ref="AK1224">_xlfn.IFS(V1224=1,"Low",V1224=2,"Medium",V1224=3,"High",V1224=4,"Very High")</f>
        <v>High</v>
      </c>
      <c r="AL1224" t="str" cm="1">
        <f t="array" ref="AL1224">_xlfn.IFS(Z1224=1,"Bad",Z1224=2,"Good",Z1224=3,"Better",Z1224=4,"Best")</f>
        <v>Better</v>
      </c>
      <c r="AM1224" t="str" cm="1">
        <f t="array" ref="AM1224">_xlfn.IFS(W1224=0,"No_stock",W1224=1,"Low",W1224=2,"Medium",W1224=3,"High")</f>
        <v>Low</v>
      </c>
      <c r="AN1224" t="str">
        <f t="shared" si="19"/>
        <v>Far</v>
      </c>
    </row>
    <row r="1225" spans="1:40" x14ac:dyDescent="0.45">
      <c r="A1225">
        <v>47</v>
      </c>
      <c r="B1225" t="s">
        <v>30</v>
      </c>
      <c r="C1225" t="s">
        <v>38</v>
      </c>
      <c r="D1225">
        <v>1093</v>
      </c>
      <c r="E1225" t="s">
        <v>32</v>
      </c>
      <c r="F1225">
        <v>9</v>
      </c>
      <c r="G1225">
        <v>3</v>
      </c>
      <c r="H1225" t="s">
        <v>33</v>
      </c>
      <c r="I1225">
        <v>1716</v>
      </c>
      <c r="J1225">
        <v>3</v>
      </c>
      <c r="K1225" t="s">
        <v>40</v>
      </c>
      <c r="L1225">
        <v>1</v>
      </c>
      <c r="M1225">
        <v>4</v>
      </c>
      <c r="N1225" t="s">
        <v>35</v>
      </c>
      <c r="O1225">
        <v>3</v>
      </c>
      <c r="P1225" t="s">
        <v>42</v>
      </c>
      <c r="Q1225">
        <v>12936</v>
      </c>
      <c r="R1225">
        <v>7</v>
      </c>
      <c r="S1225" t="s">
        <v>37</v>
      </c>
      <c r="T1225">
        <v>11</v>
      </c>
      <c r="U1225">
        <v>3</v>
      </c>
      <c r="V1225">
        <v>3</v>
      </c>
      <c r="W1225">
        <v>0</v>
      </c>
      <c r="X1225">
        <v>25</v>
      </c>
      <c r="Y1225">
        <v>3</v>
      </c>
      <c r="Z1225">
        <v>1</v>
      </c>
      <c r="AA1225">
        <v>23</v>
      </c>
      <c r="AB1225">
        <v>5</v>
      </c>
      <c r="AC1225">
        <v>14</v>
      </c>
      <c r="AD1225">
        <v>10</v>
      </c>
      <c r="AE1225" t="str" cm="1">
        <f t="array" ref="AE1225">_xlfn.IFS(G1225=1,"Before College",G1225=2,"College",G1225=3,"Bachelor",G1225=4,"Master",G1225=5,"Doctor")</f>
        <v>Bachelor</v>
      </c>
      <c r="AF1225" t="str" cm="1">
        <f t="array" ref="AF1225">_xlfn.IFS(J1225=1,"Low",J1225=2,"Medium",J1225=3,"High",J1225=4,"Very High")</f>
        <v>High</v>
      </c>
      <c r="AG1225" t="str" cm="1">
        <f t="array" ref="AG1225">_xlfn.IFS(L1225=1,"Low",L1225=2,"Medium",L1225=3,"High",L1225=4,"Very High")</f>
        <v>Low</v>
      </c>
      <c r="AH1225" t="str" cm="1">
        <f t="array" ref="AH1225">_xlfn.IFS(M1225=1,"Junior employee",M1225=2,"Mid-level",M1225=3,"Senior",M1225=4,"Manager",M1225=5,"Executive")</f>
        <v>Manager</v>
      </c>
      <c r="AI1225" t="str" cm="1">
        <f t="array" ref="AI1225">_xlfn.IFS(O1225=1,"Low",O1225=2,"Medium",O1225=3,"High",O1225=4,"Very High")</f>
        <v>High</v>
      </c>
      <c r="AJ1225" t="str" cm="1">
        <f t="array" ref="AJ1225">_xlfn.IFS(U1225=1,"Low",U1225=2,"Good",U1225=3,"Excellent",U1225=4,"Outstanding")</f>
        <v>Excellent</v>
      </c>
      <c r="AK1225" t="str" cm="1">
        <f t="array" ref="AK1225">_xlfn.IFS(V1225=1,"Low",V1225=2,"Medium",V1225=3,"High",V1225=4,"Very High")</f>
        <v>High</v>
      </c>
      <c r="AL1225" t="str" cm="1">
        <f t="array" ref="AL1225">_xlfn.IFS(Z1225=1,"Bad",Z1225=2,"Good",Z1225=3,"Better",Z1225=4,"Best")</f>
        <v>Bad</v>
      </c>
      <c r="AM1225" t="str" cm="1">
        <f t="array" ref="AM1225">_xlfn.IFS(W1225=0,"No_stock",W1225=1,"Low",W1225=2,"Medium",W1225=3,"High")</f>
        <v>No_stock</v>
      </c>
      <c r="AN1225" t="str">
        <f t="shared" si="19"/>
        <v>Medium</v>
      </c>
    </row>
    <row r="1226" spans="1:40" x14ac:dyDescent="0.45">
      <c r="A1226">
        <v>26</v>
      </c>
      <c r="B1226" t="s">
        <v>37</v>
      </c>
      <c r="C1226" t="s">
        <v>31</v>
      </c>
      <c r="D1226">
        <v>390</v>
      </c>
      <c r="E1226" t="s">
        <v>39</v>
      </c>
      <c r="F1226">
        <v>17</v>
      </c>
      <c r="G1226">
        <v>4</v>
      </c>
      <c r="H1226" t="s">
        <v>45</v>
      </c>
      <c r="I1226">
        <v>1718</v>
      </c>
      <c r="J1226">
        <v>4</v>
      </c>
      <c r="K1226" t="s">
        <v>40</v>
      </c>
      <c r="L1226">
        <v>1</v>
      </c>
      <c r="M1226">
        <v>1</v>
      </c>
      <c r="N1226" t="s">
        <v>44</v>
      </c>
      <c r="O1226">
        <v>3</v>
      </c>
      <c r="P1226" t="s">
        <v>42</v>
      </c>
      <c r="Q1226">
        <v>2305</v>
      </c>
      <c r="R1226">
        <v>1</v>
      </c>
      <c r="S1226" t="s">
        <v>37</v>
      </c>
      <c r="T1226">
        <v>15</v>
      </c>
      <c r="U1226">
        <v>3</v>
      </c>
      <c r="V1226">
        <v>3</v>
      </c>
      <c r="W1226">
        <v>3</v>
      </c>
      <c r="X1226">
        <v>3</v>
      </c>
      <c r="Y1226">
        <v>3</v>
      </c>
      <c r="Z1226">
        <v>4</v>
      </c>
      <c r="AA1226">
        <v>3</v>
      </c>
      <c r="AB1226">
        <v>2</v>
      </c>
      <c r="AC1226">
        <v>0</v>
      </c>
      <c r="AD1226">
        <v>2</v>
      </c>
      <c r="AE1226" t="str" cm="1">
        <f t="array" ref="AE1226">_xlfn.IFS(G1226=1,"Before College",G1226=2,"College",G1226=3,"Bachelor",G1226=4,"Master",G1226=5,"Doctor")</f>
        <v>Master</v>
      </c>
      <c r="AF1226" t="str" cm="1">
        <f t="array" ref="AF1226">_xlfn.IFS(J1226=1,"Low",J1226=2,"Medium",J1226=3,"High",J1226=4,"Very High")</f>
        <v>Very High</v>
      </c>
      <c r="AG1226" t="str" cm="1">
        <f t="array" ref="AG1226">_xlfn.IFS(L1226=1,"Low",L1226=2,"Medium",L1226=3,"High",L1226=4,"Very High")</f>
        <v>Low</v>
      </c>
      <c r="AH1226" t="str" cm="1">
        <f t="array" ref="AH1226">_xlfn.IFS(M1226=1,"Junior employee",M1226=2,"Mid-level",M1226=3,"Senior",M1226=4,"Manager",M1226=5,"Executive")</f>
        <v>Junior employee</v>
      </c>
      <c r="AI1226" t="str" cm="1">
        <f t="array" ref="AI1226">_xlfn.IFS(O1226=1,"Low",O1226=2,"Medium",O1226=3,"High",O1226=4,"Very High")</f>
        <v>High</v>
      </c>
      <c r="AJ1226" t="str" cm="1">
        <f t="array" ref="AJ1226">_xlfn.IFS(U1226=1,"Low",U1226=2,"Good",U1226=3,"Excellent",U1226=4,"Outstanding")</f>
        <v>Excellent</v>
      </c>
      <c r="AK1226" t="str" cm="1">
        <f t="array" ref="AK1226">_xlfn.IFS(V1226=1,"Low",V1226=2,"Medium",V1226=3,"High",V1226=4,"Very High")</f>
        <v>High</v>
      </c>
      <c r="AL1226" t="str" cm="1">
        <f t="array" ref="AL1226">_xlfn.IFS(Z1226=1,"Bad",Z1226=2,"Good",Z1226=3,"Better",Z1226=4,"Best")</f>
        <v>Best</v>
      </c>
      <c r="AM1226" t="str" cm="1">
        <f t="array" ref="AM1226">_xlfn.IFS(W1226=0,"No_stock",W1226=1,"Low",W1226=2,"Medium",W1226=3,"High")</f>
        <v>High</v>
      </c>
      <c r="AN1226" t="str">
        <f t="shared" si="19"/>
        <v>Far</v>
      </c>
    </row>
    <row r="1227" spans="1:40" x14ac:dyDescent="0.45">
      <c r="A1227">
        <v>45</v>
      </c>
      <c r="B1227" t="s">
        <v>37</v>
      </c>
      <c r="C1227" t="s">
        <v>31</v>
      </c>
      <c r="D1227">
        <v>1005</v>
      </c>
      <c r="E1227" t="s">
        <v>39</v>
      </c>
      <c r="F1227">
        <v>28</v>
      </c>
      <c r="G1227">
        <v>2</v>
      </c>
      <c r="H1227" t="s">
        <v>54</v>
      </c>
      <c r="I1227">
        <v>1719</v>
      </c>
      <c r="J1227">
        <v>4</v>
      </c>
      <c r="K1227" t="s">
        <v>34</v>
      </c>
      <c r="L1227">
        <v>2</v>
      </c>
      <c r="M1227">
        <v>4</v>
      </c>
      <c r="N1227" t="s">
        <v>52</v>
      </c>
      <c r="O1227">
        <v>2</v>
      </c>
      <c r="P1227" t="s">
        <v>36</v>
      </c>
      <c r="Q1227">
        <v>16704</v>
      </c>
      <c r="R1227">
        <v>1</v>
      </c>
      <c r="S1227" t="s">
        <v>37</v>
      </c>
      <c r="T1227">
        <v>11</v>
      </c>
      <c r="U1227">
        <v>3</v>
      </c>
      <c r="V1227">
        <v>3</v>
      </c>
      <c r="W1227">
        <v>0</v>
      </c>
      <c r="X1227">
        <v>21</v>
      </c>
      <c r="Y1227">
        <v>2</v>
      </c>
      <c r="Z1227">
        <v>3</v>
      </c>
      <c r="AA1227">
        <v>21</v>
      </c>
      <c r="AB1227">
        <v>6</v>
      </c>
      <c r="AC1227">
        <v>8</v>
      </c>
      <c r="AD1227">
        <v>6</v>
      </c>
      <c r="AE1227" t="str" cm="1">
        <f t="array" ref="AE1227">_xlfn.IFS(G1227=1,"Before College",G1227=2,"College",G1227=3,"Bachelor",G1227=4,"Master",G1227=5,"Doctor")</f>
        <v>College</v>
      </c>
      <c r="AF1227" t="str" cm="1">
        <f t="array" ref="AF1227">_xlfn.IFS(J1227=1,"Low",J1227=2,"Medium",J1227=3,"High",J1227=4,"Very High")</f>
        <v>Very High</v>
      </c>
      <c r="AG1227" t="str" cm="1">
        <f t="array" ref="AG1227">_xlfn.IFS(L1227=1,"Low",L1227=2,"Medium",L1227=3,"High",L1227=4,"Very High")</f>
        <v>Medium</v>
      </c>
      <c r="AH1227" t="str" cm="1">
        <f t="array" ref="AH1227">_xlfn.IFS(M1227=1,"Junior employee",M1227=2,"Mid-level",M1227=3,"Senior",M1227=4,"Manager",M1227=5,"Executive")</f>
        <v>Manager</v>
      </c>
      <c r="AI1227" t="str" cm="1">
        <f t="array" ref="AI1227">_xlfn.IFS(O1227=1,"Low",O1227=2,"Medium",O1227=3,"High",O1227=4,"Very High")</f>
        <v>Medium</v>
      </c>
      <c r="AJ1227" t="str" cm="1">
        <f t="array" ref="AJ1227">_xlfn.IFS(U1227=1,"Low",U1227=2,"Good",U1227=3,"Excellent",U1227=4,"Outstanding")</f>
        <v>Excellent</v>
      </c>
      <c r="AK1227" t="str" cm="1">
        <f t="array" ref="AK1227">_xlfn.IFS(V1227=1,"Low",V1227=2,"Medium",V1227=3,"High",V1227=4,"Very High")</f>
        <v>High</v>
      </c>
      <c r="AL1227" t="str" cm="1">
        <f t="array" ref="AL1227">_xlfn.IFS(Z1227=1,"Bad",Z1227=2,"Good",Z1227=3,"Better",Z1227=4,"Best")</f>
        <v>Better</v>
      </c>
      <c r="AM1227" t="str" cm="1">
        <f t="array" ref="AM1227">_xlfn.IFS(W1227=0,"No_stock",W1227=1,"Low",W1227=2,"Medium",W1227=3,"High")</f>
        <v>No_stock</v>
      </c>
      <c r="AN1227" t="str">
        <f t="shared" si="19"/>
        <v>Far</v>
      </c>
    </row>
    <row r="1228" spans="1:40" x14ac:dyDescent="0.45">
      <c r="A1228">
        <v>32</v>
      </c>
      <c r="B1228" t="s">
        <v>37</v>
      </c>
      <c r="C1228" t="s">
        <v>38</v>
      </c>
      <c r="D1228">
        <v>585</v>
      </c>
      <c r="E1228" t="s">
        <v>39</v>
      </c>
      <c r="F1228">
        <v>10</v>
      </c>
      <c r="G1228">
        <v>3</v>
      </c>
      <c r="H1228" t="s">
        <v>33</v>
      </c>
      <c r="I1228">
        <v>1720</v>
      </c>
      <c r="J1228">
        <v>1</v>
      </c>
      <c r="K1228" t="s">
        <v>40</v>
      </c>
      <c r="L1228">
        <v>3</v>
      </c>
      <c r="M1228">
        <v>1</v>
      </c>
      <c r="N1228" t="s">
        <v>41</v>
      </c>
      <c r="O1228">
        <v>3</v>
      </c>
      <c r="P1228" t="s">
        <v>42</v>
      </c>
      <c r="Q1228">
        <v>3433</v>
      </c>
      <c r="R1228">
        <v>6</v>
      </c>
      <c r="S1228" t="s">
        <v>37</v>
      </c>
      <c r="T1228">
        <v>13</v>
      </c>
      <c r="U1228">
        <v>3</v>
      </c>
      <c r="V1228">
        <v>1</v>
      </c>
      <c r="W1228">
        <v>1</v>
      </c>
      <c r="X1228">
        <v>10</v>
      </c>
      <c r="Y1228">
        <v>3</v>
      </c>
      <c r="Z1228">
        <v>2</v>
      </c>
      <c r="AA1228">
        <v>5</v>
      </c>
      <c r="AB1228">
        <v>2</v>
      </c>
      <c r="AC1228">
        <v>1</v>
      </c>
      <c r="AD1228">
        <v>3</v>
      </c>
      <c r="AE1228" t="str" cm="1">
        <f t="array" ref="AE1228">_xlfn.IFS(G1228=1,"Before College",G1228=2,"College",G1228=3,"Bachelor",G1228=4,"Master",G1228=5,"Doctor")</f>
        <v>Bachelor</v>
      </c>
      <c r="AF1228" t="str" cm="1">
        <f t="array" ref="AF1228">_xlfn.IFS(J1228=1,"Low",J1228=2,"Medium",J1228=3,"High",J1228=4,"Very High")</f>
        <v>Low</v>
      </c>
      <c r="AG1228" t="str" cm="1">
        <f t="array" ref="AG1228">_xlfn.IFS(L1228=1,"Low",L1228=2,"Medium",L1228=3,"High",L1228=4,"Very High")</f>
        <v>High</v>
      </c>
      <c r="AH1228" t="str" cm="1">
        <f t="array" ref="AH1228">_xlfn.IFS(M1228=1,"Junior employee",M1228=2,"Mid-level",M1228=3,"Senior",M1228=4,"Manager",M1228=5,"Executive")</f>
        <v>Junior employee</v>
      </c>
      <c r="AI1228" t="str" cm="1">
        <f t="array" ref="AI1228">_xlfn.IFS(O1228=1,"Low",O1228=2,"Medium",O1228=3,"High",O1228=4,"Very High")</f>
        <v>High</v>
      </c>
      <c r="AJ1228" t="str" cm="1">
        <f t="array" ref="AJ1228">_xlfn.IFS(U1228=1,"Low",U1228=2,"Good",U1228=3,"Excellent",U1228=4,"Outstanding")</f>
        <v>Excellent</v>
      </c>
      <c r="AK1228" t="str" cm="1">
        <f t="array" ref="AK1228">_xlfn.IFS(V1228=1,"Low",V1228=2,"Medium",V1228=3,"High",V1228=4,"Very High")</f>
        <v>Low</v>
      </c>
      <c r="AL1228" t="str" cm="1">
        <f t="array" ref="AL1228">_xlfn.IFS(Z1228=1,"Bad",Z1228=2,"Good",Z1228=3,"Better",Z1228=4,"Best")</f>
        <v>Good</v>
      </c>
      <c r="AM1228" t="str" cm="1">
        <f t="array" ref="AM1228">_xlfn.IFS(W1228=0,"No_stock",W1228=1,"Low",W1228=2,"Medium",W1228=3,"High")</f>
        <v>Low</v>
      </c>
      <c r="AN1228" t="str">
        <f t="shared" si="19"/>
        <v>Medium</v>
      </c>
    </row>
    <row r="1229" spans="1:40" x14ac:dyDescent="0.45">
      <c r="A1229">
        <v>31</v>
      </c>
      <c r="B1229" t="s">
        <v>37</v>
      </c>
      <c r="C1229" t="s">
        <v>31</v>
      </c>
      <c r="D1229">
        <v>741</v>
      </c>
      <c r="E1229" t="s">
        <v>39</v>
      </c>
      <c r="F1229">
        <v>2</v>
      </c>
      <c r="G1229">
        <v>4</v>
      </c>
      <c r="H1229" t="s">
        <v>33</v>
      </c>
      <c r="I1229">
        <v>1721</v>
      </c>
      <c r="J1229">
        <v>2</v>
      </c>
      <c r="K1229" t="s">
        <v>40</v>
      </c>
      <c r="L1229">
        <v>3</v>
      </c>
      <c r="M1229">
        <v>1</v>
      </c>
      <c r="N1229" t="s">
        <v>44</v>
      </c>
      <c r="O1229">
        <v>3</v>
      </c>
      <c r="P1229" t="s">
        <v>42</v>
      </c>
      <c r="Q1229">
        <v>3477</v>
      </c>
      <c r="R1229">
        <v>1</v>
      </c>
      <c r="S1229" t="s">
        <v>37</v>
      </c>
      <c r="T1229">
        <v>14</v>
      </c>
      <c r="U1229">
        <v>3</v>
      </c>
      <c r="V1229">
        <v>4</v>
      </c>
      <c r="W1229">
        <v>1</v>
      </c>
      <c r="X1229">
        <v>6</v>
      </c>
      <c r="Y1229">
        <v>2</v>
      </c>
      <c r="Z1229">
        <v>4</v>
      </c>
      <c r="AA1229">
        <v>5</v>
      </c>
      <c r="AB1229">
        <v>2</v>
      </c>
      <c r="AC1229">
        <v>0</v>
      </c>
      <c r="AD1229">
        <v>3</v>
      </c>
      <c r="AE1229" t="str" cm="1">
        <f t="array" ref="AE1229">_xlfn.IFS(G1229=1,"Before College",G1229=2,"College",G1229=3,"Bachelor",G1229=4,"Master",G1229=5,"Doctor")</f>
        <v>Master</v>
      </c>
      <c r="AF1229" t="str" cm="1">
        <f t="array" ref="AF1229">_xlfn.IFS(J1229=1,"Low",J1229=2,"Medium",J1229=3,"High",J1229=4,"Very High")</f>
        <v>Medium</v>
      </c>
      <c r="AG1229" t="str" cm="1">
        <f t="array" ref="AG1229">_xlfn.IFS(L1229=1,"Low",L1229=2,"Medium",L1229=3,"High",L1229=4,"Very High")</f>
        <v>High</v>
      </c>
      <c r="AH1229" t="str" cm="1">
        <f t="array" ref="AH1229">_xlfn.IFS(M1229=1,"Junior employee",M1229=2,"Mid-level",M1229=3,"Senior",M1229=4,"Manager",M1229=5,"Executive")</f>
        <v>Junior employee</v>
      </c>
      <c r="AI1229" t="str" cm="1">
        <f t="array" ref="AI1229">_xlfn.IFS(O1229=1,"Low",O1229=2,"Medium",O1229=3,"High",O1229=4,"Very High")</f>
        <v>High</v>
      </c>
      <c r="AJ1229" t="str" cm="1">
        <f t="array" ref="AJ1229">_xlfn.IFS(U1229=1,"Low",U1229=2,"Good",U1229=3,"Excellent",U1229=4,"Outstanding")</f>
        <v>Excellent</v>
      </c>
      <c r="AK1229" t="str" cm="1">
        <f t="array" ref="AK1229">_xlfn.IFS(V1229=1,"Low",V1229=2,"Medium",V1229=3,"High",V1229=4,"Very High")</f>
        <v>Very High</v>
      </c>
      <c r="AL1229" t="str" cm="1">
        <f t="array" ref="AL1229">_xlfn.IFS(Z1229=1,"Bad",Z1229=2,"Good",Z1229=3,"Better",Z1229=4,"Best")</f>
        <v>Best</v>
      </c>
      <c r="AM1229" t="str" cm="1">
        <f t="array" ref="AM1229">_xlfn.IFS(W1229=0,"No_stock",W1229=1,"Low",W1229=2,"Medium",W1229=3,"High")</f>
        <v>Low</v>
      </c>
      <c r="AN1229" t="str">
        <f t="shared" si="19"/>
        <v>Near</v>
      </c>
    </row>
    <row r="1230" spans="1:40" x14ac:dyDescent="0.45">
      <c r="A1230">
        <v>41</v>
      </c>
      <c r="B1230" t="s">
        <v>37</v>
      </c>
      <c r="C1230" t="s">
        <v>49</v>
      </c>
      <c r="D1230">
        <v>552</v>
      </c>
      <c r="E1230" t="s">
        <v>55</v>
      </c>
      <c r="F1230">
        <v>4</v>
      </c>
      <c r="G1230">
        <v>3</v>
      </c>
      <c r="H1230" t="s">
        <v>55</v>
      </c>
      <c r="I1230">
        <v>1722</v>
      </c>
      <c r="J1230">
        <v>3</v>
      </c>
      <c r="K1230" t="s">
        <v>40</v>
      </c>
      <c r="L1230">
        <v>1</v>
      </c>
      <c r="M1230">
        <v>2</v>
      </c>
      <c r="N1230" t="s">
        <v>55</v>
      </c>
      <c r="O1230">
        <v>2</v>
      </c>
      <c r="P1230" t="s">
        <v>42</v>
      </c>
      <c r="Q1230">
        <v>6430</v>
      </c>
      <c r="R1230">
        <v>6</v>
      </c>
      <c r="S1230" t="s">
        <v>37</v>
      </c>
      <c r="T1230">
        <v>19</v>
      </c>
      <c r="U1230">
        <v>3</v>
      </c>
      <c r="V1230">
        <v>2</v>
      </c>
      <c r="W1230">
        <v>1</v>
      </c>
      <c r="X1230">
        <v>10</v>
      </c>
      <c r="Y1230">
        <v>4</v>
      </c>
      <c r="Z1230">
        <v>3</v>
      </c>
      <c r="AA1230">
        <v>3</v>
      </c>
      <c r="AB1230">
        <v>2</v>
      </c>
      <c r="AC1230">
        <v>1</v>
      </c>
      <c r="AD1230">
        <v>2</v>
      </c>
      <c r="AE1230" t="str" cm="1">
        <f t="array" ref="AE1230">_xlfn.IFS(G1230=1,"Before College",G1230=2,"College",G1230=3,"Bachelor",G1230=4,"Master",G1230=5,"Doctor")</f>
        <v>Bachelor</v>
      </c>
      <c r="AF1230" t="str" cm="1">
        <f t="array" ref="AF1230">_xlfn.IFS(J1230=1,"Low",J1230=2,"Medium",J1230=3,"High",J1230=4,"Very High")</f>
        <v>High</v>
      </c>
      <c r="AG1230" t="str" cm="1">
        <f t="array" ref="AG1230">_xlfn.IFS(L1230=1,"Low",L1230=2,"Medium",L1230=3,"High",L1230=4,"Very High")</f>
        <v>Low</v>
      </c>
      <c r="AH1230" t="str" cm="1">
        <f t="array" ref="AH1230">_xlfn.IFS(M1230=1,"Junior employee",M1230=2,"Mid-level",M1230=3,"Senior",M1230=4,"Manager",M1230=5,"Executive")</f>
        <v>Mid-level</v>
      </c>
      <c r="AI1230" t="str" cm="1">
        <f t="array" ref="AI1230">_xlfn.IFS(O1230=1,"Low",O1230=2,"Medium",O1230=3,"High",O1230=4,"Very High")</f>
        <v>Medium</v>
      </c>
      <c r="AJ1230" t="str" cm="1">
        <f t="array" ref="AJ1230">_xlfn.IFS(U1230=1,"Low",U1230=2,"Good",U1230=3,"Excellent",U1230=4,"Outstanding")</f>
        <v>Excellent</v>
      </c>
      <c r="AK1230" t="str" cm="1">
        <f t="array" ref="AK1230">_xlfn.IFS(V1230=1,"Low",V1230=2,"Medium",V1230=3,"High",V1230=4,"Very High")</f>
        <v>Medium</v>
      </c>
      <c r="AL1230" t="str" cm="1">
        <f t="array" ref="AL1230">_xlfn.IFS(Z1230=1,"Bad",Z1230=2,"Good",Z1230=3,"Better",Z1230=4,"Best")</f>
        <v>Better</v>
      </c>
      <c r="AM1230" t="str" cm="1">
        <f t="array" ref="AM1230">_xlfn.IFS(W1230=0,"No_stock",W1230=1,"Low",W1230=2,"Medium",W1230=3,"High")</f>
        <v>Low</v>
      </c>
      <c r="AN1230" t="str">
        <f t="shared" si="19"/>
        <v>Near</v>
      </c>
    </row>
    <row r="1231" spans="1:40" x14ac:dyDescent="0.45">
      <c r="A1231">
        <v>40</v>
      </c>
      <c r="B1231" t="s">
        <v>37</v>
      </c>
      <c r="C1231" t="s">
        <v>31</v>
      </c>
      <c r="D1231">
        <v>369</v>
      </c>
      <c r="E1231" t="s">
        <v>39</v>
      </c>
      <c r="F1231">
        <v>8</v>
      </c>
      <c r="G1231">
        <v>2</v>
      </c>
      <c r="H1231" t="s">
        <v>33</v>
      </c>
      <c r="I1231">
        <v>1724</v>
      </c>
      <c r="J1231">
        <v>2</v>
      </c>
      <c r="K1231" t="s">
        <v>34</v>
      </c>
      <c r="L1231">
        <v>3</v>
      </c>
      <c r="M1231">
        <v>2</v>
      </c>
      <c r="N1231" t="s">
        <v>47</v>
      </c>
      <c r="O1231">
        <v>1</v>
      </c>
      <c r="P1231" t="s">
        <v>42</v>
      </c>
      <c r="Q1231">
        <v>6516</v>
      </c>
      <c r="R1231">
        <v>2</v>
      </c>
      <c r="S1231" t="s">
        <v>30</v>
      </c>
      <c r="T1231">
        <v>16</v>
      </c>
      <c r="U1231">
        <v>3</v>
      </c>
      <c r="V1231">
        <v>2</v>
      </c>
      <c r="W1231">
        <v>1</v>
      </c>
      <c r="X1231">
        <v>18</v>
      </c>
      <c r="Y1231">
        <v>3</v>
      </c>
      <c r="Z1231">
        <v>3</v>
      </c>
      <c r="AA1231">
        <v>1</v>
      </c>
      <c r="AB1231">
        <v>0</v>
      </c>
      <c r="AC1231">
        <v>0</v>
      </c>
      <c r="AD1231">
        <v>0</v>
      </c>
      <c r="AE1231" t="str" cm="1">
        <f t="array" ref="AE1231">_xlfn.IFS(G1231=1,"Before College",G1231=2,"College",G1231=3,"Bachelor",G1231=4,"Master",G1231=5,"Doctor")</f>
        <v>College</v>
      </c>
      <c r="AF1231" t="str" cm="1">
        <f t="array" ref="AF1231">_xlfn.IFS(J1231=1,"Low",J1231=2,"Medium",J1231=3,"High",J1231=4,"Very High")</f>
        <v>Medium</v>
      </c>
      <c r="AG1231" t="str" cm="1">
        <f t="array" ref="AG1231">_xlfn.IFS(L1231=1,"Low",L1231=2,"Medium",L1231=3,"High",L1231=4,"Very High")</f>
        <v>High</v>
      </c>
      <c r="AH1231" t="str" cm="1">
        <f t="array" ref="AH1231">_xlfn.IFS(M1231=1,"Junior employee",M1231=2,"Mid-level",M1231=3,"Senior",M1231=4,"Manager",M1231=5,"Executive")</f>
        <v>Mid-level</v>
      </c>
      <c r="AI1231" t="str" cm="1">
        <f t="array" ref="AI1231">_xlfn.IFS(O1231=1,"Low",O1231=2,"Medium",O1231=3,"High",O1231=4,"Very High")</f>
        <v>Low</v>
      </c>
      <c r="AJ1231" t="str" cm="1">
        <f t="array" ref="AJ1231">_xlfn.IFS(U1231=1,"Low",U1231=2,"Good",U1231=3,"Excellent",U1231=4,"Outstanding")</f>
        <v>Excellent</v>
      </c>
      <c r="AK1231" t="str" cm="1">
        <f t="array" ref="AK1231">_xlfn.IFS(V1231=1,"Low",V1231=2,"Medium",V1231=3,"High",V1231=4,"Very High")</f>
        <v>Medium</v>
      </c>
      <c r="AL1231" t="str" cm="1">
        <f t="array" ref="AL1231">_xlfn.IFS(Z1231=1,"Bad",Z1231=2,"Good",Z1231=3,"Better",Z1231=4,"Best")</f>
        <v>Better</v>
      </c>
      <c r="AM1231" t="str" cm="1">
        <f t="array" ref="AM1231">_xlfn.IFS(W1231=0,"No_stock",W1231=1,"Low",W1231=2,"Medium",W1231=3,"High")</f>
        <v>Low</v>
      </c>
      <c r="AN1231" t="str">
        <f t="shared" si="19"/>
        <v>Medium</v>
      </c>
    </row>
    <row r="1232" spans="1:40" x14ac:dyDescent="0.45">
      <c r="A1232">
        <v>24</v>
      </c>
      <c r="B1232" t="s">
        <v>37</v>
      </c>
      <c r="C1232" t="s">
        <v>31</v>
      </c>
      <c r="D1232">
        <v>506</v>
      </c>
      <c r="E1232" t="s">
        <v>39</v>
      </c>
      <c r="F1232">
        <v>29</v>
      </c>
      <c r="G1232">
        <v>1</v>
      </c>
      <c r="H1232" t="s">
        <v>45</v>
      </c>
      <c r="I1232">
        <v>1725</v>
      </c>
      <c r="J1232">
        <v>2</v>
      </c>
      <c r="K1232" t="s">
        <v>40</v>
      </c>
      <c r="L1232">
        <v>3</v>
      </c>
      <c r="M1232">
        <v>1</v>
      </c>
      <c r="N1232" t="s">
        <v>44</v>
      </c>
      <c r="O1232">
        <v>1</v>
      </c>
      <c r="P1232" t="s">
        <v>46</v>
      </c>
      <c r="Q1232">
        <v>3907</v>
      </c>
      <c r="R1232">
        <v>1</v>
      </c>
      <c r="S1232" t="s">
        <v>37</v>
      </c>
      <c r="T1232">
        <v>13</v>
      </c>
      <c r="U1232">
        <v>3</v>
      </c>
      <c r="V1232">
        <v>2</v>
      </c>
      <c r="W1232">
        <v>3</v>
      </c>
      <c r="X1232">
        <v>6</v>
      </c>
      <c r="Y1232">
        <v>2</v>
      </c>
      <c r="Z1232">
        <v>4</v>
      </c>
      <c r="AA1232">
        <v>6</v>
      </c>
      <c r="AB1232">
        <v>2</v>
      </c>
      <c r="AC1232">
        <v>1</v>
      </c>
      <c r="AD1232">
        <v>2</v>
      </c>
      <c r="AE1232" t="str" cm="1">
        <f t="array" ref="AE1232">_xlfn.IFS(G1232=1,"Before College",G1232=2,"College",G1232=3,"Bachelor",G1232=4,"Master",G1232=5,"Doctor")</f>
        <v>Before College</v>
      </c>
      <c r="AF1232" t="str" cm="1">
        <f t="array" ref="AF1232">_xlfn.IFS(J1232=1,"Low",J1232=2,"Medium",J1232=3,"High",J1232=4,"Very High")</f>
        <v>Medium</v>
      </c>
      <c r="AG1232" t="str" cm="1">
        <f t="array" ref="AG1232">_xlfn.IFS(L1232=1,"Low",L1232=2,"Medium",L1232=3,"High",L1232=4,"Very High")</f>
        <v>High</v>
      </c>
      <c r="AH1232" t="str" cm="1">
        <f t="array" ref="AH1232">_xlfn.IFS(M1232=1,"Junior employee",M1232=2,"Mid-level",M1232=3,"Senior",M1232=4,"Manager",M1232=5,"Executive")</f>
        <v>Junior employee</v>
      </c>
      <c r="AI1232" t="str" cm="1">
        <f t="array" ref="AI1232">_xlfn.IFS(O1232=1,"Low",O1232=2,"Medium",O1232=3,"High",O1232=4,"Very High")</f>
        <v>Low</v>
      </c>
      <c r="AJ1232" t="str" cm="1">
        <f t="array" ref="AJ1232">_xlfn.IFS(U1232=1,"Low",U1232=2,"Good",U1232=3,"Excellent",U1232=4,"Outstanding")</f>
        <v>Excellent</v>
      </c>
      <c r="AK1232" t="str" cm="1">
        <f t="array" ref="AK1232">_xlfn.IFS(V1232=1,"Low",V1232=2,"Medium",V1232=3,"High",V1232=4,"Very High")</f>
        <v>Medium</v>
      </c>
      <c r="AL1232" t="str" cm="1">
        <f t="array" ref="AL1232">_xlfn.IFS(Z1232=1,"Bad",Z1232=2,"Good",Z1232=3,"Better",Z1232=4,"Best")</f>
        <v>Best</v>
      </c>
      <c r="AM1232" t="str" cm="1">
        <f t="array" ref="AM1232">_xlfn.IFS(W1232=0,"No_stock",W1232=1,"Low",W1232=2,"Medium",W1232=3,"High")</f>
        <v>High</v>
      </c>
      <c r="AN1232" t="str">
        <f t="shared" si="19"/>
        <v>Far</v>
      </c>
    </row>
    <row r="1233" spans="1:40" x14ac:dyDescent="0.45">
      <c r="A1233">
        <v>46</v>
      </c>
      <c r="B1233" t="s">
        <v>37</v>
      </c>
      <c r="C1233" t="s">
        <v>31</v>
      </c>
      <c r="D1233">
        <v>717</v>
      </c>
      <c r="E1233" t="s">
        <v>39</v>
      </c>
      <c r="F1233">
        <v>13</v>
      </c>
      <c r="G1233">
        <v>4</v>
      </c>
      <c r="H1233" t="s">
        <v>33</v>
      </c>
      <c r="I1233">
        <v>1727</v>
      </c>
      <c r="J1233">
        <v>3</v>
      </c>
      <c r="K1233" t="s">
        <v>40</v>
      </c>
      <c r="L1233">
        <v>3</v>
      </c>
      <c r="M1233">
        <v>2</v>
      </c>
      <c r="N1233" t="s">
        <v>48</v>
      </c>
      <c r="O1233">
        <v>2</v>
      </c>
      <c r="P1233" t="s">
        <v>36</v>
      </c>
      <c r="Q1233">
        <v>5562</v>
      </c>
      <c r="R1233">
        <v>6</v>
      </c>
      <c r="S1233" t="s">
        <v>37</v>
      </c>
      <c r="T1233">
        <v>14</v>
      </c>
      <c r="U1233">
        <v>3</v>
      </c>
      <c r="V1233">
        <v>4</v>
      </c>
      <c r="W1233">
        <v>0</v>
      </c>
      <c r="X1233">
        <v>19</v>
      </c>
      <c r="Y1233">
        <v>3</v>
      </c>
      <c r="Z1233">
        <v>3</v>
      </c>
      <c r="AA1233">
        <v>10</v>
      </c>
      <c r="AB1233">
        <v>7</v>
      </c>
      <c r="AC1233">
        <v>0</v>
      </c>
      <c r="AD1233">
        <v>9</v>
      </c>
      <c r="AE1233" t="str" cm="1">
        <f t="array" ref="AE1233">_xlfn.IFS(G1233=1,"Before College",G1233=2,"College",G1233=3,"Bachelor",G1233=4,"Master",G1233=5,"Doctor")</f>
        <v>Master</v>
      </c>
      <c r="AF1233" t="str" cm="1">
        <f t="array" ref="AF1233">_xlfn.IFS(J1233=1,"Low",J1233=2,"Medium",J1233=3,"High",J1233=4,"Very High")</f>
        <v>High</v>
      </c>
      <c r="AG1233" t="str" cm="1">
        <f t="array" ref="AG1233">_xlfn.IFS(L1233=1,"Low",L1233=2,"Medium",L1233=3,"High",L1233=4,"Very High")</f>
        <v>High</v>
      </c>
      <c r="AH1233" t="str" cm="1">
        <f t="array" ref="AH1233">_xlfn.IFS(M1233=1,"Junior employee",M1233=2,"Mid-level",M1233=3,"Senior",M1233=4,"Manager",M1233=5,"Executive")</f>
        <v>Mid-level</v>
      </c>
      <c r="AI1233" t="str" cm="1">
        <f t="array" ref="AI1233">_xlfn.IFS(O1233=1,"Low",O1233=2,"Medium",O1233=3,"High",O1233=4,"Very High")</f>
        <v>Medium</v>
      </c>
      <c r="AJ1233" t="str" cm="1">
        <f t="array" ref="AJ1233">_xlfn.IFS(U1233=1,"Low",U1233=2,"Good",U1233=3,"Excellent",U1233=4,"Outstanding")</f>
        <v>Excellent</v>
      </c>
      <c r="AK1233" t="str" cm="1">
        <f t="array" ref="AK1233">_xlfn.IFS(V1233=1,"Low",V1233=2,"Medium",V1233=3,"High",V1233=4,"Very High")</f>
        <v>Very High</v>
      </c>
      <c r="AL1233" t="str" cm="1">
        <f t="array" ref="AL1233">_xlfn.IFS(Z1233=1,"Bad",Z1233=2,"Good",Z1233=3,"Better",Z1233=4,"Best")</f>
        <v>Better</v>
      </c>
      <c r="AM1233" t="str" cm="1">
        <f t="array" ref="AM1233">_xlfn.IFS(W1233=0,"No_stock",W1233=1,"Low",W1233=2,"Medium",W1233=3,"High")</f>
        <v>No_stock</v>
      </c>
      <c r="AN1233" t="str">
        <f t="shared" si="19"/>
        <v>Medium</v>
      </c>
    </row>
    <row r="1234" spans="1:40" x14ac:dyDescent="0.45">
      <c r="A1234">
        <v>35</v>
      </c>
      <c r="B1234" t="s">
        <v>37</v>
      </c>
      <c r="C1234" t="s">
        <v>31</v>
      </c>
      <c r="D1234">
        <v>1370</v>
      </c>
      <c r="E1234" t="s">
        <v>39</v>
      </c>
      <c r="F1234">
        <v>27</v>
      </c>
      <c r="G1234">
        <v>4</v>
      </c>
      <c r="H1234" t="s">
        <v>33</v>
      </c>
      <c r="I1234">
        <v>1728</v>
      </c>
      <c r="J1234">
        <v>4</v>
      </c>
      <c r="K1234" t="s">
        <v>40</v>
      </c>
      <c r="L1234">
        <v>3</v>
      </c>
      <c r="M1234">
        <v>2</v>
      </c>
      <c r="N1234" t="s">
        <v>47</v>
      </c>
      <c r="O1234">
        <v>3</v>
      </c>
      <c r="P1234" t="s">
        <v>42</v>
      </c>
      <c r="Q1234">
        <v>6883</v>
      </c>
      <c r="R1234">
        <v>2</v>
      </c>
      <c r="S1234" t="s">
        <v>37</v>
      </c>
      <c r="T1234">
        <v>16</v>
      </c>
      <c r="U1234">
        <v>3</v>
      </c>
      <c r="V1234">
        <v>2</v>
      </c>
      <c r="W1234">
        <v>1</v>
      </c>
      <c r="X1234">
        <v>17</v>
      </c>
      <c r="Y1234">
        <v>3</v>
      </c>
      <c r="Z1234">
        <v>3</v>
      </c>
      <c r="AA1234">
        <v>7</v>
      </c>
      <c r="AB1234">
        <v>7</v>
      </c>
      <c r="AC1234">
        <v>0</v>
      </c>
      <c r="AD1234">
        <v>7</v>
      </c>
      <c r="AE1234" t="str" cm="1">
        <f t="array" ref="AE1234">_xlfn.IFS(G1234=1,"Before College",G1234=2,"College",G1234=3,"Bachelor",G1234=4,"Master",G1234=5,"Doctor")</f>
        <v>Master</v>
      </c>
      <c r="AF1234" t="str" cm="1">
        <f t="array" ref="AF1234">_xlfn.IFS(J1234=1,"Low",J1234=2,"Medium",J1234=3,"High",J1234=4,"Very High")</f>
        <v>Very High</v>
      </c>
      <c r="AG1234" t="str" cm="1">
        <f t="array" ref="AG1234">_xlfn.IFS(L1234=1,"Low",L1234=2,"Medium",L1234=3,"High",L1234=4,"Very High")</f>
        <v>High</v>
      </c>
      <c r="AH1234" t="str" cm="1">
        <f t="array" ref="AH1234">_xlfn.IFS(M1234=1,"Junior employee",M1234=2,"Mid-level",M1234=3,"Senior",M1234=4,"Manager",M1234=5,"Executive")</f>
        <v>Mid-level</v>
      </c>
      <c r="AI1234" t="str" cm="1">
        <f t="array" ref="AI1234">_xlfn.IFS(O1234=1,"Low",O1234=2,"Medium",O1234=3,"High",O1234=4,"Very High")</f>
        <v>High</v>
      </c>
      <c r="AJ1234" t="str" cm="1">
        <f t="array" ref="AJ1234">_xlfn.IFS(U1234=1,"Low",U1234=2,"Good",U1234=3,"Excellent",U1234=4,"Outstanding")</f>
        <v>Excellent</v>
      </c>
      <c r="AK1234" t="str" cm="1">
        <f t="array" ref="AK1234">_xlfn.IFS(V1234=1,"Low",V1234=2,"Medium",V1234=3,"High",V1234=4,"Very High")</f>
        <v>Medium</v>
      </c>
      <c r="AL1234" t="str" cm="1">
        <f t="array" ref="AL1234">_xlfn.IFS(Z1234=1,"Bad",Z1234=2,"Good",Z1234=3,"Better",Z1234=4,"Best")</f>
        <v>Better</v>
      </c>
      <c r="AM1234" t="str" cm="1">
        <f t="array" ref="AM1234">_xlfn.IFS(W1234=0,"No_stock",W1234=1,"Low",W1234=2,"Medium",W1234=3,"High")</f>
        <v>Low</v>
      </c>
      <c r="AN1234" t="str">
        <f t="shared" si="19"/>
        <v>Far</v>
      </c>
    </row>
    <row r="1235" spans="1:40" x14ac:dyDescent="0.45">
      <c r="A1235">
        <v>30</v>
      </c>
      <c r="B1235" t="s">
        <v>37</v>
      </c>
      <c r="C1235" t="s">
        <v>31</v>
      </c>
      <c r="D1235">
        <v>793</v>
      </c>
      <c r="E1235" t="s">
        <v>39</v>
      </c>
      <c r="F1235">
        <v>16</v>
      </c>
      <c r="G1235">
        <v>1</v>
      </c>
      <c r="H1235" t="s">
        <v>33</v>
      </c>
      <c r="I1235">
        <v>1729</v>
      </c>
      <c r="J1235">
        <v>2</v>
      </c>
      <c r="K1235" t="s">
        <v>40</v>
      </c>
      <c r="L1235">
        <v>3</v>
      </c>
      <c r="M1235">
        <v>1</v>
      </c>
      <c r="N1235" t="s">
        <v>41</v>
      </c>
      <c r="O1235">
        <v>4</v>
      </c>
      <c r="P1235" t="s">
        <v>42</v>
      </c>
      <c r="Q1235">
        <v>2862</v>
      </c>
      <c r="R1235">
        <v>1</v>
      </c>
      <c r="S1235" t="s">
        <v>37</v>
      </c>
      <c r="T1235">
        <v>12</v>
      </c>
      <c r="U1235">
        <v>3</v>
      </c>
      <c r="V1235">
        <v>2</v>
      </c>
      <c r="W1235">
        <v>1</v>
      </c>
      <c r="X1235">
        <v>10</v>
      </c>
      <c r="Y1235">
        <v>2</v>
      </c>
      <c r="Z1235">
        <v>2</v>
      </c>
      <c r="AA1235">
        <v>10</v>
      </c>
      <c r="AB1235">
        <v>0</v>
      </c>
      <c r="AC1235">
        <v>0</v>
      </c>
      <c r="AD1235">
        <v>8</v>
      </c>
      <c r="AE1235" t="str" cm="1">
        <f t="array" ref="AE1235">_xlfn.IFS(G1235=1,"Before College",G1235=2,"College",G1235=3,"Bachelor",G1235=4,"Master",G1235=5,"Doctor")</f>
        <v>Before College</v>
      </c>
      <c r="AF1235" t="str" cm="1">
        <f t="array" ref="AF1235">_xlfn.IFS(J1235=1,"Low",J1235=2,"Medium",J1235=3,"High",J1235=4,"Very High")</f>
        <v>Medium</v>
      </c>
      <c r="AG1235" t="str" cm="1">
        <f t="array" ref="AG1235">_xlfn.IFS(L1235=1,"Low",L1235=2,"Medium",L1235=3,"High",L1235=4,"Very High")</f>
        <v>High</v>
      </c>
      <c r="AH1235" t="str" cm="1">
        <f t="array" ref="AH1235">_xlfn.IFS(M1235=1,"Junior employee",M1235=2,"Mid-level",M1235=3,"Senior",M1235=4,"Manager",M1235=5,"Executive")</f>
        <v>Junior employee</v>
      </c>
      <c r="AI1235" t="str" cm="1">
        <f t="array" ref="AI1235">_xlfn.IFS(O1235=1,"Low",O1235=2,"Medium",O1235=3,"High",O1235=4,"Very High")</f>
        <v>Very High</v>
      </c>
      <c r="AJ1235" t="str" cm="1">
        <f t="array" ref="AJ1235">_xlfn.IFS(U1235=1,"Low",U1235=2,"Good",U1235=3,"Excellent",U1235=4,"Outstanding")</f>
        <v>Excellent</v>
      </c>
      <c r="AK1235" t="str" cm="1">
        <f t="array" ref="AK1235">_xlfn.IFS(V1235=1,"Low",V1235=2,"Medium",V1235=3,"High",V1235=4,"Very High")</f>
        <v>Medium</v>
      </c>
      <c r="AL1235" t="str" cm="1">
        <f t="array" ref="AL1235">_xlfn.IFS(Z1235=1,"Bad",Z1235=2,"Good",Z1235=3,"Better",Z1235=4,"Best")</f>
        <v>Good</v>
      </c>
      <c r="AM1235" t="str" cm="1">
        <f t="array" ref="AM1235">_xlfn.IFS(W1235=0,"No_stock",W1235=1,"Low",W1235=2,"Medium",W1235=3,"High")</f>
        <v>Low</v>
      </c>
      <c r="AN1235" t="str">
        <f t="shared" si="19"/>
        <v>Far</v>
      </c>
    </row>
    <row r="1236" spans="1:40" x14ac:dyDescent="0.45">
      <c r="A1236">
        <v>47</v>
      </c>
      <c r="B1236" t="s">
        <v>37</v>
      </c>
      <c r="C1236" t="s">
        <v>49</v>
      </c>
      <c r="D1236">
        <v>543</v>
      </c>
      <c r="E1236" t="s">
        <v>32</v>
      </c>
      <c r="F1236">
        <v>2</v>
      </c>
      <c r="G1236">
        <v>4</v>
      </c>
      <c r="H1236" t="s">
        <v>53</v>
      </c>
      <c r="I1236">
        <v>1731</v>
      </c>
      <c r="J1236">
        <v>3</v>
      </c>
      <c r="K1236" t="s">
        <v>40</v>
      </c>
      <c r="L1236">
        <v>3</v>
      </c>
      <c r="M1236">
        <v>2</v>
      </c>
      <c r="N1236" t="s">
        <v>35</v>
      </c>
      <c r="O1236">
        <v>2</v>
      </c>
      <c r="P1236" t="s">
        <v>42</v>
      </c>
      <c r="Q1236">
        <v>4978</v>
      </c>
      <c r="R1236">
        <v>7</v>
      </c>
      <c r="S1236" t="s">
        <v>37</v>
      </c>
      <c r="T1236">
        <v>11</v>
      </c>
      <c r="U1236">
        <v>3</v>
      </c>
      <c r="V1236">
        <v>4</v>
      </c>
      <c r="W1236">
        <v>1</v>
      </c>
      <c r="X1236">
        <v>4</v>
      </c>
      <c r="Y1236">
        <v>3</v>
      </c>
      <c r="Z1236">
        <v>1</v>
      </c>
      <c r="AA1236">
        <v>1</v>
      </c>
      <c r="AB1236">
        <v>0</v>
      </c>
      <c r="AC1236">
        <v>0</v>
      </c>
      <c r="AD1236">
        <v>0</v>
      </c>
      <c r="AE1236" t="str" cm="1">
        <f t="array" ref="AE1236">_xlfn.IFS(G1236=1,"Before College",G1236=2,"College",G1236=3,"Bachelor",G1236=4,"Master",G1236=5,"Doctor")</f>
        <v>Master</v>
      </c>
      <c r="AF1236" t="str" cm="1">
        <f t="array" ref="AF1236">_xlfn.IFS(J1236=1,"Low",J1236=2,"Medium",J1236=3,"High",J1236=4,"Very High")</f>
        <v>High</v>
      </c>
      <c r="AG1236" t="str" cm="1">
        <f t="array" ref="AG1236">_xlfn.IFS(L1236=1,"Low",L1236=2,"Medium",L1236=3,"High",L1236=4,"Very High")</f>
        <v>High</v>
      </c>
      <c r="AH1236" t="str" cm="1">
        <f t="array" ref="AH1236">_xlfn.IFS(M1236=1,"Junior employee",M1236=2,"Mid-level",M1236=3,"Senior",M1236=4,"Manager",M1236=5,"Executive")</f>
        <v>Mid-level</v>
      </c>
      <c r="AI1236" t="str" cm="1">
        <f t="array" ref="AI1236">_xlfn.IFS(O1236=1,"Low",O1236=2,"Medium",O1236=3,"High",O1236=4,"Very High")</f>
        <v>Medium</v>
      </c>
      <c r="AJ1236" t="str" cm="1">
        <f t="array" ref="AJ1236">_xlfn.IFS(U1236=1,"Low",U1236=2,"Good",U1236=3,"Excellent",U1236=4,"Outstanding")</f>
        <v>Excellent</v>
      </c>
      <c r="AK1236" t="str" cm="1">
        <f t="array" ref="AK1236">_xlfn.IFS(V1236=1,"Low",V1236=2,"Medium",V1236=3,"High",V1236=4,"Very High")</f>
        <v>Very High</v>
      </c>
      <c r="AL1236" t="str" cm="1">
        <f t="array" ref="AL1236">_xlfn.IFS(Z1236=1,"Bad",Z1236=2,"Good",Z1236=3,"Better",Z1236=4,"Best")</f>
        <v>Bad</v>
      </c>
      <c r="AM1236" t="str" cm="1">
        <f t="array" ref="AM1236">_xlfn.IFS(W1236=0,"No_stock",W1236=1,"Low",W1236=2,"Medium",W1236=3,"High")</f>
        <v>Low</v>
      </c>
      <c r="AN1236" t="str">
        <f t="shared" si="19"/>
        <v>Near</v>
      </c>
    </row>
    <row r="1237" spans="1:40" x14ac:dyDescent="0.45">
      <c r="A1237">
        <v>46</v>
      </c>
      <c r="B1237" t="s">
        <v>37</v>
      </c>
      <c r="C1237" t="s">
        <v>31</v>
      </c>
      <c r="D1237">
        <v>1277</v>
      </c>
      <c r="E1237" t="s">
        <v>32</v>
      </c>
      <c r="F1237">
        <v>2</v>
      </c>
      <c r="G1237">
        <v>3</v>
      </c>
      <c r="H1237" t="s">
        <v>33</v>
      </c>
      <c r="I1237">
        <v>1732</v>
      </c>
      <c r="J1237">
        <v>3</v>
      </c>
      <c r="K1237" t="s">
        <v>40</v>
      </c>
      <c r="L1237">
        <v>3</v>
      </c>
      <c r="M1237">
        <v>3</v>
      </c>
      <c r="N1237" t="s">
        <v>35</v>
      </c>
      <c r="O1237">
        <v>4</v>
      </c>
      <c r="P1237" t="s">
        <v>46</v>
      </c>
      <c r="Q1237">
        <v>10368</v>
      </c>
      <c r="R1237">
        <v>4</v>
      </c>
      <c r="S1237" t="s">
        <v>30</v>
      </c>
      <c r="T1237">
        <v>12</v>
      </c>
      <c r="U1237">
        <v>3</v>
      </c>
      <c r="V1237">
        <v>2</v>
      </c>
      <c r="W1237">
        <v>1</v>
      </c>
      <c r="X1237">
        <v>13</v>
      </c>
      <c r="Y1237">
        <v>5</v>
      </c>
      <c r="Z1237">
        <v>2</v>
      </c>
      <c r="AA1237">
        <v>10</v>
      </c>
      <c r="AB1237">
        <v>6</v>
      </c>
      <c r="AC1237">
        <v>0</v>
      </c>
      <c r="AD1237">
        <v>3</v>
      </c>
      <c r="AE1237" t="str" cm="1">
        <f t="array" ref="AE1237">_xlfn.IFS(G1237=1,"Before College",G1237=2,"College",G1237=3,"Bachelor",G1237=4,"Master",G1237=5,"Doctor")</f>
        <v>Bachelor</v>
      </c>
      <c r="AF1237" t="str" cm="1">
        <f t="array" ref="AF1237">_xlfn.IFS(J1237=1,"Low",J1237=2,"Medium",J1237=3,"High",J1237=4,"Very High")</f>
        <v>High</v>
      </c>
      <c r="AG1237" t="str" cm="1">
        <f t="array" ref="AG1237">_xlfn.IFS(L1237=1,"Low",L1237=2,"Medium",L1237=3,"High",L1237=4,"Very High")</f>
        <v>High</v>
      </c>
      <c r="AH1237" t="str" cm="1">
        <f t="array" ref="AH1237">_xlfn.IFS(M1237=1,"Junior employee",M1237=2,"Mid-level",M1237=3,"Senior",M1237=4,"Manager",M1237=5,"Executive")</f>
        <v>Senior</v>
      </c>
      <c r="AI1237" t="str" cm="1">
        <f t="array" ref="AI1237">_xlfn.IFS(O1237=1,"Low",O1237=2,"Medium",O1237=3,"High",O1237=4,"Very High")</f>
        <v>Very High</v>
      </c>
      <c r="AJ1237" t="str" cm="1">
        <f t="array" ref="AJ1237">_xlfn.IFS(U1237=1,"Low",U1237=2,"Good",U1237=3,"Excellent",U1237=4,"Outstanding")</f>
        <v>Excellent</v>
      </c>
      <c r="AK1237" t="str" cm="1">
        <f t="array" ref="AK1237">_xlfn.IFS(V1237=1,"Low",V1237=2,"Medium",V1237=3,"High",V1237=4,"Very High")</f>
        <v>Medium</v>
      </c>
      <c r="AL1237" t="str" cm="1">
        <f t="array" ref="AL1237">_xlfn.IFS(Z1237=1,"Bad",Z1237=2,"Good",Z1237=3,"Better",Z1237=4,"Best")</f>
        <v>Good</v>
      </c>
      <c r="AM1237" t="str" cm="1">
        <f t="array" ref="AM1237">_xlfn.IFS(W1237=0,"No_stock",W1237=1,"Low",W1237=2,"Medium",W1237=3,"High")</f>
        <v>Low</v>
      </c>
      <c r="AN1237" t="str">
        <f t="shared" si="19"/>
        <v>Near</v>
      </c>
    </row>
    <row r="1238" spans="1:40" x14ac:dyDescent="0.45">
      <c r="A1238">
        <v>36</v>
      </c>
      <c r="B1238" t="s">
        <v>30</v>
      </c>
      <c r="C1238" t="s">
        <v>31</v>
      </c>
      <c r="D1238">
        <v>1456</v>
      </c>
      <c r="E1238" t="s">
        <v>32</v>
      </c>
      <c r="F1238">
        <v>13</v>
      </c>
      <c r="G1238">
        <v>5</v>
      </c>
      <c r="H1238" t="s">
        <v>53</v>
      </c>
      <c r="I1238">
        <v>1733</v>
      </c>
      <c r="J1238">
        <v>2</v>
      </c>
      <c r="K1238" t="s">
        <v>40</v>
      </c>
      <c r="L1238">
        <v>2</v>
      </c>
      <c r="M1238">
        <v>2</v>
      </c>
      <c r="N1238" t="s">
        <v>35</v>
      </c>
      <c r="O1238">
        <v>1</v>
      </c>
      <c r="P1238" t="s">
        <v>46</v>
      </c>
      <c r="Q1238">
        <v>6134</v>
      </c>
      <c r="R1238">
        <v>5</v>
      </c>
      <c r="S1238" t="s">
        <v>30</v>
      </c>
      <c r="T1238">
        <v>13</v>
      </c>
      <c r="U1238">
        <v>3</v>
      </c>
      <c r="V1238">
        <v>2</v>
      </c>
      <c r="W1238">
        <v>3</v>
      </c>
      <c r="X1238">
        <v>16</v>
      </c>
      <c r="Y1238">
        <v>3</v>
      </c>
      <c r="Z1238">
        <v>3</v>
      </c>
      <c r="AA1238">
        <v>2</v>
      </c>
      <c r="AB1238">
        <v>2</v>
      </c>
      <c r="AC1238">
        <v>2</v>
      </c>
      <c r="AD1238">
        <v>2</v>
      </c>
      <c r="AE1238" t="str" cm="1">
        <f t="array" ref="AE1238">_xlfn.IFS(G1238=1,"Before College",G1238=2,"College",G1238=3,"Bachelor",G1238=4,"Master",G1238=5,"Doctor")</f>
        <v>Doctor</v>
      </c>
      <c r="AF1238" t="str" cm="1">
        <f t="array" ref="AF1238">_xlfn.IFS(J1238=1,"Low",J1238=2,"Medium",J1238=3,"High",J1238=4,"Very High")</f>
        <v>Medium</v>
      </c>
      <c r="AG1238" t="str" cm="1">
        <f t="array" ref="AG1238">_xlfn.IFS(L1238=1,"Low",L1238=2,"Medium",L1238=3,"High",L1238=4,"Very High")</f>
        <v>Medium</v>
      </c>
      <c r="AH1238" t="str" cm="1">
        <f t="array" ref="AH1238">_xlfn.IFS(M1238=1,"Junior employee",M1238=2,"Mid-level",M1238=3,"Senior",M1238=4,"Manager",M1238=5,"Executive")</f>
        <v>Mid-level</v>
      </c>
      <c r="AI1238" t="str" cm="1">
        <f t="array" ref="AI1238">_xlfn.IFS(O1238=1,"Low",O1238=2,"Medium",O1238=3,"High",O1238=4,"Very High")</f>
        <v>Low</v>
      </c>
      <c r="AJ1238" t="str" cm="1">
        <f t="array" ref="AJ1238">_xlfn.IFS(U1238=1,"Low",U1238=2,"Good",U1238=3,"Excellent",U1238=4,"Outstanding")</f>
        <v>Excellent</v>
      </c>
      <c r="AK1238" t="str" cm="1">
        <f t="array" ref="AK1238">_xlfn.IFS(V1238=1,"Low",V1238=2,"Medium",V1238=3,"High",V1238=4,"Very High")</f>
        <v>Medium</v>
      </c>
      <c r="AL1238" t="str" cm="1">
        <f t="array" ref="AL1238">_xlfn.IFS(Z1238=1,"Bad",Z1238=2,"Good",Z1238=3,"Better",Z1238=4,"Best")</f>
        <v>Better</v>
      </c>
      <c r="AM1238" t="str" cm="1">
        <f t="array" ref="AM1238">_xlfn.IFS(W1238=0,"No_stock",W1238=1,"Low",W1238=2,"Medium",W1238=3,"High")</f>
        <v>High</v>
      </c>
      <c r="AN1238" t="str">
        <f t="shared" si="19"/>
        <v>Medium</v>
      </c>
    </row>
    <row r="1239" spans="1:40" x14ac:dyDescent="0.45">
      <c r="A1239">
        <v>32</v>
      </c>
      <c r="B1239" t="s">
        <v>30</v>
      </c>
      <c r="C1239" t="s">
        <v>31</v>
      </c>
      <c r="D1239">
        <v>964</v>
      </c>
      <c r="E1239" t="s">
        <v>32</v>
      </c>
      <c r="F1239">
        <v>1</v>
      </c>
      <c r="G1239">
        <v>2</v>
      </c>
      <c r="H1239" t="s">
        <v>33</v>
      </c>
      <c r="I1239">
        <v>1734</v>
      </c>
      <c r="J1239">
        <v>1</v>
      </c>
      <c r="K1239" t="s">
        <v>40</v>
      </c>
      <c r="L1239">
        <v>1</v>
      </c>
      <c r="M1239">
        <v>2</v>
      </c>
      <c r="N1239" t="s">
        <v>35</v>
      </c>
      <c r="O1239">
        <v>2</v>
      </c>
      <c r="P1239" t="s">
        <v>36</v>
      </c>
      <c r="Q1239">
        <v>6735</v>
      </c>
      <c r="R1239">
        <v>6</v>
      </c>
      <c r="S1239" t="s">
        <v>37</v>
      </c>
      <c r="T1239">
        <v>15</v>
      </c>
      <c r="U1239">
        <v>3</v>
      </c>
      <c r="V1239">
        <v>2</v>
      </c>
      <c r="W1239">
        <v>0</v>
      </c>
      <c r="X1239">
        <v>10</v>
      </c>
      <c r="Y1239">
        <v>2</v>
      </c>
      <c r="Z1239">
        <v>3</v>
      </c>
      <c r="AA1239">
        <v>0</v>
      </c>
      <c r="AB1239">
        <v>0</v>
      </c>
      <c r="AC1239">
        <v>0</v>
      </c>
      <c r="AD1239">
        <v>0</v>
      </c>
      <c r="AE1239" t="str" cm="1">
        <f t="array" ref="AE1239">_xlfn.IFS(G1239=1,"Before College",G1239=2,"College",G1239=3,"Bachelor",G1239=4,"Master",G1239=5,"Doctor")</f>
        <v>College</v>
      </c>
      <c r="AF1239" t="str" cm="1">
        <f t="array" ref="AF1239">_xlfn.IFS(J1239=1,"Low",J1239=2,"Medium",J1239=3,"High",J1239=4,"Very High")</f>
        <v>Low</v>
      </c>
      <c r="AG1239" t="str" cm="1">
        <f t="array" ref="AG1239">_xlfn.IFS(L1239=1,"Low",L1239=2,"Medium",L1239=3,"High",L1239=4,"Very High")</f>
        <v>Low</v>
      </c>
      <c r="AH1239" t="str" cm="1">
        <f t="array" ref="AH1239">_xlfn.IFS(M1239=1,"Junior employee",M1239=2,"Mid-level",M1239=3,"Senior",M1239=4,"Manager",M1239=5,"Executive")</f>
        <v>Mid-level</v>
      </c>
      <c r="AI1239" t="str" cm="1">
        <f t="array" ref="AI1239">_xlfn.IFS(O1239=1,"Low",O1239=2,"Medium",O1239=3,"High",O1239=4,"Very High")</f>
        <v>Medium</v>
      </c>
      <c r="AJ1239" t="str" cm="1">
        <f t="array" ref="AJ1239">_xlfn.IFS(U1239=1,"Low",U1239=2,"Good",U1239=3,"Excellent",U1239=4,"Outstanding")</f>
        <v>Excellent</v>
      </c>
      <c r="AK1239" t="str" cm="1">
        <f t="array" ref="AK1239">_xlfn.IFS(V1239=1,"Low",V1239=2,"Medium",V1239=3,"High",V1239=4,"Very High")</f>
        <v>Medium</v>
      </c>
      <c r="AL1239" t="str" cm="1">
        <f t="array" ref="AL1239">_xlfn.IFS(Z1239=1,"Bad",Z1239=2,"Good",Z1239=3,"Better",Z1239=4,"Best")</f>
        <v>Better</v>
      </c>
      <c r="AM1239" t="str" cm="1">
        <f t="array" ref="AM1239">_xlfn.IFS(W1239=0,"No_stock",W1239=1,"Low",W1239=2,"Medium",W1239=3,"High")</f>
        <v>No_stock</v>
      </c>
      <c r="AN1239" t="str">
        <f t="shared" si="19"/>
        <v>Near</v>
      </c>
    </row>
    <row r="1240" spans="1:40" x14ac:dyDescent="0.45">
      <c r="A1240">
        <v>23</v>
      </c>
      <c r="B1240" t="s">
        <v>37</v>
      </c>
      <c r="C1240" t="s">
        <v>31</v>
      </c>
      <c r="D1240">
        <v>160</v>
      </c>
      <c r="E1240" t="s">
        <v>39</v>
      </c>
      <c r="F1240">
        <v>4</v>
      </c>
      <c r="G1240">
        <v>1</v>
      </c>
      <c r="H1240" t="s">
        <v>45</v>
      </c>
      <c r="I1240">
        <v>1735</v>
      </c>
      <c r="J1240">
        <v>3</v>
      </c>
      <c r="K1240" t="s">
        <v>34</v>
      </c>
      <c r="L1240">
        <v>3</v>
      </c>
      <c r="M1240">
        <v>1</v>
      </c>
      <c r="N1240" t="s">
        <v>44</v>
      </c>
      <c r="O1240">
        <v>2</v>
      </c>
      <c r="P1240" t="s">
        <v>36</v>
      </c>
      <c r="Q1240">
        <v>3295</v>
      </c>
      <c r="R1240">
        <v>1</v>
      </c>
      <c r="S1240" t="s">
        <v>37</v>
      </c>
      <c r="T1240">
        <v>13</v>
      </c>
      <c r="U1240">
        <v>3</v>
      </c>
      <c r="V1240">
        <v>3</v>
      </c>
      <c r="W1240">
        <v>0</v>
      </c>
      <c r="X1240">
        <v>3</v>
      </c>
      <c r="Y1240">
        <v>3</v>
      </c>
      <c r="Z1240">
        <v>1</v>
      </c>
      <c r="AA1240">
        <v>3</v>
      </c>
      <c r="AB1240">
        <v>2</v>
      </c>
      <c r="AC1240">
        <v>1</v>
      </c>
      <c r="AD1240">
        <v>2</v>
      </c>
      <c r="AE1240" t="str" cm="1">
        <f t="array" ref="AE1240">_xlfn.IFS(G1240=1,"Before College",G1240=2,"College",G1240=3,"Bachelor",G1240=4,"Master",G1240=5,"Doctor")</f>
        <v>Before College</v>
      </c>
      <c r="AF1240" t="str" cm="1">
        <f t="array" ref="AF1240">_xlfn.IFS(J1240=1,"Low",J1240=2,"Medium",J1240=3,"High",J1240=4,"Very High")</f>
        <v>High</v>
      </c>
      <c r="AG1240" t="str" cm="1">
        <f t="array" ref="AG1240">_xlfn.IFS(L1240=1,"Low",L1240=2,"Medium",L1240=3,"High",L1240=4,"Very High")</f>
        <v>High</v>
      </c>
      <c r="AH1240" t="str" cm="1">
        <f t="array" ref="AH1240">_xlfn.IFS(M1240=1,"Junior employee",M1240=2,"Mid-level",M1240=3,"Senior",M1240=4,"Manager",M1240=5,"Executive")</f>
        <v>Junior employee</v>
      </c>
      <c r="AI1240" t="str" cm="1">
        <f t="array" ref="AI1240">_xlfn.IFS(O1240=1,"Low",O1240=2,"Medium",O1240=3,"High",O1240=4,"Very High")</f>
        <v>Medium</v>
      </c>
      <c r="AJ1240" t="str" cm="1">
        <f t="array" ref="AJ1240">_xlfn.IFS(U1240=1,"Low",U1240=2,"Good",U1240=3,"Excellent",U1240=4,"Outstanding")</f>
        <v>Excellent</v>
      </c>
      <c r="AK1240" t="str" cm="1">
        <f t="array" ref="AK1240">_xlfn.IFS(V1240=1,"Low",V1240=2,"Medium",V1240=3,"High",V1240=4,"Very High")</f>
        <v>High</v>
      </c>
      <c r="AL1240" t="str" cm="1">
        <f t="array" ref="AL1240">_xlfn.IFS(Z1240=1,"Bad",Z1240=2,"Good",Z1240=3,"Better",Z1240=4,"Best")</f>
        <v>Bad</v>
      </c>
      <c r="AM1240" t="str" cm="1">
        <f t="array" ref="AM1240">_xlfn.IFS(W1240=0,"No_stock",W1240=1,"Low",W1240=2,"Medium",W1240=3,"High")</f>
        <v>No_stock</v>
      </c>
      <c r="AN1240" t="str">
        <f t="shared" si="19"/>
        <v>Near</v>
      </c>
    </row>
    <row r="1241" spans="1:40" x14ac:dyDescent="0.45">
      <c r="A1241">
        <v>31</v>
      </c>
      <c r="B1241" t="s">
        <v>37</v>
      </c>
      <c r="C1241" t="s">
        <v>38</v>
      </c>
      <c r="D1241">
        <v>163</v>
      </c>
      <c r="E1241" t="s">
        <v>39</v>
      </c>
      <c r="F1241">
        <v>24</v>
      </c>
      <c r="G1241">
        <v>1</v>
      </c>
      <c r="H1241" t="s">
        <v>54</v>
      </c>
      <c r="I1241">
        <v>1736</v>
      </c>
      <c r="J1241">
        <v>4</v>
      </c>
      <c r="K1241" t="s">
        <v>34</v>
      </c>
      <c r="L1241">
        <v>3</v>
      </c>
      <c r="M1241">
        <v>2</v>
      </c>
      <c r="N1241" t="s">
        <v>47</v>
      </c>
      <c r="O1241">
        <v>4</v>
      </c>
      <c r="P1241" t="s">
        <v>36</v>
      </c>
      <c r="Q1241">
        <v>5238</v>
      </c>
      <c r="R1241">
        <v>2</v>
      </c>
      <c r="S1241" t="s">
        <v>37</v>
      </c>
      <c r="T1241">
        <v>20</v>
      </c>
      <c r="U1241">
        <v>4</v>
      </c>
      <c r="V1241">
        <v>4</v>
      </c>
      <c r="W1241">
        <v>0</v>
      </c>
      <c r="X1241">
        <v>9</v>
      </c>
      <c r="Y1241">
        <v>3</v>
      </c>
      <c r="Z1241">
        <v>2</v>
      </c>
      <c r="AA1241">
        <v>5</v>
      </c>
      <c r="AB1241">
        <v>4</v>
      </c>
      <c r="AC1241">
        <v>1</v>
      </c>
      <c r="AD1241">
        <v>4</v>
      </c>
      <c r="AE1241" t="str" cm="1">
        <f t="array" ref="AE1241">_xlfn.IFS(G1241=1,"Before College",G1241=2,"College",G1241=3,"Bachelor",G1241=4,"Master",G1241=5,"Doctor")</f>
        <v>Before College</v>
      </c>
      <c r="AF1241" t="str" cm="1">
        <f t="array" ref="AF1241">_xlfn.IFS(J1241=1,"Low",J1241=2,"Medium",J1241=3,"High",J1241=4,"Very High")</f>
        <v>Very High</v>
      </c>
      <c r="AG1241" t="str" cm="1">
        <f t="array" ref="AG1241">_xlfn.IFS(L1241=1,"Low",L1241=2,"Medium",L1241=3,"High",L1241=4,"Very High")</f>
        <v>High</v>
      </c>
      <c r="AH1241" t="str" cm="1">
        <f t="array" ref="AH1241">_xlfn.IFS(M1241=1,"Junior employee",M1241=2,"Mid-level",M1241=3,"Senior",M1241=4,"Manager",M1241=5,"Executive")</f>
        <v>Mid-level</v>
      </c>
      <c r="AI1241" t="str" cm="1">
        <f t="array" ref="AI1241">_xlfn.IFS(O1241=1,"Low",O1241=2,"Medium",O1241=3,"High",O1241=4,"Very High")</f>
        <v>Very High</v>
      </c>
      <c r="AJ1241" t="str" cm="1">
        <f t="array" ref="AJ1241">_xlfn.IFS(U1241=1,"Low",U1241=2,"Good",U1241=3,"Excellent",U1241=4,"Outstanding")</f>
        <v>Outstanding</v>
      </c>
      <c r="AK1241" t="str" cm="1">
        <f t="array" ref="AK1241">_xlfn.IFS(V1241=1,"Low",V1241=2,"Medium",V1241=3,"High",V1241=4,"Very High")</f>
        <v>Very High</v>
      </c>
      <c r="AL1241" t="str" cm="1">
        <f t="array" ref="AL1241">_xlfn.IFS(Z1241=1,"Bad",Z1241=2,"Good",Z1241=3,"Better",Z1241=4,"Best")</f>
        <v>Good</v>
      </c>
      <c r="AM1241" t="str" cm="1">
        <f t="array" ref="AM1241">_xlfn.IFS(W1241=0,"No_stock",W1241=1,"Low",W1241=2,"Medium",W1241=3,"High")</f>
        <v>No_stock</v>
      </c>
      <c r="AN1241" t="str">
        <f t="shared" si="19"/>
        <v>Far</v>
      </c>
    </row>
    <row r="1242" spans="1:40" x14ac:dyDescent="0.45">
      <c r="A1242">
        <v>39</v>
      </c>
      <c r="B1242" t="s">
        <v>37</v>
      </c>
      <c r="C1242" t="s">
        <v>49</v>
      </c>
      <c r="D1242">
        <v>792</v>
      </c>
      <c r="E1242" t="s">
        <v>39</v>
      </c>
      <c r="F1242">
        <v>1</v>
      </c>
      <c r="G1242">
        <v>3</v>
      </c>
      <c r="H1242" t="s">
        <v>33</v>
      </c>
      <c r="I1242">
        <v>1737</v>
      </c>
      <c r="J1242">
        <v>4</v>
      </c>
      <c r="K1242" t="s">
        <v>40</v>
      </c>
      <c r="L1242">
        <v>3</v>
      </c>
      <c r="M1242">
        <v>2</v>
      </c>
      <c r="N1242" t="s">
        <v>44</v>
      </c>
      <c r="O1242">
        <v>4</v>
      </c>
      <c r="P1242" t="s">
        <v>42</v>
      </c>
      <c r="Q1242">
        <v>6472</v>
      </c>
      <c r="R1242">
        <v>1</v>
      </c>
      <c r="S1242" t="s">
        <v>30</v>
      </c>
      <c r="T1242">
        <v>15</v>
      </c>
      <c r="U1242">
        <v>3</v>
      </c>
      <c r="V1242">
        <v>4</v>
      </c>
      <c r="W1242">
        <v>1</v>
      </c>
      <c r="X1242">
        <v>9</v>
      </c>
      <c r="Y1242">
        <v>2</v>
      </c>
      <c r="Z1242">
        <v>3</v>
      </c>
      <c r="AA1242">
        <v>9</v>
      </c>
      <c r="AB1242">
        <v>8</v>
      </c>
      <c r="AC1242">
        <v>5</v>
      </c>
      <c r="AD1242">
        <v>8</v>
      </c>
      <c r="AE1242" t="str" cm="1">
        <f t="array" ref="AE1242">_xlfn.IFS(G1242=1,"Before College",G1242=2,"College",G1242=3,"Bachelor",G1242=4,"Master",G1242=5,"Doctor")</f>
        <v>Bachelor</v>
      </c>
      <c r="AF1242" t="str" cm="1">
        <f t="array" ref="AF1242">_xlfn.IFS(J1242=1,"Low",J1242=2,"Medium",J1242=3,"High",J1242=4,"Very High")</f>
        <v>Very High</v>
      </c>
      <c r="AG1242" t="str" cm="1">
        <f t="array" ref="AG1242">_xlfn.IFS(L1242=1,"Low",L1242=2,"Medium",L1242=3,"High",L1242=4,"Very High")</f>
        <v>High</v>
      </c>
      <c r="AH1242" t="str" cm="1">
        <f t="array" ref="AH1242">_xlfn.IFS(M1242=1,"Junior employee",M1242=2,"Mid-level",M1242=3,"Senior",M1242=4,"Manager",M1242=5,"Executive")</f>
        <v>Mid-level</v>
      </c>
      <c r="AI1242" t="str" cm="1">
        <f t="array" ref="AI1242">_xlfn.IFS(O1242=1,"Low",O1242=2,"Medium",O1242=3,"High",O1242=4,"Very High")</f>
        <v>Very High</v>
      </c>
      <c r="AJ1242" t="str" cm="1">
        <f t="array" ref="AJ1242">_xlfn.IFS(U1242=1,"Low",U1242=2,"Good",U1242=3,"Excellent",U1242=4,"Outstanding")</f>
        <v>Excellent</v>
      </c>
      <c r="AK1242" t="str" cm="1">
        <f t="array" ref="AK1242">_xlfn.IFS(V1242=1,"Low",V1242=2,"Medium",V1242=3,"High",V1242=4,"Very High")</f>
        <v>Very High</v>
      </c>
      <c r="AL1242" t="str" cm="1">
        <f t="array" ref="AL1242">_xlfn.IFS(Z1242=1,"Bad",Z1242=2,"Good",Z1242=3,"Better",Z1242=4,"Best")</f>
        <v>Better</v>
      </c>
      <c r="AM1242" t="str" cm="1">
        <f t="array" ref="AM1242">_xlfn.IFS(W1242=0,"No_stock",W1242=1,"Low",W1242=2,"Medium",W1242=3,"High")</f>
        <v>Low</v>
      </c>
      <c r="AN1242" t="str">
        <f t="shared" si="19"/>
        <v>Near</v>
      </c>
    </row>
    <row r="1243" spans="1:40" x14ac:dyDescent="0.45">
      <c r="A1243">
        <v>32</v>
      </c>
      <c r="B1243" t="s">
        <v>37</v>
      </c>
      <c r="C1243" t="s">
        <v>31</v>
      </c>
      <c r="D1243">
        <v>371</v>
      </c>
      <c r="E1243" t="s">
        <v>32</v>
      </c>
      <c r="F1243">
        <v>19</v>
      </c>
      <c r="G1243">
        <v>3</v>
      </c>
      <c r="H1243" t="s">
        <v>33</v>
      </c>
      <c r="I1243">
        <v>1739</v>
      </c>
      <c r="J1243">
        <v>4</v>
      </c>
      <c r="K1243" t="s">
        <v>40</v>
      </c>
      <c r="L1243">
        <v>1</v>
      </c>
      <c r="M1243">
        <v>3</v>
      </c>
      <c r="N1243" t="s">
        <v>35</v>
      </c>
      <c r="O1243">
        <v>3</v>
      </c>
      <c r="P1243" t="s">
        <v>42</v>
      </c>
      <c r="Q1243">
        <v>9610</v>
      </c>
      <c r="R1243">
        <v>3</v>
      </c>
      <c r="S1243" t="s">
        <v>37</v>
      </c>
      <c r="T1243">
        <v>13</v>
      </c>
      <c r="U1243">
        <v>3</v>
      </c>
      <c r="V1243">
        <v>3</v>
      </c>
      <c r="W1243">
        <v>1</v>
      </c>
      <c r="X1243">
        <v>10</v>
      </c>
      <c r="Y1243">
        <v>2</v>
      </c>
      <c r="Z1243">
        <v>1</v>
      </c>
      <c r="AA1243">
        <v>4</v>
      </c>
      <c r="AB1243">
        <v>3</v>
      </c>
      <c r="AC1243">
        <v>0</v>
      </c>
      <c r="AD1243">
        <v>2</v>
      </c>
      <c r="AE1243" t="str" cm="1">
        <f t="array" ref="AE1243">_xlfn.IFS(G1243=1,"Before College",G1243=2,"College",G1243=3,"Bachelor",G1243=4,"Master",G1243=5,"Doctor")</f>
        <v>Bachelor</v>
      </c>
      <c r="AF1243" t="str" cm="1">
        <f t="array" ref="AF1243">_xlfn.IFS(J1243=1,"Low",J1243=2,"Medium",J1243=3,"High",J1243=4,"Very High")</f>
        <v>Very High</v>
      </c>
      <c r="AG1243" t="str" cm="1">
        <f t="array" ref="AG1243">_xlfn.IFS(L1243=1,"Low",L1243=2,"Medium",L1243=3,"High",L1243=4,"Very High")</f>
        <v>Low</v>
      </c>
      <c r="AH1243" t="str" cm="1">
        <f t="array" ref="AH1243">_xlfn.IFS(M1243=1,"Junior employee",M1243=2,"Mid-level",M1243=3,"Senior",M1243=4,"Manager",M1243=5,"Executive")</f>
        <v>Senior</v>
      </c>
      <c r="AI1243" t="str" cm="1">
        <f t="array" ref="AI1243">_xlfn.IFS(O1243=1,"Low",O1243=2,"Medium",O1243=3,"High",O1243=4,"Very High")</f>
        <v>High</v>
      </c>
      <c r="AJ1243" t="str" cm="1">
        <f t="array" ref="AJ1243">_xlfn.IFS(U1243=1,"Low",U1243=2,"Good",U1243=3,"Excellent",U1243=4,"Outstanding")</f>
        <v>Excellent</v>
      </c>
      <c r="AK1243" t="str" cm="1">
        <f t="array" ref="AK1243">_xlfn.IFS(V1243=1,"Low",V1243=2,"Medium",V1243=3,"High",V1243=4,"Very High")</f>
        <v>High</v>
      </c>
      <c r="AL1243" t="str" cm="1">
        <f t="array" ref="AL1243">_xlfn.IFS(Z1243=1,"Bad",Z1243=2,"Good",Z1243=3,"Better",Z1243=4,"Best")</f>
        <v>Bad</v>
      </c>
      <c r="AM1243" t="str" cm="1">
        <f t="array" ref="AM1243">_xlfn.IFS(W1243=0,"No_stock",W1243=1,"Low",W1243=2,"Medium",W1243=3,"High")</f>
        <v>Low</v>
      </c>
      <c r="AN1243" t="str">
        <f t="shared" si="19"/>
        <v>Far</v>
      </c>
    </row>
    <row r="1244" spans="1:40" x14ac:dyDescent="0.45">
      <c r="A1244">
        <v>40</v>
      </c>
      <c r="B1244" t="s">
        <v>37</v>
      </c>
      <c r="C1244" t="s">
        <v>31</v>
      </c>
      <c r="D1244">
        <v>611</v>
      </c>
      <c r="E1244" t="s">
        <v>32</v>
      </c>
      <c r="F1244">
        <v>7</v>
      </c>
      <c r="G1244">
        <v>4</v>
      </c>
      <c r="H1244" t="s">
        <v>45</v>
      </c>
      <c r="I1244">
        <v>1740</v>
      </c>
      <c r="J1244">
        <v>2</v>
      </c>
      <c r="K1244" t="s">
        <v>40</v>
      </c>
      <c r="L1244">
        <v>3</v>
      </c>
      <c r="M1244">
        <v>5</v>
      </c>
      <c r="N1244" t="s">
        <v>50</v>
      </c>
      <c r="O1244">
        <v>2</v>
      </c>
      <c r="P1244" t="s">
        <v>36</v>
      </c>
      <c r="Q1244">
        <v>19833</v>
      </c>
      <c r="R1244">
        <v>1</v>
      </c>
      <c r="S1244" t="s">
        <v>37</v>
      </c>
      <c r="T1244">
        <v>14</v>
      </c>
      <c r="U1244">
        <v>3</v>
      </c>
      <c r="V1244">
        <v>2</v>
      </c>
      <c r="W1244">
        <v>0</v>
      </c>
      <c r="X1244">
        <v>21</v>
      </c>
      <c r="Y1244">
        <v>3</v>
      </c>
      <c r="Z1244">
        <v>2</v>
      </c>
      <c r="AA1244">
        <v>21</v>
      </c>
      <c r="AB1244">
        <v>8</v>
      </c>
      <c r="AC1244">
        <v>12</v>
      </c>
      <c r="AD1244">
        <v>8</v>
      </c>
      <c r="AE1244" t="str" cm="1">
        <f t="array" ref="AE1244">_xlfn.IFS(G1244=1,"Before College",G1244=2,"College",G1244=3,"Bachelor",G1244=4,"Master",G1244=5,"Doctor")</f>
        <v>Master</v>
      </c>
      <c r="AF1244" t="str" cm="1">
        <f t="array" ref="AF1244">_xlfn.IFS(J1244=1,"Low",J1244=2,"Medium",J1244=3,"High",J1244=4,"Very High")</f>
        <v>Medium</v>
      </c>
      <c r="AG1244" t="str" cm="1">
        <f t="array" ref="AG1244">_xlfn.IFS(L1244=1,"Low",L1244=2,"Medium",L1244=3,"High",L1244=4,"Very High")</f>
        <v>High</v>
      </c>
      <c r="AH1244" t="str" cm="1">
        <f t="array" ref="AH1244">_xlfn.IFS(M1244=1,"Junior employee",M1244=2,"Mid-level",M1244=3,"Senior",M1244=4,"Manager",M1244=5,"Executive")</f>
        <v>Executive</v>
      </c>
      <c r="AI1244" t="str" cm="1">
        <f t="array" ref="AI1244">_xlfn.IFS(O1244=1,"Low",O1244=2,"Medium",O1244=3,"High",O1244=4,"Very High")</f>
        <v>Medium</v>
      </c>
      <c r="AJ1244" t="str" cm="1">
        <f t="array" ref="AJ1244">_xlfn.IFS(U1244=1,"Low",U1244=2,"Good",U1244=3,"Excellent",U1244=4,"Outstanding")</f>
        <v>Excellent</v>
      </c>
      <c r="AK1244" t="str" cm="1">
        <f t="array" ref="AK1244">_xlfn.IFS(V1244=1,"Low",V1244=2,"Medium",V1244=3,"High",V1244=4,"Very High")</f>
        <v>Medium</v>
      </c>
      <c r="AL1244" t="str" cm="1">
        <f t="array" ref="AL1244">_xlfn.IFS(Z1244=1,"Bad",Z1244=2,"Good",Z1244=3,"Better",Z1244=4,"Best")</f>
        <v>Good</v>
      </c>
      <c r="AM1244" t="str" cm="1">
        <f t="array" ref="AM1244">_xlfn.IFS(W1244=0,"No_stock",W1244=1,"Low",W1244=2,"Medium",W1244=3,"High")</f>
        <v>No_stock</v>
      </c>
      <c r="AN1244" t="str">
        <f t="shared" si="19"/>
        <v>Medium</v>
      </c>
    </row>
    <row r="1245" spans="1:40" x14ac:dyDescent="0.45">
      <c r="A1245">
        <v>45</v>
      </c>
      <c r="B1245" t="s">
        <v>37</v>
      </c>
      <c r="C1245" t="s">
        <v>31</v>
      </c>
      <c r="D1245">
        <v>176</v>
      </c>
      <c r="E1245" t="s">
        <v>55</v>
      </c>
      <c r="F1245">
        <v>4</v>
      </c>
      <c r="G1245">
        <v>3</v>
      </c>
      <c r="H1245" t="s">
        <v>33</v>
      </c>
      <c r="I1245">
        <v>1744</v>
      </c>
      <c r="J1245">
        <v>3</v>
      </c>
      <c r="K1245" t="s">
        <v>34</v>
      </c>
      <c r="L1245">
        <v>1</v>
      </c>
      <c r="M1245">
        <v>3</v>
      </c>
      <c r="N1245" t="s">
        <v>55</v>
      </c>
      <c r="O1245">
        <v>3</v>
      </c>
      <c r="P1245" t="s">
        <v>42</v>
      </c>
      <c r="Q1245">
        <v>9756</v>
      </c>
      <c r="R1245">
        <v>4</v>
      </c>
      <c r="S1245" t="s">
        <v>37</v>
      </c>
      <c r="T1245">
        <v>21</v>
      </c>
      <c r="U1245">
        <v>4</v>
      </c>
      <c r="V1245">
        <v>3</v>
      </c>
      <c r="W1245">
        <v>2</v>
      </c>
      <c r="X1245">
        <v>9</v>
      </c>
      <c r="Y1245">
        <v>2</v>
      </c>
      <c r="Z1245">
        <v>4</v>
      </c>
      <c r="AA1245">
        <v>5</v>
      </c>
      <c r="AB1245">
        <v>0</v>
      </c>
      <c r="AC1245">
        <v>0</v>
      </c>
      <c r="AD1245">
        <v>3</v>
      </c>
      <c r="AE1245" t="str" cm="1">
        <f t="array" ref="AE1245">_xlfn.IFS(G1245=1,"Before College",G1245=2,"College",G1245=3,"Bachelor",G1245=4,"Master",G1245=5,"Doctor")</f>
        <v>Bachelor</v>
      </c>
      <c r="AF1245" t="str" cm="1">
        <f t="array" ref="AF1245">_xlfn.IFS(J1245=1,"Low",J1245=2,"Medium",J1245=3,"High",J1245=4,"Very High")</f>
        <v>High</v>
      </c>
      <c r="AG1245" t="str" cm="1">
        <f t="array" ref="AG1245">_xlfn.IFS(L1245=1,"Low",L1245=2,"Medium",L1245=3,"High",L1245=4,"Very High")</f>
        <v>Low</v>
      </c>
      <c r="AH1245" t="str" cm="1">
        <f t="array" ref="AH1245">_xlfn.IFS(M1245=1,"Junior employee",M1245=2,"Mid-level",M1245=3,"Senior",M1245=4,"Manager",M1245=5,"Executive")</f>
        <v>Senior</v>
      </c>
      <c r="AI1245" t="str" cm="1">
        <f t="array" ref="AI1245">_xlfn.IFS(O1245=1,"Low",O1245=2,"Medium",O1245=3,"High",O1245=4,"Very High")</f>
        <v>High</v>
      </c>
      <c r="AJ1245" t="str" cm="1">
        <f t="array" ref="AJ1245">_xlfn.IFS(U1245=1,"Low",U1245=2,"Good",U1245=3,"Excellent",U1245=4,"Outstanding")</f>
        <v>Outstanding</v>
      </c>
      <c r="AK1245" t="str" cm="1">
        <f t="array" ref="AK1245">_xlfn.IFS(V1245=1,"Low",V1245=2,"Medium",V1245=3,"High",V1245=4,"Very High")</f>
        <v>High</v>
      </c>
      <c r="AL1245" t="str" cm="1">
        <f t="array" ref="AL1245">_xlfn.IFS(Z1245=1,"Bad",Z1245=2,"Good",Z1245=3,"Better",Z1245=4,"Best")</f>
        <v>Best</v>
      </c>
      <c r="AM1245" t="str" cm="1">
        <f t="array" ref="AM1245">_xlfn.IFS(W1245=0,"No_stock",W1245=1,"Low",W1245=2,"Medium",W1245=3,"High")</f>
        <v>Medium</v>
      </c>
      <c r="AN1245" t="str">
        <f t="shared" si="19"/>
        <v>Near</v>
      </c>
    </row>
    <row r="1246" spans="1:40" x14ac:dyDescent="0.45">
      <c r="A1246">
        <v>30</v>
      </c>
      <c r="B1246" t="s">
        <v>37</v>
      </c>
      <c r="C1246" t="s">
        <v>38</v>
      </c>
      <c r="D1246">
        <v>1312</v>
      </c>
      <c r="E1246" t="s">
        <v>39</v>
      </c>
      <c r="F1246">
        <v>2</v>
      </c>
      <c r="G1246">
        <v>4</v>
      </c>
      <c r="H1246" t="s">
        <v>54</v>
      </c>
      <c r="I1246">
        <v>1745</v>
      </c>
      <c r="J1246">
        <v>4</v>
      </c>
      <c r="K1246" t="s">
        <v>34</v>
      </c>
      <c r="L1246">
        <v>2</v>
      </c>
      <c r="M1246">
        <v>1</v>
      </c>
      <c r="N1246" t="s">
        <v>41</v>
      </c>
      <c r="O1246">
        <v>1</v>
      </c>
      <c r="P1246" t="s">
        <v>36</v>
      </c>
      <c r="Q1246">
        <v>4968</v>
      </c>
      <c r="R1246">
        <v>0</v>
      </c>
      <c r="S1246" t="s">
        <v>37</v>
      </c>
      <c r="T1246">
        <v>16</v>
      </c>
      <c r="U1246">
        <v>3</v>
      </c>
      <c r="V1246">
        <v>4</v>
      </c>
      <c r="W1246">
        <v>0</v>
      </c>
      <c r="X1246">
        <v>10</v>
      </c>
      <c r="Y1246">
        <v>2</v>
      </c>
      <c r="Z1246">
        <v>3</v>
      </c>
      <c r="AA1246">
        <v>9</v>
      </c>
      <c r="AB1246">
        <v>7</v>
      </c>
      <c r="AC1246">
        <v>0</v>
      </c>
      <c r="AD1246">
        <v>7</v>
      </c>
      <c r="AE1246" t="str" cm="1">
        <f t="array" ref="AE1246">_xlfn.IFS(G1246=1,"Before College",G1246=2,"College",G1246=3,"Bachelor",G1246=4,"Master",G1246=5,"Doctor")</f>
        <v>Master</v>
      </c>
      <c r="AF1246" t="str" cm="1">
        <f t="array" ref="AF1246">_xlfn.IFS(J1246=1,"Low",J1246=2,"Medium",J1246=3,"High",J1246=4,"Very High")</f>
        <v>Very High</v>
      </c>
      <c r="AG1246" t="str" cm="1">
        <f t="array" ref="AG1246">_xlfn.IFS(L1246=1,"Low",L1246=2,"Medium",L1246=3,"High",L1246=4,"Very High")</f>
        <v>Medium</v>
      </c>
      <c r="AH1246" t="str" cm="1">
        <f t="array" ref="AH1246">_xlfn.IFS(M1246=1,"Junior employee",M1246=2,"Mid-level",M1246=3,"Senior",M1246=4,"Manager",M1246=5,"Executive")</f>
        <v>Junior employee</v>
      </c>
      <c r="AI1246" t="str" cm="1">
        <f t="array" ref="AI1246">_xlfn.IFS(O1246=1,"Low",O1246=2,"Medium",O1246=3,"High",O1246=4,"Very High")</f>
        <v>Low</v>
      </c>
      <c r="AJ1246" t="str" cm="1">
        <f t="array" ref="AJ1246">_xlfn.IFS(U1246=1,"Low",U1246=2,"Good",U1246=3,"Excellent",U1246=4,"Outstanding")</f>
        <v>Excellent</v>
      </c>
      <c r="AK1246" t="str" cm="1">
        <f t="array" ref="AK1246">_xlfn.IFS(V1246=1,"Low",V1246=2,"Medium",V1246=3,"High",V1246=4,"Very High")</f>
        <v>Very High</v>
      </c>
      <c r="AL1246" t="str" cm="1">
        <f t="array" ref="AL1246">_xlfn.IFS(Z1246=1,"Bad",Z1246=2,"Good",Z1246=3,"Better",Z1246=4,"Best")</f>
        <v>Better</v>
      </c>
      <c r="AM1246" t="str" cm="1">
        <f t="array" ref="AM1246">_xlfn.IFS(W1246=0,"No_stock",W1246=1,"Low",W1246=2,"Medium",W1246=3,"High")</f>
        <v>No_stock</v>
      </c>
      <c r="AN1246" t="str">
        <f t="shared" si="19"/>
        <v>Near</v>
      </c>
    </row>
    <row r="1247" spans="1:40" x14ac:dyDescent="0.45">
      <c r="A1247">
        <v>24</v>
      </c>
      <c r="B1247" t="s">
        <v>37</v>
      </c>
      <c r="C1247" t="s">
        <v>38</v>
      </c>
      <c r="D1247">
        <v>897</v>
      </c>
      <c r="E1247" t="s">
        <v>55</v>
      </c>
      <c r="F1247">
        <v>10</v>
      </c>
      <c r="G1247">
        <v>3</v>
      </c>
      <c r="H1247" t="s">
        <v>45</v>
      </c>
      <c r="I1247">
        <v>1746</v>
      </c>
      <c r="J1247">
        <v>1</v>
      </c>
      <c r="K1247" t="s">
        <v>40</v>
      </c>
      <c r="L1247">
        <v>3</v>
      </c>
      <c r="M1247">
        <v>1</v>
      </c>
      <c r="N1247" t="s">
        <v>55</v>
      </c>
      <c r="O1247">
        <v>4</v>
      </c>
      <c r="P1247" t="s">
        <v>42</v>
      </c>
      <c r="Q1247">
        <v>2145</v>
      </c>
      <c r="R1247">
        <v>0</v>
      </c>
      <c r="S1247" t="s">
        <v>37</v>
      </c>
      <c r="T1247">
        <v>14</v>
      </c>
      <c r="U1247">
        <v>3</v>
      </c>
      <c r="V1247">
        <v>4</v>
      </c>
      <c r="W1247">
        <v>1</v>
      </c>
      <c r="X1247">
        <v>3</v>
      </c>
      <c r="Y1247">
        <v>2</v>
      </c>
      <c r="Z1247">
        <v>3</v>
      </c>
      <c r="AA1247">
        <v>2</v>
      </c>
      <c r="AB1247">
        <v>2</v>
      </c>
      <c r="AC1247">
        <v>2</v>
      </c>
      <c r="AD1247">
        <v>1</v>
      </c>
      <c r="AE1247" t="str" cm="1">
        <f t="array" ref="AE1247">_xlfn.IFS(G1247=1,"Before College",G1247=2,"College",G1247=3,"Bachelor",G1247=4,"Master",G1247=5,"Doctor")</f>
        <v>Bachelor</v>
      </c>
      <c r="AF1247" t="str" cm="1">
        <f t="array" ref="AF1247">_xlfn.IFS(J1247=1,"Low",J1247=2,"Medium",J1247=3,"High",J1247=4,"Very High")</f>
        <v>Low</v>
      </c>
      <c r="AG1247" t="str" cm="1">
        <f t="array" ref="AG1247">_xlfn.IFS(L1247=1,"Low",L1247=2,"Medium",L1247=3,"High",L1247=4,"Very High")</f>
        <v>High</v>
      </c>
      <c r="AH1247" t="str" cm="1">
        <f t="array" ref="AH1247">_xlfn.IFS(M1247=1,"Junior employee",M1247=2,"Mid-level",M1247=3,"Senior",M1247=4,"Manager",M1247=5,"Executive")</f>
        <v>Junior employee</v>
      </c>
      <c r="AI1247" t="str" cm="1">
        <f t="array" ref="AI1247">_xlfn.IFS(O1247=1,"Low",O1247=2,"Medium",O1247=3,"High",O1247=4,"Very High")</f>
        <v>Very High</v>
      </c>
      <c r="AJ1247" t="str" cm="1">
        <f t="array" ref="AJ1247">_xlfn.IFS(U1247=1,"Low",U1247=2,"Good",U1247=3,"Excellent",U1247=4,"Outstanding")</f>
        <v>Excellent</v>
      </c>
      <c r="AK1247" t="str" cm="1">
        <f t="array" ref="AK1247">_xlfn.IFS(V1247=1,"Low",V1247=2,"Medium",V1247=3,"High",V1247=4,"Very High")</f>
        <v>Very High</v>
      </c>
      <c r="AL1247" t="str" cm="1">
        <f t="array" ref="AL1247">_xlfn.IFS(Z1247=1,"Bad",Z1247=2,"Good",Z1247=3,"Better",Z1247=4,"Best")</f>
        <v>Better</v>
      </c>
      <c r="AM1247" t="str" cm="1">
        <f t="array" ref="AM1247">_xlfn.IFS(W1247=0,"No_stock",W1247=1,"Low",W1247=2,"Medium",W1247=3,"High")</f>
        <v>Low</v>
      </c>
      <c r="AN1247" t="str">
        <f t="shared" si="19"/>
        <v>Medium</v>
      </c>
    </row>
    <row r="1248" spans="1:40" x14ac:dyDescent="0.45">
      <c r="A1248">
        <v>30</v>
      </c>
      <c r="B1248" t="s">
        <v>30</v>
      </c>
      <c r="C1248" t="s">
        <v>38</v>
      </c>
      <c r="D1248">
        <v>600</v>
      </c>
      <c r="E1248" t="s">
        <v>55</v>
      </c>
      <c r="F1248">
        <v>8</v>
      </c>
      <c r="G1248">
        <v>3</v>
      </c>
      <c r="H1248" t="s">
        <v>55</v>
      </c>
      <c r="I1248">
        <v>1747</v>
      </c>
      <c r="J1248">
        <v>3</v>
      </c>
      <c r="K1248" t="s">
        <v>34</v>
      </c>
      <c r="L1248">
        <v>2</v>
      </c>
      <c r="M1248">
        <v>1</v>
      </c>
      <c r="N1248" t="s">
        <v>55</v>
      </c>
      <c r="O1248">
        <v>4</v>
      </c>
      <c r="P1248" t="s">
        <v>46</v>
      </c>
      <c r="Q1248">
        <v>2180</v>
      </c>
      <c r="R1248">
        <v>6</v>
      </c>
      <c r="S1248" t="s">
        <v>37</v>
      </c>
      <c r="T1248">
        <v>11</v>
      </c>
      <c r="U1248">
        <v>3</v>
      </c>
      <c r="V1248">
        <v>3</v>
      </c>
      <c r="W1248">
        <v>1</v>
      </c>
      <c r="X1248">
        <v>6</v>
      </c>
      <c r="Y1248">
        <v>0</v>
      </c>
      <c r="Z1248">
        <v>2</v>
      </c>
      <c r="AA1248">
        <v>4</v>
      </c>
      <c r="AB1248">
        <v>2</v>
      </c>
      <c r="AC1248">
        <v>1</v>
      </c>
      <c r="AD1248">
        <v>2</v>
      </c>
      <c r="AE1248" t="str" cm="1">
        <f t="array" ref="AE1248">_xlfn.IFS(G1248=1,"Before College",G1248=2,"College",G1248=3,"Bachelor",G1248=4,"Master",G1248=5,"Doctor")</f>
        <v>Bachelor</v>
      </c>
      <c r="AF1248" t="str" cm="1">
        <f t="array" ref="AF1248">_xlfn.IFS(J1248=1,"Low",J1248=2,"Medium",J1248=3,"High",J1248=4,"Very High")</f>
        <v>High</v>
      </c>
      <c r="AG1248" t="str" cm="1">
        <f t="array" ref="AG1248">_xlfn.IFS(L1248=1,"Low",L1248=2,"Medium",L1248=3,"High",L1248=4,"Very High")</f>
        <v>Medium</v>
      </c>
      <c r="AH1248" t="str" cm="1">
        <f t="array" ref="AH1248">_xlfn.IFS(M1248=1,"Junior employee",M1248=2,"Mid-level",M1248=3,"Senior",M1248=4,"Manager",M1248=5,"Executive")</f>
        <v>Junior employee</v>
      </c>
      <c r="AI1248" t="str" cm="1">
        <f t="array" ref="AI1248">_xlfn.IFS(O1248=1,"Low",O1248=2,"Medium",O1248=3,"High",O1248=4,"Very High")</f>
        <v>Very High</v>
      </c>
      <c r="AJ1248" t="str" cm="1">
        <f t="array" ref="AJ1248">_xlfn.IFS(U1248=1,"Low",U1248=2,"Good",U1248=3,"Excellent",U1248=4,"Outstanding")</f>
        <v>Excellent</v>
      </c>
      <c r="AK1248" t="str" cm="1">
        <f t="array" ref="AK1248">_xlfn.IFS(V1248=1,"Low",V1248=2,"Medium",V1248=3,"High",V1248=4,"Very High")</f>
        <v>High</v>
      </c>
      <c r="AL1248" t="str" cm="1">
        <f t="array" ref="AL1248">_xlfn.IFS(Z1248=1,"Bad",Z1248=2,"Good",Z1248=3,"Better",Z1248=4,"Best")</f>
        <v>Good</v>
      </c>
      <c r="AM1248" t="str" cm="1">
        <f t="array" ref="AM1248">_xlfn.IFS(W1248=0,"No_stock",W1248=1,"Low",W1248=2,"Medium",W1248=3,"High")</f>
        <v>Low</v>
      </c>
      <c r="AN1248" t="str">
        <f t="shared" si="19"/>
        <v>Medium</v>
      </c>
    </row>
    <row r="1249" spans="1:40" x14ac:dyDescent="0.45">
      <c r="A1249">
        <v>31</v>
      </c>
      <c r="B1249" t="s">
        <v>37</v>
      </c>
      <c r="C1249" t="s">
        <v>31</v>
      </c>
      <c r="D1249">
        <v>1003</v>
      </c>
      <c r="E1249" t="s">
        <v>32</v>
      </c>
      <c r="F1249">
        <v>5</v>
      </c>
      <c r="G1249">
        <v>3</v>
      </c>
      <c r="H1249" t="s">
        <v>54</v>
      </c>
      <c r="I1249">
        <v>1749</v>
      </c>
      <c r="J1249">
        <v>1</v>
      </c>
      <c r="K1249" t="s">
        <v>40</v>
      </c>
      <c r="L1249">
        <v>3</v>
      </c>
      <c r="M1249">
        <v>2</v>
      </c>
      <c r="N1249" t="s">
        <v>35</v>
      </c>
      <c r="O1249">
        <v>3</v>
      </c>
      <c r="P1249" t="s">
        <v>42</v>
      </c>
      <c r="Q1249">
        <v>8346</v>
      </c>
      <c r="R1249">
        <v>1</v>
      </c>
      <c r="S1249" t="s">
        <v>37</v>
      </c>
      <c r="T1249">
        <v>19</v>
      </c>
      <c r="U1249">
        <v>3</v>
      </c>
      <c r="V1249">
        <v>3</v>
      </c>
      <c r="W1249">
        <v>1</v>
      </c>
      <c r="X1249">
        <v>6</v>
      </c>
      <c r="Y1249">
        <v>3</v>
      </c>
      <c r="Z1249">
        <v>3</v>
      </c>
      <c r="AA1249">
        <v>5</v>
      </c>
      <c r="AB1249">
        <v>2</v>
      </c>
      <c r="AC1249">
        <v>0</v>
      </c>
      <c r="AD1249">
        <v>2</v>
      </c>
      <c r="AE1249" t="str" cm="1">
        <f t="array" ref="AE1249">_xlfn.IFS(G1249=1,"Before College",G1249=2,"College",G1249=3,"Bachelor",G1249=4,"Master",G1249=5,"Doctor")</f>
        <v>Bachelor</v>
      </c>
      <c r="AF1249" t="str" cm="1">
        <f t="array" ref="AF1249">_xlfn.IFS(J1249=1,"Low",J1249=2,"Medium",J1249=3,"High",J1249=4,"Very High")</f>
        <v>Low</v>
      </c>
      <c r="AG1249" t="str" cm="1">
        <f t="array" ref="AG1249">_xlfn.IFS(L1249=1,"Low",L1249=2,"Medium",L1249=3,"High",L1249=4,"Very High")</f>
        <v>High</v>
      </c>
      <c r="AH1249" t="str" cm="1">
        <f t="array" ref="AH1249">_xlfn.IFS(M1249=1,"Junior employee",M1249=2,"Mid-level",M1249=3,"Senior",M1249=4,"Manager",M1249=5,"Executive")</f>
        <v>Mid-level</v>
      </c>
      <c r="AI1249" t="str" cm="1">
        <f t="array" ref="AI1249">_xlfn.IFS(O1249=1,"Low",O1249=2,"Medium",O1249=3,"High",O1249=4,"Very High")</f>
        <v>High</v>
      </c>
      <c r="AJ1249" t="str" cm="1">
        <f t="array" ref="AJ1249">_xlfn.IFS(U1249=1,"Low",U1249=2,"Good",U1249=3,"Excellent",U1249=4,"Outstanding")</f>
        <v>Excellent</v>
      </c>
      <c r="AK1249" t="str" cm="1">
        <f t="array" ref="AK1249">_xlfn.IFS(V1249=1,"Low",V1249=2,"Medium",V1249=3,"High",V1249=4,"Very High")</f>
        <v>High</v>
      </c>
      <c r="AL1249" t="str" cm="1">
        <f t="array" ref="AL1249">_xlfn.IFS(Z1249=1,"Bad",Z1249=2,"Good",Z1249=3,"Better",Z1249=4,"Best")</f>
        <v>Better</v>
      </c>
      <c r="AM1249" t="str" cm="1">
        <f t="array" ref="AM1249">_xlfn.IFS(W1249=0,"No_stock",W1249=1,"Low",W1249=2,"Medium",W1249=3,"High")</f>
        <v>Low</v>
      </c>
      <c r="AN1249" t="str">
        <f t="shared" si="19"/>
        <v>Near</v>
      </c>
    </row>
    <row r="1250" spans="1:40" x14ac:dyDescent="0.45">
      <c r="A1250">
        <v>27</v>
      </c>
      <c r="B1250" t="s">
        <v>37</v>
      </c>
      <c r="C1250" t="s">
        <v>31</v>
      </c>
      <c r="D1250">
        <v>1054</v>
      </c>
      <c r="E1250" t="s">
        <v>39</v>
      </c>
      <c r="F1250">
        <v>8</v>
      </c>
      <c r="G1250">
        <v>3</v>
      </c>
      <c r="H1250" t="s">
        <v>45</v>
      </c>
      <c r="I1250">
        <v>1751</v>
      </c>
      <c r="J1250">
        <v>3</v>
      </c>
      <c r="K1250" t="s">
        <v>34</v>
      </c>
      <c r="L1250">
        <v>3</v>
      </c>
      <c r="M1250">
        <v>1</v>
      </c>
      <c r="N1250" t="s">
        <v>41</v>
      </c>
      <c r="O1250">
        <v>4</v>
      </c>
      <c r="P1250" t="s">
        <v>36</v>
      </c>
      <c r="Q1250">
        <v>3445</v>
      </c>
      <c r="R1250">
        <v>1</v>
      </c>
      <c r="S1250" t="s">
        <v>37</v>
      </c>
      <c r="T1250">
        <v>11</v>
      </c>
      <c r="U1250">
        <v>3</v>
      </c>
      <c r="V1250">
        <v>3</v>
      </c>
      <c r="W1250">
        <v>0</v>
      </c>
      <c r="X1250">
        <v>6</v>
      </c>
      <c r="Y1250">
        <v>5</v>
      </c>
      <c r="Z1250">
        <v>2</v>
      </c>
      <c r="AA1250">
        <v>6</v>
      </c>
      <c r="AB1250">
        <v>2</v>
      </c>
      <c r="AC1250">
        <v>1</v>
      </c>
      <c r="AD1250">
        <v>4</v>
      </c>
      <c r="AE1250" t="str" cm="1">
        <f t="array" ref="AE1250">_xlfn.IFS(G1250=1,"Before College",G1250=2,"College",G1250=3,"Bachelor",G1250=4,"Master",G1250=5,"Doctor")</f>
        <v>Bachelor</v>
      </c>
      <c r="AF1250" t="str" cm="1">
        <f t="array" ref="AF1250">_xlfn.IFS(J1250=1,"Low",J1250=2,"Medium",J1250=3,"High",J1250=4,"Very High")</f>
        <v>High</v>
      </c>
      <c r="AG1250" t="str" cm="1">
        <f t="array" ref="AG1250">_xlfn.IFS(L1250=1,"Low",L1250=2,"Medium",L1250=3,"High",L1250=4,"Very High")</f>
        <v>High</v>
      </c>
      <c r="AH1250" t="str" cm="1">
        <f t="array" ref="AH1250">_xlfn.IFS(M1250=1,"Junior employee",M1250=2,"Mid-level",M1250=3,"Senior",M1250=4,"Manager",M1250=5,"Executive")</f>
        <v>Junior employee</v>
      </c>
      <c r="AI1250" t="str" cm="1">
        <f t="array" ref="AI1250">_xlfn.IFS(O1250=1,"Low",O1250=2,"Medium",O1250=3,"High",O1250=4,"Very High")</f>
        <v>Very High</v>
      </c>
      <c r="AJ1250" t="str" cm="1">
        <f t="array" ref="AJ1250">_xlfn.IFS(U1250=1,"Low",U1250=2,"Good",U1250=3,"Excellent",U1250=4,"Outstanding")</f>
        <v>Excellent</v>
      </c>
      <c r="AK1250" t="str" cm="1">
        <f t="array" ref="AK1250">_xlfn.IFS(V1250=1,"Low",V1250=2,"Medium",V1250=3,"High",V1250=4,"Very High")</f>
        <v>High</v>
      </c>
      <c r="AL1250" t="str" cm="1">
        <f t="array" ref="AL1250">_xlfn.IFS(Z1250=1,"Bad",Z1250=2,"Good",Z1250=3,"Better",Z1250=4,"Best")</f>
        <v>Good</v>
      </c>
      <c r="AM1250" t="str" cm="1">
        <f t="array" ref="AM1250">_xlfn.IFS(W1250=0,"No_stock",W1250=1,"Low",W1250=2,"Medium",W1250=3,"High")</f>
        <v>No_stock</v>
      </c>
      <c r="AN1250" t="str">
        <f t="shared" si="19"/>
        <v>Medium</v>
      </c>
    </row>
    <row r="1251" spans="1:40" x14ac:dyDescent="0.45">
      <c r="A1251">
        <v>29</v>
      </c>
      <c r="B1251" t="s">
        <v>30</v>
      </c>
      <c r="C1251" t="s">
        <v>31</v>
      </c>
      <c r="D1251">
        <v>428</v>
      </c>
      <c r="E1251" t="s">
        <v>32</v>
      </c>
      <c r="F1251">
        <v>9</v>
      </c>
      <c r="G1251">
        <v>3</v>
      </c>
      <c r="H1251" t="s">
        <v>53</v>
      </c>
      <c r="I1251">
        <v>1752</v>
      </c>
      <c r="J1251">
        <v>2</v>
      </c>
      <c r="K1251" t="s">
        <v>34</v>
      </c>
      <c r="L1251">
        <v>1</v>
      </c>
      <c r="M1251">
        <v>1</v>
      </c>
      <c r="N1251" t="s">
        <v>51</v>
      </c>
      <c r="O1251">
        <v>2</v>
      </c>
      <c r="P1251" t="s">
        <v>36</v>
      </c>
      <c r="Q1251">
        <v>2760</v>
      </c>
      <c r="R1251">
        <v>1</v>
      </c>
      <c r="S1251" t="s">
        <v>37</v>
      </c>
      <c r="T1251">
        <v>13</v>
      </c>
      <c r="U1251">
        <v>3</v>
      </c>
      <c r="V1251">
        <v>3</v>
      </c>
      <c r="W1251">
        <v>0</v>
      </c>
      <c r="X1251">
        <v>2</v>
      </c>
      <c r="Y1251">
        <v>3</v>
      </c>
      <c r="Z1251">
        <v>3</v>
      </c>
      <c r="AA1251">
        <v>2</v>
      </c>
      <c r="AB1251">
        <v>2</v>
      </c>
      <c r="AC1251">
        <v>2</v>
      </c>
      <c r="AD1251">
        <v>2</v>
      </c>
      <c r="AE1251" t="str" cm="1">
        <f t="array" ref="AE1251">_xlfn.IFS(G1251=1,"Before College",G1251=2,"College",G1251=3,"Bachelor",G1251=4,"Master",G1251=5,"Doctor")</f>
        <v>Bachelor</v>
      </c>
      <c r="AF1251" t="str" cm="1">
        <f t="array" ref="AF1251">_xlfn.IFS(J1251=1,"Low",J1251=2,"Medium",J1251=3,"High",J1251=4,"Very High")</f>
        <v>Medium</v>
      </c>
      <c r="AG1251" t="str" cm="1">
        <f t="array" ref="AG1251">_xlfn.IFS(L1251=1,"Low",L1251=2,"Medium",L1251=3,"High",L1251=4,"Very High")</f>
        <v>Low</v>
      </c>
      <c r="AH1251" t="str" cm="1">
        <f t="array" ref="AH1251">_xlfn.IFS(M1251=1,"Junior employee",M1251=2,"Mid-level",M1251=3,"Senior",M1251=4,"Manager",M1251=5,"Executive")</f>
        <v>Junior employee</v>
      </c>
      <c r="AI1251" t="str" cm="1">
        <f t="array" ref="AI1251">_xlfn.IFS(O1251=1,"Low",O1251=2,"Medium",O1251=3,"High",O1251=4,"Very High")</f>
        <v>Medium</v>
      </c>
      <c r="AJ1251" t="str" cm="1">
        <f t="array" ref="AJ1251">_xlfn.IFS(U1251=1,"Low",U1251=2,"Good",U1251=3,"Excellent",U1251=4,"Outstanding")</f>
        <v>Excellent</v>
      </c>
      <c r="AK1251" t="str" cm="1">
        <f t="array" ref="AK1251">_xlfn.IFS(V1251=1,"Low",V1251=2,"Medium",V1251=3,"High",V1251=4,"Very High")</f>
        <v>High</v>
      </c>
      <c r="AL1251" t="str" cm="1">
        <f t="array" ref="AL1251">_xlfn.IFS(Z1251=1,"Bad",Z1251=2,"Good",Z1251=3,"Better",Z1251=4,"Best")</f>
        <v>Better</v>
      </c>
      <c r="AM1251" t="str" cm="1">
        <f t="array" ref="AM1251">_xlfn.IFS(W1251=0,"No_stock",W1251=1,"Low",W1251=2,"Medium",W1251=3,"High")</f>
        <v>No_stock</v>
      </c>
      <c r="AN1251" t="str">
        <f t="shared" si="19"/>
        <v>Medium</v>
      </c>
    </row>
    <row r="1252" spans="1:40" x14ac:dyDescent="0.45">
      <c r="A1252">
        <v>29</v>
      </c>
      <c r="B1252" t="s">
        <v>37</v>
      </c>
      <c r="C1252" t="s">
        <v>38</v>
      </c>
      <c r="D1252">
        <v>461</v>
      </c>
      <c r="E1252" t="s">
        <v>39</v>
      </c>
      <c r="F1252">
        <v>1</v>
      </c>
      <c r="G1252">
        <v>3</v>
      </c>
      <c r="H1252" t="s">
        <v>33</v>
      </c>
      <c r="I1252">
        <v>1753</v>
      </c>
      <c r="J1252">
        <v>4</v>
      </c>
      <c r="K1252" t="s">
        <v>40</v>
      </c>
      <c r="L1252">
        <v>4</v>
      </c>
      <c r="M1252">
        <v>2</v>
      </c>
      <c r="N1252" t="s">
        <v>48</v>
      </c>
      <c r="O1252">
        <v>3</v>
      </c>
      <c r="P1252" t="s">
        <v>36</v>
      </c>
      <c r="Q1252">
        <v>6294</v>
      </c>
      <c r="R1252">
        <v>8</v>
      </c>
      <c r="S1252" t="s">
        <v>30</v>
      </c>
      <c r="T1252">
        <v>12</v>
      </c>
      <c r="U1252">
        <v>3</v>
      </c>
      <c r="V1252">
        <v>4</v>
      </c>
      <c r="W1252">
        <v>0</v>
      </c>
      <c r="X1252">
        <v>10</v>
      </c>
      <c r="Y1252">
        <v>5</v>
      </c>
      <c r="Z1252">
        <v>4</v>
      </c>
      <c r="AA1252">
        <v>3</v>
      </c>
      <c r="AB1252">
        <v>2</v>
      </c>
      <c r="AC1252">
        <v>0</v>
      </c>
      <c r="AD1252">
        <v>2</v>
      </c>
      <c r="AE1252" t="str" cm="1">
        <f t="array" ref="AE1252">_xlfn.IFS(G1252=1,"Before College",G1252=2,"College",G1252=3,"Bachelor",G1252=4,"Master",G1252=5,"Doctor")</f>
        <v>Bachelor</v>
      </c>
      <c r="AF1252" t="str" cm="1">
        <f t="array" ref="AF1252">_xlfn.IFS(J1252=1,"Low",J1252=2,"Medium",J1252=3,"High",J1252=4,"Very High")</f>
        <v>Very High</v>
      </c>
      <c r="AG1252" t="str" cm="1">
        <f t="array" ref="AG1252">_xlfn.IFS(L1252=1,"Low",L1252=2,"Medium",L1252=3,"High",L1252=4,"Very High")</f>
        <v>Very High</v>
      </c>
      <c r="AH1252" t="str" cm="1">
        <f t="array" ref="AH1252">_xlfn.IFS(M1252=1,"Junior employee",M1252=2,"Mid-level",M1252=3,"Senior",M1252=4,"Manager",M1252=5,"Executive")</f>
        <v>Mid-level</v>
      </c>
      <c r="AI1252" t="str" cm="1">
        <f t="array" ref="AI1252">_xlfn.IFS(O1252=1,"Low",O1252=2,"Medium",O1252=3,"High",O1252=4,"Very High")</f>
        <v>High</v>
      </c>
      <c r="AJ1252" t="str" cm="1">
        <f t="array" ref="AJ1252">_xlfn.IFS(U1252=1,"Low",U1252=2,"Good",U1252=3,"Excellent",U1252=4,"Outstanding")</f>
        <v>Excellent</v>
      </c>
      <c r="AK1252" t="str" cm="1">
        <f t="array" ref="AK1252">_xlfn.IFS(V1252=1,"Low",V1252=2,"Medium",V1252=3,"High",V1252=4,"Very High")</f>
        <v>Very High</v>
      </c>
      <c r="AL1252" t="str" cm="1">
        <f t="array" ref="AL1252">_xlfn.IFS(Z1252=1,"Bad",Z1252=2,"Good",Z1252=3,"Better",Z1252=4,"Best")</f>
        <v>Best</v>
      </c>
      <c r="AM1252" t="str" cm="1">
        <f t="array" ref="AM1252">_xlfn.IFS(W1252=0,"No_stock",W1252=1,"Low",W1252=2,"Medium",W1252=3,"High")</f>
        <v>No_stock</v>
      </c>
      <c r="AN1252" t="str">
        <f t="shared" si="19"/>
        <v>Near</v>
      </c>
    </row>
    <row r="1253" spans="1:40" x14ac:dyDescent="0.45">
      <c r="A1253">
        <v>30</v>
      </c>
      <c r="B1253" t="s">
        <v>37</v>
      </c>
      <c r="C1253" t="s">
        <v>31</v>
      </c>
      <c r="D1253">
        <v>979</v>
      </c>
      <c r="E1253" t="s">
        <v>32</v>
      </c>
      <c r="F1253">
        <v>15</v>
      </c>
      <c r="G1253">
        <v>2</v>
      </c>
      <c r="H1253" t="s">
        <v>53</v>
      </c>
      <c r="I1253">
        <v>1754</v>
      </c>
      <c r="J1253">
        <v>3</v>
      </c>
      <c r="K1253" t="s">
        <v>40</v>
      </c>
      <c r="L1253">
        <v>2</v>
      </c>
      <c r="M1253">
        <v>3</v>
      </c>
      <c r="N1253" t="s">
        <v>35</v>
      </c>
      <c r="O1253">
        <v>1</v>
      </c>
      <c r="P1253" t="s">
        <v>46</v>
      </c>
      <c r="Q1253">
        <v>7140</v>
      </c>
      <c r="R1253">
        <v>2</v>
      </c>
      <c r="S1253" t="s">
        <v>37</v>
      </c>
      <c r="T1253">
        <v>11</v>
      </c>
      <c r="U1253">
        <v>3</v>
      </c>
      <c r="V1253">
        <v>1</v>
      </c>
      <c r="W1253">
        <v>1</v>
      </c>
      <c r="X1253">
        <v>12</v>
      </c>
      <c r="Y1253">
        <v>2</v>
      </c>
      <c r="Z1253">
        <v>3</v>
      </c>
      <c r="AA1253">
        <v>7</v>
      </c>
      <c r="AB1253">
        <v>7</v>
      </c>
      <c r="AC1253">
        <v>1</v>
      </c>
      <c r="AD1253">
        <v>7</v>
      </c>
      <c r="AE1253" t="str" cm="1">
        <f t="array" ref="AE1253">_xlfn.IFS(G1253=1,"Before College",G1253=2,"College",G1253=3,"Bachelor",G1253=4,"Master",G1253=5,"Doctor")</f>
        <v>College</v>
      </c>
      <c r="AF1253" t="str" cm="1">
        <f t="array" ref="AF1253">_xlfn.IFS(J1253=1,"Low",J1253=2,"Medium",J1253=3,"High",J1253=4,"Very High")</f>
        <v>High</v>
      </c>
      <c r="AG1253" t="str" cm="1">
        <f t="array" ref="AG1253">_xlfn.IFS(L1253=1,"Low",L1253=2,"Medium",L1253=3,"High",L1253=4,"Very High")</f>
        <v>Medium</v>
      </c>
      <c r="AH1253" t="str" cm="1">
        <f t="array" ref="AH1253">_xlfn.IFS(M1253=1,"Junior employee",M1253=2,"Mid-level",M1253=3,"Senior",M1253=4,"Manager",M1253=5,"Executive")</f>
        <v>Senior</v>
      </c>
      <c r="AI1253" t="str" cm="1">
        <f t="array" ref="AI1253">_xlfn.IFS(O1253=1,"Low",O1253=2,"Medium",O1253=3,"High",O1253=4,"Very High")</f>
        <v>Low</v>
      </c>
      <c r="AJ1253" t="str" cm="1">
        <f t="array" ref="AJ1253">_xlfn.IFS(U1253=1,"Low",U1253=2,"Good",U1253=3,"Excellent",U1253=4,"Outstanding")</f>
        <v>Excellent</v>
      </c>
      <c r="AK1253" t="str" cm="1">
        <f t="array" ref="AK1253">_xlfn.IFS(V1253=1,"Low",V1253=2,"Medium",V1253=3,"High",V1253=4,"Very High")</f>
        <v>Low</v>
      </c>
      <c r="AL1253" t="str" cm="1">
        <f t="array" ref="AL1253">_xlfn.IFS(Z1253=1,"Bad",Z1253=2,"Good",Z1253=3,"Better",Z1253=4,"Best")</f>
        <v>Better</v>
      </c>
      <c r="AM1253" t="str" cm="1">
        <f t="array" ref="AM1253">_xlfn.IFS(W1253=0,"No_stock",W1253=1,"Low",W1253=2,"Medium",W1253=3,"High")</f>
        <v>Low</v>
      </c>
      <c r="AN1253" t="str">
        <f t="shared" si="19"/>
        <v>Medium</v>
      </c>
    </row>
    <row r="1254" spans="1:40" x14ac:dyDescent="0.45">
      <c r="A1254">
        <v>34</v>
      </c>
      <c r="B1254" t="s">
        <v>37</v>
      </c>
      <c r="C1254" t="s">
        <v>31</v>
      </c>
      <c r="D1254">
        <v>181</v>
      </c>
      <c r="E1254" t="s">
        <v>39</v>
      </c>
      <c r="F1254">
        <v>2</v>
      </c>
      <c r="G1254">
        <v>4</v>
      </c>
      <c r="H1254" t="s">
        <v>45</v>
      </c>
      <c r="I1254">
        <v>1755</v>
      </c>
      <c r="J1254">
        <v>4</v>
      </c>
      <c r="K1254" t="s">
        <v>40</v>
      </c>
      <c r="L1254">
        <v>4</v>
      </c>
      <c r="M1254">
        <v>1</v>
      </c>
      <c r="N1254" t="s">
        <v>41</v>
      </c>
      <c r="O1254">
        <v>4</v>
      </c>
      <c r="P1254" t="s">
        <v>42</v>
      </c>
      <c r="Q1254">
        <v>2932</v>
      </c>
      <c r="R1254">
        <v>0</v>
      </c>
      <c r="S1254" t="s">
        <v>30</v>
      </c>
      <c r="T1254">
        <v>14</v>
      </c>
      <c r="U1254">
        <v>3</v>
      </c>
      <c r="V1254">
        <v>1</v>
      </c>
      <c r="W1254">
        <v>3</v>
      </c>
      <c r="X1254">
        <v>6</v>
      </c>
      <c r="Y1254">
        <v>3</v>
      </c>
      <c r="Z1254">
        <v>3</v>
      </c>
      <c r="AA1254">
        <v>5</v>
      </c>
      <c r="AB1254">
        <v>0</v>
      </c>
      <c r="AC1254">
        <v>1</v>
      </c>
      <c r="AD1254">
        <v>2</v>
      </c>
      <c r="AE1254" t="str" cm="1">
        <f t="array" ref="AE1254">_xlfn.IFS(G1254=1,"Before College",G1254=2,"College",G1254=3,"Bachelor",G1254=4,"Master",G1254=5,"Doctor")</f>
        <v>Master</v>
      </c>
      <c r="AF1254" t="str" cm="1">
        <f t="array" ref="AF1254">_xlfn.IFS(J1254=1,"Low",J1254=2,"Medium",J1254=3,"High",J1254=4,"Very High")</f>
        <v>Very High</v>
      </c>
      <c r="AG1254" t="str" cm="1">
        <f t="array" ref="AG1254">_xlfn.IFS(L1254=1,"Low",L1254=2,"Medium",L1254=3,"High",L1254=4,"Very High")</f>
        <v>Very High</v>
      </c>
      <c r="AH1254" t="str" cm="1">
        <f t="array" ref="AH1254">_xlfn.IFS(M1254=1,"Junior employee",M1254=2,"Mid-level",M1254=3,"Senior",M1254=4,"Manager",M1254=5,"Executive")</f>
        <v>Junior employee</v>
      </c>
      <c r="AI1254" t="str" cm="1">
        <f t="array" ref="AI1254">_xlfn.IFS(O1254=1,"Low",O1254=2,"Medium",O1254=3,"High",O1254=4,"Very High")</f>
        <v>Very High</v>
      </c>
      <c r="AJ1254" t="str" cm="1">
        <f t="array" ref="AJ1254">_xlfn.IFS(U1254=1,"Low",U1254=2,"Good",U1254=3,"Excellent",U1254=4,"Outstanding")</f>
        <v>Excellent</v>
      </c>
      <c r="AK1254" t="str" cm="1">
        <f t="array" ref="AK1254">_xlfn.IFS(V1254=1,"Low",V1254=2,"Medium",V1254=3,"High",V1254=4,"Very High")</f>
        <v>Low</v>
      </c>
      <c r="AL1254" t="str" cm="1">
        <f t="array" ref="AL1254">_xlfn.IFS(Z1254=1,"Bad",Z1254=2,"Good",Z1254=3,"Better",Z1254=4,"Best")</f>
        <v>Better</v>
      </c>
      <c r="AM1254" t="str" cm="1">
        <f t="array" ref="AM1254">_xlfn.IFS(W1254=0,"No_stock",W1254=1,"Low",W1254=2,"Medium",W1254=3,"High")</f>
        <v>High</v>
      </c>
      <c r="AN1254" t="str">
        <f t="shared" si="19"/>
        <v>Near</v>
      </c>
    </row>
    <row r="1255" spans="1:40" x14ac:dyDescent="0.45">
      <c r="A1255">
        <v>33</v>
      </c>
      <c r="B1255" t="s">
        <v>37</v>
      </c>
      <c r="C1255" t="s">
        <v>49</v>
      </c>
      <c r="D1255">
        <v>1283</v>
      </c>
      <c r="E1255" t="s">
        <v>32</v>
      </c>
      <c r="F1255">
        <v>2</v>
      </c>
      <c r="G1255">
        <v>3</v>
      </c>
      <c r="H1255" t="s">
        <v>53</v>
      </c>
      <c r="I1255">
        <v>1756</v>
      </c>
      <c r="J1255">
        <v>4</v>
      </c>
      <c r="K1255" t="s">
        <v>34</v>
      </c>
      <c r="L1255">
        <v>3</v>
      </c>
      <c r="M1255">
        <v>2</v>
      </c>
      <c r="N1255" t="s">
        <v>35</v>
      </c>
      <c r="O1255">
        <v>2</v>
      </c>
      <c r="P1255" t="s">
        <v>36</v>
      </c>
      <c r="Q1255">
        <v>5147</v>
      </c>
      <c r="R1255">
        <v>8</v>
      </c>
      <c r="S1255" t="s">
        <v>37</v>
      </c>
      <c r="T1255">
        <v>15</v>
      </c>
      <c r="U1255">
        <v>3</v>
      </c>
      <c r="V1255">
        <v>4</v>
      </c>
      <c r="W1255">
        <v>0</v>
      </c>
      <c r="X1255">
        <v>13</v>
      </c>
      <c r="Y1255">
        <v>2</v>
      </c>
      <c r="Z1255">
        <v>2</v>
      </c>
      <c r="AA1255">
        <v>11</v>
      </c>
      <c r="AB1255">
        <v>7</v>
      </c>
      <c r="AC1255">
        <v>1</v>
      </c>
      <c r="AD1255">
        <v>7</v>
      </c>
      <c r="AE1255" t="str" cm="1">
        <f t="array" ref="AE1255">_xlfn.IFS(G1255=1,"Before College",G1255=2,"College",G1255=3,"Bachelor",G1255=4,"Master",G1255=5,"Doctor")</f>
        <v>Bachelor</v>
      </c>
      <c r="AF1255" t="str" cm="1">
        <f t="array" ref="AF1255">_xlfn.IFS(J1255=1,"Low",J1255=2,"Medium",J1255=3,"High",J1255=4,"Very High")</f>
        <v>Very High</v>
      </c>
      <c r="AG1255" t="str" cm="1">
        <f t="array" ref="AG1255">_xlfn.IFS(L1255=1,"Low",L1255=2,"Medium",L1255=3,"High",L1255=4,"Very High")</f>
        <v>High</v>
      </c>
      <c r="AH1255" t="str" cm="1">
        <f t="array" ref="AH1255">_xlfn.IFS(M1255=1,"Junior employee",M1255=2,"Mid-level",M1255=3,"Senior",M1255=4,"Manager",M1255=5,"Executive")</f>
        <v>Mid-level</v>
      </c>
      <c r="AI1255" t="str" cm="1">
        <f t="array" ref="AI1255">_xlfn.IFS(O1255=1,"Low",O1255=2,"Medium",O1255=3,"High",O1255=4,"Very High")</f>
        <v>Medium</v>
      </c>
      <c r="AJ1255" t="str" cm="1">
        <f t="array" ref="AJ1255">_xlfn.IFS(U1255=1,"Low",U1255=2,"Good",U1255=3,"Excellent",U1255=4,"Outstanding")</f>
        <v>Excellent</v>
      </c>
      <c r="AK1255" t="str" cm="1">
        <f t="array" ref="AK1255">_xlfn.IFS(V1255=1,"Low",V1255=2,"Medium",V1255=3,"High",V1255=4,"Very High")</f>
        <v>Very High</v>
      </c>
      <c r="AL1255" t="str" cm="1">
        <f t="array" ref="AL1255">_xlfn.IFS(Z1255=1,"Bad",Z1255=2,"Good",Z1255=3,"Better",Z1255=4,"Best")</f>
        <v>Good</v>
      </c>
      <c r="AM1255" t="str" cm="1">
        <f t="array" ref="AM1255">_xlfn.IFS(W1255=0,"No_stock",W1255=1,"Low",W1255=2,"Medium",W1255=3,"High")</f>
        <v>No_stock</v>
      </c>
      <c r="AN1255" t="str">
        <f t="shared" si="19"/>
        <v>Near</v>
      </c>
    </row>
    <row r="1256" spans="1:40" x14ac:dyDescent="0.45">
      <c r="A1256">
        <v>49</v>
      </c>
      <c r="B1256" t="s">
        <v>37</v>
      </c>
      <c r="C1256" t="s">
        <v>31</v>
      </c>
      <c r="D1256">
        <v>1313</v>
      </c>
      <c r="E1256" t="s">
        <v>32</v>
      </c>
      <c r="F1256">
        <v>11</v>
      </c>
      <c r="G1256">
        <v>4</v>
      </c>
      <c r="H1256" t="s">
        <v>53</v>
      </c>
      <c r="I1256">
        <v>1757</v>
      </c>
      <c r="J1256">
        <v>4</v>
      </c>
      <c r="K1256" t="s">
        <v>34</v>
      </c>
      <c r="L1256">
        <v>3</v>
      </c>
      <c r="M1256">
        <v>2</v>
      </c>
      <c r="N1256" t="s">
        <v>35</v>
      </c>
      <c r="O1256">
        <v>4</v>
      </c>
      <c r="P1256" t="s">
        <v>36</v>
      </c>
      <c r="Q1256">
        <v>4507</v>
      </c>
      <c r="R1256">
        <v>3</v>
      </c>
      <c r="S1256" t="s">
        <v>37</v>
      </c>
      <c r="T1256">
        <v>12</v>
      </c>
      <c r="U1256">
        <v>3</v>
      </c>
      <c r="V1256">
        <v>3</v>
      </c>
      <c r="W1256">
        <v>0</v>
      </c>
      <c r="X1256">
        <v>8</v>
      </c>
      <c r="Y1256">
        <v>1</v>
      </c>
      <c r="Z1256">
        <v>4</v>
      </c>
      <c r="AA1256">
        <v>5</v>
      </c>
      <c r="AB1256">
        <v>1</v>
      </c>
      <c r="AC1256">
        <v>0</v>
      </c>
      <c r="AD1256">
        <v>4</v>
      </c>
      <c r="AE1256" t="str" cm="1">
        <f t="array" ref="AE1256">_xlfn.IFS(G1256=1,"Before College",G1256=2,"College",G1256=3,"Bachelor",G1256=4,"Master",G1256=5,"Doctor")</f>
        <v>Master</v>
      </c>
      <c r="AF1256" t="str" cm="1">
        <f t="array" ref="AF1256">_xlfn.IFS(J1256=1,"Low",J1256=2,"Medium",J1256=3,"High",J1256=4,"Very High")</f>
        <v>Very High</v>
      </c>
      <c r="AG1256" t="str" cm="1">
        <f t="array" ref="AG1256">_xlfn.IFS(L1256=1,"Low",L1256=2,"Medium",L1256=3,"High",L1256=4,"Very High")</f>
        <v>High</v>
      </c>
      <c r="AH1256" t="str" cm="1">
        <f t="array" ref="AH1256">_xlfn.IFS(M1256=1,"Junior employee",M1256=2,"Mid-level",M1256=3,"Senior",M1256=4,"Manager",M1256=5,"Executive")</f>
        <v>Mid-level</v>
      </c>
      <c r="AI1256" t="str" cm="1">
        <f t="array" ref="AI1256">_xlfn.IFS(O1256=1,"Low",O1256=2,"Medium",O1256=3,"High",O1256=4,"Very High")</f>
        <v>Very High</v>
      </c>
      <c r="AJ1256" t="str" cm="1">
        <f t="array" ref="AJ1256">_xlfn.IFS(U1256=1,"Low",U1256=2,"Good",U1256=3,"Excellent",U1256=4,"Outstanding")</f>
        <v>Excellent</v>
      </c>
      <c r="AK1256" t="str" cm="1">
        <f t="array" ref="AK1256">_xlfn.IFS(V1256=1,"Low",V1256=2,"Medium",V1256=3,"High",V1256=4,"Very High")</f>
        <v>High</v>
      </c>
      <c r="AL1256" t="str" cm="1">
        <f t="array" ref="AL1256">_xlfn.IFS(Z1256=1,"Bad",Z1256=2,"Good",Z1256=3,"Better",Z1256=4,"Best")</f>
        <v>Best</v>
      </c>
      <c r="AM1256" t="str" cm="1">
        <f t="array" ref="AM1256">_xlfn.IFS(W1256=0,"No_stock",W1256=1,"Low",W1256=2,"Medium",W1256=3,"High")</f>
        <v>No_stock</v>
      </c>
      <c r="AN1256" t="str">
        <f t="shared" si="19"/>
        <v>Medium</v>
      </c>
    </row>
    <row r="1257" spans="1:40" x14ac:dyDescent="0.45">
      <c r="A1257">
        <v>33</v>
      </c>
      <c r="B1257" t="s">
        <v>30</v>
      </c>
      <c r="C1257" t="s">
        <v>31</v>
      </c>
      <c r="D1257">
        <v>211</v>
      </c>
      <c r="E1257" t="s">
        <v>32</v>
      </c>
      <c r="F1257">
        <v>16</v>
      </c>
      <c r="G1257">
        <v>3</v>
      </c>
      <c r="H1257" t="s">
        <v>33</v>
      </c>
      <c r="I1257">
        <v>1758</v>
      </c>
      <c r="J1257">
        <v>1</v>
      </c>
      <c r="K1257" t="s">
        <v>34</v>
      </c>
      <c r="L1257">
        <v>3</v>
      </c>
      <c r="M1257">
        <v>3</v>
      </c>
      <c r="N1257" t="s">
        <v>35</v>
      </c>
      <c r="O1257">
        <v>1</v>
      </c>
      <c r="P1257" t="s">
        <v>36</v>
      </c>
      <c r="Q1257">
        <v>8564</v>
      </c>
      <c r="R1257">
        <v>2</v>
      </c>
      <c r="S1257" t="s">
        <v>30</v>
      </c>
      <c r="T1257">
        <v>20</v>
      </c>
      <c r="U1257">
        <v>4</v>
      </c>
      <c r="V1257">
        <v>3</v>
      </c>
      <c r="W1257">
        <v>0</v>
      </c>
      <c r="X1257">
        <v>11</v>
      </c>
      <c r="Y1257">
        <v>2</v>
      </c>
      <c r="Z1257">
        <v>2</v>
      </c>
      <c r="AA1257">
        <v>0</v>
      </c>
      <c r="AB1257">
        <v>0</v>
      </c>
      <c r="AC1257">
        <v>0</v>
      </c>
      <c r="AD1257">
        <v>0</v>
      </c>
      <c r="AE1257" t="str" cm="1">
        <f t="array" ref="AE1257">_xlfn.IFS(G1257=1,"Before College",G1257=2,"College",G1257=3,"Bachelor",G1257=4,"Master",G1257=5,"Doctor")</f>
        <v>Bachelor</v>
      </c>
      <c r="AF1257" t="str" cm="1">
        <f t="array" ref="AF1257">_xlfn.IFS(J1257=1,"Low",J1257=2,"Medium",J1257=3,"High",J1257=4,"Very High")</f>
        <v>Low</v>
      </c>
      <c r="AG1257" t="str" cm="1">
        <f t="array" ref="AG1257">_xlfn.IFS(L1257=1,"Low",L1257=2,"Medium",L1257=3,"High",L1257=4,"Very High")</f>
        <v>High</v>
      </c>
      <c r="AH1257" t="str" cm="1">
        <f t="array" ref="AH1257">_xlfn.IFS(M1257=1,"Junior employee",M1257=2,"Mid-level",M1257=3,"Senior",M1257=4,"Manager",M1257=5,"Executive")</f>
        <v>Senior</v>
      </c>
      <c r="AI1257" t="str" cm="1">
        <f t="array" ref="AI1257">_xlfn.IFS(O1257=1,"Low",O1257=2,"Medium",O1257=3,"High",O1257=4,"Very High")</f>
        <v>Low</v>
      </c>
      <c r="AJ1257" t="str" cm="1">
        <f t="array" ref="AJ1257">_xlfn.IFS(U1257=1,"Low",U1257=2,"Good",U1257=3,"Excellent",U1257=4,"Outstanding")</f>
        <v>Outstanding</v>
      </c>
      <c r="AK1257" t="str" cm="1">
        <f t="array" ref="AK1257">_xlfn.IFS(V1257=1,"Low",V1257=2,"Medium",V1257=3,"High",V1257=4,"Very High")</f>
        <v>High</v>
      </c>
      <c r="AL1257" t="str" cm="1">
        <f t="array" ref="AL1257">_xlfn.IFS(Z1257=1,"Bad",Z1257=2,"Good",Z1257=3,"Better",Z1257=4,"Best")</f>
        <v>Good</v>
      </c>
      <c r="AM1257" t="str" cm="1">
        <f t="array" ref="AM1257">_xlfn.IFS(W1257=0,"No_stock",W1257=1,"Low",W1257=2,"Medium",W1257=3,"High")</f>
        <v>No_stock</v>
      </c>
      <c r="AN1257" t="str">
        <f t="shared" si="19"/>
        <v>Far</v>
      </c>
    </row>
    <row r="1258" spans="1:40" x14ac:dyDescent="0.45">
      <c r="A1258">
        <v>38</v>
      </c>
      <c r="B1258" t="s">
        <v>37</v>
      </c>
      <c r="C1258" t="s">
        <v>38</v>
      </c>
      <c r="D1258">
        <v>594</v>
      </c>
      <c r="E1258" t="s">
        <v>39</v>
      </c>
      <c r="F1258">
        <v>2</v>
      </c>
      <c r="G1258">
        <v>2</v>
      </c>
      <c r="H1258" t="s">
        <v>45</v>
      </c>
      <c r="I1258">
        <v>1760</v>
      </c>
      <c r="J1258">
        <v>3</v>
      </c>
      <c r="K1258" t="s">
        <v>34</v>
      </c>
      <c r="L1258">
        <v>2</v>
      </c>
      <c r="M1258">
        <v>1</v>
      </c>
      <c r="N1258" t="s">
        <v>44</v>
      </c>
      <c r="O1258">
        <v>2</v>
      </c>
      <c r="P1258" t="s">
        <v>42</v>
      </c>
      <c r="Q1258">
        <v>2468</v>
      </c>
      <c r="R1258">
        <v>4</v>
      </c>
      <c r="S1258" t="s">
        <v>37</v>
      </c>
      <c r="T1258">
        <v>14</v>
      </c>
      <c r="U1258">
        <v>3</v>
      </c>
      <c r="V1258">
        <v>2</v>
      </c>
      <c r="W1258">
        <v>1</v>
      </c>
      <c r="X1258">
        <v>9</v>
      </c>
      <c r="Y1258">
        <v>4</v>
      </c>
      <c r="Z1258">
        <v>2</v>
      </c>
      <c r="AA1258">
        <v>6</v>
      </c>
      <c r="AB1258">
        <v>1</v>
      </c>
      <c r="AC1258">
        <v>0</v>
      </c>
      <c r="AD1258">
        <v>5</v>
      </c>
      <c r="AE1258" t="str" cm="1">
        <f t="array" ref="AE1258">_xlfn.IFS(G1258=1,"Before College",G1258=2,"College",G1258=3,"Bachelor",G1258=4,"Master",G1258=5,"Doctor")</f>
        <v>College</v>
      </c>
      <c r="AF1258" t="str" cm="1">
        <f t="array" ref="AF1258">_xlfn.IFS(J1258=1,"Low",J1258=2,"Medium",J1258=3,"High",J1258=4,"Very High")</f>
        <v>High</v>
      </c>
      <c r="AG1258" t="str" cm="1">
        <f t="array" ref="AG1258">_xlfn.IFS(L1258=1,"Low",L1258=2,"Medium",L1258=3,"High",L1258=4,"Very High")</f>
        <v>Medium</v>
      </c>
      <c r="AH1258" t="str" cm="1">
        <f t="array" ref="AH1258">_xlfn.IFS(M1258=1,"Junior employee",M1258=2,"Mid-level",M1258=3,"Senior",M1258=4,"Manager",M1258=5,"Executive")</f>
        <v>Junior employee</v>
      </c>
      <c r="AI1258" t="str" cm="1">
        <f t="array" ref="AI1258">_xlfn.IFS(O1258=1,"Low",O1258=2,"Medium",O1258=3,"High",O1258=4,"Very High")</f>
        <v>Medium</v>
      </c>
      <c r="AJ1258" t="str" cm="1">
        <f t="array" ref="AJ1258">_xlfn.IFS(U1258=1,"Low",U1258=2,"Good",U1258=3,"Excellent",U1258=4,"Outstanding")</f>
        <v>Excellent</v>
      </c>
      <c r="AK1258" t="str" cm="1">
        <f t="array" ref="AK1258">_xlfn.IFS(V1258=1,"Low",V1258=2,"Medium",V1258=3,"High",V1258=4,"Very High")</f>
        <v>Medium</v>
      </c>
      <c r="AL1258" t="str" cm="1">
        <f t="array" ref="AL1258">_xlfn.IFS(Z1258=1,"Bad",Z1258=2,"Good",Z1258=3,"Better",Z1258=4,"Best")</f>
        <v>Good</v>
      </c>
      <c r="AM1258" t="str" cm="1">
        <f t="array" ref="AM1258">_xlfn.IFS(W1258=0,"No_stock",W1258=1,"Low",W1258=2,"Medium",W1258=3,"High")</f>
        <v>Low</v>
      </c>
      <c r="AN1258" t="str">
        <f t="shared" si="19"/>
        <v>Near</v>
      </c>
    </row>
    <row r="1259" spans="1:40" x14ac:dyDescent="0.45">
      <c r="A1259">
        <v>31</v>
      </c>
      <c r="B1259" t="s">
        <v>30</v>
      </c>
      <c r="C1259" t="s">
        <v>31</v>
      </c>
      <c r="D1259">
        <v>1079</v>
      </c>
      <c r="E1259" t="s">
        <v>32</v>
      </c>
      <c r="F1259">
        <v>16</v>
      </c>
      <c r="G1259">
        <v>4</v>
      </c>
      <c r="H1259" t="s">
        <v>53</v>
      </c>
      <c r="I1259">
        <v>1761</v>
      </c>
      <c r="J1259">
        <v>1</v>
      </c>
      <c r="K1259" t="s">
        <v>40</v>
      </c>
      <c r="L1259">
        <v>3</v>
      </c>
      <c r="M1259">
        <v>3</v>
      </c>
      <c r="N1259" t="s">
        <v>35</v>
      </c>
      <c r="O1259">
        <v>3</v>
      </c>
      <c r="P1259" t="s">
        <v>42</v>
      </c>
      <c r="Q1259">
        <v>8161</v>
      </c>
      <c r="R1259">
        <v>2</v>
      </c>
      <c r="S1259" t="s">
        <v>37</v>
      </c>
      <c r="T1259">
        <v>13</v>
      </c>
      <c r="U1259">
        <v>3</v>
      </c>
      <c r="V1259">
        <v>1</v>
      </c>
      <c r="W1259">
        <v>3</v>
      </c>
      <c r="X1259">
        <v>10</v>
      </c>
      <c r="Y1259">
        <v>2</v>
      </c>
      <c r="Z1259">
        <v>3</v>
      </c>
      <c r="AA1259">
        <v>1</v>
      </c>
      <c r="AB1259">
        <v>0</v>
      </c>
      <c r="AC1259">
        <v>0</v>
      </c>
      <c r="AD1259">
        <v>0</v>
      </c>
      <c r="AE1259" t="str" cm="1">
        <f t="array" ref="AE1259">_xlfn.IFS(G1259=1,"Before College",G1259=2,"College",G1259=3,"Bachelor",G1259=4,"Master",G1259=5,"Doctor")</f>
        <v>Master</v>
      </c>
      <c r="AF1259" t="str" cm="1">
        <f t="array" ref="AF1259">_xlfn.IFS(J1259=1,"Low",J1259=2,"Medium",J1259=3,"High",J1259=4,"Very High")</f>
        <v>Low</v>
      </c>
      <c r="AG1259" t="str" cm="1">
        <f t="array" ref="AG1259">_xlfn.IFS(L1259=1,"Low",L1259=2,"Medium",L1259=3,"High",L1259=4,"Very High")</f>
        <v>High</v>
      </c>
      <c r="AH1259" t="str" cm="1">
        <f t="array" ref="AH1259">_xlfn.IFS(M1259=1,"Junior employee",M1259=2,"Mid-level",M1259=3,"Senior",M1259=4,"Manager",M1259=5,"Executive")</f>
        <v>Senior</v>
      </c>
      <c r="AI1259" t="str" cm="1">
        <f t="array" ref="AI1259">_xlfn.IFS(O1259=1,"Low",O1259=2,"Medium",O1259=3,"High",O1259=4,"Very High")</f>
        <v>High</v>
      </c>
      <c r="AJ1259" t="str" cm="1">
        <f t="array" ref="AJ1259">_xlfn.IFS(U1259=1,"Low",U1259=2,"Good",U1259=3,"Excellent",U1259=4,"Outstanding")</f>
        <v>Excellent</v>
      </c>
      <c r="AK1259" t="str" cm="1">
        <f t="array" ref="AK1259">_xlfn.IFS(V1259=1,"Low",V1259=2,"Medium",V1259=3,"High",V1259=4,"Very High")</f>
        <v>Low</v>
      </c>
      <c r="AL1259" t="str" cm="1">
        <f t="array" ref="AL1259">_xlfn.IFS(Z1259=1,"Bad",Z1259=2,"Good",Z1259=3,"Better",Z1259=4,"Best")</f>
        <v>Better</v>
      </c>
      <c r="AM1259" t="str" cm="1">
        <f t="array" ref="AM1259">_xlfn.IFS(W1259=0,"No_stock",W1259=1,"Low",W1259=2,"Medium",W1259=3,"High")</f>
        <v>High</v>
      </c>
      <c r="AN1259" t="str">
        <f t="shared" si="19"/>
        <v>Far</v>
      </c>
    </row>
    <row r="1260" spans="1:40" x14ac:dyDescent="0.45">
      <c r="A1260">
        <v>29</v>
      </c>
      <c r="B1260" t="s">
        <v>37</v>
      </c>
      <c r="C1260" t="s">
        <v>31</v>
      </c>
      <c r="D1260">
        <v>590</v>
      </c>
      <c r="E1260" t="s">
        <v>39</v>
      </c>
      <c r="F1260">
        <v>4</v>
      </c>
      <c r="G1260">
        <v>3</v>
      </c>
      <c r="H1260" t="s">
        <v>54</v>
      </c>
      <c r="I1260">
        <v>1762</v>
      </c>
      <c r="J1260">
        <v>4</v>
      </c>
      <c r="K1260" t="s">
        <v>34</v>
      </c>
      <c r="L1260">
        <v>2</v>
      </c>
      <c r="M1260">
        <v>1</v>
      </c>
      <c r="N1260" t="s">
        <v>41</v>
      </c>
      <c r="O1260">
        <v>1</v>
      </c>
      <c r="P1260" t="s">
        <v>46</v>
      </c>
      <c r="Q1260">
        <v>2109</v>
      </c>
      <c r="R1260">
        <v>1</v>
      </c>
      <c r="S1260" t="s">
        <v>37</v>
      </c>
      <c r="T1260">
        <v>13</v>
      </c>
      <c r="U1260">
        <v>3</v>
      </c>
      <c r="V1260">
        <v>3</v>
      </c>
      <c r="W1260">
        <v>1</v>
      </c>
      <c r="X1260">
        <v>1</v>
      </c>
      <c r="Y1260">
        <v>2</v>
      </c>
      <c r="Z1260">
        <v>3</v>
      </c>
      <c r="AA1260">
        <v>1</v>
      </c>
      <c r="AB1260">
        <v>0</v>
      </c>
      <c r="AC1260">
        <v>0</v>
      </c>
      <c r="AD1260">
        <v>0</v>
      </c>
      <c r="AE1260" t="str" cm="1">
        <f t="array" ref="AE1260">_xlfn.IFS(G1260=1,"Before College",G1260=2,"College",G1260=3,"Bachelor",G1260=4,"Master",G1260=5,"Doctor")</f>
        <v>Bachelor</v>
      </c>
      <c r="AF1260" t="str" cm="1">
        <f t="array" ref="AF1260">_xlfn.IFS(J1260=1,"Low",J1260=2,"Medium",J1260=3,"High",J1260=4,"Very High")</f>
        <v>Very High</v>
      </c>
      <c r="AG1260" t="str" cm="1">
        <f t="array" ref="AG1260">_xlfn.IFS(L1260=1,"Low",L1260=2,"Medium",L1260=3,"High",L1260=4,"Very High")</f>
        <v>Medium</v>
      </c>
      <c r="AH1260" t="str" cm="1">
        <f t="array" ref="AH1260">_xlfn.IFS(M1260=1,"Junior employee",M1260=2,"Mid-level",M1260=3,"Senior",M1260=4,"Manager",M1260=5,"Executive")</f>
        <v>Junior employee</v>
      </c>
      <c r="AI1260" t="str" cm="1">
        <f t="array" ref="AI1260">_xlfn.IFS(O1260=1,"Low",O1260=2,"Medium",O1260=3,"High",O1260=4,"Very High")</f>
        <v>Low</v>
      </c>
      <c r="AJ1260" t="str" cm="1">
        <f t="array" ref="AJ1260">_xlfn.IFS(U1260=1,"Low",U1260=2,"Good",U1260=3,"Excellent",U1260=4,"Outstanding")</f>
        <v>Excellent</v>
      </c>
      <c r="AK1260" t="str" cm="1">
        <f t="array" ref="AK1260">_xlfn.IFS(V1260=1,"Low",V1260=2,"Medium",V1260=3,"High",V1260=4,"Very High")</f>
        <v>High</v>
      </c>
      <c r="AL1260" t="str" cm="1">
        <f t="array" ref="AL1260">_xlfn.IFS(Z1260=1,"Bad",Z1260=2,"Good",Z1260=3,"Better",Z1260=4,"Best")</f>
        <v>Better</v>
      </c>
      <c r="AM1260" t="str" cm="1">
        <f t="array" ref="AM1260">_xlfn.IFS(W1260=0,"No_stock",W1260=1,"Low",W1260=2,"Medium",W1260=3,"High")</f>
        <v>Low</v>
      </c>
      <c r="AN1260" t="str">
        <f t="shared" si="19"/>
        <v>Near</v>
      </c>
    </row>
    <row r="1261" spans="1:40" x14ac:dyDescent="0.45">
      <c r="A1261">
        <v>30</v>
      </c>
      <c r="B1261" t="s">
        <v>37</v>
      </c>
      <c r="C1261" t="s">
        <v>31</v>
      </c>
      <c r="D1261">
        <v>305</v>
      </c>
      <c r="E1261" t="s">
        <v>39</v>
      </c>
      <c r="F1261">
        <v>16</v>
      </c>
      <c r="G1261">
        <v>3</v>
      </c>
      <c r="H1261" t="s">
        <v>33</v>
      </c>
      <c r="I1261">
        <v>1763</v>
      </c>
      <c r="J1261">
        <v>3</v>
      </c>
      <c r="K1261" t="s">
        <v>40</v>
      </c>
      <c r="L1261">
        <v>4</v>
      </c>
      <c r="M1261">
        <v>2</v>
      </c>
      <c r="N1261" t="s">
        <v>48</v>
      </c>
      <c r="O1261">
        <v>3</v>
      </c>
      <c r="P1261" t="s">
        <v>42</v>
      </c>
      <c r="Q1261">
        <v>5294</v>
      </c>
      <c r="R1261">
        <v>3</v>
      </c>
      <c r="S1261" t="s">
        <v>37</v>
      </c>
      <c r="T1261">
        <v>16</v>
      </c>
      <c r="U1261">
        <v>3</v>
      </c>
      <c r="V1261">
        <v>3</v>
      </c>
      <c r="W1261">
        <v>1</v>
      </c>
      <c r="X1261">
        <v>10</v>
      </c>
      <c r="Y1261">
        <v>3</v>
      </c>
      <c r="Z1261">
        <v>3</v>
      </c>
      <c r="AA1261">
        <v>7</v>
      </c>
      <c r="AB1261">
        <v>0</v>
      </c>
      <c r="AC1261">
        <v>1</v>
      </c>
      <c r="AD1261">
        <v>7</v>
      </c>
      <c r="AE1261" t="str" cm="1">
        <f t="array" ref="AE1261">_xlfn.IFS(G1261=1,"Before College",G1261=2,"College",G1261=3,"Bachelor",G1261=4,"Master",G1261=5,"Doctor")</f>
        <v>Bachelor</v>
      </c>
      <c r="AF1261" t="str" cm="1">
        <f t="array" ref="AF1261">_xlfn.IFS(J1261=1,"Low",J1261=2,"Medium",J1261=3,"High",J1261=4,"Very High")</f>
        <v>High</v>
      </c>
      <c r="AG1261" t="str" cm="1">
        <f t="array" ref="AG1261">_xlfn.IFS(L1261=1,"Low",L1261=2,"Medium",L1261=3,"High",L1261=4,"Very High")</f>
        <v>Very High</v>
      </c>
      <c r="AH1261" t="str" cm="1">
        <f t="array" ref="AH1261">_xlfn.IFS(M1261=1,"Junior employee",M1261=2,"Mid-level",M1261=3,"Senior",M1261=4,"Manager",M1261=5,"Executive")</f>
        <v>Mid-level</v>
      </c>
      <c r="AI1261" t="str" cm="1">
        <f t="array" ref="AI1261">_xlfn.IFS(O1261=1,"Low",O1261=2,"Medium",O1261=3,"High",O1261=4,"Very High")</f>
        <v>High</v>
      </c>
      <c r="AJ1261" t="str" cm="1">
        <f t="array" ref="AJ1261">_xlfn.IFS(U1261=1,"Low",U1261=2,"Good",U1261=3,"Excellent",U1261=4,"Outstanding")</f>
        <v>Excellent</v>
      </c>
      <c r="AK1261" t="str" cm="1">
        <f t="array" ref="AK1261">_xlfn.IFS(V1261=1,"Low",V1261=2,"Medium",V1261=3,"High",V1261=4,"Very High")</f>
        <v>High</v>
      </c>
      <c r="AL1261" t="str" cm="1">
        <f t="array" ref="AL1261">_xlfn.IFS(Z1261=1,"Bad",Z1261=2,"Good",Z1261=3,"Better",Z1261=4,"Best")</f>
        <v>Better</v>
      </c>
      <c r="AM1261" t="str" cm="1">
        <f t="array" ref="AM1261">_xlfn.IFS(W1261=0,"No_stock",W1261=1,"Low",W1261=2,"Medium",W1261=3,"High")</f>
        <v>Low</v>
      </c>
      <c r="AN1261" t="str">
        <f t="shared" si="19"/>
        <v>Far</v>
      </c>
    </row>
    <row r="1262" spans="1:40" x14ac:dyDescent="0.45">
      <c r="A1262">
        <v>32</v>
      </c>
      <c r="B1262" t="s">
        <v>37</v>
      </c>
      <c r="C1262" t="s">
        <v>49</v>
      </c>
      <c r="D1262">
        <v>953</v>
      </c>
      <c r="E1262" t="s">
        <v>39</v>
      </c>
      <c r="F1262">
        <v>5</v>
      </c>
      <c r="G1262">
        <v>4</v>
      </c>
      <c r="H1262" t="s">
        <v>54</v>
      </c>
      <c r="I1262">
        <v>1764</v>
      </c>
      <c r="J1262">
        <v>2</v>
      </c>
      <c r="K1262" t="s">
        <v>40</v>
      </c>
      <c r="L1262">
        <v>3</v>
      </c>
      <c r="M1262">
        <v>1</v>
      </c>
      <c r="N1262" t="s">
        <v>41</v>
      </c>
      <c r="O1262">
        <v>2</v>
      </c>
      <c r="P1262" t="s">
        <v>36</v>
      </c>
      <c r="Q1262">
        <v>2718</v>
      </c>
      <c r="R1262">
        <v>2</v>
      </c>
      <c r="S1262" t="s">
        <v>37</v>
      </c>
      <c r="T1262">
        <v>14</v>
      </c>
      <c r="U1262">
        <v>3</v>
      </c>
      <c r="V1262">
        <v>2</v>
      </c>
      <c r="W1262">
        <v>0</v>
      </c>
      <c r="X1262">
        <v>12</v>
      </c>
      <c r="Y1262">
        <v>3</v>
      </c>
      <c r="Z1262">
        <v>3</v>
      </c>
      <c r="AA1262">
        <v>7</v>
      </c>
      <c r="AB1262">
        <v>7</v>
      </c>
      <c r="AC1262">
        <v>0</v>
      </c>
      <c r="AD1262">
        <v>7</v>
      </c>
      <c r="AE1262" t="str" cm="1">
        <f t="array" ref="AE1262">_xlfn.IFS(G1262=1,"Before College",G1262=2,"College",G1262=3,"Bachelor",G1262=4,"Master",G1262=5,"Doctor")</f>
        <v>Master</v>
      </c>
      <c r="AF1262" t="str" cm="1">
        <f t="array" ref="AF1262">_xlfn.IFS(J1262=1,"Low",J1262=2,"Medium",J1262=3,"High",J1262=4,"Very High")</f>
        <v>Medium</v>
      </c>
      <c r="AG1262" t="str" cm="1">
        <f t="array" ref="AG1262">_xlfn.IFS(L1262=1,"Low",L1262=2,"Medium",L1262=3,"High",L1262=4,"Very High")</f>
        <v>High</v>
      </c>
      <c r="AH1262" t="str" cm="1">
        <f t="array" ref="AH1262">_xlfn.IFS(M1262=1,"Junior employee",M1262=2,"Mid-level",M1262=3,"Senior",M1262=4,"Manager",M1262=5,"Executive")</f>
        <v>Junior employee</v>
      </c>
      <c r="AI1262" t="str" cm="1">
        <f t="array" ref="AI1262">_xlfn.IFS(O1262=1,"Low",O1262=2,"Medium",O1262=3,"High",O1262=4,"Very High")</f>
        <v>Medium</v>
      </c>
      <c r="AJ1262" t="str" cm="1">
        <f t="array" ref="AJ1262">_xlfn.IFS(U1262=1,"Low",U1262=2,"Good",U1262=3,"Excellent",U1262=4,"Outstanding")</f>
        <v>Excellent</v>
      </c>
      <c r="AK1262" t="str" cm="1">
        <f t="array" ref="AK1262">_xlfn.IFS(V1262=1,"Low",V1262=2,"Medium",V1262=3,"High",V1262=4,"Very High")</f>
        <v>Medium</v>
      </c>
      <c r="AL1262" t="str" cm="1">
        <f t="array" ref="AL1262">_xlfn.IFS(Z1262=1,"Bad",Z1262=2,"Good",Z1262=3,"Better",Z1262=4,"Best")</f>
        <v>Better</v>
      </c>
      <c r="AM1262" t="str" cm="1">
        <f t="array" ref="AM1262">_xlfn.IFS(W1262=0,"No_stock",W1262=1,"Low",W1262=2,"Medium",W1262=3,"High")</f>
        <v>No_stock</v>
      </c>
      <c r="AN1262" t="str">
        <f t="shared" si="19"/>
        <v>Near</v>
      </c>
    </row>
    <row r="1263" spans="1:40" x14ac:dyDescent="0.45">
      <c r="A1263">
        <v>38</v>
      </c>
      <c r="B1263" t="s">
        <v>37</v>
      </c>
      <c r="C1263" t="s">
        <v>31</v>
      </c>
      <c r="D1263">
        <v>833</v>
      </c>
      <c r="E1263" t="s">
        <v>39</v>
      </c>
      <c r="F1263">
        <v>18</v>
      </c>
      <c r="G1263">
        <v>3</v>
      </c>
      <c r="H1263" t="s">
        <v>45</v>
      </c>
      <c r="I1263">
        <v>1766</v>
      </c>
      <c r="J1263">
        <v>2</v>
      </c>
      <c r="K1263" t="s">
        <v>40</v>
      </c>
      <c r="L1263">
        <v>1</v>
      </c>
      <c r="M1263">
        <v>2</v>
      </c>
      <c r="N1263" t="s">
        <v>48</v>
      </c>
      <c r="O1263">
        <v>4</v>
      </c>
      <c r="P1263" t="s">
        <v>42</v>
      </c>
      <c r="Q1263">
        <v>5811</v>
      </c>
      <c r="R1263">
        <v>3</v>
      </c>
      <c r="S1263" t="s">
        <v>30</v>
      </c>
      <c r="T1263">
        <v>16</v>
      </c>
      <c r="U1263">
        <v>3</v>
      </c>
      <c r="V1263">
        <v>3</v>
      </c>
      <c r="W1263">
        <v>1</v>
      </c>
      <c r="X1263">
        <v>15</v>
      </c>
      <c r="Y1263">
        <v>2</v>
      </c>
      <c r="Z1263">
        <v>3</v>
      </c>
      <c r="AA1263">
        <v>1</v>
      </c>
      <c r="AB1263">
        <v>0</v>
      </c>
      <c r="AC1263">
        <v>1</v>
      </c>
      <c r="AD1263">
        <v>0</v>
      </c>
      <c r="AE1263" t="str" cm="1">
        <f t="array" ref="AE1263">_xlfn.IFS(G1263=1,"Before College",G1263=2,"College",G1263=3,"Bachelor",G1263=4,"Master",G1263=5,"Doctor")</f>
        <v>Bachelor</v>
      </c>
      <c r="AF1263" t="str" cm="1">
        <f t="array" ref="AF1263">_xlfn.IFS(J1263=1,"Low",J1263=2,"Medium",J1263=3,"High",J1263=4,"Very High")</f>
        <v>Medium</v>
      </c>
      <c r="AG1263" t="str" cm="1">
        <f t="array" ref="AG1263">_xlfn.IFS(L1263=1,"Low",L1263=2,"Medium",L1263=3,"High",L1263=4,"Very High")</f>
        <v>Low</v>
      </c>
      <c r="AH1263" t="str" cm="1">
        <f t="array" ref="AH1263">_xlfn.IFS(M1263=1,"Junior employee",M1263=2,"Mid-level",M1263=3,"Senior",M1263=4,"Manager",M1263=5,"Executive")</f>
        <v>Mid-level</v>
      </c>
      <c r="AI1263" t="str" cm="1">
        <f t="array" ref="AI1263">_xlfn.IFS(O1263=1,"Low",O1263=2,"Medium",O1263=3,"High",O1263=4,"Very High")</f>
        <v>Very High</v>
      </c>
      <c r="AJ1263" t="str" cm="1">
        <f t="array" ref="AJ1263">_xlfn.IFS(U1263=1,"Low",U1263=2,"Good",U1263=3,"Excellent",U1263=4,"Outstanding")</f>
        <v>Excellent</v>
      </c>
      <c r="AK1263" t="str" cm="1">
        <f t="array" ref="AK1263">_xlfn.IFS(V1263=1,"Low",V1263=2,"Medium",V1263=3,"High",V1263=4,"Very High")</f>
        <v>High</v>
      </c>
      <c r="AL1263" t="str" cm="1">
        <f t="array" ref="AL1263">_xlfn.IFS(Z1263=1,"Bad",Z1263=2,"Good",Z1263=3,"Better",Z1263=4,"Best")</f>
        <v>Better</v>
      </c>
      <c r="AM1263" t="str" cm="1">
        <f t="array" ref="AM1263">_xlfn.IFS(W1263=0,"No_stock",W1263=1,"Low",W1263=2,"Medium",W1263=3,"High")</f>
        <v>Low</v>
      </c>
      <c r="AN1263" t="str">
        <f t="shared" si="19"/>
        <v>Far</v>
      </c>
    </row>
    <row r="1264" spans="1:40" x14ac:dyDescent="0.45">
      <c r="A1264">
        <v>43</v>
      </c>
      <c r="B1264" t="s">
        <v>30</v>
      </c>
      <c r="C1264" t="s">
        <v>38</v>
      </c>
      <c r="D1264">
        <v>807</v>
      </c>
      <c r="E1264" t="s">
        <v>39</v>
      </c>
      <c r="F1264">
        <v>17</v>
      </c>
      <c r="G1264">
        <v>3</v>
      </c>
      <c r="H1264" t="s">
        <v>54</v>
      </c>
      <c r="I1264">
        <v>1767</v>
      </c>
      <c r="J1264">
        <v>3</v>
      </c>
      <c r="K1264" t="s">
        <v>40</v>
      </c>
      <c r="L1264">
        <v>2</v>
      </c>
      <c r="M1264">
        <v>1</v>
      </c>
      <c r="N1264" t="s">
        <v>41</v>
      </c>
      <c r="O1264">
        <v>3</v>
      </c>
      <c r="P1264" t="s">
        <v>42</v>
      </c>
      <c r="Q1264">
        <v>2437</v>
      </c>
      <c r="R1264">
        <v>9</v>
      </c>
      <c r="S1264" t="s">
        <v>30</v>
      </c>
      <c r="T1264">
        <v>16</v>
      </c>
      <c r="U1264">
        <v>3</v>
      </c>
      <c r="V1264">
        <v>4</v>
      </c>
      <c r="W1264">
        <v>1</v>
      </c>
      <c r="X1264">
        <v>6</v>
      </c>
      <c r="Y1264">
        <v>4</v>
      </c>
      <c r="Z1264">
        <v>3</v>
      </c>
      <c r="AA1264">
        <v>1</v>
      </c>
      <c r="AB1264">
        <v>0</v>
      </c>
      <c r="AC1264">
        <v>0</v>
      </c>
      <c r="AD1264">
        <v>0</v>
      </c>
      <c r="AE1264" t="str" cm="1">
        <f t="array" ref="AE1264">_xlfn.IFS(G1264=1,"Before College",G1264=2,"College",G1264=3,"Bachelor",G1264=4,"Master",G1264=5,"Doctor")</f>
        <v>Bachelor</v>
      </c>
      <c r="AF1264" t="str" cm="1">
        <f t="array" ref="AF1264">_xlfn.IFS(J1264=1,"Low",J1264=2,"Medium",J1264=3,"High",J1264=4,"Very High")</f>
        <v>High</v>
      </c>
      <c r="AG1264" t="str" cm="1">
        <f t="array" ref="AG1264">_xlfn.IFS(L1264=1,"Low",L1264=2,"Medium",L1264=3,"High",L1264=4,"Very High")</f>
        <v>Medium</v>
      </c>
      <c r="AH1264" t="str" cm="1">
        <f t="array" ref="AH1264">_xlfn.IFS(M1264=1,"Junior employee",M1264=2,"Mid-level",M1264=3,"Senior",M1264=4,"Manager",M1264=5,"Executive")</f>
        <v>Junior employee</v>
      </c>
      <c r="AI1264" t="str" cm="1">
        <f t="array" ref="AI1264">_xlfn.IFS(O1264=1,"Low",O1264=2,"Medium",O1264=3,"High",O1264=4,"Very High")</f>
        <v>High</v>
      </c>
      <c r="AJ1264" t="str" cm="1">
        <f t="array" ref="AJ1264">_xlfn.IFS(U1264=1,"Low",U1264=2,"Good",U1264=3,"Excellent",U1264=4,"Outstanding")</f>
        <v>Excellent</v>
      </c>
      <c r="AK1264" t="str" cm="1">
        <f t="array" ref="AK1264">_xlfn.IFS(V1264=1,"Low",V1264=2,"Medium",V1264=3,"High",V1264=4,"Very High")</f>
        <v>Very High</v>
      </c>
      <c r="AL1264" t="str" cm="1">
        <f t="array" ref="AL1264">_xlfn.IFS(Z1264=1,"Bad",Z1264=2,"Good",Z1264=3,"Better",Z1264=4,"Best")</f>
        <v>Better</v>
      </c>
      <c r="AM1264" t="str" cm="1">
        <f t="array" ref="AM1264">_xlfn.IFS(W1264=0,"No_stock",W1264=1,"Low",W1264=2,"Medium",W1264=3,"High")</f>
        <v>Low</v>
      </c>
      <c r="AN1264" t="str">
        <f t="shared" si="19"/>
        <v>Far</v>
      </c>
    </row>
    <row r="1265" spans="1:40" x14ac:dyDescent="0.45">
      <c r="A1265">
        <v>42</v>
      </c>
      <c r="B1265" t="s">
        <v>37</v>
      </c>
      <c r="C1265" t="s">
        <v>31</v>
      </c>
      <c r="D1265">
        <v>855</v>
      </c>
      <c r="E1265" t="s">
        <v>39</v>
      </c>
      <c r="F1265">
        <v>12</v>
      </c>
      <c r="G1265">
        <v>3</v>
      </c>
      <c r="H1265" t="s">
        <v>45</v>
      </c>
      <c r="I1265">
        <v>1768</v>
      </c>
      <c r="J1265">
        <v>2</v>
      </c>
      <c r="K1265" t="s">
        <v>40</v>
      </c>
      <c r="L1265">
        <v>3</v>
      </c>
      <c r="M1265">
        <v>1</v>
      </c>
      <c r="N1265" t="s">
        <v>44</v>
      </c>
      <c r="O1265">
        <v>2</v>
      </c>
      <c r="P1265" t="s">
        <v>46</v>
      </c>
      <c r="Q1265">
        <v>2766</v>
      </c>
      <c r="R1265">
        <v>8</v>
      </c>
      <c r="S1265" t="s">
        <v>37</v>
      </c>
      <c r="T1265">
        <v>22</v>
      </c>
      <c r="U1265">
        <v>4</v>
      </c>
      <c r="V1265">
        <v>2</v>
      </c>
      <c r="W1265">
        <v>3</v>
      </c>
      <c r="X1265">
        <v>7</v>
      </c>
      <c r="Y1265">
        <v>6</v>
      </c>
      <c r="Z1265">
        <v>2</v>
      </c>
      <c r="AA1265">
        <v>5</v>
      </c>
      <c r="AB1265">
        <v>3</v>
      </c>
      <c r="AC1265">
        <v>0</v>
      </c>
      <c r="AD1265">
        <v>4</v>
      </c>
      <c r="AE1265" t="str" cm="1">
        <f t="array" ref="AE1265">_xlfn.IFS(G1265=1,"Before College",G1265=2,"College",G1265=3,"Bachelor",G1265=4,"Master",G1265=5,"Doctor")</f>
        <v>Bachelor</v>
      </c>
      <c r="AF1265" t="str" cm="1">
        <f t="array" ref="AF1265">_xlfn.IFS(J1265=1,"Low",J1265=2,"Medium",J1265=3,"High",J1265=4,"Very High")</f>
        <v>Medium</v>
      </c>
      <c r="AG1265" t="str" cm="1">
        <f t="array" ref="AG1265">_xlfn.IFS(L1265=1,"Low",L1265=2,"Medium",L1265=3,"High",L1265=4,"Very High")</f>
        <v>High</v>
      </c>
      <c r="AH1265" t="str" cm="1">
        <f t="array" ref="AH1265">_xlfn.IFS(M1265=1,"Junior employee",M1265=2,"Mid-level",M1265=3,"Senior",M1265=4,"Manager",M1265=5,"Executive")</f>
        <v>Junior employee</v>
      </c>
      <c r="AI1265" t="str" cm="1">
        <f t="array" ref="AI1265">_xlfn.IFS(O1265=1,"Low",O1265=2,"Medium",O1265=3,"High",O1265=4,"Very High")</f>
        <v>Medium</v>
      </c>
      <c r="AJ1265" t="str" cm="1">
        <f t="array" ref="AJ1265">_xlfn.IFS(U1265=1,"Low",U1265=2,"Good",U1265=3,"Excellent",U1265=4,"Outstanding")</f>
        <v>Outstanding</v>
      </c>
      <c r="AK1265" t="str" cm="1">
        <f t="array" ref="AK1265">_xlfn.IFS(V1265=1,"Low",V1265=2,"Medium",V1265=3,"High",V1265=4,"Very High")</f>
        <v>Medium</v>
      </c>
      <c r="AL1265" t="str" cm="1">
        <f t="array" ref="AL1265">_xlfn.IFS(Z1265=1,"Bad",Z1265=2,"Good",Z1265=3,"Better",Z1265=4,"Best")</f>
        <v>Good</v>
      </c>
      <c r="AM1265" t="str" cm="1">
        <f t="array" ref="AM1265">_xlfn.IFS(W1265=0,"No_stock",W1265=1,"Low",W1265=2,"Medium",W1265=3,"High")</f>
        <v>High</v>
      </c>
      <c r="AN1265" t="str">
        <f t="shared" si="19"/>
        <v>Medium</v>
      </c>
    </row>
    <row r="1266" spans="1:40" x14ac:dyDescent="0.45">
      <c r="A1266">
        <v>55</v>
      </c>
      <c r="B1266" t="s">
        <v>37</v>
      </c>
      <c r="C1266" t="s">
        <v>31</v>
      </c>
      <c r="D1266">
        <v>478</v>
      </c>
      <c r="E1266" t="s">
        <v>39</v>
      </c>
      <c r="F1266">
        <v>2</v>
      </c>
      <c r="G1266">
        <v>3</v>
      </c>
      <c r="H1266" t="s">
        <v>45</v>
      </c>
      <c r="I1266">
        <v>1770</v>
      </c>
      <c r="J1266">
        <v>3</v>
      </c>
      <c r="K1266" t="s">
        <v>40</v>
      </c>
      <c r="L1266">
        <v>2</v>
      </c>
      <c r="M1266">
        <v>5</v>
      </c>
      <c r="N1266" t="s">
        <v>52</v>
      </c>
      <c r="O1266">
        <v>1</v>
      </c>
      <c r="P1266" t="s">
        <v>42</v>
      </c>
      <c r="Q1266">
        <v>19038</v>
      </c>
      <c r="R1266">
        <v>8</v>
      </c>
      <c r="S1266" t="s">
        <v>37</v>
      </c>
      <c r="T1266">
        <v>12</v>
      </c>
      <c r="U1266">
        <v>3</v>
      </c>
      <c r="V1266">
        <v>2</v>
      </c>
      <c r="W1266">
        <v>3</v>
      </c>
      <c r="X1266">
        <v>34</v>
      </c>
      <c r="Y1266">
        <v>2</v>
      </c>
      <c r="Z1266">
        <v>3</v>
      </c>
      <c r="AA1266">
        <v>1</v>
      </c>
      <c r="AB1266">
        <v>0</v>
      </c>
      <c r="AC1266">
        <v>0</v>
      </c>
      <c r="AD1266">
        <v>0</v>
      </c>
      <c r="AE1266" t="str" cm="1">
        <f t="array" ref="AE1266">_xlfn.IFS(G1266=1,"Before College",G1266=2,"College",G1266=3,"Bachelor",G1266=4,"Master",G1266=5,"Doctor")</f>
        <v>Bachelor</v>
      </c>
      <c r="AF1266" t="str" cm="1">
        <f t="array" ref="AF1266">_xlfn.IFS(J1266=1,"Low",J1266=2,"Medium",J1266=3,"High",J1266=4,"Very High")</f>
        <v>High</v>
      </c>
      <c r="AG1266" t="str" cm="1">
        <f t="array" ref="AG1266">_xlfn.IFS(L1266=1,"Low",L1266=2,"Medium",L1266=3,"High",L1266=4,"Very High")</f>
        <v>Medium</v>
      </c>
      <c r="AH1266" t="str" cm="1">
        <f t="array" ref="AH1266">_xlfn.IFS(M1266=1,"Junior employee",M1266=2,"Mid-level",M1266=3,"Senior",M1266=4,"Manager",M1266=5,"Executive")</f>
        <v>Executive</v>
      </c>
      <c r="AI1266" t="str" cm="1">
        <f t="array" ref="AI1266">_xlfn.IFS(O1266=1,"Low",O1266=2,"Medium",O1266=3,"High",O1266=4,"Very High")</f>
        <v>Low</v>
      </c>
      <c r="AJ1266" t="str" cm="1">
        <f t="array" ref="AJ1266">_xlfn.IFS(U1266=1,"Low",U1266=2,"Good",U1266=3,"Excellent",U1266=4,"Outstanding")</f>
        <v>Excellent</v>
      </c>
      <c r="AK1266" t="str" cm="1">
        <f t="array" ref="AK1266">_xlfn.IFS(V1266=1,"Low",V1266=2,"Medium",V1266=3,"High",V1266=4,"Very High")</f>
        <v>Medium</v>
      </c>
      <c r="AL1266" t="str" cm="1">
        <f t="array" ref="AL1266">_xlfn.IFS(Z1266=1,"Bad",Z1266=2,"Good",Z1266=3,"Better",Z1266=4,"Best")</f>
        <v>Better</v>
      </c>
      <c r="AM1266" t="str" cm="1">
        <f t="array" ref="AM1266">_xlfn.IFS(W1266=0,"No_stock",W1266=1,"Low",W1266=2,"Medium",W1266=3,"High")</f>
        <v>High</v>
      </c>
      <c r="AN1266" t="str">
        <f t="shared" si="19"/>
        <v>Near</v>
      </c>
    </row>
    <row r="1267" spans="1:40" x14ac:dyDescent="0.45">
      <c r="A1267">
        <v>33</v>
      </c>
      <c r="B1267" t="s">
        <v>37</v>
      </c>
      <c r="C1267" t="s">
        <v>49</v>
      </c>
      <c r="D1267">
        <v>775</v>
      </c>
      <c r="E1267" t="s">
        <v>39</v>
      </c>
      <c r="F1267">
        <v>4</v>
      </c>
      <c r="G1267">
        <v>3</v>
      </c>
      <c r="H1267" t="s">
        <v>54</v>
      </c>
      <c r="I1267">
        <v>1771</v>
      </c>
      <c r="J1267">
        <v>4</v>
      </c>
      <c r="K1267" t="s">
        <v>40</v>
      </c>
      <c r="L1267">
        <v>3</v>
      </c>
      <c r="M1267">
        <v>2</v>
      </c>
      <c r="N1267" t="s">
        <v>41</v>
      </c>
      <c r="O1267">
        <v>2</v>
      </c>
      <c r="P1267" t="s">
        <v>46</v>
      </c>
      <c r="Q1267">
        <v>3055</v>
      </c>
      <c r="R1267">
        <v>5</v>
      </c>
      <c r="S1267" t="s">
        <v>37</v>
      </c>
      <c r="T1267">
        <v>15</v>
      </c>
      <c r="U1267">
        <v>3</v>
      </c>
      <c r="V1267">
        <v>4</v>
      </c>
      <c r="W1267">
        <v>2</v>
      </c>
      <c r="X1267">
        <v>11</v>
      </c>
      <c r="Y1267">
        <v>2</v>
      </c>
      <c r="Z1267">
        <v>2</v>
      </c>
      <c r="AA1267">
        <v>9</v>
      </c>
      <c r="AB1267">
        <v>8</v>
      </c>
      <c r="AC1267">
        <v>1</v>
      </c>
      <c r="AD1267">
        <v>7</v>
      </c>
      <c r="AE1267" t="str" cm="1">
        <f t="array" ref="AE1267">_xlfn.IFS(G1267=1,"Before College",G1267=2,"College",G1267=3,"Bachelor",G1267=4,"Master",G1267=5,"Doctor")</f>
        <v>Bachelor</v>
      </c>
      <c r="AF1267" t="str" cm="1">
        <f t="array" ref="AF1267">_xlfn.IFS(J1267=1,"Low",J1267=2,"Medium",J1267=3,"High",J1267=4,"Very High")</f>
        <v>Very High</v>
      </c>
      <c r="AG1267" t="str" cm="1">
        <f t="array" ref="AG1267">_xlfn.IFS(L1267=1,"Low",L1267=2,"Medium",L1267=3,"High",L1267=4,"Very High")</f>
        <v>High</v>
      </c>
      <c r="AH1267" t="str" cm="1">
        <f t="array" ref="AH1267">_xlfn.IFS(M1267=1,"Junior employee",M1267=2,"Mid-level",M1267=3,"Senior",M1267=4,"Manager",M1267=5,"Executive")</f>
        <v>Mid-level</v>
      </c>
      <c r="AI1267" t="str" cm="1">
        <f t="array" ref="AI1267">_xlfn.IFS(O1267=1,"Low",O1267=2,"Medium",O1267=3,"High",O1267=4,"Very High")</f>
        <v>Medium</v>
      </c>
      <c r="AJ1267" t="str" cm="1">
        <f t="array" ref="AJ1267">_xlfn.IFS(U1267=1,"Low",U1267=2,"Good",U1267=3,"Excellent",U1267=4,"Outstanding")</f>
        <v>Excellent</v>
      </c>
      <c r="AK1267" t="str" cm="1">
        <f t="array" ref="AK1267">_xlfn.IFS(V1267=1,"Low",V1267=2,"Medium",V1267=3,"High",V1267=4,"Very High")</f>
        <v>Very High</v>
      </c>
      <c r="AL1267" t="str" cm="1">
        <f t="array" ref="AL1267">_xlfn.IFS(Z1267=1,"Bad",Z1267=2,"Good",Z1267=3,"Better",Z1267=4,"Best")</f>
        <v>Good</v>
      </c>
      <c r="AM1267" t="str" cm="1">
        <f t="array" ref="AM1267">_xlfn.IFS(W1267=0,"No_stock",W1267=1,"Low",W1267=2,"Medium",W1267=3,"High")</f>
        <v>Medium</v>
      </c>
      <c r="AN1267" t="str">
        <f t="shared" si="19"/>
        <v>Near</v>
      </c>
    </row>
    <row r="1268" spans="1:40" x14ac:dyDescent="0.45">
      <c r="A1268">
        <v>41</v>
      </c>
      <c r="B1268" t="s">
        <v>37</v>
      </c>
      <c r="C1268" t="s">
        <v>31</v>
      </c>
      <c r="D1268">
        <v>548</v>
      </c>
      <c r="E1268" t="s">
        <v>39</v>
      </c>
      <c r="F1268">
        <v>9</v>
      </c>
      <c r="G1268">
        <v>4</v>
      </c>
      <c r="H1268" t="s">
        <v>33</v>
      </c>
      <c r="I1268">
        <v>1772</v>
      </c>
      <c r="J1268">
        <v>3</v>
      </c>
      <c r="K1268" t="s">
        <v>40</v>
      </c>
      <c r="L1268">
        <v>3</v>
      </c>
      <c r="M1268">
        <v>1</v>
      </c>
      <c r="N1268" t="s">
        <v>44</v>
      </c>
      <c r="O1268">
        <v>1</v>
      </c>
      <c r="P1268" t="s">
        <v>46</v>
      </c>
      <c r="Q1268">
        <v>2289</v>
      </c>
      <c r="R1268">
        <v>1</v>
      </c>
      <c r="S1268" t="s">
        <v>37</v>
      </c>
      <c r="T1268">
        <v>20</v>
      </c>
      <c r="U1268">
        <v>4</v>
      </c>
      <c r="V1268">
        <v>2</v>
      </c>
      <c r="W1268">
        <v>2</v>
      </c>
      <c r="X1268">
        <v>5</v>
      </c>
      <c r="Y1268">
        <v>2</v>
      </c>
      <c r="Z1268">
        <v>3</v>
      </c>
      <c r="AA1268">
        <v>5</v>
      </c>
      <c r="AB1268">
        <v>3</v>
      </c>
      <c r="AC1268">
        <v>0</v>
      </c>
      <c r="AD1268">
        <v>4</v>
      </c>
      <c r="AE1268" t="str" cm="1">
        <f t="array" ref="AE1268">_xlfn.IFS(G1268=1,"Before College",G1268=2,"College",G1268=3,"Bachelor",G1268=4,"Master",G1268=5,"Doctor")</f>
        <v>Master</v>
      </c>
      <c r="AF1268" t="str" cm="1">
        <f t="array" ref="AF1268">_xlfn.IFS(J1268=1,"Low",J1268=2,"Medium",J1268=3,"High",J1268=4,"Very High")</f>
        <v>High</v>
      </c>
      <c r="AG1268" t="str" cm="1">
        <f t="array" ref="AG1268">_xlfn.IFS(L1268=1,"Low",L1268=2,"Medium",L1268=3,"High",L1268=4,"Very High")</f>
        <v>High</v>
      </c>
      <c r="AH1268" t="str" cm="1">
        <f t="array" ref="AH1268">_xlfn.IFS(M1268=1,"Junior employee",M1268=2,"Mid-level",M1268=3,"Senior",M1268=4,"Manager",M1268=5,"Executive")</f>
        <v>Junior employee</v>
      </c>
      <c r="AI1268" t="str" cm="1">
        <f t="array" ref="AI1268">_xlfn.IFS(O1268=1,"Low",O1268=2,"Medium",O1268=3,"High",O1268=4,"Very High")</f>
        <v>Low</v>
      </c>
      <c r="AJ1268" t="str" cm="1">
        <f t="array" ref="AJ1268">_xlfn.IFS(U1268=1,"Low",U1268=2,"Good",U1268=3,"Excellent",U1268=4,"Outstanding")</f>
        <v>Outstanding</v>
      </c>
      <c r="AK1268" t="str" cm="1">
        <f t="array" ref="AK1268">_xlfn.IFS(V1268=1,"Low",V1268=2,"Medium",V1268=3,"High",V1268=4,"Very High")</f>
        <v>Medium</v>
      </c>
      <c r="AL1268" t="str" cm="1">
        <f t="array" ref="AL1268">_xlfn.IFS(Z1268=1,"Bad",Z1268=2,"Good",Z1268=3,"Better",Z1268=4,"Best")</f>
        <v>Better</v>
      </c>
      <c r="AM1268" t="str" cm="1">
        <f t="array" ref="AM1268">_xlfn.IFS(W1268=0,"No_stock",W1268=1,"Low",W1268=2,"Medium",W1268=3,"High")</f>
        <v>Medium</v>
      </c>
      <c r="AN1268" t="str">
        <f t="shared" si="19"/>
        <v>Medium</v>
      </c>
    </row>
    <row r="1269" spans="1:40" x14ac:dyDescent="0.45">
      <c r="A1269">
        <v>34</v>
      </c>
      <c r="B1269" t="s">
        <v>37</v>
      </c>
      <c r="C1269" t="s">
        <v>49</v>
      </c>
      <c r="D1269">
        <v>1375</v>
      </c>
      <c r="E1269" t="s">
        <v>32</v>
      </c>
      <c r="F1269">
        <v>10</v>
      </c>
      <c r="G1269">
        <v>3</v>
      </c>
      <c r="H1269" t="s">
        <v>33</v>
      </c>
      <c r="I1269">
        <v>1774</v>
      </c>
      <c r="J1269">
        <v>4</v>
      </c>
      <c r="K1269" t="s">
        <v>40</v>
      </c>
      <c r="L1269">
        <v>3</v>
      </c>
      <c r="M1269">
        <v>2</v>
      </c>
      <c r="N1269" t="s">
        <v>35</v>
      </c>
      <c r="O1269">
        <v>3</v>
      </c>
      <c r="P1269" t="s">
        <v>46</v>
      </c>
      <c r="Q1269">
        <v>4001</v>
      </c>
      <c r="R1269">
        <v>1</v>
      </c>
      <c r="S1269" t="s">
        <v>30</v>
      </c>
      <c r="T1269">
        <v>14</v>
      </c>
      <c r="U1269">
        <v>3</v>
      </c>
      <c r="V1269">
        <v>3</v>
      </c>
      <c r="W1269">
        <v>1</v>
      </c>
      <c r="X1269">
        <v>15</v>
      </c>
      <c r="Y1269">
        <v>3</v>
      </c>
      <c r="Z1269">
        <v>3</v>
      </c>
      <c r="AA1269">
        <v>15</v>
      </c>
      <c r="AB1269">
        <v>14</v>
      </c>
      <c r="AC1269">
        <v>0</v>
      </c>
      <c r="AD1269">
        <v>7</v>
      </c>
      <c r="AE1269" t="str" cm="1">
        <f t="array" ref="AE1269">_xlfn.IFS(G1269=1,"Before College",G1269=2,"College",G1269=3,"Bachelor",G1269=4,"Master",G1269=5,"Doctor")</f>
        <v>Bachelor</v>
      </c>
      <c r="AF1269" t="str" cm="1">
        <f t="array" ref="AF1269">_xlfn.IFS(J1269=1,"Low",J1269=2,"Medium",J1269=3,"High",J1269=4,"Very High")</f>
        <v>Very High</v>
      </c>
      <c r="AG1269" t="str" cm="1">
        <f t="array" ref="AG1269">_xlfn.IFS(L1269=1,"Low",L1269=2,"Medium",L1269=3,"High",L1269=4,"Very High")</f>
        <v>High</v>
      </c>
      <c r="AH1269" t="str" cm="1">
        <f t="array" ref="AH1269">_xlfn.IFS(M1269=1,"Junior employee",M1269=2,"Mid-level",M1269=3,"Senior",M1269=4,"Manager",M1269=5,"Executive")</f>
        <v>Mid-level</v>
      </c>
      <c r="AI1269" t="str" cm="1">
        <f t="array" ref="AI1269">_xlfn.IFS(O1269=1,"Low",O1269=2,"Medium",O1269=3,"High",O1269=4,"Very High")</f>
        <v>High</v>
      </c>
      <c r="AJ1269" t="str" cm="1">
        <f t="array" ref="AJ1269">_xlfn.IFS(U1269=1,"Low",U1269=2,"Good",U1269=3,"Excellent",U1269=4,"Outstanding")</f>
        <v>Excellent</v>
      </c>
      <c r="AK1269" t="str" cm="1">
        <f t="array" ref="AK1269">_xlfn.IFS(V1269=1,"Low",V1269=2,"Medium",V1269=3,"High",V1269=4,"Very High")</f>
        <v>High</v>
      </c>
      <c r="AL1269" t="str" cm="1">
        <f t="array" ref="AL1269">_xlfn.IFS(Z1269=1,"Bad",Z1269=2,"Good",Z1269=3,"Better",Z1269=4,"Best")</f>
        <v>Better</v>
      </c>
      <c r="AM1269" t="str" cm="1">
        <f t="array" ref="AM1269">_xlfn.IFS(W1269=0,"No_stock",W1269=1,"Low",W1269=2,"Medium",W1269=3,"High")</f>
        <v>Low</v>
      </c>
      <c r="AN1269" t="str">
        <f t="shared" si="19"/>
        <v>Medium</v>
      </c>
    </row>
    <row r="1270" spans="1:40" x14ac:dyDescent="0.45">
      <c r="A1270">
        <v>53</v>
      </c>
      <c r="B1270" t="s">
        <v>37</v>
      </c>
      <c r="C1270" t="s">
        <v>49</v>
      </c>
      <c r="D1270">
        <v>661</v>
      </c>
      <c r="E1270" t="s">
        <v>39</v>
      </c>
      <c r="F1270">
        <v>1</v>
      </c>
      <c r="G1270">
        <v>4</v>
      </c>
      <c r="H1270" t="s">
        <v>45</v>
      </c>
      <c r="I1270">
        <v>1775</v>
      </c>
      <c r="J1270">
        <v>1</v>
      </c>
      <c r="K1270" t="s">
        <v>34</v>
      </c>
      <c r="L1270">
        <v>2</v>
      </c>
      <c r="M1270">
        <v>4</v>
      </c>
      <c r="N1270" t="s">
        <v>47</v>
      </c>
      <c r="O1270">
        <v>3</v>
      </c>
      <c r="P1270" t="s">
        <v>42</v>
      </c>
      <c r="Q1270">
        <v>12965</v>
      </c>
      <c r="R1270">
        <v>4</v>
      </c>
      <c r="S1270" t="s">
        <v>30</v>
      </c>
      <c r="T1270">
        <v>20</v>
      </c>
      <c r="U1270">
        <v>4</v>
      </c>
      <c r="V1270">
        <v>4</v>
      </c>
      <c r="W1270">
        <v>3</v>
      </c>
      <c r="X1270">
        <v>27</v>
      </c>
      <c r="Y1270">
        <v>2</v>
      </c>
      <c r="Z1270">
        <v>2</v>
      </c>
      <c r="AA1270">
        <v>3</v>
      </c>
      <c r="AB1270">
        <v>2</v>
      </c>
      <c r="AC1270">
        <v>0</v>
      </c>
      <c r="AD1270">
        <v>2</v>
      </c>
      <c r="AE1270" t="str" cm="1">
        <f t="array" ref="AE1270">_xlfn.IFS(G1270=1,"Before College",G1270=2,"College",G1270=3,"Bachelor",G1270=4,"Master",G1270=5,"Doctor")</f>
        <v>Master</v>
      </c>
      <c r="AF1270" t="str" cm="1">
        <f t="array" ref="AF1270">_xlfn.IFS(J1270=1,"Low",J1270=2,"Medium",J1270=3,"High",J1270=4,"Very High")</f>
        <v>Low</v>
      </c>
      <c r="AG1270" t="str" cm="1">
        <f t="array" ref="AG1270">_xlfn.IFS(L1270=1,"Low",L1270=2,"Medium",L1270=3,"High",L1270=4,"Very High")</f>
        <v>Medium</v>
      </c>
      <c r="AH1270" t="str" cm="1">
        <f t="array" ref="AH1270">_xlfn.IFS(M1270=1,"Junior employee",M1270=2,"Mid-level",M1270=3,"Senior",M1270=4,"Manager",M1270=5,"Executive")</f>
        <v>Manager</v>
      </c>
      <c r="AI1270" t="str" cm="1">
        <f t="array" ref="AI1270">_xlfn.IFS(O1270=1,"Low",O1270=2,"Medium",O1270=3,"High",O1270=4,"Very High")</f>
        <v>High</v>
      </c>
      <c r="AJ1270" t="str" cm="1">
        <f t="array" ref="AJ1270">_xlfn.IFS(U1270=1,"Low",U1270=2,"Good",U1270=3,"Excellent",U1270=4,"Outstanding")</f>
        <v>Outstanding</v>
      </c>
      <c r="AK1270" t="str" cm="1">
        <f t="array" ref="AK1270">_xlfn.IFS(V1270=1,"Low",V1270=2,"Medium",V1270=3,"High",V1270=4,"Very High")</f>
        <v>Very High</v>
      </c>
      <c r="AL1270" t="str" cm="1">
        <f t="array" ref="AL1270">_xlfn.IFS(Z1270=1,"Bad",Z1270=2,"Good",Z1270=3,"Better",Z1270=4,"Best")</f>
        <v>Good</v>
      </c>
      <c r="AM1270" t="str" cm="1">
        <f t="array" ref="AM1270">_xlfn.IFS(W1270=0,"No_stock",W1270=1,"Low",W1270=2,"Medium",W1270=3,"High")</f>
        <v>High</v>
      </c>
      <c r="AN1270" t="str">
        <f t="shared" si="19"/>
        <v>Near</v>
      </c>
    </row>
    <row r="1271" spans="1:40" x14ac:dyDescent="0.45">
      <c r="A1271">
        <v>43</v>
      </c>
      <c r="B1271" t="s">
        <v>37</v>
      </c>
      <c r="C1271" t="s">
        <v>31</v>
      </c>
      <c r="D1271">
        <v>244</v>
      </c>
      <c r="E1271" t="s">
        <v>55</v>
      </c>
      <c r="F1271">
        <v>2</v>
      </c>
      <c r="G1271">
        <v>3</v>
      </c>
      <c r="H1271" t="s">
        <v>33</v>
      </c>
      <c r="I1271">
        <v>1778</v>
      </c>
      <c r="J1271">
        <v>2</v>
      </c>
      <c r="K1271" t="s">
        <v>40</v>
      </c>
      <c r="L1271">
        <v>3</v>
      </c>
      <c r="M1271">
        <v>1</v>
      </c>
      <c r="N1271" t="s">
        <v>55</v>
      </c>
      <c r="O1271">
        <v>4</v>
      </c>
      <c r="P1271" t="s">
        <v>36</v>
      </c>
      <c r="Q1271">
        <v>3539</v>
      </c>
      <c r="R1271">
        <v>0</v>
      </c>
      <c r="S1271" t="s">
        <v>37</v>
      </c>
      <c r="T1271">
        <v>13</v>
      </c>
      <c r="U1271">
        <v>3</v>
      </c>
      <c r="V1271">
        <v>2</v>
      </c>
      <c r="W1271">
        <v>0</v>
      </c>
      <c r="X1271">
        <v>10</v>
      </c>
      <c r="Y1271">
        <v>5</v>
      </c>
      <c r="Z1271">
        <v>3</v>
      </c>
      <c r="AA1271">
        <v>9</v>
      </c>
      <c r="AB1271">
        <v>7</v>
      </c>
      <c r="AC1271">
        <v>1</v>
      </c>
      <c r="AD1271">
        <v>8</v>
      </c>
      <c r="AE1271" t="str" cm="1">
        <f t="array" ref="AE1271">_xlfn.IFS(G1271=1,"Before College",G1271=2,"College",G1271=3,"Bachelor",G1271=4,"Master",G1271=5,"Doctor")</f>
        <v>Bachelor</v>
      </c>
      <c r="AF1271" t="str" cm="1">
        <f t="array" ref="AF1271">_xlfn.IFS(J1271=1,"Low",J1271=2,"Medium",J1271=3,"High",J1271=4,"Very High")</f>
        <v>Medium</v>
      </c>
      <c r="AG1271" t="str" cm="1">
        <f t="array" ref="AG1271">_xlfn.IFS(L1271=1,"Low",L1271=2,"Medium",L1271=3,"High",L1271=4,"Very High")</f>
        <v>High</v>
      </c>
      <c r="AH1271" t="str" cm="1">
        <f t="array" ref="AH1271">_xlfn.IFS(M1271=1,"Junior employee",M1271=2,"Mid-level",M1271=3,"Senior",M1271=4,"Manager",M1271=5,"Executive")</f>
        <v>Junior employee</v>
      </c>
      <c r="AI1271" t="str" cm="1">
        <f t="array" ref="AI1271">_xlfn.IFS(O1271=1,"Low",O1271=2,"Medium",O1271=3,"High",O1271=4,"Very High")</f>
        <v>Very High</v>
      </c>
      <c r="AJ1271" t="str" cm="1">
        <f t="array" ref="AJ1271">_xlfn.IFS(U1271=1,"Low",U1271=2,"Good",U1271=3,"Excellent",U1271=4,"Outstanding")</f>
        <v>Excellent</v>
      </c>
      <c r="AK1271" t="str" cm="1">
        <f t="array" ref="AK1271">_xlfn.IFS(V1271=1,"Low",V1271=2,"Medium",V1271=3,"High",V1271=4,"Very High")</f>
        <v>Medium</v>
      </c>
      <c r="AL1271" t="str" cm="1">
        <f t="array" ref="AL1271">_xlfn.IFS(Z1271=1,"Bad",Z1271=2,"Good",Z1271=3,"Better",Z1271=4,"Best")</f>
        <v>Better</v>
      </c>
      <c r="AM1271" t="str" cm="1">
        <f t="array" ref="AM1271">_xlfn.IFS(W1271=0,"No_stock",W1271=1,"Low",W1271=2,"Medium",W1271=3,"High")</f>
        <v>No_stock</v>
      </c>
      <c r="AN1271" t="str">
        <f t="shared" si="19"/>
        <v>Near</v>
      </c>
    </row>
    <row r="1272" spans="1:40" x14ac:dyDescent="0.45">
      <c r="A1272">
        <v>34</v>
      </c>
      <c r="B1272" t="s">
        <v>37</v>
      </c>
      <c r="C1272" t="s">
        <v>31</v>
      </c>
      <c r="D1272">
        <v>511</v>
      </c>
      <c r="E1272" t="s">
        <v>32</v>
      </c>
      <c r="F1272">
        <v>3</v>
      </c>
      <c r="G1272">
        <v>2</v>
      </c>
      <c r="H1272" t="s">
        <v>33</v>
      </c>
      <c r="I1272">
        <v>1779</v>
      </c>
      <c r="J1272">
        <v>4</v>
      </c>
      <c r="K1272" t="s">
        <v>34</v>
      </c>
      <c r="L1272">
        <v>1</v>
      </c>
      <c r="M1272">
        <v>2</v>
      </c>
      <c r="N1272" t="s">
        <v>35</v>
      </c>
      <c r="O1272">
        <v>4</v>
      </c>
      <c r="P1272" t="s">
        <v>36</v>
      </c>
      <c r="Q1272">
        <v>6029</v>
      </c>
      <c r="R1272">
        <v>5</v>
      </c>
      <c r="S1272" t="s">
        <v>37</v>
      </c>
      <c r="T1272">
        <v>12</v>
      </c>
      <c r="U1272">
        <v>3</v>
      </c>
      <c r="V1272">
        <v>1</v>
      </c>
      <c r="W1272">
        <v>0</v>
      </c>
      <c r="X1272">
        <v>6</v>
      </c>
      <c r="Y1272">
        <v>3</v>
      </c>
      <c r="Z1272">
        <v>3</v>
      </c>
      <c r="AA1272">
        <v>2</v>
      </c>
      <c r="AB1272">
        <v>2</v>
      </c>
      <c r="AC1272">
        <v>2</v>
      </c>
      <c r="AD1272">
        <v>2</v>
      </c>
      <c r="AE1272" t="str" cm="1">
        <f t="array" ref="AE1272">_xlfn.IFS(G1272=1,"Before College",G1272=2,"College",G1272=3,"Bachelor",G1272=4,"Master",G1272=5,"Doctor")</f>
        <v>College</v>
      </c>
      <c r="AF1272" t="str" cm="1">
        <f t="array" ref="AF1272">_xlfn.IFS(J1272=1,"Low",J1272=2,"Medium",J1272=3,"High",J1272=4,"Very High")</f>
        <v>Very High</v>
      </c>
      <c r="AG1272" t="str" cm="1">
        <f t="array" ref="AG1272">_xlfn.IFS(L1272=1,"Low",L1272=2,"Medium",L1272=3,"High",L1272=4,"Very High")</f>
        <v>Low</v>
      </c>
      <c r="AH1272" t="str" cm="1">
        <f t="array" ref="AH1272">_xlfn.IFS(M1272=1,"Junior employee",M1272=2,"Mid-level",M1272=3,"Senior",M1272=4,"Manager",M1272=5,"Executive")</f>
        <v>Mid-level</v>
      </c>
      <c r="AI1272" t="str" cm="1">
        <f t="array" ref="AI1272">_xlfn.IFS(O1272=1,"Low",O1272=2,"Medium",O1272=3,"High",O1272=4,"Very High")</f>
        <v>Very High</v>
      </c>
      <c r="AJ1272" t="str" cm="1">
        <f t="array" ref="AJ1272">_xlfn.IFS(U1272=1,"Low",U1272=2,"Good",U1272=3,"Excellent",U1272=4,"Outstanding")</f>
        <v>Excellent</v>
      </c>
      <c r="AK1272" t="str" cm="1">
        <f t="array" ref="AK1272">_xlfn.IFS(V1272=1,"Low",V1272=2,"Medium",V1272=3,"High",V1272=4,"Very High")</f>
        <v>Low</v>
      </c>
      <c r="AL1272" t="str" cm="1">
        <f t="array" ref="AL1272">_xlfn.IFS(Z1272=1,"Bad",Z1272=2,"Good",Z1272=3,"Better",Z1272=4,"Best")</f>
        <v>Better</v>
      </c>
      <c r="AM1272" t="str" cm="1">
        <f t="array" ref="AM1272">_xlfn.IFS(W1272=0,"No_stock",W1272=1,"Low",W1272=2,"Medium",W1272=3,"High")</f>
        <v>No_stock</v>
      </c>
      <c r="AN1272" t="str">
        <f t="shared" si="19"/>
        <v>Near</v>
      </c>
    </row>
    <row r="1273" spans="1:40" x14ac:dyDescent="0.45">
      <c r="A1273">
        <v>21</v>
      </c>
      <c r="B1273" t="s">
        <v>30</v>
      </c>
      <c r="C1273" t="s">
        <v>31</v>
      </c>
      <c r="D1273">
        <v>337</v>
      </c>
      <c r="E1273" t="s">
        <v>32</v>
      </c>
      <c r="F1273">
        <v>7</v>
      </c>
      <c r="G1273">
        <v>1</v>
      </c>
      <c r="H1273" t="s">
        <v>53</v>
      </c>
      <c r="I1273">
        <v>1780</v>
      </c>
      <c r="J1273">
        <v>2</v>
      </c>
      <c r="K1273" t="s">
        <v>40</v>
      </c>
      <c r="L1273">
        <v>3</v>
      </c>
      <c r="M1273">
        <v>1</v>
      </c>
      <c r="N1273" t="s">
        <v>51</v>
      </c>
      <c r="O1273">
        <v>2</v>
      </c>
      <c r="P1273" t="s">
        <v>36</v>
      </c>
      <c r="Q1273">
        <v>2679</v>
      </c>
      <c r="R1273">
        <v>1</v>
      </c>
      <c r="S1273" t="s">
        <v>37</v>
      </c>
      <c r="T1273">
        <v>13</v>
      </c>
      <c r="U1273">
        <v>3</v>
      </c>
      <c r="V1273">
        <v>2</v>
      </c>
      <c r="W1273">
        <v>0</v>
      </c>
      <c r="X1273">
        <v>1</v>
      </c>
      <c r="Y1273">
        <v>3</v>
      </c>
      <c r="Z1273">
        <v>3</v>
      </c>
      <c r="AA1273">
        <v>1</v>
      </c>
      <c r="AB1273">
        <v>0</v>
      </c>
      <c r="AC1273">
        <v>1</v>
      </c>
      <c r="AD1273">
        <v>0</v>
      </c>
      <c r="AE1273" t="str" cm="1">
        <f t="array" ref="AE1273">_xlfn.IFS(G1273=1,"Before College",G1273=2,"College",G1273=3,"Bachelor",G1273=4,"Master",G1273=5,"Doctor")</f>
        <v>Before College</v>
      </c>
      <c r="AF1273" t="str" cm="1">
        <f t="array" ref="AF1273">_xlfn.IFS(J1273=1,"Low",J1273=2,"Medium",J1273=3,"High",J1273=4,"Very High")</f>
        <v>Medium</v>
      </c>
      <c r="AG1273" t="str" cm="1">
        <f t="array" ref="AG1273">_xlfn.IFS(L1273=1,"Low",L1273=2,"Medium",L1273=3,"High",L1273=4,"Very High")</f>
        <v>High</v>
      </c>
      <c r="AH1273" t="str" cm="1">
        <f t="array" ref="AH1273">_xlfn.IFS(M1273=1,"Junior employee",M1273=2,"Mid-level",M1273=3,"Senior",M1273=4,"Manager",M1273=5,"Executive")</f>
        <v>Junior employee</v>
      </c>
      <c r="AI1273" t="str" cm="1">
        <f t="array" ref="AI1273">_xlfn.IFS(O1273=1,"Low",O1273=2,"Medium",O1273=3,"High",O1273=4,"Very High")</f>
        <v>Medium</v>
      </c>
      <c r="AJ1273" t="str" cm="1">
        <f t="array" ref="AJ1273">_xlfn.IFS(U1273=1,"Low",U1273=2,"Good",U1273=3,"Excellent",U1273=4,"Outstanding")</f>
        <v>Excellent</v>
      </c>
      <c r="AK1273" t="str" cm="1">
        <f t="array" ref="AK1273">_xlfn.IFS(V1273=1,"Low",V1273=2,"Medium",V1273=3,"High",V1273=4,"Very High")</f>
        <v>Medium</v>
      </c>
      <c r="AL1273" t="str" cm="1">
        <f t="array" ref="AL1273">_xlfn.IFS(Z1273=1,"Bad",Z1273=2,"Good",Z1273=3,"Better",Z1273=4,"Best")</f>
        <v>Better</v>
      </c>
      <c r="AM1273" t="str" cm="1">
        <f t="array" ref="AM1273">_xlfn.IFS(W1273=0,"No_stock",W1273=1,"Low",W1273=2,"Medium",W1273=3,"High")</f>
        <v>No_stock</v>
      </c>
      <c r="AN1273" t="str">
        <f t="shared" si="19"/>
        <v>Medium</v>
      </c>
    </row>
    <row r="1274" spans="1:40" x14ac:dyDescent="0.45">
      <c r="A1274">
        <v>38</v>
      </c>
      <c r="B1274" t="s">
        <v>37</v>
      </c>
      <c r="C1274" t="s">
        <v>31</v>
      </c>
      <c r="D1274">
        <v>1153</v>
      </c>
      <c r="E1274" t="s">
        <v>39</v>
      </c>
      <c r="F1274">
        <v>6</v>
      </c>
      <c r="G1274">
        <v>2</v>
      </c>
      <c r="H1274" t="s">
        <v>43</v>
      </c>
      <c r="I1274">
        <v>1782</v>
      </c>
      <c r="J1274">
        <v>4</v>
      </c>
      <c r="K1274" t="s">
        <v>34</v>
      </c>
      <c r="L1274">
        <v>2</v>
      </c>
      <c r="M1274">
        <v>1</v>
      </c>
      <c r="N1274" t="s">
        <v>44</v>
      </c>
      <c r="O1274">
        <v>3</v>
      </c>
      <c r="P1274" t="s">
        <v>42</v>
      </c>
      <c r="Q1274">
        <v>3702</v>
      </c>
      <c r="R1274">
        <v>1</v>
      </c>
      <c r="S1274" t="s">
        <v>37</v>
      </c>
      <c r="T1274">
        <v>11</v>
      </c>
      <c r="U1274">
        <v>3</v>
      </c>
      <c r="V1274">
        <v>2</v>
      </c>
      <c r="W1274">
        <v>1</v>
      </c>
      <c r="X1274">
        <v>5</v>
      </c>
      <c r="Y1274">
        <v>3</v>
      </c>
      <c r="Z1274">
        <v>3</v>
      </c>
      <c r="AA1274">
        <v>5</v>
      </c>
      <c r="AB1274">
        <v>4</v>
      </c>
      <c r="AC1274">
        <v>0</v>
      </c>
      <c r="AD1274">
        <v>4</v>
      </c>
      <c r="AE1274" t="str" cm="1">
        <f t="array" ref="AE1274">_xlfn.IFS(G1274=1,"Before College",G1274=2,"College",G1274=3,"Bachelor",G1274=4,"Master",G1274=5,"Doctor")</f>
        <v>College</v>
      </c>
      <c r="AF1274" t="str" cm="1">
        <f t="array" ref="AF1274">_xlfn.IFS(J1274=1,"Low",J1274=2,"Medium",J1274=3,"High",J1274=4,"Very High")</f>
        <v>Very High</v>
      </c>
      <c r="AG1274" t="str" cm="1">
        <f t="array" ref="AG1274">_xlfn.IFS(L1274=1,"Low",L1274=2,"Medium",L1274=3,"High",L1274=4,"Very High")</f>
        <v>Medium</v>
      </c>
      <c r="AH1274" t="str" cm="1">
        <f t="array" ref="AH1274">_xlfn.IFS(M1274=1,"Junior employee",M1274=2,"Mid-level",M1274=3,"Senior",M1274=4,"Manager",M1274=5,"Executive")</f>
        <v>Junior employee</v>
      </c>
      <c r="AI1274" t="str" cm="1">
        <f t="array" ref="AI1274">_xlfn.IFS(O1274=1,"Low",O1274=2,"Medium",O1274=3,"High",O1274=4,"Very High")</f>
        <v>High</v>
      </c>
      <c r="AJ1274" t="str" cm="1">
        <f t="array" ref="AJ1274">_xlfn.IFS(U1274=1,"Low",U1274=2,"Good",U1274=3,"Excellent",U1274=4,"Outstanding")</f>
        <v>Excellent</v>
      </c>
      <c r="AK1274" t="str" cm="1">
        <f t="array" ref="AK1274">_xlfn.IFS(V1274=1,"Low",V1274=2,"Medium",V1274=3,"High",V1274=4,"Very High")</f>
        <v>Medium</v>
      </c>
      <c r="AL1274" t="str" cm="1">
        <f t="array" ref="AL1274">_xlfn.IFS(Z1274=1,"Bad",Z1274=2,"Good",Z1274=3,"Better",Z1274=4,"Best")</f>
        <v>Better</v>
      </c>
      <c r="AM1274" t="str" cm="1">
        <f t="array" ref="AM1274">_xlfn.IFS(W1274=0,"No_stock",W1274=1,"Low",W1274=2,"Medium",W1274=3,"High")</f>
        <v>Low</v>
      </c>
      <c r="AN1274" t="str">
        <f t="shared" si="19"/>
        <v>Medium</v>
      </c>
    </row>
    <row r="1275" spans="1:40" x14ac:dyDescent="0.45">
      <c r="A1275">
        <v>22</v>
      </c>
      <c r="B1275" t="s">
        <v>30</v>
      </c>
      <c r="C1275" t="s">
        <v>31</v>
      </c>
      <c r="D1275">
        <v>1294</v>
      </c>
      <c r="E1275" t="s">
        <v>39</v>
      </c>
      <c r="F1275">
        <v>8</v>
      </c>
      <c r="G1275">
        <v>1</v>
      </c>
      <c r="H1275" t="s">
        <v>45</v>
      </c>
      <c r="I1275">
        <v>1783</v>
      </c>
      <c r="J1275">
        <v>3</v>
      </c>
      <c r="K1275" t="s">
        <v>34</v>
      </c>
      <c r="L1275">
        <v>3</v>
      </c>
      <c r="M1275">
        <v>1</v>
      </c>
      <c r="N1275" t="s">
        <v>44</v>
      </c>
      <c r="O1275">
        <v>1</v>
      </c>
      <c r="P1275" t="s">
        <v>42</v>
      </c>
      <c r="Q1275">
        <v>2398</v>
      </c>
      <c r="R1275">
        <v>1</v>
      </c>
      <c r="S1275" t="s">
        <v>30</v>
      </c>
      <c r="T1275">
        <v>17</v>
      </c>
      <c r="U1275">
        <v>3</v>
      </c>
      <c r="V1275">
        <v>3</v>
      </c>
      <c r="W1275">
        <v>0</v>
      </c>
      <c r="X1275">
        <v>1</v>
      </c>
      <c r="Y1275">
        <v>6</v>
      </c>
      <c r="Z1275">
        <v>3</v>
      </c>
      <c r="AA1275">
        <v>1</v>
      </c>
      <c r="AB1275">
        <v>0</v>
      </c>
      <c r="AC1275">
        <v>0</v>
      </c>
      <c r="AD1275">
        <v>0</v>
      </c>
      <c r="AE1275" t="str" cm="1">
        <f t="array" ref="AE1275">_xlfn.IFS(G1275=1,"Before College",G1275=2,"College",G1275=3,"Bachelor",G1275=4,"Master",G1275=5,"Doctor")</f>
        <v>Before College</v>
      </c>
      <c r="AF1275" t="str" cm="1">
        <f t="array" ref="AF1275">_xlfn.IFS(J1275=1,"Low",J1275=2,"Medium",J1275=3,"High",J1275=4,"Very High")</f>
        <v>High</v>
      </c>
      <c r="AG1275" t="str" cm="1">
        <f t="array" ref="AG1275">_xlfn.IFS(L1275=1,"Low",L1275=2,"Medium",L1275=3,"High",L1275=4,"Very High")</f>
        <v>High</v>
      </c>
      <c r="AH1275" t="str" cm="1">
        <f t="array" ref="AH1275">_xlfn.IFS(M1275=1,"Junior employee",M1275=2,"Mid-level",M1275=3,"Senior",M1275=4,"Manager",M1275=5,"Executive")</f>
        <v>Junior employee</v>
      </c>
      <c r="AI1275" t="str" cm="1">
        <f t="array" ref="AI1275">_xlfn.IFS(O1275=1,"Low",O1275=2,"Medium",O1275=3,"High",O1275=4,"Very High")</f>
        <v>Low</v>
      </c>
      <c r="AJ1275" t="str" cm="1">
        <f t="array" ref="AJ1275">_xlfn.IFS(U1275=1,"Low",U1275=2,"Good",U1275=3,"Excellent",U1275=4,"Outstanding")</f>
        <v>Excellent</v>
      </c>
      <c r="AK1275" t="str" cm="1">
        <f t="array" ref="AK1275">_xlfn.IFS(V1275=1,"Low",V1275=2,"Medium",V1275=3,"High",V1275=4,"Very High")</f>
        <v>High</v>
      </c>
      <c r="AL1275" t="str" cm="1">
        <f t="array" ref="AL1275">_xlfn.IFS(Z1275=1,"Bad",Z1275=2,"Good",Z1275=3,"Better",Z1275=4,"Best")</f>
        <v>Better</v>
      </c>
      <c r="AM1275" t="str" cm="1">
        <f t="array" ref="AM1275">_xlfn.IFS(W1275=0,"No_stock",W1275=1,"Low",W1275=2,"Medium",W1275=3,"High")</f>
        <v>No_stock</v>
      </c>
      <c r="AN1275" t="str">
        <f t="shared" si="19"/>
        <v>Medium</v>
      </c>
    </row>
    <row r="1276" spans="1:40" x14ac:dyDescent="0.45">
      <c r="A1276">
        <v>31</v>
      </c>
      <c r="B1276" t="s">
        <v>37</v>
      </c>
      <c r="C1276" t="s">
        <v>31</v>
      </c>
      <c r="D1276">
        <v>196</v>
      </c>
      <c r="E1276" t="s">
        <v>32</v>
      </c>
      <c r="F1276">
        <v>29</v>
      </c>
      <c r="G1276">
        <v>4</v>
      </c>
      <c r="H1276" t="s">
        <v>53</v>
      </c>
      <c r="I1276">
        <v>1784</v>
      </c>
      <c r="J1276">
        <v>1</v>
      </c>
      <c r="K1276" t="s">
        <v>34</v>
      </c>
      <c r="L1276">
        <v>2</v>
      </c>
      <c r="M1276">
        <v>2</v>
      </c>
      <c r="N1276" t="s">
        <v>35</v>
      </c>
      <c r="O1276">
        <v>4</v>
      </c>
      <c r="P1276" t="s">
        <v>42</v>
      </c>
      <c r="Q1276">
        <v>5468</v>
      </c>
      <c r="R1276">
        <v>1</v>
      </c>
      <c r="S1276" t="s">
        <v>37</v>
      </c>
      <c r="T1276">
        <v>14</v>
      </c>
      <c r="U1276">
        <v>3</v>
      </c>
      <c r="V1276">
        <v>1</v>
      </c>
      <c r="W1276">
        <v>2</v>
      </c>
      <c r="X1276">
        <v>13</v>
      </c>
      <c r="Y1276">
        <v>3</v>
      </c>
      <c r="Z1276">
        <v>3</v>
      </c>
      <c r="AA1276">
        <v>12</v>
      </c>
      <c r="AB1276">
        <v>7</v>
      </c>
      <c r="AC1276">
        <v>5</v>
      </c>
      <c r="AD1276">
        <v>7</v>
      </c>
      <c r="AE1276" t="str" cm="1">
        <f t="array" ref="AE1276">_xlfn.IFS(G1276=1,"Before College",G1276=2,"College",G1276=3,"Bachelor",G1276=4,"Master",G1276=5,"Doctor")</f>
        <v>Master</v>
      </c>
      <c r="AF1276" t="str" cm="1">
        <f t="array" ref="AF1276">_xlfn.IFS(J1276=1,"Low",J1276=2,"Medium",J1276=3,"High",J1276=4,"Very High")</f>
        <v>Low</v>
      </c>
      <c r="AG1276" t="str" cm="1">
        <f t="array" ref="AG1276">_xlfn.IFS(L1276=1,"Low",L1276=2,"Medium",L1276=3,"High",L1276=4,"Very High")</f>
        <v>Medium</v>
      </c>
      <c r="AH1276" t="str" cm="1">
        <f t="array" ref="AH1276">_xlfn.IFS(M1276=1,"Junior employee",M1276=2,"Mid-level",M1276=3,"Senior",M1276=4,"Manager",M1276=5,"Executive")</f>
        <v>Mid-level</v>
      </c>
      <c r="AI1276" t="str" cm="1">
        <f t="array" ref="AI1276">_xlfn.IFS(O1276=1,"Low",O1276=2,"Medium",O1276=3,"High",O1276=4,"Very High")</f>
        <v>Very High</v>
      </c>
      <c r="AJ1276" t="str" cm="1">
        <f t="array" ref="AJ1276">_xlfn.IFS(U1276=1,"Low",U1276=2,"Good",U1276=3,"Excellent",U1276=4,"Outstanding")</f>
        <v>Excellent</v>
      </c>
      <c r="AK1276" t="str" cm="1">
        <f t="array" ref="AK1276">_xlfn.IFS(V1276=1,"Low",V1276=2,"Medium",V1276=3,"High",V1276=4,"Very High")</f>
        <v>Low</v>
      </c>
      <c r="AL1276" t="str" cm="1">
        <f t="array" ref="AL1276">_xlfn.IFS(Z1276=1,"Bad",Z1276=2,"Good",Z1276=3,"Better",Z1276=4,"Best")</f>
        <v>Better</v>
      </c>
      <c r="AM1276" t="str" cm="1">
        <f t="array" ref="AM1276">_xlfn.IFS(W1276=0,"No_stock",W1276=1,"Low",W1276=2,"Medium",W1276=3,"High")</f>
        <v>Medium</v>
      </c>
      <c r="AN1276" t="str">
        <f t="shared" si="19"/>
        <v>Far</v>
      </c>
    </row>
    <row r="1277" spans="1:40" x14ac:dyDescent="0.45">
      <c r="A1277">
        <v>51</v>
      </c>
      <c r="B1277" t="s">
        <v>37</v>
      </c>
      <c r="C1277" t="s">
        <v>31</v>
      </c>
      <c r="D1277">
        <v>942</v>
      </c>
      <c r="E1277" t="s">
        <v>39</v>
      </c>
      <c r="F1277">
        <v>3</v>
      </c>
      <c r="G1277">
        <v>3</v>
      </c>
      <c r="H1277" t="s">
        <v>54</v>
      </c>
      <c r="I1277">
        <v>1786</v>
      </c>
      <c r="J1277">
        <v>1</v>
      </c>
      <c r="K1277" t="s">
        <v>34</v>
      </c>
      <c r="L1277">
        <v>3</v>
      </c>
      <c r="M1277">
        <v>3</v>
      </c>
      <c r="N1277" t="s">
        <v>50</v>
      </c>
      <c r="O1277">
        <v>3</v>
      </c>
      <c r="P1277" t="s">
        <v>42</v>
      </c>
      <c r="Q1277">
        <v>13116</v>
      </c>
      <c r="R1277">
        <v>2</v>
      </c>
      <c r="S1277" t="s">
        <v>37</v>
      </c>
      <c r="T1277">
        <v>11</v>
      </c>
      <c r="U1277">
        <v>3</v>
      </c>
      <c r="V1277">
        <v>4</v>
      </c>
      <c r="W1277">
        <v>0</v>
      </c>
      <c r="X1277">
        <v>15</v>
      </c>
      <c r="Y1277">
        <v>2</v>
      </c>
      <c r="Z1277">
        <v>3</v>
      </c>
      <c r="AA1277">
        <v>2</v>
      </c>
      <c r="AB1277">
        <v>2</v>
      </c>
      <c r="AC1277">
        <v>2</v>
      </c>
      <c r="AD1277">
        <v>2</v>
      </c>
      <c r="AE1277" t="str" cm="1">
        <f t="array" ref="AE1277">_xlfn.IFS(G1277=1,"Before College",G1277=2,"College",G1277=3,"Bachelor",G1277=4,"Master",G1277=5,"Doctor")</f>
        <v>Bachelor</v>
      </c>
      <c r="AF1277" t="str" cm="1">
        <f t="array" ref="AF1277">_xlfn.IFS(J1277=1,"Low",J1277=2,"Medium",J1277=3,"High",J1277=4,"Very High")</f>
        <v>Low</v>
      </c>
      <c r="AG1277" t="str" cm="1">
        <f t="array" ref="AG1277">_xlfn.IFS(L1277=1,"Low",L1277=2,"Medium",L1277=3,"High",L1277=4,"Very High")</f>
        <v>High</v>
      </c>
      <c r="AH1277" t="str" cm="1">
        <f t="array" ref="AH1277">_xlfn.IFS(M1277=1,"Junior employee",M1277=2,"Mid-level",M1277=3,"Senior",M1277=4,"Manager",M1277=5,"Executive")</f>
        <v>Senior</v>
      </c>
      <c r="AI1277" t="str" cm="1">
        <f t="array" ref="AI1277">_xlfn.IFS(O1277=1,"Low",O1277=2,"Medium",O1277=3,"High",O1277=4,"Very High")</f>
        <v>High</v>
      </c>
      <c r="AJ1277" t="str" cm="1">
        <f t="array" ref="AJ1277">_xlfn.IFS(U1277=1,"Low",U1277=2,"Good",U1277=3,"Excellent",U1277=4,"Outstanding")</f>
        <v>Excellent</v>
      </c>
      <c r="AK1277" t="str" cm="1">
        <f t="array" ref="AK1277">_xlfn.IFS(V1277=1,"Low",V1277=2,"Medium",V1277=3,"High",V1277=4,"Very High")</f>
        <v>Very High</v>
      </c>
      <c r="AL1277" t="str" cm="1">
        <f t="array" ref="AL1277">_xlfn.IFS(Z1277=1,"Bad",Z1277=2,"Good",Z1277=3,"Better",Z1277=4,"Best")</f>
        <v>Better</v>
      </c>
      <c r="AM1277" t="str" cm="1">
        <f t="array" ref="AM1277">_xlfn.IFS(W1277=0,"No_stock",W1277=1,"Low",W1277=2,"Medium",W1277=3,"High")</f>
        <v>No_stock</v>
      </c>
      <c r="AN1277" t="str">
        <f t="shared" si="19"/>
        <v>Near</v>
      </c>
    </row>
    <row r="1278" spans="1:40" x14ac:dyDescent="0.45">
      <c r="A1278">
        <v>37</v>
      </c>
      <c r="B1278" t="s">
        <v>37</v>
      </c>
      <c r="C1278" t="s">
        <v>31</v>
      </c>
      <c r="D1278">
        <v>589</v>
      </c>
      <c r="E1278" t="s">
        <v>32</v>
      </c>
      <c r="F1278">
        <v>9</v>
      </c>
      <c r="G1278">
        <v>2</v>
      </c>
      <c r="H1278" t="s">
        <v>53</v>
      </c>
      <c r="I1278">
        <v>1787</v>
      </c>
      <c r="J1278">
        <v>2</v>
      </c>
      <c r="K1278" t="s">
        <v>40</v>
      </c>
      <c r="L1278">
        <v>2</v>
      </c>
      <c r="M1278">
        <v>2</v>
      </c>
      <c r="N1278" t="s">
        <v>35</v>
      </c>
      <c r="O1278">
        <v>2</v>
      </c>
      <c r="P1278" t="s">
        <v>42</v>
      </c>
      <c r="Q1278">
        <v>4189</v>
      </c>
      <c r="R1278">
        <v>1</v>
      </c>
      <c r="S1278" t="s">
        <v>37</v>
      </c>
      <c r="T1278">
        <v>14</v>
      </c>
      <c r="U1278">
        <v>3</v>
      </c>
      <c r="V1278">
        <v>1</v>
      </c>
      <c r="W1278">
        <v>2</v>
      </c>
      <c r="X1278">
        <v>5</v>
      </c>
      <c r="Y1278">
        <v>2</v>
      </c>
      <c r="Z1278">
        <v>3</v>
      </c>
      <c r="AA1278">
        <v>5</v>
      </c>
      <c r="AB1278">
        <v>2</v>
      </c>
      <c r="AC1278">
        <v>0</v>
      </c>
      <c r="AD1278">
        <v>3</v>
      </c>
      <c r="AE1278" t="str" cm="1">
        <f t="array" ref="AE1278">_xlfn.IFS(G1278=1,"Before College",G1278=2,"College",G1278=3,"Bachelor",G1278=4,"Master",G1278=5,"Doctor")</f>
        <v>College</v>
      </c>
      <c r="AF1278" t="str" cm="1">
        <f t="array" ref="AF1278">_xlfn.IFS(J1278=1,"Low",J1278=2,"Medium",J1278=3,"High",J1278=4,"Very High")</f>
        <v>Medium</v>
      </c>
      <c r="AG1278" t="str" cm="1">
        <f t="array" ref="AG1278">_xlfn.IFS(L1278=1,"Low",L1278=2,"Medium",L1278=3,"High",L1278=4,"Very High")</f>
        <v>Medium</v>
      </c>
      <c r="AH1278" t="str" cm="1">
        <f t="array" ref="AH1278">_xlfn.IFS(M1278=1,"Junior employee",M1278=2,"Mid-level",M1278=3,"Senior",M1278=4,"Manager",M1278=5,"Executive")</f>
        <v>Mid-level</v>
      </c>
      <c r="AI1278" t="str" cm="1">
        <f t="array" ref="AI1278">_xlfn.IFS(O1278=1,"Low",O1278=2,"Medium",O1278=3,"High",O1278=4,"Very High")</f>
        <v>Medium</v>
      </c>
      <c r="AJ1278" t="str" cm="1">
        <f t="array" ref="AJ1278">_xlfn.IFS(U1278=1,"Low",U1278=2,"Good",U1278=3,"Excellent",U1278=4,"Outstanding")</f>
        <v>Excellent</v>
      </c>
      <c r="AK1278" t="str" cm="1">
        <f t="array" ref="AK1278">_xlfn.IFS(V1278=1,"Low",V1278=2,"Medium",V1278=3,"High",V1278=4,"Very High")</f>
        <v>Low</v>
      </c>
      <c r="AL1278" t="str" cm="1">
        <f t="array" ref="AL1278">_xlfn.IFS(Z1278=1,"Bad",Z1278=2,"Good",Z1278=3,"Better",Z1278=4,"Best")</f>
        <v>Better</v>
      </c>
      <c r="AM1278" t="str" cm="1">
        <f t="array" ref="AM1278">_xlfn.IFS(W1278=0,"No_stock",W1278=1,"Low",W1278=2,"Medium",W1278=3,"High")</f>
        <v>Medium</v>
      </c>
      <c r="AN1278" t="str">
        <f t="shared" si="19"/>
        <v>Medium</v>
      </c>
    </row>
    <row r="1279" spans="1:40" x14ac:dyDescent="0.45">
      <c r="A1279">
        <v>46</v>
      </c>
      <c r="B1279" t="s">
        <v>37</v>
      </c>
      <c r="C1279" t="s">
        <v>31</v>
      </c>
      <c r="D1279">
        <v>734</v>
      </c>
      <c r="E1279" t="s">
        <v>39</v>
      </c>
      <c r="F1279">
        <v>2</v>
      </c>
      <c r="G1279">
        <v>4</v>
      </c>
      <c r="H1279" t="s">
        <v>45</v>
      </c>
      <c r="I1279">
        <v>1789</v>
      </c>
      <c r="J1279">
        <v>3</v>
      </c>
      <c r="K1279" t="s">
        <v>40</v>
      </c>
      <c r="L1279">
        <v>3</v>
      </c>
      <c r="M1279">
        <v>5</v>
      </c>
      <c r="N1279" t="s">
        <v>52</v>
      </c>
      <c r="O1279">
        <v>4</v>
      </c>
      <c r="P1279" t="s">
        <v>46</v>
      </c>
      <c r="Q1279">
        <v>19328</v>
      </c>
      <c r="R1279">
        <v>7</v>
      </c>
      <c r="S1279" t="s">
        <v>30</v>
      </c>
      <c r="T1279">
        <v>17</v>
      </c>
      <c r="U1279">
        <v>3</v>
      </c>
      <c r="V1279">
        <v>3</v>
      </c>
      <c r="W1279">
        <v>1</v>
      </c>
      <c r="X1279">
        <v>24</v>
      </c>
      <c r="Y1279">
        <v>3</v>
      </c>
      <c r="Z1279">
        <v>3</v>
      </c>
      <c r="AA1279">
        <v>2</v>
      </c>
      <c r="AB1279">
        <v>1</v>
      </c>
      <c r="AC1279">
        <v>2</v>
      </c>
      <c r="AD1279">
        <v>2</v>
      </c>
      <c r="AE1279" t="str" cm="1">
        <f t="array" ref="AE1279">_xlfn.IFS(G1279=1,"Before College",G1279=2,"College",G1279=3,"Bachelor",G1279=4,"Master",G1279=5,"Doctor")</f>
        <v>Master</v>
      </c>
      <c r="AF1279" t="str" cm="1">
        <f t="array" ref="AF1279">_xlfn.IFS(J1279=1,"Low",J1279=2,"Medium",J1279=3,"High",J1279=4,"Very High")</f>
        <v>High</v>
      </c>
      <c r="AG1279" t="str" cm="1">
        <f t="array" ref="AG1279">_xlfn.IFS(L1279=1,"Low",L1279=2,"Medium",L1279=3,"High",L1279=4,"Very High")</f>
        <v>High</v>
      </c>
      <c r="AH1279" t="str" cm="1">
        <f t="array" ref="AH1279">_xlfn.IFS(M1279=1,"Junior employee",M1279=2,"Mid-level",M1279=3,"Senior",M1279=4,"Manager",M1279=5,"Executive")</f>
        <v>Executive</v>
      </c>
      <c r="AI1279" t="str" cm="1">
        <f t="array" ref="AI1279">_xlfn.IFS(O1279=1,"Low",O1279=2,"Medium",O1279=3,"High",O1279=4,"Very High")</f>
        <v>Very High</v>
      </c>
      <c r="AJ1279" t="str" cm="1">
        <f t="array" ref="AJ1279">_xlfn.IFS(U1279=1,"Low",U1279=2,"Good",U1279=3,"Excellent",U1279=4,"Outstanding")</f>
        <v>Excellent</v>
      </c>
      <c r="AK1279" t="str" cm="1">
        <f t="array" ref="AK1279">_xlfn.IFS(V1279=1,"Low",V1279=2,"Medium",V1279=3,"High",V1279=4,"Very High")</f>
        <v>High</v>
      </c>
      <c r="AL1279" t="str" cm="1">
        <f t="array" ref="AL1279">_xlfn.IFS(Z1279=1,"Bad",Z1279=2,"Good",Z1279=3,"Better",Z1279=4,"Best")</f>
        <v>Better</v>
      </c>
      <c r="AM1279" t="str" cm="1">
        <f t="array" ref="AM1279">_xlfn.IFS(W1279=0,"No_stock",W1279=1,"Low",W1279=2,"Medium",W1279=3,"High")</f>
        <v>Low</v>
      </c>
      <c r="AN1279" t="str">
        <f t="shared" si="19"/>
        <v>Near</v>
      </c>
    </row>
    <row r="1280" spans="1:40" x14ac:dyDescent="0.45">
      <c r="A1280">
        <v>36</v>
      </c>
      <c r="B1280" t="s">
        <v>37</v>
      </c>
      <c r="C1280" t="s">
        <v>31</v>
      </c>
      <c r="D1280">
        <v>1383</v>
      </c>
      <c r="E1280" t="s">
        <v>39</v>
      </c>
      <c r="F1280">
        <v>10</v>
      </c>
      <c r="G1280">
        <v>3</v>
      </c>
      <c r="H1280" t="s">
        <v>33</v>
      </c>
      <c r="I1280">
        <v>1790</v>
      </c>
      <c r="J1280">
        <v>4</v>
      </c>
      <c r="K1280" t="s">
        <v>40</v>
      </c>
      <c r="L1280">
        <v>3</v>
      </c>
      <c r="M1280">
        <v>3</v>
      </c>
      <c r="N1280" t="s">
        <v>48</v>
      </c>
      <c r="O1280">
        <v>1</v>
      </c>
      <c r="P1280" t="s">
        <v>42</v>
      </c>
      <c r="Q1280">
        <v>8321</v>
      </c>
      <c r="R1280">
        <v>7</v>
      </c>
      <c r="S1280" t="s">
        <v>30</v>
      </c>
      <c r="T1280">
        <v>13</v>
      </c>
      <c r="U1280">
        <v>3</v>
      </c>
      <c r="V1280">
        <v>4</v>
      </c>
      <c r="W1280">
        <v>1</v>
      </c>
      <c r="X1280">
        <v>15</v>
      </c>
      <c r="Y1280">
        <v>1</v>
      </c>
      <c r="Z1280">
        <v>3</v>
      </c>
      <c r="AA1280">
        <v>12</v>
      </c>
      <c r="AB1280">
        <v>8</v>
      </c>
      <c r="AC1280">
        <v>5</v>
      </c>
      <c r="AD1280">
        <v>7</v>
      </c>
      <c r="AE1280" t="str" cm="1">
        <f t="array" ref="AE1280">_xlfn.IFS(G1280=1,"Before College",G1280=2,"College",G1280=3,"Bachelor",G1280=4,"Master",G1280=5,"Doctor")</f>
        <v>Bachelor</v>
      </c>
      <c r="AF1280" t="str" cm="1">
        <f t="array" ref="AF1280">_xlfn.IFS(J1280=1,"Low",J1280=2,"Medium",J1280=3,"High",J1280=4,"Very High")</f>
        <v>Very High</v>
      </c>
      <c r="AG1280" t="str" cm="1">
        <f t="array" ref="AG1280">_xlfn.IFS(L1280=1,"Low",L1280=2,"Medium",L1280=3,"High",L1280=4,"Very High")</f>
        <v>High</v>
      </c>
      <c r="AH1280" t="str" cm="1">
        <f t="array" ref="AH1280">_xlfn.IFS(M1280=1,"Junior employee",M1280=2,"Mid-level",M1280=3,"Senior",M1280=4,"Manager",M1280=5,"Executive")</f>
        <v>Senior</v>
      </c>
      <c r="AI1280" t="str" cm="1">
        <f t="array" ref="AI1280">_xlfn.IFS(O1280=1,"Low",O1280=2,"Medium",O1280=3,"High",O1280=4,"Very High")</f>
        <v>Low</v>
      </c>
      <c r="AJ1280" t="str" cm="1">
        <f t="array" ref="AJ1280">_xlfn.IFS(U1280=1,"Low",U1280=2,"Good",U1280=3,"Excellent",U1280=4,"Outstanding")</f>
        <v>Excellent</v>
      </c>
      <c r="AK1280" t="str" cm="1">
        <f t="array" ref="AK1280">_xlfn.IFS(V1280=1,"Low",V1280=2,"Medium",V1280=3,"High",V1280=4,"Very High")</f>
        <v>Very High</v>
      </c>
      <c r="AL1280" t="str" cm="1">
        <f t="array" ref="AL1280">_xlfn.IFS(Z1280=1,"Bad",Z1280=2,"Good",Z1280=3,"Better",Z1280=4,"Best")</f>
        <v>Better</v>
      </c>
      <c r="AM1280" t="str" cm="1">
        <f t="array" ref="AM1280">_xlfn.IFS(W1280=0,"No_stock",W1280=1,"Low",W1280=2,"Medium",W1280=3,"High")</f>
        <v>Low</v>
      </c>
      <c r="AN1280" t="str">
        <f t="shared" si="19"/>
        <v>Medium</v>
      </c>
    </row>
    <row r="1281" spans="1:40" x14ac:dyDescent="0.45">
      <c r="A1281">
        <v>44</v>
      </c>
      <c r="B1281" t="s">
        <v>30</v>
      </c>
      <c r="C1281" t="s">
        <v>38</v>
      </c>
      <c r="D1281">
        <v>429</v>
      </c>
      <c r="E1281" t="s">
        <v>39</v>
      </c>
      <c r="F1281">
        <v>1</v>
      </c>
      <c r="G1281">
        <v>2</v>
      </c>
      <c r="H1281" t="s">
        <v>45</v>
      </c>
      <c r="I1281">
        <v>1792</v>
      </c>
      <c r="J1281">
        <v>3</v>
      </c>
      <c r="K1281" t="s">
        <v>40</v>
      </c>
      <c r="L1281">
        <v>3</v>
      </c>
      <c r="M1281">
        <v>1</v>
      </c>
      <c r="N1281" t="s">
        <v>41</v>
      </c>
      <c r="O1281">
        <v>2</v>
      </c>
      <c r="P1281" t="s">
        <v>46</v>
      </c>
      <c r="Q1281">
        <v>2342</v>
      </c>
      <c r="R1281">
        <v>1</v>
      </c>
      <c r="S1281" t="s">
        <v>30</v>
      </c>
      <c r="T1281">
        <v>12</v>
      </c>
      <c r="U1281">
        <v>3</v>
      </c>
      <c r="V1281">
        <v>3</v>
      </c>
      <c r="W1281">
        <v>3</v>
      </c>
      <c r="X1281">
        <v>6</v>
      </c>
      <c r="Y1281">
        <v>2</v>
      </c>
      <c r="Z1281">
        <v>2</v>
      </c>
      <c r="AA1281">
        <v>5</v>
      </c>
      <c r="AB1281">
        <v>3</v>
      </c>
      <c r="AC1281">
        <v>2</v>
      </c>
      <c r="AD1281">
        <v>3</v>
      </c>
      <c r="AE1281" t="str" cm="1">
        <f t="array" ref="AE1281">_xlfn.IFS(G1281=1,"Before College",G1281=2,"College",G1281=3,"Bachelor",G1281=4,"Master",G1281=5,"Doctor")</f>
        <v>College</v>
      </c>
      <c r="AF1281" t="str" cm="1">
        <f t="array" ref="AF1281">_xlfn.IFS(J1281=1,"Low",J1281=2,"Medium",J1281=3,"High",J1281=4,"Very High")</f>
        <v>High</v>
      </c>
      <c r="AG1281" t="str" cm="1">
        <f t="array" ref="AG1281">_xlfn.IFS(L1281=1,"Low",L1281=2,"Medium",L1281=3,"High",L1281=4,"Very High")</f>
        <v>High</v>
      </c>
      <c r="AH1281" t="str" cm="1">
        <f t="array" ref="AH1281">_xlfn.IFS(M1281=1,"Junior employee",M1281=2,"Mid-level",M1281=3,"Senior",M1281=4,"Manager",M1281=5,"Executive")</f>
        <v>Junior employee</v>
      </c>
      <c r="AI1281" t="str" cm="1">
        <f t="array" ref="AI1281">_xlfn.IFS(O1281=1,"Low",O1281=2,"Medium",O1281=3,"High",O1281=4,"Very High")</f>
        <v>Medium</v>
      </c>
      <c r="AJ1281" t="str" cm="1">
        <f t="array" ref="AJ1281">_xlfn.IFS(U1281=1,"Low",U1281=2,"Good",U1281=3,"Excellent",U1281=4,"Outstanding")</f>
        <v>Excellent</v>
      </c>
      <c r="AK1281" t="str" cm="1">
        <f t="array" ref="AK1281">_xlfn.IFS(V1281=1,"Low",V1281=2,"Medium",V1281=3,"High",V1281=4,"Very High")</f>
        <v>High</v>
      </c>
      <c r="AL1281" t="str" cm="1">
        <f t="array" ref="AL1281">_xlfn.IFS(Z1281=1,"Bad",Z1281=2,"Good",Z1281=3,"Better",Z1281=4,"Best")</f>
        <v>Good</v>
      </c>
      <c r="AM1281" t="str" cm="1">
        <f t="array" ref="AM1281">_xlfn.IFS(W1281=0,"No_stock",W1281=1,"Low",W1281=2,"Medium",W1281=3,"High")</f>
        <v>High</v>
      </c>
      <c r="AN1281" t="str">
        <f t="shared" si="19"/>
        <v>Near</v>
      </c>
    </row>
    <row r="1282" spans="1:40" x14ac:dyDescent="0.45">
      <c r="A1282">
        <v>37</v>
      </c>
      <c r="B1282" t="s">
        <v>37</v>
      </c>
      <c r="C1282" t="s">
        <v>31</v>
      </c>
      <c r="D1282">
        <v>1239</v>
      </c>
      <c r="E1282" t="s">
        <v>55</v>
      </c>
      <c r="F1282">
        <v>8</v>
      </c>
      <c r="G1282">
        <v>2</v>
      </c>
      <c r="H1282" t="s">
        <v>43</v>
      </c>
      <c r="I1282">
        <v>1794</v>
      </c>
      <c r="J1282">
        <v>3</v>
      </c>
      <c r="K1282" t="s">
        <v>40</v>
      </c>
      <c r="L1282">
        <v>3</v>
      </c>
      <c r="M1282">
        <v>2</v>
      </c>
      <c r="N1282" t="s">
        <v>55</v>
      </c>
      <c r="O1282">
        <v>2</v>
      </c>
      <c r="P1282" t="s">
        <v>46</v>
      </c>
      <c r="Q1282">
        <v>4071</v>
      </c>
      <c r="R1282">
        <v>2</v>
      </c>
      <c r="S1282" t="s">
        <v>37</v>
      </c>
      <c r="T1282">
        <v>13</v>
      </c>
      <c r="U1282">
        <v>3</v>
      </c>
      <c r="V1282">
        <v>3</v>
      </c>
      <c r="W1282">
        <v>0</v>
      </c>
      <c r="X1282">
        <v>19</v>
      </c>
      <c r="Y1282">
        <v>4</v>
      </c>
      <c r="Z1282">
        <v>2</v>
      </c>
      <c r="AA1282">
        <v>10</v>
      </c>
      <c r="AB1282">
        <v>0</v>
      </c>
      <c r="AC1282">
        <v>4</v>
      </c>
      <c r="AD1282">
        <v>7</v>
      </c>
      <c r="AE1282" t="str" cm="1">
        <f t="array" ref="AE1282">_xlfn.IFS(G1282=1,"Before College",G1282=2,"College",G1282=3,"Bachelor",G1282=4,"Master",G1282=5,"Doctor")</f>
        <v>College</v>
      </c>
      <c r="AF1282" t="str" cm="1">
        <f t="array" ref="AF1282">_xlfn.IFS(J1282=1,"Low",J1282=2,"Medium",J1282=3,"High",J1282=4,"Very High")</f>
        <v>High</v>
      </c>
      <c r="AG1282" t="str" cm="1">
        <f t="array" ref="AG1282">_xlfn.IFS(L1282=1,"Low",L1282=2,"Medium",L1282=3,"High",L1282=4,"Very High")</f>
        <v>High</v>
      </c>
      <c r="AH1282" t="str" cm="1">
        <f t="array" ref="AH1282">_xlfn.IFS(M1282=1,"Junior employee",M1282=2,"Mid-level",M1282=3,"Senior",M1282=4,"Manager",M1282=5,"Executive")</f>
        <v>Mid-level</v>
      </c>
      <c r="AI1282" t="str" cm="1">
        <f t="array" ref="AI1282">_xlfn.IFS(O1282=1,"Low",O1282=2,"Medium",O1282=3,"High",O1282=4,"Very High")</f>
        <v>Medium</v>
      </c>
      <c r="AJ1282" t="str" cm="1">
        <f t="array" ref="AJ1282">_xlfn.IFS(U1282=1,"Low",U1282=2,"Good",U1282=3,"Excellent",U1282=4,"Outstanding")</f>
        <v>Excellent</v>
      </c>
      <c r="AK1282" t="str" cm="1">
        <f t="array" ref="AK1282">_xlfn.IFS(V1282=1,"Low",V1282=2,"Medium",V1282=3,"High",V1282=4,"Very High")</f>
        <v>High</v>
      </c>
      <c r="AL1282" t="str" cm="1">
        <f t="array" ref="AL1282">_xlfn.IFS(Z1282=1,"Bad",Z1282=2,"Good",Z1282=3,"Better",Z1282=4,"Best")</f>
        <v>Good</v>
      </c>
      <c r="AM1282" t="str" cm="1">
        <f t="array" ref="AM1282">_xlfn.IFS(W1282=0,"No_stock",W1282=1,"Low",W1282=2,"Medium",W1282=3,"High")</f>
        <v>No_stock</v>
      </c>
      <c r="AN1282" t="str">
        <f t="shared" ref="AN1282:AN1345" si="20">IF(F1282&lt;=5,"Near",IF(F1282&lt;=15,"Medium","Far"))</f>
        <v>Medium</v>
      </c>
    </row>
    <row r="1283" spans="1:40" x14ac:dyDescent="0.45">
      <c r="A1283">
        <v>35</v>
      </c>
      <c r="B1283" t="s">
        <v>30</v>
      </c>
      <c r="C1283" t="s">
        <v>31</v>
      </c>
      <c r="D1283">
        <v>303</v>
      </c>
      <c r="E1283" t="s">
        <v>32</v>
      </c>
      <c r="F1283">
        <v>27</v>
      </c>
      <c r="G1283">
        <v>3</v>
      </c>
      <c r="H1283" t="s">
        <v>33</v>
      </c>
      <c r="I1283">
        <v>1797</v>
      </c>
      <c r="J1283">
        <v>3</v>
      </c>
      <c r="K1283" t="s">
        <v>40</v>
      </c>
      <c r="L1283">
        <v>3</v>
      </c>
      <c r="M1283">
        <v>2</v>
      </c>
      <c r="N1283" t="s">
        <v>35</v>
      </c>
      <c r="O1283">
        <v>4</v>
      </c>
      <c r="P1283" t="s">
        <v>36</v>
      </c>
      <c r="Q1283">
        <v>5813</v>
      </c>
      <c r="R1283">
        <v>1</v>
      </c>
      <c r="S1283" t="s">
        <v>30</v>
      </c>
      <c r="T1283">
        <v>18</v>
      </c>
      <c r="U1283">
        <v>3</v>
      </c>
      <c r="V1283">
        <v>4</v>
      </c>
      <c r="W1283">
        <v>0</v>
      </c>
      <c r="X1283">
        <v>10</v>
      </c>
      <c r="Y1283">
        <v>2</v>
      </c>
      <c r="Z1283">
        <v>3</v>
      </c>
      <c r="AA1283">
        <v>10</v>
      </c>
      <c r="AB1283">
        <v>7</v>
      </c>
      <c r="AC1283">
        <v>7</v>
      </c>
      <c r="AD1283">
        <v>7</v>
      </c>
      <c r="AE1283" t="str" cm="1">
        <f t="array" ref="AE1283">_xlfn.IFS(G1283=1,"Before College",G1283=2,"College",G1283=3,"Bachelor",G1283=4,"Master",G1283=5,"Doctor")</f>
        <v>Bachelor</v>
      </c>
      <c r="AF1283" t="str" cm="1">
        <f t="array" ref="AF1283">_xlfn.IFS(J1283=1,"Low",J1283=2,"Medium",J1283=3,"High",J1283=4,"Very High")</f>
        <v>High</v>
      </c>
      <c r="AG1283" t="str" cm="1">
        <f t="array" ref="AG1283">_xlfn.IFS(L1283=1,"Low",L1283=2,"Medium",L1283=3,"High",L1283=4,"Very High")</f>
        <v>High</v>
      </c>
      <c r="AH1283" t="str" cm="1">
        <f t="array" ref="AH1283">_xlfn.IFS(M1283=1,"Junior employee",M1283=2,"Mid-level",M1283=3,"Senior",M1283=4,"Manager",M1283=5,"Executive")</f>
        <v>Mid-level</v>
      </c>
      <c r="AI1283" t="str" cm="1">
        <f t="array" ref="AI1283">_xlfn.IFS(O1283=1,"Low",O1283=2,"Medium",O1283=3,"High",O1283=4,"Very High")</f>
        <v>Very High</v>
      </c>
      <c r="AJ1283" t="str" cm="1">
        <f t="array" ref="AJ1283">_xlfn.IFS(U1283=1,"Low",U1283=2,"Good",U1283=3,"Excellent",U1283=4,"Outstanding")</f>
        <v>Excellent</v>
      </c>
      <c r="AK1283" t="str" cm="1">
        <f t="array" ref="AK1283">_xlfn.IFS(V1283=1,"Low",V1283=2,"Medium",V1283=3,"High",V1283=4,"Very High")</f>
        <v>Very High</v>
      </c>
      <c r="AL1283" t="str" cm="1">
        <f t="array" ref="AL1283">_xlfn.IFS(Z1283=1,"Bad",Z1283=2,"Good",Z1283=3,"Better",Z1283=4,"Best")</f>
        <v>Better</v>
      </c>
      <c r="AM1283" t="str" cm="1">
        <f t="array" ref="AM1283">_xlfn.IFS(W1283=0,"No_stock",W1283=1,"Low",W1283=2,"Medium",W1283=3,"High")</f>
        <v>No_stock</v>
      </c>
      <c r="AN1283" t="str">
        <f t="shared" si="20"/>
        <v>Far</v>
      </c>
    </row>
    <row r="1284" spans="1:40" x14ac:dyDescent="0.45">
      <c r="A1284">
        <v>33</v>
      </c>
      <c r="B1284" t="s">
        <v>37</v>
      </c>
      <c r="C1284" t="s">
        <v>31</v>
      </c>
      <c r="D1284">
        <v>867</v>
      </c>
      <c r="E1284" t="s">
        <v>39</v>
      </c>
      <c r="F1284">
        <v>8</v>
      </c>
      <c r="G1284">
        <v>4</v>
      </c>
      <c r="H1284" t="s">
        <v>33</v>
      </c>
      <c r="I1284">
        <v>1798</v>
      </c>
      <c r="J1284">
        <v>4</v>
      </c>
      <c r="K1284" t="s">
        <v>40</v>
      </c>
      <c r="L1284">
        <v>4</v>
      </c>
      <c r="M1284">
        <v>1</v>
      </c>
      <c r="N1284" t="s">
        <v>41</v>
      </c>
      <c r="O1284">
        <v>1</v>
      </c>
      <c r="P1284" t="s">
        <v>42</v>
      </c>
      <c r="Q1284">
        <v>3143</v>
      </c>
      <c r="R1284">
        <v>6</v>
      </c>
      <c r="S1284" t="s">
        <v>37</v>
      </c>
      <c r="T1284">
        <v>19</v>
      </c>
      <c r="U1284">
        <v>3</v>
      </c>
      <c r="V1284">
        <v>2</v>
      </c>
      <c r="W1284">
        <v>1</v>
      </c>
      <c r="X1284">
        <v>14</v>
      </c>
      <c r="Y1284">
        <v>1</v>
      </c>
      <c r="Z1284">
        <v>3</v>
      </c>
      <c r="AA1284">
        <v>10</v>
      </c>
      <c r="AB1284">
        <v>8</v>
      </c>
      <c r="AC1284">
        <v>7</v>
      </c>
      <c r="AD1284">
        <v>6</v>
      </c>
      <c r="AE1284" t="str" cm="1">
        <f t="array" ref="AE1284">_xlfn.IFS(G1284=1,"Before College",G1284=2,"College",G1284=3,"Bachelor",G1284=4,"Master",G1284=5,"Doctor")</f>
        <v>Master</v>
      </c>
      <c r="AF1284" t="str" cm="1">
        <f t="array" ref="AF1284">_xlfn.IFS(J1284=1,"Low",J1284=2,"Medium",J1284=3,"High",J1284=4,"Very High")</f>
        <v>Very High</v>
      </c>
      <c r="AG1284" t="str" cm="1">
        <f t="array" ref="AG1284">_xlfn.IFS(L1284=1,"Low",L1284=2,"Medium",L1284=3,"High",L1284=4,"Very High")</f>
        <v>Very High</v>
      </c>
      <c r="AH1284" t="str" cm="1">
        <f t="array" ref="AH1284">_xlfn.IFS(M1284=1,"Junior employee",M1284=2,"Mid-level",M1284=3,"Senior",M1284=4,"Manager",M1284=5,"Executive")</f>
        <v>Junior employee</v>
      </c>
      <c r="AI1284" t="str" cm="1">
        <f t="array" ref="AI1284">_xlfn.IFS(O1284=1,"Low",O1284=2,"Medium",O1284=3,"High",O1284=4,"Very High")</f>
        <v>Low</v>
      </c>
      <c r="AJ1284" t="str" cm="1">
        <f t="array" ref="AJ1284">_xlfn.IFS(U1284=1,"Low",U1284=2,"Good",U1284=3,"Excellent",U1284=4,"Outstanding")</f>
        <v>Excellent</v>
      </c>
      <c r="AK1284" t="str" cm="1">
        <f t="array" ref="AK1284">_xlfn.IFS(V1284=1,"Low",V1284=2,"Medium",V1284=3,"High",V1284=4,"Very High")</f>
        <v>Medium</v>
      </c>
      <c r="AL1284" t="str" cm="1">
        <f t="array" ref="AL1284">_xlfn.IFS(Z1284=1,"Bad",Z1284=2,"Good",Z1284=3,"Better",Z1284=4,"Best")</f>
        <v>Better</v>
      </c>
      <c r="AM1284" t="str" cm="1">
        <f t="array" ref="AM1284">_xlfn.IFS(W1284=0,"No_stock",W1284=1,"Low",W1284=2,"Medium",W1284=3,"High")</f>
        <v>Low</v>
      </c>
      <c r="AN1284" t="str">
        <f t="shared" si="20"/>
        <v>Medium</v>
      </c>
    </row>
    <row r="1285" spans="1:40" x14ac:dyDescent="0.45">
      <c r="A1285">
        <v>28</v>
      </c>
      <c r="B1285" t="s">
        <v>37</v>
      </c>
      <c r="C1285" t="s">
        <v>31</v>
      </c>
      <c r="D1285">
        <v>1181</v>
      </c>
      <c r="E1285" t="s">
        <v>39</v>
      </c>
      <c r="F1285">
        <v>1</v>
      </c>
      <c r="G1285">
        <v>3</v>
      </c>
      <c r="H1285" t="s">
        <v>33</v>
      </c>
      <c r="I1285">
        <v>1799</v>
      </c>
      <c r="J1285">
        <v>3</v>
      </c>
      <c r="K1285" t="s">
        <v>40</v>
      </c>
      <c r="L1285">
        <v>3</v>
      </c>
      <c r="M1285">
        <v>1</v>
      </c>
      <c r="N1285" t="s">
        <v>41</v>
      </c>
      <c r="O1285">
        <v>4</v>
      </c>
      <c r="P1285" t="s">
        <v>42</v>
      </c>
      <c r="Q1285">
        <v>2044</v>
      </c>
      <c r="R1285">
        <v>1</v>
      </c>
      <c r="S1285" t="s">
        <v>37</v>
      </c>
      <c r="T1285">
        <v>11</v>
      </c>
      <c r="U1285">
        <v>3</v>
      </c>
      <c r="V1285">
        <v>3</v>
      </c>
      <c r="W1285">
        <v>1</v>
      </c>
      <c r="X1285">
        <v>5</v>
      </c>
      <c r="Y1285">
        <v>6</v>
      </c>
      <c r="Z1285">
        <v>4</v>
      </c>
      <c r="AA1285">
        <v>5</v>
      </c>
      <c r="AB1285">
        <v>3</v>
      </c>
      <c r="AC1285">
        <v>0</v>
      </c>
      <c r="AD1285">
        <v>3</v>
      </c>
      <c r="AE1285" t="str" cm="1">
        <f t="array" ref="AE1285">_xlfn.IFS(G1285=1,"Before College",G1285=2,"College",G1285=3,"Bachelor",G1285=4,"Master",G1285=5,"Doctor")</f>
        <v>Bachelor</v>
      </c>
      <c r="AF1285" t="str" cm="1">
        <f t="array" ref="AF1285">_xlfn.IFS(J1285=1,"Low",J1285=2,"Medium",J1285=3,"High",J1285=4,"Very High")</f>
        <v>High</v>
      </c>
      <c r="AG1285" t="str" cm="1">
        <f t="array" ref="AG1285">_xlfn.IFS(L1285=1,"Low",L1285=2,"Medium",L1285=3,"High",L1285=4,"Very High")</f>
        <v>High</v>
      </c>
      <c r="AH1285" t="str" cm="1">
        <f t="array" ref="AH1285">_xlfn.IFS(M1285=1,"Junior employee",M1285=2,"Mid-level",M1285=3,"Senior",M1285=4,"Manager",M1285=5,"Executive")</f>
        <v>Junior employee</v>
      </c>
      <c r="AI1285" t="str" cm="1">
        <f t="array" ref="AI1285">_xlfn.IFS(O1285=1,"Low",O1285=2,"Medium",O1285=3,"High",O1285=4,"Very High")</f>
        <v>Very High</v>
      </c>
      <c r="AJ1285" t="str" cm="1">
        <f t="array" ref="AJ1285">_xlfn.IFS(U1285=1,"Low",U1285=2,"Good",U1285=3,"Excellent",U1285=4,"Outstanding")</f>
        <v>Excellent</v>
      </c>
      <c r="AK1285" t="str" cm="1">
        <f t="array" ref="AK1285">_xlfn.IFS(V1285=1,"Low",V1285=2,"Medium",V1285=3,"High",V1285=4,"Very High")</f>
        <v>High</v>
      </c>
      <c r="AL1285" t="str" cm="1">
        <f t="array" ref="AL1285">_xlfn.IFS(Z1285=1,"Bad",Z1285=2,"Good",Z1285=3,"Better",Z1285=4,"Best")</f>
        <v>Best</v>
      </c>
      <c r="AM1285" t="str" cm="1">
        <f t="array" ref="AM1285">_xlfn.IFS(W1285=0,"No_stock",W1285=1,"Low",W1285=2,"Medium",W1285=3,"High")</f>
        <v>Low</v>
      </c>
      <c r="AN1285" t="str">
        <f t="shared" si="20"/>
        <v>Near</v>
      </c>
    </row>
    <row r="1286" spans="1:40" x14ac:dyDescent="0.45">
      <c r="A1286">
        <v>39</v>
      </c>
      <c r="B1286" t="s">
        <v>37</v>
      </c>
      <c r="C1286" t="s">
        <v>31</v>
      </c>
      <c r="D1286">
        <v>1253</v>
      </c>
      <c r="E1286" t="s">
        <v>39</v>
      </c>
      <c r="F1286">
        <v>10</v>
      </c>
      <c r="G1286">
        <v>1</v>
      </c>
      <c r="H1286" t="s">
        <v>45</v>
      </c>
      <c r="I1286">
        <v>1800</v>
      </c>
      <c r="J1286">
        <v>3</v>
      </c>
      <c r="K1286" t="s">
        <v>40</v>
      </c>
      <c r="L1286">
        <v>3</v>
      </c>
      <c r="M1286">
        <v>3</v>
      </c>
      <c r="N1286" t="s">
        <v>52</v>
      </c>
      <c r="O1286">
        <v>3</v>
      </c>
      <c r="P1286" t="s">
        <v>36</v>
      </c>
      <c r="Q1286">
        <v>13464</v>
      </c>
      <c r="R1286">
        <v>7</v>
      </c>
      <c r="S1286" t="s">
        <v>37</v>
      </c>
      <c r="T1286">
        <v>21</v>
      </c>
      <c r="U1286">
        <v>4</v>
      </c>
      <c r="V1286">
        <v>3</v>
      </c>
      <c r="W1286">
        <v>0</v>
      </c>
      <c r="X1286">
        <v>9</v>
      </c>
      <c r="Y1286">
        <v>3</v>
      </c>
      <c r="Z1286">
        <v>3</v>
      </c>
      <c r="AA1286">
        <v>4</v>
      </c>
      <c r="AB1286">
        <v>3</v>
      </c>
      <c r="AC1286">
        <v>2</v>
      </c>
      <c r="AD1286">
        <v>2</v>
      </c>
      <c r="AE1286" t="str" cm="1">
        <f t="array" ref="AE1286">_xlfn.IFS(G1286=1,"Before College",G1286=2,"College",G1286=3,"Bachelor",G1286=4,"Master",G1286=5,"Doctor")</f>
        <v>Before College</v>
      </c>
      <c r="AF1286" t="str" cm="1">
        <f t="array" ref="AF1286">_xlfn.IFS(J1286=1,"Low",J1286=2,"Medium",J1286=3,"High",J1286=4,"Very High")</f>
        <v>High</v>
      </c>
      <c r="AG1286" t="str" cm="1">
        <f t="array" ref="AG1286">_xlfn.IFS(L1286=1,"Low",L1286=2,"Medium",L1286=3,"High",L1286=4,"Very High")</f>
        <v>High</v>
      </c>
      <c r="AH1286" t="str" cm="1">
        <f t="array" ref="AH1286">_xlfn.IFS(M1286=1,"Junior employee",M1286=2,"Mid-level",M1286=3,"Senior",M1286=4,"Manager",M1286=5,"Executive")</f>
        <v>Senior</v>
      </c>
      <c r="AI1286" t="str" cm="1">
        <f t="array" ref="AI1286">_xlfn.IFS(O1286=1,"Low",O1286=2,"Medium",O1286=3,"High",O1286=4,"Very High")</f>
        <v>High</v>
      </c>
      <c r="AJ1286" t="str" cm="1">
        <f t="array" ref="AJ1286">_xlfn.IFS(U1286=1,"Low",U1286=2,"Good",U1286=3,"Excellent",U1286=4,"Outstanding")</f>
        <v>Outstanding</v>
      </c>
      <c r="AK1286" t="str" cm="1">
        <f t="array" ref="AK1286">_xlfn.IFS(V1286=1,"Low",V1286=2,"Medium",V1286=3,"High",V1286=4,"Very High")</f>
        <v>High</v>
      </c>
      <c r="AL1286" t="str" cm="1">
        <f t="array" ref="AL1286">_xlfn.IFS(Z1286=1,"Bad",Z1286=2,"Good",Z1286=3,"Better",Z1286=4,"Best")</f>
        <v>Better</v>
      </c>
      <c r="AM1286" t="str" cm="1">
        <f t="array" ref="AM1286">_xlfn.IFS(W1286=0,"No_stock",W1286=1,"Low",W1286=2,"Medium",W1286=3,"High")</f>
        <v>No_stock</v>
      </c>
      <c r="AN1286" t="str">
        <f t="shared" si="20"/>
        <v>Medium</v>
      </c>
    </row>
    <row r="1287" spans="1:40" x14ac:dyDescent="0.45">
      <c r="A1287">
        <v>46</v>
      </c>
      <c r="B1287" t="s">
        <v>37</v>
      </c>
      <c r="C1287" t="s">
        <v>49</v>
      </c>
      <c r="D1287">
        <v>849</v>
      </c>
      <c r="E1287" t="s">
        <v>32</v>
      </c>
      <c r="F1287">
        <v>26</v>
      </c>
      <c r="G1287">
        <v>2</v>
      </c>
      <c r="H1287" t="s">
        <v>33</v>
      </c>
      <c r="I1287">
        <v>1801</v>
      </c>
      <c r="J1287">
        <v>2</v>
      </c>
      <c r="K1287" t="s">
        <v>40</v>
      </c>
      <c r="L1287">
        <v>2</v>
      </c>
      <c r="M1287">
        <v>2</v>
      </c>
      <c r="N1287" t="s">
        <v>35</v>
      </c>
      <c r="O1287">
        <v>2</v>
      </c>
      <c r="P1287" t="s">
        <v>36</v>
      </c>
      <c r="Q1287">
        <v>7991</v>
      </c>
      <c r="R1287">
        <v>8</v>
      </c>
      <c r="S1287" t="s">
        <v>37</v>
      </c>
      <c r="T1287">
        <v>15</v>
      </c>
      <c r="U1287">
        <v>3</v>
      </c>
      <c r="V1287">
        <v>3</v>
      </c>
      <c r="W1287">
        <v>0</v>
      </c>
      <c r="X1287">
        <v>6</v>
      </c>
      <c r="Y1287">
        <v>3</v>
      </c>
      <c r="Z1287">
        <v>3</v>
      </c>
      <c r="AA1287">
        <v>2</v>
      </c>
      <c r="AB1287">
        <v>2</v>
      </c>
      <c r="AC1287">
        <v>2</v>
      </c>
      <c r="AD1287">
        <v>2</v>
      </c>
      <c r="AE1287" t="str" cm="1">
        <f t="array" ref="AE1287">_xlfn.IFS(G1287=1,"Before College",G1287=2,"College",G1287=3,"Bachelor",G1287=4,"Master",G1287=5,"Doctor")</f>
        <v>College</v>
      </c>
      <c r="AF1287" t="str" cm="1">
        <f t="array" ref="AF1287">_xlfn.IFS(J1287=1,"Low",J1287=2,"Medium",J1287=3,"High",J1287=4,"Very High")</f>
        <v>Medium</v>
      </c>
      <c r="AG1287" t="str" cm="1">
        <f t="array" ref="AG1287">_xlfn.IFS(L1287=1,"Low",L1287=2,"Medium",L1287=3,"High",L1287=4,"Very High")</f>
        <v>Medium</v>
      </c>
      <c r="AH1287" t="str" cm="1">
        <f t="array" ref="AH1287">_xlfn.IFS(M1287=1,"Junior employee",M1287=2,"Mid-level",M1287=3,"Senior",M1287=4,"Manager",M1287=5,"Executive")</f>
        <v>Mid-level</v>
      </c>
      <c r="AI1287" t="str" cm="1">
        <f t="array" ref="AI1287">_xlfn.IFS(O1287=1,"Low",O1287=2,"Medium",O1287=3,"High",O1287=4,"Very High")</f>
        <v>Medium</v>
      </c>
      <c r="AJ1287" t="str" cm="1">
        <f t="array" ref="AJ1287">_xlfn.IFS(U1287=1,"Low",U1287=2,"Good",U1287=3,"Excellent",U1287=4,"Outstanding")</f>
        <v>Excellent</v>
      </c>
      <c r="AK1287" t="str" cm="1">
        <f t="array" ref="AK1287">_xlfn.IFS(V1287=1,"Low",V1287=2,"Medium",V1287=3,"High",V1287=4,"Very High")</f>
        <v>High</v>
      </c>
      <c r="AL1287" t="str" cm="1">
        <f t="array" ref="AL1287">_xlfn.IFS(Z1287=1,"Bad",Z1287=2,"Good",Z1287=3,"Better",Z1287=4,"Best")</f>
        <v>Better</v>
      </c>
      <c r="AM1287" t="str" cm="1">
        <f t="array" ref="AM1287">_xlfn.IFS(W1287=0,"No_stock",W1287=1,"Low",W1287=2,"Medium",W1287=3,"High")</f>
        <v>No_stock</v>
      </c>
      <c r="AN1287" t="str">
        <f t="shared" si="20"/>
        <v>Far</v>
      </c>
    </row>
    <row r="1288" spans="1:40" x14ac:dyDescent="0.45">
      <c r="A1288">
        <v>40</v>
      </c>
      <c r="B1288" t="s">
        <v>37</v>
      </c>
      <c r="C1288" t="s">
        <v>31</v>
      </c>
      <c r="D1288">
        <v>616</v>
      </c>
      <c r="E1288" t="s">
        <v>39</v>
      </c>
      <c r="F1288">
        <v>2</v>
      </c>
      <c r="G1288">
        <v>2</v>
      </c>
      <c r="H1288" t="s">
        <v>33</v>
      </c>
      <c r="I1288">
        <v>1802</v>
      </c>
      <c r="J1288">
        <v>3</v>
      </c>
      <c r="K1288" t="s">
        <v>34</v>
      </c>
      <c r="L1288">
        <v>3</v>
      </c>
      <c r="M1288">
        <v>1</v>
      </c>
      <c r="N1288" t="s">
        <v>44</v>
      </c>
      <c r="O1288">
        <v>1</v>
      </c>
      <c r="P1288" t="s">
        <v>42</v>
      </c>
      <c r="Q1288">
        <v>3377</v>
      </c>
      <c r="R1288">
        <v>4</v>
      </c>
      <c r="S1288" t="s">
        <v>37</v>
      </c>
      <c r="T1288">
        <v>17</v>
      </c>
      <c r="U1288">
        <v>3</v>
      </c>
      <c r="V1288">
        <v>4</v>
      </c>
      <c r="W1288">
        <v>1</v>
      </c>
      <c r="X1288">
        <v>7</v>
      </c>
      <c r="Y1288">
        <v>5</v>
      </c>
      <c r="Z1288">
        <v>2</v>
      </c>
      <c r="AA1288">
        <v>4</v>
      </c>
      <c r="AB1288">
        <v>3</v>
      </c>
      <c r="AC1288">
        <v>0</v>
      </c>
      <c r="AD1288">
        <v>2</v>
      </c>
      <c r="AE1288" t="str" cm="1">
        <f t="array" ref="AE1288">_xlfn.IFS(G1288=1,"Before College",G1288=2,"College",G1288=3,"Bachelor",G1288=4,"Master",G1288=5,"Doctor")</f>
        <v>College</v>
      </c>
      <c r="AF1288" t="str" cm="1">
        <f t="array" ref="AF1288">_xlfn.IFS(J1288=1,"Low",J1288=2,"Medium",J1288=3,"High",J1288=4,"Very High")</f>
        <v>High</v>
      </c>
      <c r="AG1288" t="str" cm="1">
        <f t="array" ref="AG1288">_xlfn.IFS(L1288=1,"Low",L1288=2,"Medium",L1288=3,"High",L1288=4,"Very High")</f>
        <v>High</v>
      </c>
      <c r="AH1288" t="str" cm="1">
        <f t="array" ref="AH1288">_xlfn.IFS(M1288=1,"Junior employee",M1288=2,"Mid-level",M1288=3,"Senior",M1288=4,"Manager",M1288=5,"Executive")</f>
        <v>Junior employee</v>
      </c>
      <c r="AI1288" t="str" cm="1">
        <f t="array" ref="AI1288">_xlfn.IFS(O1288=1,"Low",O1288=2,"Medium",O1288=3,"High",O1288=4,"Very High")</f>
        <v>Low</v>
      </c>
      <c r="AJ1288" t="str" cm="1">
        <f t="array" ref="AJ1288">_xlfn.IFS(U1288=1,"Low",U1288=2,"Good",U1288=3,"Excellent",U1288=4,"Outstanding")</f>
        <v>Excellent</v>
      </c>
      <c r="AK1288" t="str" cm="1">
        <f t="array" ref="AK1288">_xlfn.IFS(V1288=1,"Low",V1288=2,"Medium",V1288=3,"High",V1288=4,"Very High")</f>
        <v>Very High</v>
      </c>
      <c r="AL1288" t="str" cm="1">
        <f t="array" ref="AL1288">_xlfn.IFS(Z1288=1,"Bad",Z1288=2,"Good",Z1288=3,"Better",Z1288=4,"Best")</f>
        <v>Good</v>
      </c>
      <c r="AM1288" t="str" cm="1">
        <f t="array" ref="AM1288">_xlfn.IFS(W1288=0,"No_stock",W1288=1,"Low",W1288=2,"Medium",W1288=3,"High")</f>
        <v>Low</v>
      </c>
      <c r="AN1288" t="str">
        <f t="shared" si="20"/>
        <v>Near</v>
      </c>
    </row>
    <row r="1289" spans="1:40" x14ac:dyDescent="0.45">
      <c r="A1289">
        <v>42</v>
      </c>
      <c r="B1289" t="s">
        <v>37</v>
      </c>
      <c r="C1289" t="s">
        <v>31</v>
      </c>
      <c r="D1289">
        <v>1128</v>
      </c>
      <c r="E1289" t="s">
        <v>39</v>
      </c>
      <c r="F1289">
        <v>13</v>
      </c>
      <c r="G1289">
        <v>3</v>
      </c>
      <c r="H1289" t="s">
        <v>45</v>
      </c>
      <c r="I1289">
        <v>1803</v>
      </c>
      <c r="J1289">
        <v>2</v>
      </c>
      <c r="K1289" t="s">
        <v>40</v>
      </c>
      <c r="L1289">
        <v>4</v>
      </c>
      <c r="M1289">
        <v>2</v>
      </c>
      <c r="N1289" t="s">
        <v>48</v>
      </c>
      <c r="O1289">
        <v>1</v>
      </c>
      <c r="P1289" t="s">
        <v>42</v>
      </c>
      <c r="Q1289">
        <v>5538</v>
      </c>
      <c r="R1289">
        <v>5</v>
      </c>
      <c r="S1289" t="s">
        <v>37</v>
      </c>
      <c r="T1289">
        <v>18</v>
      </c>
      <c r="U1289">
        <v>3</v>
      </c>
      <c r="V1289">
        <v>3</v>
      </c>
      <c r="W1289">
        <v>2</v>
      </c>
      <c r="X1289">
        <v>10</v>
      </c>
      <c r="Y1289">
        <v>2</v>
      </c>
      <c r="Z1289">
        <v>2</v>
      </c>
      <c r="AA1289">
        <v>0</v>
      </c>
      <c r="AB1289">
        <v>0</v>
      </c>
      <c r="AC1289">
        <v>0</v>
      </c>
      <c r="AD1289">
        <v>0</v>
      </c>
      <c r="AE1289" t="str" cm="1">
        <f t="array" ref="AE1289">_xlfn.IFS(G1289=1,"Before College",G1289=2,"College",G1289=3,"Bachelor",G1289=4,"Master",G1289=5,"Doctor")</f>
        <v>Bachelor</v>
      </c>
      <c r="AF1289" t="str" cm="1">
        <f t="array" ref="AF1289">_xlfn.IFS(J1289=1,"Low",J1289=2,"Medium",J1289=3,"High",J1289=4,"Very High")</f>
        <v>Medium</v>
      </c>
      <c r="AG1289" t="str" cm="1">
        <f t="array" ref="AG1289">_xlfn.IFS(L1289=1,"Low",L1289=2,"Medium",L1289=3,"High",L1289=4,"Very High")</f>
        <v>Very High</v>
      </c>
      <c r="AH1289" t="str" cm="1">
        <f t="array" ref="AH1289">_xlfn.IFS(M1289=1,"Junior employee",M1289=2,"Mid-level",M1289=3,"Senior",M1289=4,"Manager",M1289=5,"Executive")</f>
        <v>Mid-level</v>
      </c>
      <c r="AI1289" t="str" cm="1">
        <f t="array" ref="AI1289">_xlfn.IFS(O1289=1,"Low",O1289=2,"Medium",O1289=3,"High",O1289=4,"Very High")</f>
        <v>Low</v>
      </c>
      <c r="AJ1289" t="str" cm="1">
        <f t="array" ref="AJ1289">_xlfn.IFS(U1289=1,"Low",U1289=2,"Good",U1289=3,"Excellent",U1289=4,"Outstanding")</f>
        <v>Excellent</v>
      </c>
      <c r="AK1289" t="str" cm="1">
        <f t="array" ref="AK1289">_xlfn.IFS(V1289=1,"Low",V1289=2,"Medium",V1289=3,"High",V1289=4,"Very High")</f>
        <v>High</v>
      </c>
      <c r="AL1289" t="str" cm="1">
        <f t="array" ref="AL1289">_xlfn.IFS(Z1289=1,"Bad",Z1289=2,"Good",Z1289=3,"Better",Z1289=4,"Best")</f>
        <v>Good</v>
      </c>
      <c r="AM1289" t="str" cm="1">
        <f t="array" ref="AM1289">_xlfn.IFS(W1289=0,"No_stock",W1289=1,"Low",W1289=2,"Medium",W1289=3,"High")</f>
        <v>Medium</v>
      </c>
      <c r="AN1289" t="str">
        <f t="shared" si="20"/>
        <v>Medium</v>
      </c>
    </row>
    <row r="1290" spans="1:40" x14ac:dyDescent="0.45">
      <c r="A1290">
        <v>35</v>
      </c>
      <c r="B1290" t="s">
        <v>37</v>
      </c>
      <c r="C1290" t="s">
        <v>49</v>
      </c>
      <c r="D1290">
        <v>1180</v>
      </c>
      <c r="E1290" t="s">
        <v>39</v>
      </c>
      <c r="F1290">
        <v>2</v>
      </c>
      <c r="G1290">
        <v>2</v>
      </c>
      <c r="H1290" t="s">
        <v>45</v>
      </c>
      <c r="I1290">
        <v>1804</v>
      </c>
      <c r="J1290">
        <v>2</v>
      </c>
      <c r="K1290" t="s">
        <v>40</v>
      </c>
      <c r="L1290">
        <v>3</v>
      </c>
      <c r="M1290">
        <v>2</v>
      </c>
      <c r="N1290" t="s">
        <v>47</v>
      </c>
      <c r="O1290">
        <v>4</v>
      </c>
      <c r="P1290" t="s">
        <v>46</v>
      </c>
      <c r="Q1290">
        <v>5762</v>
      </c>
      <c r="R1290">
        <v>2</v>
      </c>
      <c r="S1290" t="s">
        <v>37</v>
      </c>
      <c r="T1290">
        <v>14</v>
      </c>
      <c r="U1290">
        <v>3</v>
      </c>
      <c r="V1290">
        <v>3</v>
      </c>
      <c r="W1290">
        <v>1</v>
      </c>
      <c r="X1290">
        <v>15</v>
      </c>
      <c r="Y1290">
        <v>6</v>
      </c>
      <c r="Z1290">
        <v>3</v>
      </c>
      <c r="AA1290">
        <v>7</v>
      </c>
      <c r="AB1290">
        <v>7</v>
      </c>
      <c r="AC1290">
        <v>1</v>
      </c>
      <c r="AD1290">
        <v>7</v>
      </c>
      <c r="AE1290" t="str" cm="1">
        <f t="array" ref="AE1290">_xlfn.IFS(G1290=1,"Before College",G1290=2,"College",G1290=3,"Bachelor",G1290=4,"Master",G1290=5,"Doctor")</f>
        <v>College</v>
      </c>
      <c r="AF1290" t="str" cm="1">
        <f t="array" ref="AF1290">_xlfn.IFS(J1290=1,"Low",J1290=2,"Medium",J1290=3,"High",J1290=4,"Very High")</f>
        <v>Medium</v>
      </c>
      <c r="AG1290" t="str" cm="1">
        <f t="array" ref="AG1290">_xlfn.IFS(L1290=1,"Low",L1290=2,"Medium",L1290=3,"High",L1290=4,"Very High")</f>
        <v>High</v>
      </c>
      <c r="AH1290" t="str" cm="1">
        <f t="array" ref="AH1290">_xlfn.IFS(M1290=1,"Junior employee",M1290=2,"Mid-level",M1290=3,"Senior",M1290=4,"Manager",M1290=5,"Executive")</f>
        <v>Mid-level</v>
      </c>
      <c r="AI1290" t="str" cm="1">
        <f t="array" ref="AI1290">_xlfn.IFS(O1290=1,"Low",O1290=2,"Medium",O1290=3,"High",O1290=4,"Very High")</f>
        <v>Very High</v>
      </c>
      <c r="AJ1290" t="str" cm="1">
        <f t="array" ref="AJ1290">_xlfn.IFS(U1290=1,"Low",U1290=2,"Good",U1290=3,"Excellent",U1290=4,"Outstanding")</f>
        <v>Excellent</v>
      </c>
      <c r="AK1290" t="str" cm="1">
        <f t="array" ref="AK1290">_xlfn.IFS(V1290=1,"Low",V1290=2,"Medium",V1290=3,"High",V1290=4,"Very High")</f>
        <v>High</v>
      </c>
      <c r="AL1290" t="str" cm="1">
        <f t="array" ref="AL1290">_xlfn.IFS(Z1290=1,"Bad",Z1290=2,"Good",Z1290=3,"Better",Z1290=4,"Best")</f>
        <v>Better</v>
      </c>
      <c r="AM1290" t="str" cm="1">
        <f t="array" ref="AM1290">_xlfn.IFS(W1290=0,"No_stock",W1290=1,"Low",W1290=2,"Medium",W1290=3,"High")</f>
        <v>Low</v>
      </c>
      <c r="AN1290" t="str">
        <f t="shared" si="20"/>
        <v>Near</v>
      </c>
    </row>
    <row r="1291" spans="1:40" x14ac:dyDescent="0.45">
      <c r="A1291">
        <v>38</v>
      </c>
      <c r="B1291" t="s">
        <v>37</v>
      </c>
      <c r="C1291" t="s">
        <v>49</v>
      </c>
      <c r="D1291">
        <v>1336</v>
      </c>
      <c r="E1291" t="s">
        <v>55</v>
      </c>
      <c r="F1291">
        <v>2</v>
      </c>
      <c r="G1291">
        <v>3</v>
      </c>
      <c r="H1291" t="s">
        <v>55</v>
      </c>
      <c r="I1291">
        <v>1805</v>
      </c>
      <c r="J1291">
        <v>1</v>
      </c>
      <c r="K1291" t="s">
        <v>40</v>
      </c>
      <c r="L1291">
        <v>3</v>
      </c>
      <c r="M1291">
        <v>1</v>
      </c>
      <c r="N1291" t="s">
        <v>55</v>
      </c>
      <c r="O1291">
        <v>2</v>
      </c>
      <c r="P1291" t="s">
        <v>46</v>
      </c>
      <c r="Q1291">
        <v>2592</v>
      </c>
      <c r="R1291">
        <v>5</v>
      </c>
      <c r="S1291" t="s">
        <v>37</v>
      </c>
      <c r="T1291">
        <v>13</v>
      </c>
      <c r="U1291">
        <v>3</v>
      </c>
      <c r="V1291">
        <v>4</v>
      </c>
      <c r="W1291">
        <v>3</v>
      </c>
      <c r="X1291">
        <v>13</v>
      </c>
      <c r="Y1291">
        <v>3</v>
      </c>
      <c r="Z1291">
        <v>3</v>
      </c>
      <c r="AA1291">
        <v>11</v>
      </c>
      <c r="AB1291">
        <v>10</v>
      </c>
      <c r="AC1291">
        <v>3</v>
      </c>
      <c r="AD1291">
        <v>8</v>
      </c>
      <c r="AE1291" t="str" cm="1">
        <f t="array" ref="AE1291">_xlfn.IFS(G1291=1,"Before College",G1291=2,"College",G1291=3,"Bachelor",G1291=4,"Master",G1291=5,"Doctor")</f>
        <v>Bachelor</v>
      </c>
      <c r="AF1291" t="str" cm="1">
        <f t="array" ref="AF1291">_xlfn.IFS(J1291=1,"Low",J1291=2,"Medium",J1291=3,"High",J1291=4,"Very High")</f>
        <v>Low</v>
      </c>
      <c r="AG1291" t="str" cm="1">
        <f t="array" ref="AG1291">_xlfn.IFS(L1291=1,"Low",L1291=2,"Medium",L1291=3,"High",L1291=4,"Very High")</f>
        <v>High</v>
      </c>
      <c r="AH1291" t="str" cm="1">
        <f t="array" ref="AH1291">_xlfn.IFS(M1291=1,"Junior employee",M1291=2,"Mid-level",M1291=3,"Senior",M1291=4,"Manager",M1291=5,"Executive")</f>
        <v>Junior employee</v>
      </c>
      <c r="AI1291" t="str" cm="1">
        <f t="array" ref="AI1291">_xlfn.IFS(O1291=1,"Low",O1291=2,"Medium",O1291=3,"High",O1291=4,"Very High")</f>
        <v>Medium</v>
      </c>
      <c r="AJ1291" t="str" cm="1">
        <f t="array" ref="AJ1291">_xlfn.IFS(U1291=1,"Low",U1291=2,"Good",U1291=3,"Excellent",U1291=4,"Outstanding")</f>
        <v>Excellent</v>
      </c>
      <c r="AK1291" t="str" cm="1">
        <f t="array" ref="AK1291">_xlfn.IFS(V1291=1,"Low",V1291=2,"Medium",V1291=3,"High",V1291=4,"Very High")</f>
        <v>Very High</v>
      </c>
      <c r="AL1291" t="str" cm="1">
        <f t="array" ref="AL1291">_xlfn.IFS(Z1291=1,"Bad",Z1291=2,"Good",Z1291=3,"Better",Z1291=4,"Best")</f>
        <v>Better</v>
      </c>
      <c r="AM1291" t="str" cm="1">
        <f t="array" ref="AM1291">_xlfn.IFS(W1291=0,"No_stock",W1291=1,"Low",W1291=2,"Medium",W1291=3,"High")</f>
        <v>High</v>
      </c>
      <c r="AN1291" t="str">
        <f t="shared" si="20"/>
        <v>Near</v>
      </c>
    </row>
    <row r="1292" spans="1:40" x14ac:dyDescent="0.45">
      <c r="A1292">
        <v>34</v>
      </c>
      <c r="B1292" t="s">
        <v>30</v>
      </c>
      <c r="C1292" t="s">
        <v>38</v>
      </c>
      <c r="D1292">
        <v>234</v>
      </c>
      <c r="E1292" t="s">
        <v>39</v>
      </c>
      <c r="F1292">
        <v>9</v>
      </c>
      <c r="G1292">
        <v>4</v>
      </c>
      <c r="H1292" t="s">
        <v>33</v>
      </c>
      <c r="I1292">
        <v>1807</v>
      </c>
      <c r="J1292">
        <v>4</v>
      </c>
      <c r="K1292" t="s">
        <v>40</v>
      </c>
      <c r="L1292">
        <v>3</v>
      </c>
      <c r="M1292">
        <v>2</v>
      </c>
      <c r="N1292" t="s">
        <v>44</v>
      </c>
      <c r="O1292">
        <v>1</v>
      </c>
      <c r="P1292" t="s">
        <v>42</v>
      </c>
      <c r="Q1292">
        <v>5346</v>
      </c>
      <c r="R1292">
        <v>4</v>
      </c>
      <c r="S1292" t="s">
        <v>37</v>
      </c>
      <c r="T1292">
        <v>17</v>
      </c>
      <c r="U1292">
        <v>3</v>
      </c>
      <c r="V1292">
        <v>3</v>
      </c>
      <c r="W1292">
        <v>1</v>
      </c>
      <c r="X1292">
        <v>11</v>
      </c>
      <c r="Y1292">
        <v>3</v>
      </c>
      <c r="Z1292">
        <v>2</v>
      </c>
      <c r="AA1292">
        <v>7</v>
      </c>
      <c r="AB1292">
        <v>1</v>
      </c>
      <c r="AC1292">
        <v>0</v>
      </c>
      <c r="AD1292">
        <v>7</v>
      </c>
      <c r="AE1292" t="str" cm="1">
        <f t="array" ref="AE1292">_xlfn.IFS(G1292=1,"Before College",G1292=2,"College",G1292=3,"Bachelor",G1292=4,"Master",G1292=5,"Doctor")</f>
        <v>Master</v>
      </c>
      <c r="AF1292" t="str" cm="1">
        <f t="array" ref="AF1292">_xlfn.IFS(J1292=1,"Low",J1292=2,"Medium",J1292=3,"High",J1292=4,"Very High")</f>
        <v>Very High</v>
      </c>
      <c r="AG1292" t="str" cm="1">
        <f t="array" ref="AG1292">_xlfn.IFS(L1292=1,"Low",L1292=2,"Medium",L1292=3,"High",L1292=4,"Very High")</f>
        <v>High</v>
      </c>
      <c r="AH1292" t="str" cm="1">
        <f t="array" ref="AH1292">_xlfn.IFS(M1292=1,"Junior employee",M1292=2,"Mid-level",M1292=3,"Senior",M1292=4,"Manager",M1292=5,"Executive")</f>
        <v>Mid-level</v>
      </c>
      <c r="AI1292" t="str" cm="1">
        <f t="array" ref="AI1292">_xlfn.IFS(O1292=1,"Low",O1292=2,"Medium",O1292=3,"High",O1292=4,"Very High")</f>
        <v>Low</v>
      </c>
      <c r="AJ1292" t="str" cm="1">
        <f t="array" ref="AJ1292">_xlfn.IFS(U1292=1,"Low",U1292=2,"Good",U1292=3,"Excellent",U1292=4,"Outstanding")</f>
        <v>Excellent</v>
      </c>
      <c r="AK1292" t="str" cm="1">
        <f t="array" ref="AK1292">_xlfn.IFS(V1292=1,"Low",V1292=2,"Medium",V1292=3,"High",V1292=4,"Very High")</f>
        <v>High</v>
      </c>
      <c r="AL1292" t="str" cm="1">
        <f t="array" ref="AL1292">_xlfn.IFS(Z1292=1,"Bad",Z1292=2,"Good",Z1292=3,"Better",Z1292=4,"Best")</f>
        <v>Good</v>
      </c>
      <c r="AM1292" t="str" cm="1">
        <f t="array" ref="AM1292">_xlfn.IFS(W1292=0,"No_stock",W1292=1,"Low",W1292=2,"Medium",W1292=3,"High")</f>
        <v>Low</v>
      </c>
      <c r="AN1292" t="str">
        <f t="shared" si="20"/>
        <v>Medium</v>
      </c>
    </row>
    <row r="1293" spans="1:40" x14ac:dyDescent="0.45">
      <c r="A1293">
        <v>37</v>
      </c>
      <c r="B1293" t="s">
        <v>30</v>
      </c>
      <c r="C1293" t="s">
        <v>31</v>
      </c>
      <c r="D1293">
        <v>370</v>
      </c>
      <c r="E1293" t="s">
        <v>39</v>
      </c>
      <c r="F1293">
        <v>10</v>
      </c>
      <c r="G1293">
        <v>4</v>
      </c>
      <c r="H1293" t="s">
        <v>45</v>
      </c>
      <c r="I1293">
        <v>1809</v>
      </c>
      <c r="J1293">
        <v>4</v>
      </c>
      <c r="K1293" t="s">
        <v>40</v>
      </c>
      <c r="L1293">
        <v>3</v>
      </c>
      <c r="M1293">
        <v>2</v>
      </c>
      <c r="N1293" t="s">
        <v>47</v>
      </c>
      <c r="O1293">
        <v>1</v>
      </c>
      <c r="P1293" t="s">
        <v>36</v>
      </c>
      <c r="Q1293">
        <v>4213</v>
      </c>
      <c r="R1293">
        <v>1</v>
      </c>
      <c r="S1293" t="s">
        <v>37</v>
      </c>
      <c r="T1293">
        <v>15</v>
      </c>
      <c r="U1293">
        <v>3</v>
      </c>
      <c r="V1293">
        <v>2</v>
      </c>
      <c r="W1293">
        <v>0</v>
      </c>
      <c r="X1293">
        <v>10</v>
      </c>
      <c r="Y1293">
        <v>4</v>
      </c>
      <c r="Z1293">
        <v>1</v>
      </c>
      <c r="AA1293">
        <v>10</v>
      </c>
      <c r="AB1293">
        <v>3</v>
      </c>
      <c r="AC1293">
        <v>0</v>
      </c>
      <c r="AD1293">
        <v>8</v>
      </c>
      <c r="AE1293" t="str" cm="1">
        <f t="array" ref="AE1293">_xlfn.IFS(G1293=1,"Before College",G1293=2,"College",G1293=3,"Bachelor",G1293=4,"Master",G1293=5,"Doctor")</f>
        <v>Master</v>
      </c>
      <c r="AF1293" t="str" cm="1">
        <f t="array" ref="AF1293">_xlfn.IFS(J1293=1,"Low",J1293=2,"Medium",J1293=3,"High",J1293=4,"Very High")</f>
        <v>Very High</v>
      </c>
      <c r="AG1293" t="str" cm="1">
        <f t="array" ref="AG1293">_xlfn.IFS(L1293=1,"Low",L1293=2,"Medium",L1293=3,"High",L1293=4,"Very High")</f>
        <v>High</v>
      </c>
      <c r="AH1293" t="str" cm="1">
        <f t="array" ref="AH1293">_xlfn.IFS(M1293=1,"Junior employee",M1293=2,"Mid-level",M1293=3,"Senior",M1293=4,"Manager",M1293=5,"Executive")</f>
        <v>Mid-level</v>
      </c>
      <c r="AI1293" t="str" cm="1">
        <f t="array" ref="AI1293">_xlfn.IFS(O1293=1,"Low",O1293=2,"Medium",O1293=3,"High",O1293=4,"Very High")</f>
        <v>Low</v>
      </c>
      <c r="AJ1293" t="str" cm="1">
        <f t="array" ref="AJ1293">_xlfn.IFS(U1293=1,"Low",U1293=2,"Good",U1293=3,"Excellent",U1293=4,"Outstanding")</f>
        <v>Excellent</v>
      </c>
      <c r="AK1293" t="str" cm="1">
        <f t="array" ref="AK1293">_xlfn.IFS(V1293=1,"Low",V1293=2,"Medium",V1293=3,"High",V1293=4,"Very High")</f>
        <v>Medium</v>
      </c>
      <c r="AL1293" t="str" cm="1">
        <f t="array" ref="AL1293">_xlfn.IFS(Z1293=1,"Bad",Z1293=2,"Good",Z1293=3,"Better",Z1293=4,"Best")</f>
        <v>Bad</v>
      </c>
      <c r="AM1293" t="str" cm="1">
        <f t="array" ref="AM1293">_xlfn.IFS(W1293=0,"No_stock",W1293=1,"Low",W1293=2,"Medium",W1293=3,"High")</f>
        <v>No_stock</v>
      </c>
      <c r="AN1293" t="str">
        <f t="shared" si="20"/>
        <v>Medium</v>
      </c>
    </row>
    <row r="1294" spans="1:40" x14ac:dyDescent="0.45">
      <c r="A1294">
        <v>39</v>
      </c>
      <c r="B1294" t="s">
        <v>37</v>
      </c>
      <c r="C1294" t="s">
        <v>38</v>
      </c>
      <c r="D1294">
        <v>766</v>
      </c>
      <c r="E1294" t="s">
        <v>32</v>
      </c>
      <c r="F1294">
        <v>20</v>
      </c>
      <c r="G1294">
        <v>3</v>
      </c>
      <c r="H1294" t="s">
        <v>33</v>
      </c>
      <c r="I1294">
        <v>1812</v>
      </c>
      <c r="J1294">
        <v>3</v>
      </c>
      <c r="K1294" t="s">
        <v>40</v>
      </c>
      <c r="L1294">
        <v>3</v>
      </c>
      <c r="M1294">
        <v>2</v>
      </c>
      <c r="N1294" t="s">
        <v>35</v>
      </c>
      <c r="O1294">
        <v>4</v>
      </c>
      <c r="P1294" t="s">
        <v>46</v>
      </c>
      <c r="Q1294">
        <v>4127</v>
      </c>
      <c r="R1294">
        <v>2</v>
      </c>
      <c r="S1294" t="s">
        <v>37</v>
      </c>
      <c r="T1294">
        <v>18</v>
      </c>
      <c r="U1294">
        <v>3</v>
      </c>
      <c r="V1294">
        <v>4</v>
      </c>
      <c r="W1294">
        <v>1</v>
      </c>
      <c r="X1294">
        <v>7</v>
      </c>
      <c r="Y1294">
        <v>6</v>
      </c>
      <c r="Z1294">
        <v>3</v>
      </c>
      <c r="AA1294">
        <v>2</v>
      </c>
      <c r="AB1294">
        <v>1</v>
      </c>
      <c r="AC1294">
        <v>2</v>
      </c>
      <c r="AD1294">
        <v>2</v>
      </c>
      <c r="AE1294" t="str" cm="1">
        <f t="array" ref="AE1294">_xlfn.IFS(G1294=1,"Before College",G1294=2,"College",G1294=3,"Bachelor",G1294=4,"Master",G1294=5,"Doctor")</f>
        <v>Bachelor</v>
      </c>
      <c r="AF1294" t="str" cm="1">
        <f t="array" ref="AF1294">_xlfn.IFS(J1294=1,"Low",J1294=2,"Medium",J1294=3,"High",J1294=4,"Very High")</f>
        <v>High</v>
      </c>
      <c r="AG1294" t="str" cm="1">
        <f t="array" ref="AG1294">_xlfn.IFS(L1294=1,"Low",L1294=2,"Medium",L1294=3,"High",L1294=4,"Very High")</f>
        <v>High</v>
      </c>
      <c r="AH1294" t="str" cm="1">
        <f t="array" ref="AH1294">_xlfn.IFS(M1294=1,"Junior employee",M1294=2,"Mid-level",M1294=3,"Senior",M1294=4,"Manager",M1294=5,"Executive")</f>
        <v>Mid-level</v>
      </c>
      <c r="AI1294" t="str" cm="1">
        <f t="array" ref="AI1294">_xlfn.IFS(O1294=1,"Low",O1294=2,"Medium",O1294=3,"High",O1294=4,"Very High")</f>
        <v>Very High</v>
      </c>
      <c r="AJ1294" t="str" cm="1">
        <f t="array" ref="AJ1294">_xlfn.IFS(U1294=1,"Low",U1294=2,"Good",U1294=3,"Excellent",U1294=4,"Outstanding")</f>
        <v>Excellent</v>
      </c>
      <c r="AK1294" t="str" cm="1">
        <f t="array" ref="AK1294">_xlfn.IFS(V1294=1,"Low",V1294=2,"Medium",V1294=3,"High",V1294=4,"Very High")</f>
        <v>Very High</v>
      </c>
      <c r="AL1294" t="str" cm="1">
        <f t="array" ref="AL1294">_xlfn.IFS(Z1294=1,"Bad",Z1294=2,"Good",Z1294=3,"Better",Z1294=4,"Best")</f>
        <v>Better</v>
      </c>
      <c r="AM1294" t="str" cm="1">
        <f t="array" ref="AM1294">_xlfn.IFS(W1294=0,"No_stock",W1294=1,"Low",W1294=2,"Medium",W1294=3,"High")</f>
        <v>Low</v>
      </c>
      <c r="AN1294" t="str">
        <f t="shared" si="20"/>
        <v>Far</v>
      </c>
    </row>
    <row r="1295" spans="1:40" x14ac:dyDescent="0.45">
      <c r="A1295">
        <v>43</v>
      </c>
      <c r="B1295" t="s">
        <v>37</v>
      </c>
      <c r="C1295" t="s">
        <v>49</v>
      </c>
      <c r="D1295">
        <v>343</v>
      </c>
      <c r="E1295" t="s">
        <v>39</v>
      </c>
      <c r="F1295">
        <v>9</v>
      </c>
      <c r="G1295">
        <v>3</v>
      </c>
      <c r="H1295" t="s">
        <v>33</v>
      </c>
      <c r="I1295">
        <v>1813</v>
      </c>
      <c r="J1295">
        <v>1</v>
      </c>
      <c r="K1295" t="s">
        <v>40</v>
      </c>
      <c r="L1295">
        <v>3</v>
      </c>
      <c r="M1295">
        <v>1</v>
      </c>
      <c r="N1295" t="s">
        <v>41</v>
      </c>
      <c r="O1295">
        <v>3</v>
      </c>
      <c r="P1295" t="s">
        <v>36</v>
      </c>
      <c r="Q1295">
        <v>2438</v>
      </c>
      <c r="R1295">
        <v>4</v>
      </c>
      <c r="S1295" t="s">
        <v>37</v>
      </c>
      <c r="T1295">
        <v>13</v>
      </c>
      <c r="U1295">
        <v>3</v>
      </c>
      <c r="V1295">
        <v>3</v>
      </c>
      <c r="W1295">
        <v>0</v>
      </c>
      <c r="X1295">
        <v>7</v>
      </c>
      <c r="Y1295">
        <v>2</v>
      </c>
      <c r="Z1295">
        <v>2</v>
      </c>
      <c r="AA1295">
        <v>3</v>
      </c>
      <c r="AB1295">
        <v>2</v>
      </c>
      <c r="AC1295">
        <v>1</v>
      </c>
      <c r="AD1295">
        <v>2</v>
      </c>
      <c r="AE1295" t="str" cm="1">
        <f t="array" ref="AE1295">_xlfn.IFS(G1295=1,"Before College",G1295=2,"College",G1295=3,"Bachelor",G1295=4,"Master",G1295=5,"Doctor")</f>
        <v>Bachelor</v>
      </c>
      <c r="AF1295" t="str" cm="1">
        <f t="array" ref="AF1295">_xlfn.IFS(J1295=1,"Low",J1295=2,"Medium",J1295=3,"High",J1295=4,"Very High")</f>
        <v>Low</v>
      </c>
      <c r="AG1295" t="str" cm="1">
        <f t="array" ref="AG1295">_xlfn.IFS(L1295=1,"Low",L1295=2,"Medium",L1295=3,"High",L1295=4,"Very High")</f>
        <v>High</v>
      </c>
      <c r="AH1295" t="str" cm="1">
        <f t="array" ref="AH1295">_xlfn.IFS(M1295=1,"Junior employee",M1295=2,"Mid-level",M1295=3,"Senior",M1295=4,"Manager",M1295=5,"Executive")</f>
        <v>Junior employee</v>
      </c>
      <c r="AI1295" t="str" cm="1">
        <f t="array" ref="AI1295">_xlfn.IFS(O1295=1,"Low",O1295=2,"Medium",O1295=3,"High",O1295=4,"Very High")</f>
        <v>High</v>
      </c>
      <c r="AJ1295" t="str" cm="1">
        <f t="array" ref="AJ1295">_xlfn.IFS(U1295=1,"Low",U1295=2,"Good",U1295=3,"Excellent",U1295=4,"Outstanding")</f>
        <v>Excellent</v>
      </c>
      <c r="AK1295" t="str" cm="1">
        <f t="array" ref="AK1295">_xlfn.IFS(V1295=1,"Low",V1295=2,"Medium",V1295=3,"High",V1295=4,"Very High")</f>
        <v>High</v>
      </c>
      <c r="AL1295" t="str" cm="1">
        <f t="array" ref="AL1295">_xlfn.IFS(Z1295=1,"Bad",Z1295=2,"Good",Z1295=3,"Better",Z1295=4,"Best")</f>
        <v>Good</v>
      </c>
      <c r="AM1295" t="str" cm="1">
        <f t="array" ref="AM1295">_xlfn.IFS(W1295=0,"No_stock",W1295=1,"Low",W1295=2,"Medium",W1295=3,"High")</f>
        <v>No_stock</v>
      </c>
      <c r="AN1295" t="str">
        <f t="shared" si="20"/>
        <v>Medium</v>
      </c>
    </row>
    <row r="1296" spans="1:40" x14ac:dyDescent="0.45">
      <c r="A1296">
        <v>41</v>
      </c>
      <c r="B1296" t="s">
        <v>37</v>
      </c>
      <c r="C1296" t="s">
        <v>31</v>
      </c>
      <c r="D1296">
        <v>447</v>
      </c>
      <c r="E1296" t="s">
        <v>39</v>
      </c>
      <c r="F1296">
        <v>5</v>
      </c>
      <c r="G1296">
        <v>3</v>
      </c>
      <c r="H1296" t="s">
        <v>33</v>
      </c>
      <c r="I1296">
        <v>1814</v>
      </c>
      <c r="J1296">
        <v>2</v>
      </c>
      <c r="K1296" t="s">
        <v>40</v>
      </c>
      <c r="L1296">
        <v>4</v>
      </c>
      <c r="M1296">
        <v>2</v>
      </c>
      <c r="N1296" t="s">
        <v>48</v>
      </c>
      <c r="O1296">
        <v>2</v>
      </c>
      <c r="P1296" t="s">
        <v>36</v>
      </c>
      <c r="Q1296">
        <v>6870</v>
      </c>
      <c r="R1296">
        <v>3</v>
      </c>
      <c r="S1296" t="s">
        <v>37</v>
      </c>
      <c r="T1296">
        <v>12</v>
      </c>
      <c r="U1296">
        <v>3</v>
      </c>
      <c r="V1296">
        <v>1</v>
      </c>
      <c r="W1296">
        <v>0</v>
      </c>
      <c r="X1296">
        <v>11</v>
      </c>
      <c r="Y1296">
        <v>3</v>
      </c>
      <c r="Z1296">
        <v>1</v>
      </c>
      <c r="AA1296">
        <v>3</v>
      </c>
      <c r="AB1296">
        <v>2</v>
      </c>
      <c r="AC1296">
        <v>1</v>
      </c>
      <c r="AD1296">
        <v>2</v>
      </c>
      <c r="AE1296" t="str" cm="1">
        <f t="array" ref="AE1296">_xlfn.IFS(G1296=1,"Before College",G1296=2,"College",G1296=3,"Bachelor",G1296=4,"Master",G1296=5,"Doctor")</f>
        <v>Bachelor</v>
      </c>
      <c r="AF1296" t="str" cm="1">
        <f t="array" ref="AF1296">_xlfn.IFS(J1296=1,"Low",J1296=2,"Medium",J1296=3,"High",J1296=4,"Very High")</f>
        <v>Medium</v>
      </c>
      <c r="AG1296" t="str" cm="1">
        <f t="array" ref="AG1296">_xlfn.IFS(L1296=1,"Low",L1296=2,"Medium",L1296=3,"High",L1296=4,"Very High")</f>
        <v>Very High</v>
      </c>
      <c r="AH1296" t="str" cm="1">
        <f t="array" ref="AH1296">_xlfn.IFS(M1296=1,"Junior employee",M1296=2,"Mid-level",M1296=3,"Senior",M1296=4,"Manager",M1296=5,"Executive")</f>
        <v>Mid-level</v>
      </c>
      <c r="AI1296" t="str" cm="1">
        <f t="array" ref="AI1296">_xlfn.IFS(O1296=1,"Low",O1296=2,"Medium",O1296=3,"High",O1296=4,"Very High")</f>
        <v>Medium</v>
      </c>
      <c r="AJ1296" t="str" cm="1">
        <f t="array" ref="AJ1296">_xlfn.IFS(U1296=1,"Low",U1296=2,"Good",U1296=3,"Excellent",U1296=4,"Outstanding")</f>
        <v>Excellent</v>
      </c>
      <c r="AK1296" t="str" cm="1">
        <f t="array" ref="AK1296">_xlfn.IFS(V1296=1,"Low",V1296=2,"Medium",V1296=3,"High",V1296=4,"Very High")</f>
        <v>Low</v>
      </c>
      <c r="AL1296" t="str" cm="1">
        <f t="array" ref="AL1296">_xlfn.IFS(Z1296=1,"Bad",Z1296=2,"Good",Z1296=3,"Better",Z1296=4,"Best")</f>
        <v>Bad</v>
      </c>
      <c r="AM1296" t="str" cm="1">
        <f t="array" ref="AM1296">_xlfn.IFS(W1296=0,"No_stock",W1296=1,"Low",W1296=2,"Medium",W1296=3,"High")</f>
        <v>No_stock</v>
      </c>
      <c r="AN1296" t="str">
        <f t="shared" si="20"/>
        <v>Near</v>
      </c>
    </row>
    <row r="1297" spans="1:40" x14ac:dyDescent="0.45">
      <c r="A1297">
        <v>41</v>
      </c>
      <c r="B1297" t="s">
        <v>37</v>
      </c>
      <c r="C1297" t="s">
        <v>31</v>
      </c>
      <c r="D1297">
        <v>796</v>
      </c>
      <c r="E1297" t="s">
        <v>32</v>
      </c>
      <c r="F1297">
        <v>4</v>
      </c>
      <c r="G1297">
        <v>1</v>
      </c>
      <c r="H1297" t="s">
        <v>53</v>
      </c>
      <c r="I1297">
        <v>1815</v>
      </c>
      <c r="J1297">
        <v>3</v>
      </c>
      <c r="K1297" t="s">
        <v>34</v>
      </c>
      <c r="L1297">
        <v>3</v>
      </c>
      <c r="M1297">
        <v>3</v>
      </c>
      <c r="N1297" t="s">
        <v>35</v>
      </c>
      <c r="O1297">
        <v>3</v>
      </c>
      <c r="P1297" t="s">
        <v>46</v>
      </c>
      <c r="Q1297">
        <v>10447</v>
      </c>
      <c r="R1297">
        <v>0</v>
      </c>
      <c r="S1297" t="s">
        <v>30</v>
      </c>
      <c r="T1297">
        <v>13</v>
      </c>
      <c r="U1297">
        <v>3</v>
      </c>
      <c r="V1297">
        <v>4</v>
      </c>
      <c r="W1297">
        <v>1</v>
      </c>
      <c r="X1297">
        <v>23</v>
      </c>
      <c r="Y1297">
        <v>3</v>
      </c>
      <c r="Z1297">
        <v>4</v>
      </c>
      <c r="AA1297">
        <v>22</v>
      </c>
      <c r="AB1297">
        <v>14</v>
      </c>
      <c r="AC1297">
        <v>13</v>
      </c>
      <c r="AD1297">
        <v>5</v>
      </c>
      <c r="AE1297" t="str" cm="1">
        <f t="array" ref="AE1297">_xlfn.IFS(G1297=1,"Before College",G1297=2,"College",G1297=3,"Bachelor",G1297=4,"Master",G1297=5,"Doctor")</f>
        <v>Before College</v>
      </c>
      <c r="AF1297" t="str" cm="1">
        <f t="array" ref="AF1297">_xlfn.IFS(J1297=1,"Low",J1297=2,"Medium",J1297=3,"High",J1297=4,"Very High")</f>
        <v>High</v>
      </c>
      <c r="AG1297" t="str" cm="1">
        <f t="array" ref="AG1297">_xlfn.IFS(L1297=1,"Low",L1297=2,"Medium",L1297=3,"High",L1297=4,"Very High")</f>
        <v>High</v>
      </c>
      <c r="AH1297" t="str" cm="1">
        <f t="array" ref="AH1297">_xlfn.IFS(M1297=1,"Junior employee",M1297=2,"Mid-level",M1297=3,"Senior",M1297=4,"Manager",M1297=5,"Executive")</f>
        <v>Senior</v>
      </c>
      <c r="AI1297" t="str" cm="1">
        <f t="array" ref="AI1297">_xlfn.IFS(O1297=1,"Low",O1297=2,"Medium",O1297=3,"High",O1297=4,"Very High")</f>
        <v>High</v>
      </c>
      <c r="AJ1297" t="str" cm="1">
        <f t="array" ref="AJ1297">_xlfn.IFS(U1297=1,"Low",U1297=2,"Good",U1297=3,"Excellent",U1297=4,"Outstanding")</f>
        <v>Excellent</v>
      </c>
      <c r="AK1297" t="str" cm="1">
        <f t="array" ref="AK1297">_xlfn.IFS(V1297=1,"Low",V1297=2,"Medium",V1297=3,"High",V1297=4,"Very High")</f>
        <v>Very High</v>
      </c>
      <c r="AL1297" t="str" cm="1">
        <f t="array" ref="AL1297">_xlfn.IFS(Z1297=1,"Bad",Z1297=2,"Good",Z1297=3,"Better",Z1297=4,"Best")</f>
        <v>Best</v>
      </c>
      <c r="AM1297" t="str" cm="1">
        <f t="array" ref="AM1297">_xlfn.IFS(W1297=0,"No_stock",W1297=1,"Low",W1297=2,"Medium",W1297=3,"High")</f>
        <v>Low</v>
      </c>
      <c r="AN1297" t="str">
        <f t="shared" si="20"/>
        <v>Near</v>
      </c>
    </row>
    <row r="1298" spans="1:40" x14ac:dyDescent="0.45">
      <c r="A1298">
        <v>30</v>
      </c>
      <c r="B1298" t="s">
        <v>37</v>
      </c>
      <c r="C1298" t="s">
        <v>31</v>
      </c>
      <c r="D1298">
        <v>1092</v>
      </c>
      <c r="E1298" t="s">
        <v>39</v>
      </c>
      <c r="F1298">
        <v>10</v>
      </c>
      <c r="G1298">
        <v>3</v>
      </c>
      <c r="H1298" t="s">
        <v>45</v>
      </c>
      <c r="I1298">
        <v>1816</v>
      </c>
      <c r="J1298">
        <v>1</v>
      </c>
      <c r="K1298" t="s">
        <v>34</v>
      </c>
      <c r="L1298">
        <v>3</v>
      </c>
      <c r="M1298">
        <v>3</v>
      </c>
      <c r="N1298" t="s">
        <v>47</v>
      </c>
      <c r="O1298">
        <v>3</v>
      </c>
      <c r="P1298" t="s">
        <v>36</v>
      </c>
      <c r="Q1298">
        <v>9667</v>
      </c>
      <c r="R1298">
        <v>9</v>
      </c>
      <c r="S1298" t="s">
        <v>37</v>
      </c>
      <c r="T1298">
        <v>14</v>
      </c>
      <c r="U1298">
        <v>3</v>
      </c>
      <c r="V1298">
        <v>2</v>
      </c>
      <c r="W1298">
        <v>0</v>
      </c>
      <c r="X1298">
        <v>9</v>
      </c>
      <c r="Y1298">
        <v>3</v>
      </c>
      <c r="Z1298">
        <v>3</v>
      </c>
      <c r="AA1298">
        <v>7</v>
      </c>
      <c r="AB1298">
        <v>7</v>
      </c>
      <c r="AC1298">
        <v>0</v>
      </c>
      <c r="AD1298">
        <v>2</v>
      </c>
      <c r="AE1298" t="str" cm="1">
        <f t="array" ref="AE1298">_xlfn.IFS(G1298=1,"Before College",G1298=2,"College",G1298=3,"Bachelor",G1298=4,"Master",G1298=5,"Doctor")</f>
        <v>Bachelor</v>
      </c>
      <c r="AF1298" t="str" cm="1">
        <f t="array" ref="AF1298">_xlfn.IFS(J1298=1,"Low",J1298=2,"Medium",J1298=3,"High",J1298=4,"Very High")</f>
        <v>Low</v>
      </c>
      <c r="AG1298" t="str" cm="1">
        <f t="array" ref="AG1298">_xlfn.IFS(L1298=1,"Low",L1298=2,"Medium",L1298=3,"High",L1298=4,"Very High")</f>
        <v>High</v>
      </c>
      <c r="AH1298" t="str" cm="1">
        <f t="array" ref="AH1298">_xlfn.IFS(M1298=1,"Junior employee",M1298=2,"Mid-level",M1298=3,"Senior",M1298=4,"Manager",M1298=5,"Executive")</f>
        <v>Senior</v>
      </c>
      <c r="AI1298" t="str" cm="1">
        <f t="array" ref="AI1298">_xlfn.IFS(O1298=1,"Low",O1298=2,"Medium",O1298=3,"High",O1298=4,"Very High")</f>
        <v>High</v>
      </c>
      <c r="AJ1298" t="str" cm="1">
        <f t="array" ref="AJ1298">_xlfn.IFS(U1298=1,"Low",U1298=2,"Good",U1298=3,"Excellent",U1298=4,"Outstanding")</f>
        <v>Excellent</v>
      </c>
      <c r="AK1298" t="str" cm="1">
        <f t="array" ref="AK1298">_xlfn.IFS(V1298=1,"Low",V1298=2,"Medium",V1298=3,"High",V1298=4,"Very High")</f>
        <v>Medium</v>
      </c>
      <c r="AL1298" t="str" cm="1">
        <f t="array" ref="AL1298">_xlfn.IFS(Z1298=1,"Bad",Z1298=2,"Good",Z1298=3,"Better",Z1298=4,"Best")</f>
        <v>Better</v>
      </c>
      <c r="AM1298" t="str" cm="1">
        <f t="array" ref="AM1298">_xlfn.IFS(W1298=0,"No_stock",W1298=1,"Low",W1298=2,"Medium",W1298=3,"High")</f>
        <v>No_stock</v>
      </c>
      <c r="AN1298" t="str">
        <f t="shared" si="20"/>
        <v>Medium</v>
      </c>
    </row>
    <row r="1299" spans="1:40" x14ac:dyDescent="0.45">
      <c r="A1299">
        <v>26</v>
      </c>
      <c r="B1299" t="s">
        <v>30</v>
      </c>
      <c r="C1299" t="s">
        <v>31</v>
      </c>
      <c r="D1299">
        <v>920</v>
      </c>
      <c r="E1299" t="s">
        <v>55</v>
      </c>
      <c r="F1299">
        <v>20</v>
      </c>
      <c r="G1299">
        <v>2</v>
      </c>
      <c r="H1299" t="s">
        <v>45</v>
      </c>
      <c r="I1299">
        <v>1818</v>
      </c>
      <c r="J1299">
        <v>4</v>
      </c>
      <c r="K1299" t="s">
        <v>34</v>
      </c>
      <c r="L1299">
        <v>3</v>
      </c>
      <c r="M1299">
        <v>1</v>
      </c>
      <c r="N1299" t="s">
        <v>55</v>
      </c>
      <c r="O1299">
        <v>2</v>
      </c>
      <c r="P1299" t="s">
        <v>42</v>
      </c>
      <c r="Q1299">
        <v>2148</v>
      </c>
      <c r="R1299">
        <v>0</v>
      </c>
      <c r="S1299" t="s">
        <v>30</v>
      </c>
      <c r="T1299">
        <v>11</v>
      </c>
      <c r="U1299">
        <v>3</v>
      </c>
      <c r="V1299">
        <v>3</v>
      </c>
      <c r="W1299">
        <v>0</v>
      </c>
      <c r="X1299">
        <v>6</v>
      </c>
      <c r="Y1299">
        <v>3</v>
      </c>
      <c r="Z1299">
        <v>3</v>
      </c>
      <c r="AA1299">
        <v>5</v>
      </c>
      <c r="AB1299">
        <v>1</v>
      </c>
      <c r="AC1299">
        <v>1</v>
      </c>
      <c r="AD1299">
        <v>4</v>
      </c>
      <c r="AE1299" t="str" cm="1">
        <f t="array" ref="AE1299">_xlfn.IFS(G1299=1,"Before College",G1299=2,"College",G1299=3,"Bachelor",G1299=4,"Master",G1299=5,"Doctor")</f>
        <v>College</v>
      </c>
      <c r="AF1299" t="str" cm="1">
        <f t="array" ref="AF1299">_xlfn.IFS(J1299=1,"Low",J1299=2,"Medium",J1299=3,"High",J1299=4,"Very High")</f>
        <v>Very High</v>
      </c>
      <c r="AG1299" t="str" cm="1">
        <f t="array" ref="AG1299">_xlfn.IFS(L1299=1,"Low",L1299=2,"Medium",L1299=3,"High",L1299=4,"Very High")</f>
        <v>High</v>
      </c>
      <c r="AH1299" t="str" cm="1">
        <f t="array" ref="AH1299">_xlfn.IFS(M1299=1,"Junior employee",M1299=2,"Mid-level",M1299=3,"Senior",M1299=4,"Manager",M1299=5,"Executive")</f>
        <v>Junior employee</v>
      </c>
      <c r="AI1299" t="str" cm="1">
        <f t="array" ref="AI1299">_xlfn.IFS(O1299=1,"Low",O1299=2,"Medium",O1299=3,"High",O1299=4,"Very High")</f>
        <v>Medium</v>
      </c>
      <c r="AJ1299" t="str" cm="1">
        <f t="array" ref="AJ1299">_xlfn.IFS(U1299=1,"Low",U1299=2,"Good",U1299=3,"Excellent",U1299=4,"Outstanding")</f>
        <v>Excellent</v>
      </c>
      <c r="AK1299" t="str" cm="1">
        <f t="array" ref="AK1299">_xlfn.IFS(V1299=1,"Low",V1299=2,"Medium",V1299=3,"High",V1299=4,"Very High")</f>
        <v>High</v>
      </c>
      <c r="AL1299" t="str" cm="1">
        <f t="array" ref="AL1299">_xlfn.IFS(Z1299=1,"Bad",Z1299=2,"Good",Z1299=3,"Better",Z1299=4,"Best")</f>
        <v>Better</v>
      </c>
      <c r="AM1299" t="str" cm="1">
        <f t="array" ref="AM1299">_xlfn.IFS(W1299=0,"No_stock",W1299=1,"Low",W1299=2,"Medium",W1299=3,"High")</f>
        <v>No_stock</v>
      </c>
      <c r="AN1299" t="str">
        <f t="shared" si="20"/>
        <v>Far</v>
      </c>
    </row>
    <row r="1300" spans="1:40" x14ac:dyDescent="0.45">
      <c r="A1300">
        <v>46</v>
      </c>
      <c r="B1300" t="s">
        <v>30</v>
      </c>
      <c r="C1300" t="s">
        <v>31</v>
      </c>
      <c r="D1300">
        <v>261</v>
      </c>
      <c r="E1300" t="s">
        <v>39</v>
      </c>
      <c r="F1300">
        <v>21</v>
      </c>
      <c r="G1300">
        <v>2</v>
      </c>
      <c r="H1300" t="s">
        <v>45</v>
      </c>
      <c r="I1300">
        <v>1821</v>
      </c>
      <c r="J1300">
        <v>4</v>
      </c>
      <c r="K1300" t="s">
        <v>34</v>
      </c>
      <c r="L1300">
        <v>3</v>
      </c>
      <c r="M1300">
        <v>2</v>
      </c>
      <c r="N1300" t="s">
        <v>48</v>
      </c>
      <c r="O1300">
        <v>2</v>
      </c>
      <c r="P1300" t="s">
        <v>42</v>
      </c>
      <c r="Q1300">
        <v>8926</v>
      </c>
      <c r="R1300">
        <v>4</v>
      </c>
      <c r="S1300" t="s">
        <v>37</v>
      </c>
      <c r="T1300">
        <v>22</v>
      </c>
      <c r="U1300">
        <v>4</v>
      </c>
      <c r="V1300">
        <v>4</v>
      </c>
      <c r="W1300">
        <v>1</v>
      </c>
      <c r="X1300">
        <v>13</v>
      </c>
      <c r="Y1300">
        <v>2</v>
      </c>
      <c r="Z1300">
        <v>4</v>
      </c>
      <c r="AA1300">
        <v>9</v>
      </c>
      <c r="AB1300">
        <v>7</v>
      </c>
      <c r="AC1300">
        <v>3</v>
      </c>
      <c r="AD1300">
        <v>7</v>
      </c>
      <c r="AE1300" t="str" cm="1">
        <f t="array" ref="AE1300">_xlfn.IFS(G1300=1,"Before College",G1300=2,"College",G1300=3,"Bachelor",G1300=4,"Master",G1300=5,"Doctor")</f>
        <v>College</v>
      </c>
      <c r="AF1300" t="str" cm="1">
        <f t="array" ref="AF1300">_xlfn.IFS(J1300=1,"Low",J1300=2,"Medium",J1300=3,"High",J1300=4,"Very High")</f>
        <v>Very High</v>
      </c>
      <c r="AG1300" t="str" cm="1">
        <f t="array" ref="AG1300">_xlfn.IFS(L1300=1,"Low",L1300=2,"Medium",L1300=3,"High",L1300=4,"Very High")</f>
        <v>High</v>
      </c>
      <c r="AH1300" t="str" cm="1">
        <f t="array" ref="AH1300">_xlfn.IFS(M1300=1,"Junior employee",M1300=2,"Mid-level",M1300=3,"Senior",M1300=4,"Manager",M1300=5,"Executive")</f>
        <v>Mid-level</v>
      </c>
      <c r="AI1300" t="str" cm="1">
        <f t="array" ref="AI1300">_xlfn.IFS(O1300=1,"Low",O1300=2,"Medium",O1300=3,"High",O1300=4,"Very High")</f>
        <v>Medium</v>
      </c>
      <c r="AJ1300" t="str" cm="1">
        <f t="array" ref="AJ1300">_xlfn.IFS(U1300=1,"Low",U1300=2,"Good",U1300=3,"Excellent",U1300=4,"Outstanding")</f>
        <v>Outstanding</v>
      </c>
      <c r="AK1300" t="str" cm="1">
        <f t="array" ref="AK1300">_xlfn.IFS(V1300=1,"Low",V1300=2,"Medium",V1300=3,"High",V1300=4,"Very High")</f>
        <v>Very High</v>
      </c>
      <c r="AL1300" t="str" cm="1">
        <f t="array" ref="AL1300">_xlfn.IFS(Z1300=1,"Bad",Z1300=2,"Good",Z1300=3,"Better",Z1300=4,"Best")</f>
        <v>Best</v>
      </c>
      <c r="AM1300" t="str" cm="1">
        <f t="array" ref="AM1300">_xlfn.IFS(W1300=0,"No_stock",W1300=1,"Low",W1300=2,"Medium",W1300=3,"High")</f>
        <v>Low</v>
      </c>
      <c r="AN1300" t="str">
        <f t="shared" si="20"/>
        <v>Far</v>
      </c>
    </row>
    <row r="1301" spans="1:40" x14ac:dyDescent="0.45">
      <c r="A1301">
        <v>40</v>
      </c>
      <c r="B1301" t="s">
        <v>37</v>
      </c>
      <c r="C1301" t="s">
        <v>31</v>
      </c>
      <c r="D1301">
        <v>1194</v>
      </c>
      <c r="E1301" t="s">
        <v>39</v>
      </c>
      <c r="F1301">
        <v>1</v>
      </c>
      <c r="G1301">
        <v>3</v>
      </c>
      <c r="H1301" t="s">
        <v>33</v>
      </c>
      <c r="I1301">
        <v>1822</v>
      </c>
      <c r="J1301">
        <v>3</v>
      </c>
      <c r="K1301" t="s">
        <v>34</v>
      </c>
      <c r="L1301">
        <v>3</v>
      </c>
      <c r="M1301">
        <v>2</v>
      </c>
      <c r="N1301" t="s">
        <v>48</v>
      </c>
      <c r="O1301">
        <v>4</v>
      </c>
      <c r="P1301" t="s">
        <v>46</v>
      </c>
      <c r="Q1301">
        <v>6513</v>
      </c>
      <c r="R1301">
        <v>4</v>
      </c>
      <c r="S1301" t="s">
        <v>37</v>
      </c>
      <c r="T1301">
        <v>17</v>
      </c>
      <c r="U1301">
        <v>3</v>
      </c>
      <c r="V1301">
        <v>4</v>
      </c>
      <c r="W1301">
        <v>1</v>
      </c>
      <c r="X1301">
        <v>12</v>
      </c>
      <c r="Y1301">
        <v>3</v>
      </c>
      <c r="Z1301">
        <v>3</v>
      </c>
      <c r="AA1301">
        <v>5</v>
      </c>
      <c r="AB1301">
        <v>3</v>
      </c>
      <c r="AC1301">
        <v>0</v>
      </c>
      <c r="AD1301">
        <v>3</v>
      </c>
      <c r="AE1301" t="str" cm="1">
        <f t="array" ref="AE1301">_xlfn.IFS(G1301=1,"Before College",G1301=2,"College",G1301=3,"Bachelor",G1301=4,"Master",G1301=5,"Doctor")</f>
        <v>Bachelor</v>
      </c>
      <c r="AF1301" t="str" cm="1">
        <f t="array" ref="AF1301">_xlfn.IFS(J1301=1,"Low",J1301=2,"Medium",J1301=3,"High",J1301=4,"Very High")</f>
        <v>High</v>
      </c>
      <c r="AG1301" t="str" cm="1">
        <f t="array" ref="AG1301">_xlfn.IFS(L1301=1,"Low",L1301=2,"Medium",L1301=3,"High",L1301=4,"Very High")</f>
        <v>High</v>
      </c>
      <c r="AH1301" t="str" cm="1">
        <f t="array" ref="AH1301">_xlfn.IFS(M1301=1,"Junior employee",M1301=2,"Mid-level",M1301=3,"Senior",M1301=4,"Manager",M1301=5,"Executive")</f>
        <v>Mid-level</v>
      </c>
      <c r="AI1301" t="str" cm="1">
        <f t="array" ref="AI1301">_xlfn.IFS(O1301=1,"Low",O1301=2,"Medium",O1301=3,"High",O1301=4,"Very High")</f>
        <v>Very High</v>
      </c>
      <c r="AJ1301" t="str" cm="1">
        <f t="array" ref="AJ1301">_xlfn.IFS(U1301=1,"Low",U1301=2,"Good",U1301=3,"Excellent",U1301=4,"Outstanding")</f>
        <v>Excellent</v>
      </c>
      <c r="AK1301" t="str" cm="1">
        <f t="array" ref="AK1301">_xlfn.IFS(V1301=1,"Low",V1301=2,"Medium",V1301=3,"High",V1301=4,"Very High")</f>
        <v>Very High</v>
      </c>
      <c r="AL1301" t="str" cm="1">
        <f t="array" ref="AL1301">_xlfn.IFS(Z1301=1,"Bad",Z1301=2,"Good",Z1301=3,"Better",Z1301=4,"Best")</f>
        <v>Better</v>
      </c>
      <c r="AM1301" t="str" cm="1">
        <f t="array" ref="AM1301">_xlfn.IFS(W1301=0,"No_stock",W1301=1,"Low",W1301=2,"Medium",W1301=3,"High")</f>
        <v>Low</v>
      </c>
      <c r="AN1301" t="str">
        <f t="shared" si="20"/>
        <v>Near</v>
      </c>
    </row>
    <row r="1302" spans="1:40" x14ac:dyDescent="0.45">
      <c r="A1302">
        <v>34</v>
      </c>
      <c r="B1302" t="s">
        <v>37</v>
      </c>
      <c r="C1302" t="s">
        <v>31</v>
      </c>
      <c r="D1302">
        <v>810</v>
      </c>
      <c r="E1302" t="s">
        <v>32</v>
      </c>
      <c r="F1302">
        <v>8</v>
      </c>
      <c r="G1302">
        <v>2</v>
      </c>
      <c r="H1302" t="s">
        <v>54</v>
      </c>
      <c r="I1302">
        <v>1823</v>
      </c>
      <c r="J1302">
        <v>2</v>
      </c>
      <c r="K1302" t="s">
        <v>40</v>
      </c>
      <c r="L1302">
        <v>4</v>
      </c>
      <c r="M1302">
        <v>2</v>
      </c>
      <c r="N1302" t="s">
        <v>35</v>
      </c>
      <c r="O1302">
        <v>3</v>
      </c>
      <c r="P1302" t="s">
        <v>42</v>
      </c>
      <c r="Q1302">
        <v>6799</v>
      </c>
      <c r="R1302">
        <v>1</v>
      </c>
      <c r="S1302" t="s">
        <v>37</v>
      </c>
      <c r="T1302">
        <v>21</v>
      </c>
      <c r="U1302">
        <v>4</v>
      </c>
      <c r="V1302">
        <v>3</v>
      </c>
      <c r="W1302">
        <v>2</v>
      </c>
      <c r="X1302">
        <v>10</v>
      </c>
      <c r="Y1302">
        <v>5</v>
      </c>
      <c r="Z1302">
        <v>3</v>
      </c>
      <c r="AA1302">
        <v>10</v>
      </c>
      <c r="AB1302">
        <v>8</v>
      </c>
      <c r="AC1302">
        <v>4</v>
      </c>
      <c r="AD1302">
        <v>8</v>
      </c>
      <c r="AE1302" t="str" cm="1">
        <f t="array" ref="AE1302">_xlfn.IFS(G1302=1,"Before College",G1302=2,"College",G1302=3,"Bachelor",G1302=4,"Master",G1302=5,"Doctor")</f>
        <v>College</v>
      </c>
      <c r="AF1302" t="str" cm="1">
        <f t="array" ref="AF1302">_xlfn.IFS(J1302=1,"Low",J1302=2,"Medium",J1302=3,"High",J1302=4,"Very High")</f>
        <v>Medium</v>
      </c>
      <c r="AG1302" t="str" cm="1">
        <f t="array" ref="AG1302">_xlfn.IFS(L1302=1,"Low",L1302=2,"Medium",L1302=3,"High",L1302=4,"Very High")</f>
        <v>Very High</v>
      </c>
      <c r="AH1302" t="str" cm="1">
        <f t="array" ref="AH1302">_xlfn.IFS(M1302=1,"Junior employee",M1302=2,"Mid-level",M1302=3,"Senior",M1302=4,"Manager",M1302=5,"Executive")</f>
        <v>Mid-level</v>
      </c>
      <c r="AI1302" t="str" cm="1">
        <f t="array" ref="AI1302">_xlfn.IFS(O1302=1,"Low",O1302=2,"Medium",O1302=3,"High",O1302=4,"Very High")</f>
        <v>High</v>
      </c>
      <c r="AJ1302" t="str" cm="1">
        <f t="array" ref="AJ1302">_xlfn.IFS(U1302=1,"Low",U1302=2,"Good",U1302=3,"Excellent",U1302=4,"Outstanding")</f>
        <v>Outstanding</v>
      </c>
      <c r="AK1302" t="str" cm="1">
        <f t="array" ref="AK1302">_xlfn.IFS(V1302=1,"Low",V1302=2,"Medium",V1302=3,"High",V1302=4,"Very High")</f>
        <v>High</v>
      </c>
      <c r="AL1302" t="str" cm="1">
        <f t="array" ref="AL1302">_xlfn.IFS(Z1302=1,"Bad",Z1302=2,"Good",Z1302=3,"Better",Z1302=4,"Best")</f>
        <v>Better</v>
      </c>
      <c r="AM1302" t="str" cm="1">
        <f t="array" ref="AM1302">_xlfn.IFS(W1302=0,"No_stock",W1302=1,"Low",W1302=2,"Medium",W1302=3,"High")</f>
        <v>Medium</v>
      </c>
      <c r="AN1302" t="str">
        <f t="shared" si="20"/>
        <v>Medium</v>
      </c>
    </row>
    <row r="1303" spans="1:40" x14ac:dyDescent="0.45">
      <c r="A1303">
        <v>58</v>
      </c>
      <c r="B1303" t="s">
        <v>37</v>
      </c>
      <c r="C1303" t="s">
        <v>49</v>
      </c>
      <c r="D1303">
        <v>350</v>
      </c>
      <c r="E1303" t="s">
        <v>32</v>
      </c>
      <c r="F1303">
        <v>2</v>
      </c>
      <c r="G1303">
        <v>3</v>
      </c>
      <c r="H1303" t="s">
        <v>45</v>
      </c>
      <c r="I1303">
        <v>1824</v>
      </c>
      <c r="J1303">
        <v>2</v>
      </c>
      <c r="K1303" t="s">
        <v>40</v>
      </c>
      <c r="L1303">
        <v>3</v>
      </c>
      <c r="M1303">
        <v>4</v>
      </c>
      <c r="N1303" t="s">
        <v>50</v>
      </c>
      <c r="O1303">
        <v>2</v>
      </c>
      <c r="P1303" t="s">
        <v>46</v>
      </c>
      <c r="Q1303">
        <v>16291</v>
      </c>
      <c r="R1303">
        <v>4</v>
      </c>
      <c r="S1303" t="s">
        <v>37</v>
      </c>
      <c r="T1303">
        <v>22</v>
      </c>
      <c r="U1303">
        <v>4</v>
      </c>
      <c r="V1303">
        <v>4</v>
      </c>
      <c r="W1303">
        <v>1</v>
      </c>
      <c r="X1303">
        <v>37</v>
      </c>
      <c r="Y1303">
        <v>0</v>
      </c>
      <c r="Z1303">
        <v>2</v>
      </c>
      <c r="AA1303">
        <v>16</v>
      </c>
      <c r="AB1303">
        <v>9</v>
      </c>
      <c r="AC1303">
        <v>14</v>
      </c>
      <c r="AD1303">
        <v>14</v>
      </c>
      <c r="AE1303" t="str" cm="1">
        <f t="array" ref="AE1303">_xlfn.IFS(G1303=1,"Before College",G1303=2,"College",G1303=3,"Bachelor",G1303=4,"Master",G1303=5,"Doctor")</f>
        <v>Bachelor</v>
      </c>
      <c r="AF1303" t="str" cm="1">
        <f t="array" ref="AF1303">_xlfn.IFS(J1303=1,"Low",J1303=2,"Medium",J1303=3,"High",J1303=4,"Very High")</f>
        <v>Medium</v>
      </c>
      <c r="AG1303" t="str" cm="1">
        <f t="array" ref="AG1303">_xlfn.IFS(L1303=1,"Low",L1303=2,"Medium",L1303=3,"High",L1303=4,"Very High")</f>
        <v>High</v>
      </c>
      <c r="AH1303" t="str" cm="1">
        <f t="array" ref="AH1303">_xlfn.IFS(M1303=1,"Junior employee",M1303=2,"Mid-level",M1303=3,"Senior",M1303=4,"Manager",M1303=5,"Executive")</f>
        <v>Manager</v>
      </c>
      <c r="AI1303" t="str" cm="1">
        <f t="array" ref="AI1303">_xlfn.IFS(O1303=1,"Low",O1303=2,"Medium",O1303=3,"High",O1303=4,"Very High")</f>
        <v>Medium</v>
      </c>
      <c r="AJ1303" t="str" cm="1">
        <f t="array" ref="AJ1303">_xlfn.IFS(U1303=1,"Low",U1303=2,"Good",U1303=3,"Excellent",U1303=4,"Outstanding")</f>
        <v>Outstanding</v>
      </c>
      <c r="AK1303" t="str" cm="1">
        <f t="array" ref="AK1303">_xlfn.IFS(V1303=1,"Low",V1303=2,"Medium",V1303=3,"High",V1303=4,"Very High")</f>
        <v>Very High</v>
      </c>
      <c r="AL1303" t="str" cm="1">
        <f t="array" ref="AL1303">_xlfn.IFS(Z1303=1,"Bad",Z1303=2,"Good",Z1303=3,"Better",Z1303=4,"Best")</f>
        <v>Good</v>
      </c>
      <c r="AM1303" t="str" cm="1">
        <f t="array" ref="AM1303">_xlfn.IFS(W1303=0,"No_stock",W1303=1,"Low",W1303=2,"Medium",W1303=3,"High")</f>
        <v>Low</v>
      </c>
      <c r="AN1303" t="str">
        <f t="shared" si="20"/>
        <v>Near</v>
      </c>
    </row>
    <row r="1304" spans="1:40" x14ac:dyDescent="0.45">
      <c r="A1304">
        <v>35</v>
      </c>
      <c r="B1304" t="s">
        <v>37</v>
      </c>
      <c r="C1304" t="s">
        <v>31</v>
      </c>
      <c r="D1304">
        <v>185</v>
      </c>
      <c r="E1304" t="s">
        <v>39</v>
      </c>
      <c r="F1304">
        <v>23</v>
      </c>
      <c r="G1304">
        <v>4</v>
      </c>
      <c r="H1304" t="s">
        <v>45</v>
      </c>
      <c r="I1304">
        <v>1826</v>
      </c>
      <c r="J1304">
        <v>2</v>
      </c>
      <c r="K1304" t="s">
        <v>40</v>
      </c>
      <c r="L1304">
        <v>1</v>
      </c>
      <c r="M1304">
        <v>1</v>
      </c>
      <c r="N1304" t="s">
        <v>44</v>
      </c>
      <c r="O1304">
        <v>3</v>
      </c>
      <c r="P1304" t="s">
        <v>42</v>
      </c>
      <c r="Q1304">
        <v>2705</v>
      </c>
      <c r="R1304">
        <v>0</v>
      </c>
      <c r="S1304" t="s">
        <v>37</v>
      </c>
      <c r="T1304">
        <v>16</v>
      </c>
      <c r="U1304">
        <v>3</v>
      </c>
      <c r="V1304">
        <v>2</v>
      </c>
      <c r="W1304">
        <v>1</v>
      </c>
      <c r="X1304">
        <v>6</v>
      </c>
      <c r="Y1304">
        <v>2</v>
      </c>
      <c r="Z1304">
        <v>4</v>
      </c>
      <c r="AA1304">
        <v>5</v>
      </c>
      <c r="AB1304">
        <v>4</v>
      </c>
      <c r="AC1304">
        <v>0</v>
      </c>
      <c r="AD1304">
        <v>3</v>
      </c>
      <c r="AE1304" t="str" cm="1">
        <f t="array" ref="AE1304">_xlfn.IFS(G1304=1,"Before College",G1304=2,"College",G1304=3,"Bachelor",G1304=4,"Master",G1304=5,"Doctor")</f>
        <v>Master</v>
      </c>
      <c r="AF1304" t="str" cm="1">
        <f t="array" ref="AF1304">_xlfn.IFS(J1304=1,"Low",J1304=2,"Medium",J1304=3,"High",J1304=4,"Very High")</f>
        <v>Medium</v>
      </c>
      <c r="AG1304" t="str" cm="1">
        <f t="array" ref="AG1304">_xlfn.IFS(L1304=1,"Low",L1304=2,"Medium",L1304=3,"High",L1304=4,"Very High")</f>
        <v>Low</v>
      </c>
      <c r="AH1304" t="str" cm="1">
        <f t="array" ref="AH1304">_xlfn.IFS(M1304=1,"Junior employee",M1304=2,"Mid-level",M1304=3,"Senior",M1304=4,"Manager",M1304=5,"Executive")</f>
        <v>Junior employee</v>
      </c>
      <c r="AI1304" t="str" cm="1">
        <f t="array" ref="AI1304">_xlfn.IFS(O1304=1,"Low",O1304=2,"Medium",O1304=3,"High",O1304=4,"Very High")</f>
        <v>High</v>
      </c>
      <c r="AJ1304" t="str" cm="1">
        <f t="array" ref="AJ1304">_xlfn.IFS(U1304=1,"Low",U1304=2,"Good",U1304=3,"Excellent",U1304=4,"Outstanding")</f>
        <v>Excellent</v>
      </c>
      <c r="AK1304" t="str" cm="1">
        <f t="array" ref="AK1304">_xlfn.IFS(V1304=1,"Low",V1304=2,"Medium",V1304=3,"High",V1304=4,"Very High")</f>
        <v>Medium</v>
      </c>
      <c r="AL1304" t="str" cm="1">
        <f t="array" ref="AL1304">_xlfn.IFS(Z1304=1,"Bad",Z1304=2,"Good",Z1304=3,"Better",Z1304=4,"Best")</f>
        <v>Best</v>
      </c>
      <c r="AM1304" t="str" cm="1">
        <f t="array" ref="AM1304">_xlfn.IFS(W1304=0,"No_stock",W1304=1,"Low",W1304=2,"Medium",W1304=3,"High")</f>
        <v>Low</v>
      </c>
      <c r="AN1304" t="str">
        <f t="shared" si="20"/>
        <v>Far</v>
      </c>
    </row>
    <row r="1305" spans="1:40" x14ac:dyDescent="0.45">
      <c r="A1305">
        <v>47</v>
      </c>
      <c r="B1305" t="s">
        <v>37</v>
      </c>
      <c r="C1305" t="s">
        <v>31</v>
      </c>
      <c r="D1305">
        <v>1001</v>
      </c>
      <c r="E1305" t="s">
        <v>39</v>
      </c>
      <c r="F1305">
        <v>4</v>
      </c>
      <c r="G1305">
        <v>3</v>
      </c>
      <c r="H1305" t="s">
        <v>33</v>
      </c>
      <c r="I1305">
        <v>1827</v>
      </c>
      <c r="J1305">
        <v>3</v>
      </c>
      <c r="K1305" t="s">
        <v>34</v>
      </c>
      <c r="L1305">
        <v>2</v>
      </c>
      <c r="M1305">
        <v>3</v>
      </c>
      <c r="N1305" t="s">
        <v>47</v>
      </c>
      <c r="O1305">
        <v>2</v>
      </c>
      <c r="P1305" t="s">
        <v>46</v>
      </c>
      <c r="Q1305">
        <v>10333</v>
      </c>
      <c r="R1305">
        <v>8</v>
      </c>
      <c r="S1305" t="s">
        <v>30</v>
      </c>
      <c r="T1305">
        <v>12</v>
      </c>
      <c r="U1305">
        <v>3</v>
      </c>
      <c r="V1305">
        <v>3</v>
      </c>
      <c r="W1305">
        <v>1</v>
      </c>
      <c r="X1305">
        <v>28</v>
      </c>
      <c r="Y1305">
        <v>4</v>
      </c>
      <c r="Z1305">
        <v>3</v>
      </c>
      <c r="AA1305">
        <v>22</v>
      </c>
      <c r="AB1305">
        <v>11</v>
      </c>
      <c r="AC1305">
        <v>14</v>
      </c>
      <c r="AD1305">
        <v>10</v>
      </c>
      <c r="AE1305" t="str" cm="1">
        <f t="array" ref="AE1305">_xlfn.IFS(G1305=1,"Before College",G1305=2,"College",G1305=3,"Bachelor",G1305=4,"Master",G1305=5,"Doctor")</f>
        <v>Bachelor</v>
      </c>
      <c r="AF1305" t="str" cm="1">
        <f t="array" ref="AF1305">_xlfn.IFS(J1305=1,"Low",J1305=2,"Medium",J1305=3,"High",J1305=4,"Very High")</f>
        <v>High</v>
      </c>
      <c r="AG1305" t="str" cm="1">
        <f t="array" ref="AG1305">_xlfn.IFS(L1305=1,"Low",L1305=2,"Medium",L1305=3,"High",L1305=4,"Very High")</f>
        <v>Medium</v>
      </c>
      <c r="AH1305" t="str" cm="1">
        <f t="array" ref="AH1305">_xlfn.IFS(M1305=1,"Junior employee",M1305=2,"Mid-level",M1305=3,"Senior",M1305=4,"Manager",M1305=5,"Executive")</f>
        <v>Senior</v>
      </c>
      <c r="AI1305" t="str" cm="1">
        <f t="array" ref="AI1305">_xlfn.IFS(O1305=1,"Low",O1305=2,"Medium",O1305=3,"High",O1305=4,"Very High")</f>
        <v>Medium</v>
      </c>
      <c r="AJ1305" t="str" cm="1">
        <f t="array" ref="AJ1305">_xlfn.IFS(U1305=1,"Low",U1305=2,"Good",U1305=3,"Excellent",U1305=4,"Outstanding")</f>
        <v>Excellent</v>
      </c>
      <c r="AK1305" t="str" cm="1">
        <f t="array" ref="AK1305">_xlfn.IFS(V1305=1,"Low",V1305=2,"Medium",V1305=3,"High",V1305=4,"Very High")</f>
        <v>High</v>
      </c>
      <c r="AL1305" t="str" cm="1">
        <f t="array" ref="AL1305">_xlfn.IFS(Z1305=1,"Bad",Z1305=2,"Good",Z1305=3,"Better",Z1305=4,"Best")</f>
        <v>Better</v>
      </c>
      <c r="AM1305" t="str" cm="1">
        <f t="array" ref="AM1305">_xlfn.IFS(W1305=0,"No_stock",W1305=1,"Low",W1305=2,"Medium",W1305=3,"High")</f>
        <v>Low</v>
      </c>
      <c r="AN1305" t="str">
        <f t="shared" si="20"/>
        <v>Near</v>
      </c>
    </row>
    <row r="1306" spans="1:40" x14ac:dyDescent="0.45">
      <c r="A1306">
        <v>40</v>
      </c>
      <c r="B1306" t="s">
        <v>37</v>
      </c>
      <c r="C1306" t="s">
        <v>31</v>
      </c>
      <c r="D1306">
        <v>750</v>
      </c>
      <c r="E1306" t="s">
        <v>39</v>
      </c>
      <c r="F1306">
        <v>12</v>
      </c>
      <c r="G1306">
        <v>3</v>
      </c>
      <c r="H1306" t="s">
        <v>33</v>
      </c>
      <c r="I1306">
        <v>1829</v>
      </c>
      <c r="J1306">
        <v>2</v>
      </c>
      <c r="K1306" t="s">
        <v>34</v>
      </c>
      <c r="L1306">
        <v>3</v>
      </c>
      <c r="M1306">
        <v>2</v>
      </c>
      <c r="N1306" t="s">
        <v>48</v>
      </c>
      <c r="O1306">
        <v>1</v>
      </c>
      <c r="P1306" t="s">
        <v>46</v>
      </c>
      <c r="Q1306">
        <v>4448</v>
      </c>
      <c r="R1306">
        <v>2</v>
      </c>
      <c r="S1306" t="s">
        <v>37</v>
      </c>
      <c r="T1306">
        <v>12</v>
      </c>
      <c r="U1306">
        <v>3</v>
      </c>
      <c r="V1306">
        <v>2</v>
      </c>
      <c r="W1306">
        <v>1</v>
      </c>
      <c r="X1306">
        <v>15</v>
      </c>
      <c r="Y1306">
        <v>3</v>
      </c>
      <c r="Z1306">
        <v>3</v>
      </c>
      <c r="AA1306">
        <v>7</v>
      </c>
      <c r="AB1306">
        <v>4</v>
      </c>
      <c r="AC1306">
        <v>7</v>
      </c>
      <c r="AD1306">
        <v>7</v>
      </c>
      <c r="AE1306" t="str" cm="1">
        <f t="array" ref="AE1306">_xlfn.IFS(G1306=1,"Before College",G1306=2,"College",G1306=3,"Bachelor",G1306=4,"Master",G1306=5,"Doctor")</f>
        <v>Bachelor</v>
      </c>
      <c r="AF1306" t="str" cm="1">
        <f t="array" ref="AF1306">_xlfn.IFS(J1306=1,"Low",J1306=2,"Medium",J1306=3,"High",J1306=4,"Very High")</f>
        <v>Medium</v>
      </c>
      <c r="AG1306" t="str" cm="1">
        <f t="array" ref="AG1306">_xlfn.IFS(L1306=1,"Low",L1306=2,"Medium",L1306=3,"High",L1306=4,"Very High")</f>
        <v>High</v>
      </c>
      <c r="AH1306" t="str" cm="1">
        <f t="array" ref="AH1306">_xlfn.IFS(M1306=1,"Junior employee",M1306=2,"Mid-level",M1306=3,"Senior",M1306=4,"Manager",M1306=5,"Executive")</f>
        <v>Mid-level</v>
      </c>
      <c r="AI1306" t="str" cm="1">
        <f t="array" ref="AI1306">_xlfn.IFS(O1306=1,"Low",O1306=2,"Medium",O1306=3,"High",O1306=4,"Very High")</f>
        <v>Low</v>
      </c>
      <c r="AJ1306" t="str" cm="1">
        <f t="array" ref="AJ1306">_xlfn.IFS(U1306=1,"Low",U1306=2,"Good",U1306=3,"Excellent",U1306=4,"Outstanding")</f>
        <v>Excellent</v>
      </c>
      <c r="AK1306" t="str" cm="1">
        <f t="array" ref="AK1306">_xlfn.IFS(V1306=1,"Low",V1306=2,"Medium",V1306=3,"High",V1306=4,"Very High")</f>
        <v>Medium</v>
      </c>
      <c r="AL1306" t="str" cm="1">
        <f t="array" ref="AL1306">_xlfn.IFS(Z1306=1,"Bad",Z1306=2,"Good",Z1306=3,"Better",Z1306=4,"Best")</f>
        <v>Better</v>
      </c>
      <c r="AM1306" t="str" cm="1">
        <f t="array" ref="AM1306">_xlfn.IFS(W1306=0,"No_stock",W1306=1,"Low",W1306=2,"Medium",W1306=3,"High")</f>
        <v>Low</v>
      </c>
      <c r="AN1306" t="str">
        <f t="shared" si="20"/>
        <v>Medium</v>
      </c>
    </row>
    <row r="1307" spans="1:40" x14ac:dyDescent="0.45">
      <c r="A1307">
        <v>54</v>
      </c>
      <c r="B1307" t="s">
        <v>37</v>
      </c>
      <c r="C1307" t="s">
        <v>31</v>
      </c>
      <c r="D1307">
        <v>431</v>
      </c>
      <c r="E1307" t="s">
        <v>39</v>
      </c>
      <c r="F1307">
        <v>7</v>
      </c>
      <c r="G1307">
        <v>4</v>
      </c>
      <c r="H1307" t="s">
        <v>45</v>
      </c>
      <c r="I1307">
        <v>1830</v>
      </c>
      <c r="J1307">
        <v>4</v>
      </c>
      <c r="K1307" t="s">
        <v>34</v>
      </c>
      <c r="L1307">
        <v>3</v>
      </c>
      <c r="M1307">
        <v>2</v>
      </c>
      <c r="N1307" t="s">
        <v>41</v>
      </c>
      <c r="O1307">
        <v>4</v>
      </c>
      <c r="P1307" t="s">
        <v>42</v>
      </c>
      <c r="Q1307">
        <v>6854</v>
      </c>
      <c r="R1307">
        <v>4</v>
      </c>
      <c r="S1307" t="s">
        <v>37</v>
      </c>
      <c r="T1307">
        <v>15</v>
      </c>
      <c r="U1307">
        <v>3</v>
      </c>
      <c r="V1307">
        <v>2</v>
      </c>
      <c r="W1307">
        <v>1</v>
      </c>
      <c r="X1307">
        <v>14</v>
      </c>
      <c r="Y1307">
        <v>2</v>
      </c>
      <c r="Z1307">
        <v>2</v>
      </c>
      <c r="AA1307">
        <v>7</v>
      </c>
      <c r="AB1307">
        <v>1</v>
      </c>
      <c r="AC1307">
        <v>1</v>
      </c>
      <c r="AD1307">
        <v>7</v>
      </c>
      <c r="AE1307" t="str" cm="1">
        <f t="array" ref="AE1307">_xlfn.IFS(G1307=1,"Before College",G1307=2,"College",G1307=3,"Bachelor",G1307=4,"Master",G1307=5,"Doctor")</f>
        <v>Master</v>
      </c>
      <c r="AF1307" t="str" cm="1">
        <f t="array" ref="AF1307">_xlfn.IFS(J1307=1,"Low",J1307=2,"Medium",J1307=3,"High",J1307=4,"Very High")</f>
        <v>Very High</v>
      </c>
      <c r="AG1307" t="str" cm="1">
        <f t="array" ref="AG1307">_xlfn.IFS(L1307=1,"Low",L1307=2,"Medium",L1307=3,"High",L1307=4,"Very High")</f>
        <v>High</v>
      </c>
      <c r="AH1307" t="str" cm="1">
        <f t="array" ref="AH1307">_xlfn.IFS(M1307=1,"Junior employee",M1307=2,"Mid-level",M1307=3,"Senior",M1307=4,"Manager",M1307=5,"Executive")</f>
        <v>Mid-level</v>
      </c>
      <c r="AI1307" t="str" cm="1">
        <f t="array" ref="AI1307">_xlfn.IFS(O1307=1,"Low",O1307=2,"Medium",O1307=3,"High",O1307=4,"Very High")</f>
        <v>Very High</v>
      </c>
      <c r="AJ1307" t="str" cm="1">
        <f t="array" ref="AJ1307">_xlfn.IFS(U1307=1,"Low",U1307=2,"Good",U1307=3,"Excellent",U1307=4,"Outstanding")</f>
        <v>Excellent</v>
      </c>
      <c r="AK1307" t="str" cm="1">
        <f t="array" ref="AK1307">_xlfn.IFS(V1307=1,"Low",V1307=2,"Medium",V1307=3,"High",V1307=4,"Very High")</f>
        <v>Medium</v>
      </c>
      <c r="AL1307" t="str" cm="1">
        <f t="array" ref="AL1307">_xlfn.IFS(Z1307=1,"Bad",Z1307=2,"Good",Z1307=3,"Better",Z1307=4,"Best")</f>
        <v>Good</v>
      </c>
      <c r="AM1307" t="str" cm="1">
        <f t="array" ref="AM1307">_xlfn.IFS(W1307=0,"No_stock",W1307=1,"Low",W1307=2,"Medium",W1307=3,"High")</f>
        <v>Low</v>
      </c>
      <c r="AN1307" t="str">
        <f t="shared" si="20"/>
        <v>Medium</v>
      </c>
    </row>
    <row r="1308" spans="1:40" x14ac:dyDescent="0.45">
      <c r="A1308">
        <v>31</v>
      </c>
      <c r="B1308" t="s">
        <v>37</v>
      </c>
      <c r="C1308" t="s">
        <v>38</v>
      </c>
      <c r="D1308">
        <v>1125</v>
      </c>
      <c r="E1308" t="s">
        <v>32</v>
      </c>
      <c r="F1308">
        <v>7</v>
      </c>
      <c r="G1308">
        <v>4</v>
      </c>
      <c r="H1308" t="s">
        <v>53</v>
      </c>
      <c r="I1308">
        <v>1833</v>
      </c>
      <c r="J1308">
        <v>1</v>
      </c>
      <c r="K1308" t="s">
        <v>34</v>
      </c>
      <c r="L1308">
        <v>3</v>
      </c>
      <c r="M1308">
        <v>3</v>
      </c>
      <c r="N1308" t="s">
        <v>35</v>
      </c>
      <c r="O1308">
        <v>1</v>
      </c>
      <c r="P1308" t="s">
        <v>42</v>
      </c>
      <c r="Q1308">
        <v>9637</v>
      </c>
      <c r="R1308">
        <v>2</v>
      </c>
      <c r="S1308" t="s">
        <v>37</v>
      </c>
      <c r="T1308">
        <v>14</v>
      </c>
      <c r="U1308">
        <v>3</v>
      </c>
      <c r="V1308">
        <v>4</v>
      </c>
      <c r="W1308">
        <v>2</v>
      </c>
      <c r="X1308">
        <v>9</v>
      </c>
      <c r="Y1308">
        <v>3</v>
      </c>
      <c r="Z1308">
        <v>3</v>
      </c>
      <c r="AA1308">
        <v>3</v>
      </c>
      <c r="AB1308">
        <v>2</v>
      </c>
      <c r="AC1308">
        <v>2</v>
      </c>
      <c r="AD1308">
        <v>2</v>
      </c>
      <c r="AE1308" t="str" cm="1">
        <f t="array" ref="AE1308">_xlfn.IFS(G1308=1,"Before College",G1308=2,"College",G1308=3,"Bachelor",G1308=4,"Master",G1308=5,"Doctor")</f>
        <v>Master</v>
      </c>
      <c r="AF1308" t="str" cm="1">
        <f t="array" ref="AF1308">_xlfn.IFS(J1308=1,"Low",J1308=2,"Medium",J1308=3,"High",J1308=4,"Very High")</f>
        <v>Low</v>
      </c>
      <c r="AG1308" t="str" cm="1">
        <f t="array" ref="AG1308">_xlfn.IFS(L1308=1,"Low",L1308=2,"Medium",L1308=3,"High",L1308=4,"Very High")</f>
        <v>High</v>
      </c>
      <c r="AH1308" t="str" cm="1">
        <f t="array" ref="AH1308">_xlfn.IFS(M1308=1,"Junior employee",M1308=2,"Mid-level",M1308=3,"Senior",M1308=4,"Manager",M1308=5,"Executive")</f>
        <v>Senior</v>
      </c>
      <c r="AI1308" t="str" cm="1">
        <f t="array" ref="AI1308">_xlfn.IFS(O1308=1,"Low",O1308=2,"Medium",O1308=3,"High",O1308=4,"Very High")</f>
        <v>Low</v>
      </c>
      <c r="AJ1308" t="str" cm="1">
        <f t="array" ref="AJ1308">_xlfn.IFS(U1308=1,"Low",U1308=2,"Good",U1308=3,"Excellent",U1308=4,"Outstanding")</f>
        <v>Excellent</v>
      </c>
      <c r="AK1308" t="str" cm="1">
        <f t="array" ref="AK1308">_xlfn.IFS(V1308=1,"Low",V1308=2,"Medium",V1308=3,"High",V1308=4,"Very High")</f>
        <v>Very High</v>
      </c>
      <c r="AL1308" t="str" cm="1">
        <f t="array" ref="AL1308">_xlfn.IFS(Z1308=1,"Bad",Z1308=2,"Good",Z1308=3,"Better",Z1308=4,"Best")</f>
        <v>Better</v>
      </c>
      <c r="AM1308" t="str" cm="1">
        <f t="array" ref="AM1308">_xlfn.IFS(W1308=0,"No_stock",W1308=1,"Low",W1308=2,"Medium",W1308=3,"High")</f>
        <v>Medium</v>
      </c>
      <c r="AN1308" t="str">
        <f t="shared" si="20"/>
        <v>Medium</v>
      </c>
    </row>
    <row r="1309" spans="1:40" x14ac:dyDescent="0.45">
      <c r="A1309">
        <v>28</v>
      </c>
      <c r="B1309" t="s">
        <v>37</v>
      </c>
      <c r="C1309" t="s">
        <v>31</v>
      </c>
      <c r="D1309">
        <v>1217</v>
      </c>
      <c r="E1309" t="s">
        <v>39</v>
      </c>
      <c r="F1309">
        <v>1</v>
      </c>
      <c r="G1309">
        <v>3</v>
      </c>
      <c r="H1309" t="s">
        <v>45</v>
      </c>
      <c r="I1309">
        <v>1834</v>
      </c>
      <c r="J1309">
        <v>3</v>
      </c>
      <c r="K1309" t="s">
        <v>34</v>
      </c>
      <c r="L1309">
        <v>3</v>
      </c>
      <c r="M1309">
        <v>1</v>
      </c>
      <c r="N1309" t="s">
        <v>41</v>
      </c>
      <c r="O1309">
        <v>1</v>
      </c>
      <c r="P1309" t="s">
        <v>42</v>
      </c>
      <c r="Q1309">
        <v>3591</v>
      </c>
      <c r="R1309">
        <v>1</v>
      </c>
      <c r="S1309" t="s">
        <v>37</v>
      </c>
      <c r="T1309">
        <v>25</v>
      </c>
      <c r="U1309">
        <v>4</v>
      </c>
      <c r="V1309">
        <v>3</v>
      </c>
      <c r="W1309">
        <v>1</v>
      </c>
      <c r="X1309">
        <v>3</v>
      </c>
      <c r="Y1309">
        <v>3</v>
      </c>
      <c r="Z1309">
        <v>3</v>
      </c>
      <c r="AA1309">
        <v>3</v>
      </c>
      <c r="AB1309">
        <v>2</v>
      </c>
      <c r="AC1309">
        <v>1</v>
      </c>
      <c r="AD1309">
        <v>2</v>
      </c>
      <c r="AE1309" t="str" cm="1">
        <f t="array" ref="AE1309">_xlfn.IFS(G1309=1,"Before College",G1309=2,"College",G1309=3,"Bachelor",G1309=4,"Master",G1309=5,"Doctor")</f>
        <v>Bachelor</v>
      </c>
      <c r="AF1309" t="str" cm="1">
        <f t="array" ref="AF1309">_xlfn.IFS(J1309=1,"Low",J1309=2,"Medium",J1309=3,"High",J1309=4,"Very High")</f>
        <v>High</v>
      </c>
      <c r="AG1309" t="str" cm="1">
        <f t="array" ref="AG1309">_xlfn.IFS(L1309=1,"Low",L1309=2,"Medium",L1309=3,"High",L1309=4,"Very High")</f>
        <v>High</v>
      </c>
      <c r="AH1309" t="str" cm="1">
        <f t="array" ref="AH1309">_xlfn.IFS(M1309=1,"Junior employee",M1309=2,"Mid-level",M1309=3,"Senior",M1309=4,"Manager",M1309=5,"Executive")</f>
        <v>Junior employee</v>
      </c>
      <c r="AI1309" t="str" cm="1">
        <f t="array" ref="AI1309">_xlfn.IFS(O1309=1,"Low",O1309=2,"Medium",O1309=3,"High",O1309=4,"Very High")</f>
        <v>Low</v>
      </c>
      <c r="AJ1309" t="str" cm="1">
        <f t="array" ref="AJ1309">_xlfn.IFS(U1309=1,"Low",U1309=2,"Good",U1309=3,"Excellent",U1309=4,"Outstanding")</f>
        <v>Outstanding</v>
      </c>
      <c r="AK1309" t="str" cm="1">
        <f t="array" ref="AK1309">_xlfn.IFS(V1309=1,"Low",V1309=2,"Medium",V1309=3,"High",V1309=4,"Very High")</f>
        <v>High</v>
      </c>
      <c r="AL1309" t="str" cm="1">
        <f t="array" ref="AL1309">_xlfn.IFS(Z1309=1,"Bad",Z1309=2,"Good",Z1309=3,"Better",Z1309=4,"Best")</f>
        <v>Better</v>
      </c>
      <c r="AM1309" t="str" cm="1">
        <f t="array" ref="AM1309">_xlfn.IFS(W1309=0,"No_stock",W1309=1,"Low",W1309=2,"Medium",W1309=3,"High")</f>
        <v>Low</v>
      </c>
      <c r="AN1309" t="str">
        <f t="shared" si="20"/>
        <v>Near</v>
      </c>
    </row>
    <row r="1310" spans="1:40" x14ac:dyDescent="0.45">
      <c r="A1310">
        <v>38</v>
      </c>
      <c r="B1310" t="s">
        <v>37</v>
      </c>
      <c r="C1310" t="s">
        <v>31</v>
      </c>
      <c r="D1310">
        <v>723</v>
      </c>
      <c r="E1310" t="s">
        <v>32</v>
      </c>
      <c r="F1310">
        <v>2</v>
      </c>
      <c r="G1310">
        <v>4</v>
      </c>
      <c r="H1310" t="s">
        <v>53</v>
      </c>
      <c r="I1310">
        <v>1835</v>
      </c>
      <c r="J1310">
        <v>2</v>
      </c>
      <c r="K1310" t="s">
        <v>34</v>
      </c>
      <c r="L1310">
        <v>1</v>
      </c>
      <c r="M1310">
        <v>2</v>
      </c>
      <c r="N1310" t="s">
        <v>51</v>
      </c>
      <c r="O1310">
        <v>4</v>
      </c>
      <c r="P1310" t="s">
        <v>42</v>
      </c>
      <c r="Q1310">
        <v>5405</v>
      </c>
      <c r="R1310">
        <v>2</v>
      </c>
      <c r="S1310" t="s">
        <v>30</v>
      </c>
      <c r="T1310">
        <v>20</v>
      </c>
      <c r="U1310">
        <v>4</v>
      </c>
      <c r="V1310">
        <v>1</v>
      </c>
      <c r="W1310">
        <v>2</v>
      </c>
      <c r="X1310">
        <v>20</v>
      </c>
      <c r="Y1310">
        <v>4</v>
      </c>
      <c r="Z1310">
        <v>2</v>
      </c>
      <c r="AA1310">
        <v>4</v>
      </c>
      <c r="AB1310">
        <v>2</v>
      </c>
      <c r="AC1310">
        <v>0</v>
      </c>
      <c r="AD1310">
        <v>3</v>
      </c>
      <c r="AE1310" t="str" cm="1">
        <f t="array" ref="AE1310">_xlfn.IFS(G1310=1,"Before College",G1310=2,"College",G1310=3,"Bachelor",G1310=4,"Master",G1310=5,"Doctor")</f>
        <v>Master</v>
      </c>
      <c r="AF1310" t="str" cm="1">
        <f t="array" ref="AF1310">_xlfn.IFS(J1310=1,"Low",J1310=2,"Medium",J1310=3,"High",J1310=4,"Very High")</f>
        <v>Medium</v>
      </c>
      <c r="AG1310" t="str" cm="1">
        <f t="array" ref="AG1310">_xlfn.IFS(L1310=1,"Low",L1310=2,"Medium",L1310=3,"High",L1310=4,"Very High")</f>
        <v>Low</v>
      </c>
      <c r="AH1310" t="str" cm="1">
        <f t="array" ref="AH1310">_xlfn.IFS(M1310=1,"Junior employee",M1310=2,"Mid-level",M1310=3,"Senior",M1310=4,"Manager",M1310=5,"Executive")</f>
        <v>Mid-level</v>
      </c>
      <c r="AI1310" t="str" cm="1">
        <f t="array" ref="AI1310">_xlfn.IFS(O1310=1,"Low",O1310=2,"Medium",O1310=3,"High",O1310=4,"Very High")</f>
        <v>Very High</v>
      </c>
      <c r="AJ1310" t="str" cm="1">
        <f t="array" ref="AJ1310">_xlfn.IFS(U1310=1,"Low",U1310=2,"Good",U1310=3,"Excellent",U1310=4,"Outstanding")</f>
        <v>Outstanding</v>
      </c>
      <c r="AK1310" t="str" cm="1">
        <f t="array" ref="AK1310">_xlfn.IFS(V1310=1,"Low",V1310=2,"Medium",V1310=3,"High",V1310=4,"Very High")</f>
        <v>Low</v>
      </c>
      <c r="AL1310" t="str" cm="1">
        <f t="array" ref="AL1310">_xlfn.IFS(Z1310=1,"Bad",Z1310=2,"Good",Z1310=3,"Better",Z1310=4,"Best")</f>
        <v>Good</v>
      </c>
      <c r="AM1310" t="str" cm="1">
        <f t="array" ref="AM1310">_xlfn.IFS(W1310=0,"No_stock",W1310=1,"Low",W1310=2,"Medium",W1310=3,"High")</f>
        <v>Medium</v>
      </c>
      <c r="AN1310" t="str">
        <f t="shared" si="20"/>
        <v>Near</v>
      </c>
    </row>
    <row r="1311" spans="1:40" x14ac:dyDescent="0.45">
      <c r="A1311">
        <v>26</v>
      </c>
      <c r="B1311" t="s">
        <v>37</v>
      </c>
      <c r="C1311" t="s">
        <v>31</v>
      </c>
      <c r="D1311">
        <v>572</v>
      </c>
      <c r="E1311" t="s">
        <v>32</v>
      </c>
      <c r="F1311">
        <v>10</v>
      </c>
      <c r="G1311">
        <v>3</v>
      </c>
      <c r="H1311" t="s">
        <v>45</v>
      </c>
      <c r="I1311">
        <v>1836</v>
      </c>
      <c r="J1311">
        <v>3</v>
      </c>
      <c r="K1311" t="s">
        <v>40</v>
      </c>
      <c r="L1311">
        <v>3</v>
      </c>
      <c r="M1311">
        <v>2</v>
      </c>
      <c r="N1311" t="s">
        <v>35</v>
      </c>
      <c r="O1311">
        <v>4</v>
      </c>
      <c r="P1311" t="s">
        <v>36</v>
      </c>
      <c r="Q1311">
        <v>4684</v>
      </c>
      <c r="R1311">
        <v>1</v>
      </c>
      <c r="S1311" t="s">
        <v>37</v>
      </c>
      <c r="T1311">
        <v>13</v>
      </c>
      <c r="U1311">
        <v>3</v>
      </c>
      <c r="V1311">
        <v>1</v>
      </c>
      <c r="W1311">
        <v>0</v>
      </c>
      <c r="X1311">
        <v>5</v>
      </c>
      <c r="Y1311">
        <v>4</v>
      </c>
      <c r="Z1311">
        <v>3</v>
      </c>
      <c r="AA1311">
        <v>5</v>
      </c>
      <c r="AB1311">
        <v>3</v>
      </c>
      <c r="AC1311">
        <v>1</v>
      </c>
      <c r="AD1311">
        <v>2</v>
      </c>
      <c r="AE1311" t="str" cm="1">
        <f t="array" ref="AE1311">_xlfn.IFS(G1311=1,"Before College",G1311=2,"College",G1311=3,"Bachelor",G1311=4,"Master",G1311=5,"Doctor")</f>
        <v>Bachelor</v>
      </c>
      <c r="AF1311" t="str" cm="1">
        <f t="array" ref="AF1311">_xlfn.IFS(J1311=1,"Low",J1311=2,"Medium",J1311=3,"High",J1311=4,"Very High")</f>
        <v>High</v>
      </c>
      <c r="AG1311" t="str" cm="1">
        <f t="array" ref="AG1311">_xlfn.IFS(L1311=1,"Low",L1311=2,"Medium",L1311=3,"High",L1311=4,"Very High")</f>
        <v>High</v>
      </c>
      <c r="AH1311" t="str" cm="1">
        <f t="array" ref="AH1311">_xlfn.IFS(M1311=1,"Junior employee",M1311=2,"Mid-level",M1311=3,"Senior",M1311=4,"Manager",M1311=5,"Executive")</f>
        <v>Mid-level</v>
      </c>
      <c r="AI1311" t="str" cm="1">
        <f t="array" ref="AI1311">_xlfn.IFS(O1311=1,"Low",O1311=2,"Medium",O1311=3,"High",O1311=4,"Very High")</f>
        <v>Very High</v>
      </c>
      <c r="AJ1311" t="str" cm="1">
        <f t="array" ref="AJ1311">_xlfn.IFS(U1311=1,"Low",U1311=2,"Good",U1311=3,"Excellent",U1311=4,"Outstanding")</f>
        <v>Excellent</v>
      </c>
      <c r="AK1311" t="str" cm="1">
        <f t="array" ref="AK1311">_xlfn.IFS(V1311=1,"Low",V1311=2,"Medium",V1311=3,"High",V1311=4,"Very High")</f>
        <v>Low</v>
      </c>
      <c r="AL1311" t="str" cm="1">
        <f t="array" ref="AL1311">_xlfn.IFS(Z1311=1,"Bad",Z1311=2,"Good",Z1311=3,"Better",Z1311=4,"Best")</f>
        <v>Better</v>
      </c>
      <c r="AM1311" t="str" cm="1">
        <f t="array" ref="AM1311">_xlfn.IFS(W1311=0,"No_stock",W1311=1,"Low",W1311=2,"Medium",W1311=3,"High")</f>
        <v>No_stock</v>
      </c>
      <c r="AN1311" t="str">
        <f t="shared" si="20"/>
        <v>Medium</v>
      </c>
    </row>
    <row r="1312" spans="1:40" x14ac:dyDescent="0.45">
      <c r="A1312">
        <v>58</v>
      </c>
      <c r="B1312" t="s">
        <v>37</v>
      </c>
      <c r="C1312" t="s">
        <v>38</v>
      </c>
      <c r="D1312">
        <v>1216</v>
      </c>
      <c r="E1312" t="s">
        <v>39</v>
      </c>
      <c r="F1312">
        <v>15</v>
      </c>
      <c r="G1312">
        <v>4</v>
      </c>
      <c r="H1312" t="s">
        <v>33</v>
      </c>
      <c r="I1312">
        <v>1837</v>
      </c>
      <c r="J1312">
        <v>1</v>
      </c>
      <c r="K1312" t="s">
        <v>40</v>
      </c>
      <c r="L1312">
        <v>3</v>
      </c>
      <c r="M1312">
        <v>4</v>
      </c>
      <c r="N1312" t="s">
        <v>52</v>
      </c>
      <c r="O1312">
        <v>3</v>
      </c>
      <c r="P1312" t="s">
        <v>42</v>
      </c>
      <c r="Q1312">
        <v>15787</v>
      </c>
      <c r="R1312">
        <v>2</v>
      </c>
      <c r="S1312" t="s">
        <v>30</v>
      </c>
      <c r="T1312">
        <v>14</v>
      </c>
      <c r="U1312">
        <v>3</v>
      </c>
      <c r="V1312">
        <v>2</v>
      </c>
      <c r="W1312">
        <v>0</v>
      </c>
      <c r="X1312">
        <v>23</v>
      </c>
      <c r="Y1312">
        <v>3</v>
      </c>
      <c r="Z1312">
        <v>3</v>
      </c>
      <c r="AA1312">
        <v>2</v>
      </c>
      <c r="AB1312">
        <v>2</v>
      </c>
      <c r="AC1312">
        <v>2</v>
      </c>
      <c r="AD1312">
        <v>2</v>
      </c>
      <c r="AE1312" t="str" cm="1">
        <f t="array" ref="AE1312">_xlfn.IFS(G1312=1,"Before College",G1312=2,"College",G1312=3,"Bachelor",G1312=4,"Master",G1312=5,"Doctor")</f>
        <v>Master</v>
      </c>
      <c r="AF1312" t="str" cm="1">
        <f t="array" ref="AF1312">_xlfn.IFS(J1312=1,"Low",J1312=2,"Medium",J1312=3,"High",J1312=4,"Very High")</f>
        <v>Low</v>
      </c>
      <c r="AG1312" t="str" cm="1">
        <f t="array" ref="AG1312">_xlfn.IFS(L1312=1,"Low",L1312=2,"Medium",L1312=3,"High",L1312=4,"Very High")</f>
        <v>High</v>
      </c>
      <c r="AH1312" t="str" cm="1">
        <f t="array" ref="AH1312">_xlfn.IFS(M1312=1,"Junior employee",M1312=2,"Mid-level",M1312=3,"Senior",M1312=4,"Manager",M1312=5,"Executive")</f>
        <v>Manager</v>
      </c>
      <c r="AI1312" t="str" cm="1">
        <f t="array" ref="AI1312">_xlfn.IFS(O1312=1,"Low",O1312=2,"Medium",O1312=3,"High",O1312=4,"Very High")</f>
        <v>High</v>
      </c>
      <c r="AJ1312" t="str" cm="1">
        <f t="array" ref="AJ1312">_xlfn.IFS(U1312=1,"Low",U1312=2,"Good",U1312=3,"Excellent",U1312=4,"Outstanding")</f>
        <v>Excellent</v>
      </c>
      <c r="AK1312" t="str" cm="1">
        <f t="array" ref="AK1312">_xlfn.IFS(V1312=1,"Low",V1312=2,"Medium",V1312=3,"High",V1312=4,"Very High")</f>
        <v>Medium</v>
      </c>
      <c r="AL1312" t="str" cm="1">
        <f t="array" ref="AL1312">_xlfn.IFS(Z1312=1,"Bad",Z1312=2,"Good",Z1312=3,"Better",Z1312=4,"Best")</f>
        <v>Better</v>
      </c>
      <c r="AM1312" t="str" cm="1">
        <f t="array" ref="AM1312">_xlfn.IFS(W1312=0,"No_stock",W1312=1,"Low",W1312=2,"Medium",W1312=3,"High")</f>
        <v>No_stock</v>
      </c>
      <c r="AN1312" t="str">
        <f t="shared" si="20"/>
        <v>Medium</v>
      </c>
    </row>
    <row r="1313" spans="1:40" x14ac:dyDescent="0.45">
      <c r="A1313">
        <v>18</v>
      </c>
      <c r="B1313" t="s">
        <v>37</v>
      </c>
      <c r="C1313" t="s">
        <v>49</v>
      </c>
      <c r="D1313">
        <v>1431</v>
      </c>
      <c r="E1313" t="s">
        <v>39</v>
      </c>
      <c r="F1313">
        <v>14</v>
      </c>
      <c r="G1313">
        <v>3</v>
      </c>
      <c r="H1313" t="s">
        <v>45</v>
      </c>
      <c r="I1313">
        <v>1839</v>
      </c>
      <c r="J1313">
        <v>2</v>
      </c>
      <c r="K1313" t="s">
        <v>34</v>
      </c>
      <c r="L1313">
        <v>3</v>
      </c>
      <c r="M1313">
        <v>1</v>
      </c>
      <c r="N1313" t="s">
        <v>41</v>
      </c>
      <c r="O1313">
        <v>3</v>
      </c>
      <c r="P1313" t="s">
        <v>36</v>
      </c>
      <c r="Q1313">
        <v>1514</v>
      </c>
      <c r="R1313">
        <v>1</v>
      </c>
      <c r="S1313" t="s">
        <v>37</v>
      </c>
      <c r="T1313">
        <v>16</v>
      </c>
      <c r="U1313">
        <v>3</v>
      </c>
      <c r="V1313">
        <v>3</v>
      </c>
      <c r="W1313">
        <v>0</v>
      </c>
      <c r="X1313">
        <v>0</v>
      </c>
      <c r="Y1313">
        <v>4</v>
      </c>
      <c r="Z1313">
        <v>1</v>
      </c>
      <c r="AA1313">
        <v>0</v>
      </c>
      <c r="AB1313">
        <v>0</v>
      </c>
      <c r="AC1313">
        <v>0</v>
      </c>
      <c r="AD1313">
        <v>0</v>
      </c>
      <c r="AE1313" t="str" cm="1">
        <f t="array" ref="AE1313">_xlfn.IFS(G1313=1,"Before College",G1313=2,"College",G1313=3,"Bachelor",G1313=4,"Master",G1313=5,"Doctor")</f>
        <v>Bachelor</v>
      </c>
      <c r="AF1313" t="str" cm="1">
        <f t="array" ref="AF1313">_xlfn.IFS(J1313=1,"Low",J1313=2,"Medium",J1313=3,"High",J1313=4,"Very High")</f>
        <v>Medium</v>
      </c>
      <c r="AG1313" t="str" cm="1">
        <f t="array" ref="AG1313">_xlfn.IFS(L1313=1,"Low",L1313=2,"Medium",L1313=3,"High",L1313=4,"Very High")</f>
        <v>High</v>
      </c>
      <c r="AH1313" t="str" cm="1">
        <f t="array" ref="AH1313">_xlfn.IFS(M1313=1,"Junior employee",M1313=2,"Mid-level",M1313=3,"Senior",M1313=4,"Manager",M1313=5,"Executive")</f>
        <v>Junior employee</v>
      </c>
      <c r="AI1313" t="str" cm="1">
        <f t="array" ref="AI1313">_xlfn.IFS(O1313=1,"Low",O1313=2,"Medium",O1313=3,"High",O1313=4,"Very High")</f>
        <v>High</v>
      </c>
      <c r="AJ1313" t="str" cm="1">
        <f t="array" ref="AJ1313">_xlfn.IFS(U1313=1,"Low",U1313=2,"Good",U1313=3,"Excellent",U1313=4,"Outstanding")</f>
        <v>Excellent</v>
      </c>
      <c r="AK1313" t="str" cm="1">
        <f t="array" ref="AK1313">_xlfn.IFS(V1313=1,"Low",V1313=2,"Medium",V1313=3,"High",V1313=4,"Very High")</f>
        <v>High</v>
      </c>
      <c r="AL1313" t="str" cm="1">
        <f t="array" ref="AL1313">_xlfn.IFS(Z1313=1,"Bad",Z1313=2,"Good",Z1313=3,"Better",Z1313=4,"Best")</f>
        <v>Bad</v>
      </c>
      <c r="AM1313" t="str" cm="1">
        <f t="array" ref="AM1313">_xlfn.IFS(W1313=0,"No_stock",W1313=1,"Low",W1313=2,"Medium",W1313=3,"High")</f>
        <v>No_stock</v>
      </c>
      <c r="AN1313" t="str">
        <f t="shared" si="20"/>
        <v>Medium</v>
      </c>
    </row>
    <row r="1314" spans="1:40" x14ac:dyDescent="0.45">
      <c r="A1314">
        <v>31</v>
      </c>
      <c r="B1314" t="s">
        <v>30</v>
      </c>
      <c r="C1314" t="s">
        <v>31</v>
      </c>
      <c r="D1314">
        <v>359</v>
      </c>
      <c r="E1314" t="s">
        <v>55</v>
      </c>
      <c r="F1314">
        <v>18</v>
      </c>
      <c r="G1314">
        <v>5</v>
      </c>
      <c r="H1314" t="s">
        <v>55</v>
      </c>
      <c r="I1314">
        <v>1842</v>
      </c>
      <c r="J1314">
        <v>4</v>
      </c>
      <c r="K1314" t="s">
        <v>40</v>
      </c>
      <c r="L1314">
        <v>4</v>
      </c>
      <c r="M1314">
        <v>1</v>
      </c>
      <c r="N1314" t="s">
        <v>55</v>
      </c>
      <c r="O1314">
        <v>1</v>
      </c>
      <c r="P1314" t="s">
        <v>42</v>
      </c>
      <c r="Q1314">
        <v>2956</v>
      </c>
      <c r="R1314">
        <v>0</v>
      </c>
      <c r="S1314" t="s">
        <v>37</v>
      </c>
      <c r="T1314">
        <v>17</v>
      </c>
      <c r="U1314">
        <v>3</v>
      </c>
      <c r="V1314">
        <v>3</v>
      </c>
      <c r="W1314">
        <v>0</v>
      </c>
      <c r="X1314">
        <v>2</v>
      </c>
      <c r="Y1314">
        <v>4</v>
      </c>
      <c r="Z1314">
        <v>3</v>
      </c>
      <c r="AA1314">
        <v>1</v>
      </c>
      <c r="AB1314">
        <v>0</v>
      </c>
      <c r="AC1314">
        <v>0</v>
      </c>
      <c r="AD1314">
        <v>0</v>
      </c>
      <c r="AE1314" t="str" cm="1">
        <f t="array" ref="AE1314">_xlfn.IFS(G1314=1,"Before College",G1314=2,"College",G1314=3,"Bachelor",G1314=4,"Master",G1314=5,"Doctor")</f>
        <v>Doctor</v>
      </c>
      <c r="AF1314" t="str" cm="1">
        <f t="array" ref="AF1314">_xlfn.IFS(J1314=1,"Low",J1314=2,"Medium",J1314=3,"High",J1314=4,"Very High")</f>
        <v>Very High</v>
      </c>
      <c r="AG1314" t="str" cm="1">
        <f t="array" ref="AG1314">_xlfn.IFS(L1314=1,"Low",L1314=2,"Medium",L1314=3,"High",L1314=4,"Very High")</f>
        <v>Very High</v>
      </c>
      <c r="AH1314" t="str" cm="1">
        <f t="array" ref="AH1314">_xlfn.IFS(M1314=1,"Junior employee",M1314=2,"Mid-level",M1314=3,"Senior",M1314=4,"Manager",M1314=5,"Executive")</f>
        <v>Junior employee</v>
      </c>
      <c r="AI1314" t="str" cm="1">
        <f t="array" ref="AI1314">_xlfn.IFS(O1314=1,"Low",O1314=2,"Medium",O1314=3,"High",O1314=4,"Very High")</f>
        <v>Low</v>
      </c>
      <c r="AJ1314" t="str" cm="1">
        <f t="array" ref="AJ1314">_xlfn.IFS(U1314=1,"Low",U1314=2,"Good",U1314=3,"Excellent",U1314=4,"Outstanding")</f>
        <v>Excellent</v>
      </c>
      <c r="AK1314" t="str" cm="1">
        <f t="array" ref="AK1314">_xlfn.IFS(V1314=1,"Low",V1314=2,"Medium",V1314=3,"High",V1314=4,"Very High")</f>
        <v>High</v>
      </c>
      <c r="AL1314" t="str" cm="1">
        <f t="array" ref="AL1314">_xlfn.IFS(Z1314=1,"Bad",Z1314=2,"Good",Z1314=3,"Better",Z1314=4,"Best")</f>
        <v>Better</v>
      </c>
      <c r="AM1314" t="str" cm="1">
        <f t="array" ref="AM1314">_xlfn.IFS(W1314=0,"No_stock",W1314=1,"Low",W1314=2,"Medium",W1314=3,"High")</f>
        <v>No_stock</v>
      </c>
      <c r="AN1314" t="str">
        <f t="shared" si="20"/>
        <v>Far</v>
      </c>
    </row>
    <row r="1315" spans="1:40" x14ac:dyDescent="0.45">
      <c r="A1315">
        <v>29</v>
      </c>
      <c r="B1315" t="s">
        <v>30</v>
      </c>
      <c r="C1315" t="s">
        <v>31</v>
      </c>
      <c r="D1315">
        <v>350</v>
      </c>
      <c r="E1315" t="s">
        <v>55</v>
      </c>
      <c r="F1315">
        <v>13</v>
      </c>
      <c r="G1315">
        <v>3</v>
      </c>
      <c r="H1315" t="s">
        <v>55</v>
      </c>
      <c r="I1315">
        <v>1844</v>
      </c>
      <c r="J1315">
        <v>1</v>
      </c>
      <c r="K1315" t="s">
        <v>40</v>
      </c>
      <c r="L1315">
        <v>2</v>
      </c>
      <c r="M1315">
        <v>1</v>
      </c>
      <c r="N1315" t="s">
        <v>55</v>
      </c>
      <c r="O1315">
        <v>1</v>
      </c>
      <c r="P1315" t="s">
        <v>46</v>
      </c>
      <c r="Q1315">
        <v>2335</v>
      </c>
      <c r="R1315">
        <v>4</v>
      </c>
      <c r="S1315" t="s">
        <v>30</v>
      </c>
      <c r="T1315">
        <v>15</v>
      </c>
      <c r="U1315">
        <v>3</v>
      </c>
      <c r="V1315">
        <v>4</v>
      </c>
      <c r="W1315">
        <v>3</v>
      </c>
      <c r="X1315">
        <v>4</v>
      </c>
      <c r="Y1315">
        <v>3</v>
      </c>
      <c r="Z1315">
        <v>3</v>
      </c>
      <c r="AA1315">
        <v>2</v>
      </c>
      <c r="AB1315">
        <v>2</v>
      </c>
      <c r="AC1315">
        <v>2</v>
      </c>
      <c r="AD1315">
        <v>0</v>
      </c>
      <c r="AE1315" t="str" cm="1">
        <f t="array" ref="AE1315">_xlfn.IFS(G1315=1,"Before College",G1315=2,"College",G1315=3,"Bachelor",G1315=4,"Master",G1315=5,"Doctor")</f>
        <v>Bachelor</v>
      </c>
      <c r="AF1315" t="str" cm="1">
        <f t="array" ref="AF1315">_xlfn.IFS(J1315=1,"Low",J1315=2,"Medium",J1315=3,"High",J1315=4,"Very High")</f>
        <v>Low</v>
      </c>
      <c r="AG1315" t="str" cm="1">
        <f t="array" ref="AG1315">_xlfn.IFS(L1315=1,"Low",L1315=2,"Medium",L1315=3,"High",L1315=4,"Very High")</f>
        <v>Medium</v>
      </c>
      <c r="AH1315" t="str" cm="1">
        <f t="array" ref="AH1315">_xlfn.IFS(M1315=1,"Junior employee",M1315=2,"Mid-level",M1315=3,"Senior",M1315=4,"Manager",M1315=5,"Executive")</f>
        <v>Junior employee</v>
      </c>
      <c r="AI1315" t="str" cm="1">
        <f t="array" ref="AI1315">_xlfn.IFS(O1315=1,"Low",O1315=2,"Medium",O1315=3,"High",O1315=4,"Very High")</f>
        <v>Low</v>
      </c>
      <c r="AJ1315" t="str" cm="1">
        <f t="array" ref="AJ1315">_xlfn.IFS(U1315=1,"Low",U1315=2,"Good",U1315=3,"Excellent",U1315=4,"Outstanding")</f>
        <v>Excellent</v>
      </c>
      <c r="AK1315" t="str" cm="1">
        <f t="array" ref="AK1315">_xlfn.IFS(V1315=1,"Low",V1315=2,"Medium",V1315=3,"High",V1315=4,"Very High")</f>
        <v>Very High</v>
      </c>
      <c r="AL1315" t="str" cm="1">
        <f t="array" ref="AL1315">_xlfn.IFS(Z1315=1,"Bad",Z1315=2,"Good",Z1315=3,"Better",Z1315=4,"Best")</f>
        <v>Better</v>
      </c>
      <c r="AM1315" t="str" cm="1">
        <f t="array" ref="AM1315">_xlfn.IFS(W1315=0,"No_stock",W1315=1,"Low",W1315=2,"Medium",W1315=3,"High")</f>
        <v>High</v>
      </c>
      <c r="AN1315" t="str">
        <f t="shared" si="20"/>
        <v>Medium</v>
      </c>
    </row>
    <row r="1316" spans="1:40" x14ac:dyDescent="0.45">
      <c r="A1316">
        <v>45</v>
      </c>
      <c r="B1316" t="s">
        <v>37</v>
      </c>
      <c r="C1316" t="s">
        <v>49</v>
      </c>
      <c r="D1316">
        <v>589</v>
      </c>
      <c r="E1316" t="s">
        <v>32</v>
      </c>
      <c r="F1316">
        <v>2</v>
      </c>
      <c r="G1316">
        <v>4</v>
      </c>
      <c r="H1316" t="s">
        <v>33</v>
      </c>
      <c r="I1316">
        <v>1845</v>
      </c>
      <c r="J1316">
        <v>3</v>
      </c>
      <c r="K1316" t="s">
        <v>34</v>
      </c>
      <c r="L1316">
        <v>3</v>
      </c>
      <c r="M1316">
        <v>2</v>
      </c>
      <c r="N1316" t="s">
        <v>35</v>
      </c>
      <c r="O1316">
        <v>3</v>
      </c>
      <c r="P1316" t="s">
        <v>42</v>
      </c>
      <c r="Q1316">
        <v>5154</v>
      </c>
      <c r="R1316">
        <v>4</v>
      </c>
      <c r="S1316" t="s">
        <v>37</v>
      </c>
      <c r="T1316">
        <v>22</v>
      </c>
      <c r="U1316">
        <v>4</v>
      </c>
      <c r="V1316">
        <v>2</v>
      </c>
      <c r="W1316">
        <v>2</v>
      </c>
      <c r="X1316">
        <v>10</v>
      </c>
      <c r="Y1316">
        <v>3</v>
      </c>
      <c r="Z1316">
        <v>4</v>
      </c>
      <c r="AA1316">
        <v>8</v>
      </c>
      <c r="AB1316">
        <v>7</v>
      </c>
      <c r="AC1316">
        <v>5</v>
      </c>
      <c r="AD1316">
        <v>7</v>
      </c>
      <c r="AE1316" t="str" cm="1">
        <f t="array" ref="AE1316">_xlfn.IFS(G1316=1,"Before College",G1316=2,"College",G1316=3,"Bachelor",G1316=4,"Master",G1316=5,"Doctor")</f>
        <v>Master</v>
      </c>
      <c r="AF1316" t="str" cm="1">
        <f t="array" ref="AF1316">_xlfn.IFS(J1316=1,"Low",J1316=2,"Medium",J1316=3,"High",J1316=4,"Very High")</f>
        <v>High</v>
      </c>
      <c r="AG1316" t="str" cm="1">
        <f t="array" ref="AG1316">_xlfn.IFS(L1316=1,"Low",L1316=2,"Medium",L1316=3,"High",L1316=4,"Very High")</f>
        <v>High</v>
      </c>
      <c r="AH1316" t="str" cm="1">
        <f t="array" ref="AH1316">_xlfn.IFS(M1316=1,"Junior employee",M1316=2,"Mid-level",M1316=3,"Senior",M1316=4,"Manager",M1316=5,"Executive")</f>
        <v>Mid-level</v>
      </c>
      <c r="AI1316" t="str" cm="1">
        <f t="array" ref="AI1316">_xlfn.IFS(O1316=1,"Low",O1316=2,"Medium",O1316=3,"High",O1316=4,"Very High")</f>
        <v>High</v>
      </c>
      <c r="AJ1316" t="str" cm="1">
        <f t="array" ref="AJ1316">_xlfn.IFS(U1316=1,"Low",U1316=2,"Good",U1316=3,"Excellent",U1316=4,"Outstanding")</f>
        <v>Outstanding</v>
      </c>
      <c r="AK1316" t="str" cm="1">
        <f t="array" ref="AK1316">_xlfn.IFS(V1316=1,"Low",V1316=2,"Medium",V1316=3,"High",V1316=4,"Very High")</f>
        <v>Medium</v>
      </c>
      <c r="AL1316" t="str" cm="1">
        <f t="array" ref="AL1316">_xlfn.IFS(Z1316=1,"Bad",Z1316=2,"Good",Z1316=3,"Better",Z1316=4,"Best")</f>
        <v>Best</v>
      </c>
      <c r="AM1316" t="str" cm="1">
        <f t="array" ref="AM1316">_xlfn.IFS(W1316=0,"No_stock",W1316=1,"Low",W1316=2,"Medium",W1316=3,"High")</f>
        <v>Medium</v>
      </c>
      <c r="AN1316" t="str">
        <f t="shared" si="20"/>
        <v>Near</v>
      </c>
    </row>
    <row r="1317" spans="1:40" x14ac:dyDescent="0.45">
      <c r="A1317">
        <v>36</v>
      </c>
      <c r="B1317" t="s">
        <v>37</v>
      </c>
      <c r="C1317" t="s">
        <v>31</v>
      </c>
      <c r="D1317">
        <v>430</v>
      </c>
      <c r="E1317" t="s">
        <v>39</v>
      </c>
      <c r="F1317">
        <v>2</v>
      </c>
      <c r="G1317">
        <v>4</v>
      </c>
      <c r="H1317" t="s">
        <v>43</v>
      </c>
      <c r="I1317">
        <v>1847</v>
      </c>
      <c r="J1317">
        <v>4</v>
      </c>
      <c r="K1317" t="s">
        <v>34</v>
      </c>
      <c r="L1317">
        <v>3</v>
      </c>
      <c r="M1317">
        <v>2</v>
      </c>
      <c r="N1317" t="s">
        <v>41</v>
      </c>
      <c r="O1317">
        <v>2</v>
      </c>
      <c r="P1317" t="s">
        <v>42</v>
      </c>
      <c r="Q1317">
        <v>6962</v>
      </c>
      <c r="R1317">
        <v>4</v>
      </c>
      <c r="S1317" t="s">
        <v>30</v>
      </c>
      <c r="T1317">
        <v>22</v>
      </c>
      <c r="U1317">
        <v>4</v>
      </c>
      <c r="V1317">
        <v>4</v>
      </c>
      <c r="W1317">
        <v>1</v>
      </c>
      <c r="X1317">
        <v>15</v>
      </c>
      <c r="Y1317">
        <v>2</v>
      </c>
      <c r="Z1317">
        <v>3</v>
      </c>
      <c r="AA1317">
        <v>1</v>
      </c>
      <c r="AB1317">
        <v>0</v>
      </c>
      <c r="AC1317">
        <v>0</v>
      </c>
      <c r="AD1317">
        <v>0</v>
      </c>
      <c r="AE1317" t="str" cm="1">
        <f t="array" ref="AE1317">_xlfn.IFS(G1317=1,"Before College",G1317=2,"College",G1317=3,"Bachelor",G1317=4,"Master",G1317=5,"Doctor")</f>
        <v>Master</v>
      </c>
      <c r="AF1317" t="str" cm="1">
        <f t="array" ref="AF1317">_xlfn.IFS(J1317=1,"Low",J1317=2,"Medium",J1317=3,"High",J1317=4,"Very High")</f>
        <v>Very High</v>
      </c>
      <c r="AG1317" t="str" cm="1">
        <f t="array" ref="AG1317">_xlfn.IFS(L1317=1,"Low",L1317=2,"Medium",L1317=3,"High",L1317=4,"Very High")</f>
        <v>High</v>
      </c>
      <c r="AH1317" t="str" cm="1">
        <f t="array" ref="AH1317">_xlfn.IFS(M1317=1,"Junior employee",M1317=2,"Mid-level",M1317=3,"Senior",M1317=4,"Manager",M1317=5,"Executive")</f>
        <v>Mid-level</v>
      </c>
      <c r="AI1317" t="str" cm="1">
        <f t="array" ref="AI1317">_xlfn.IFS(O1317=1,"Low",O1317=2,"Medium",O1317=3,"High",O1317=4,"Very High")</f>
        <v>Medium</v>
      </c>
      <c r="AJ1317" t="str" cm="1">
        <f t="array" ref="AJ1317">_xlfn.IFS(U1317=1,"Low",U1317=2,"Good",U1317=3,"Excellent",U1317=4,"Outstanding")</f>
        <v>Outstanding</v>
      </c>
      <c r="AK1317" t="str" cm="1">
        <f t="array" ref="AK1317">_xlfn.IFS(V1317=1,"Low",V1317=2,"Medium",V1317=3,"High",V1317=4,"Very High")</f>
        <v>Very High</v>
      </c>
      <c r="AL1317" t="str" cm="1">
        <f t="array" ref="AL1317">_xlfn.IFS(Z1317=1,"Bad",Z1317=2,"Good",Z1317=3,"Better",Z1317=4,"Best")</f>
        <v>Better</v>
      </c>
      <c r="AM1317" t="str" cm="1">
        <f t="array" ref="AM1317">_xlfn.IFS(W1317=0,"No_stock",W1317=1,"Low",W1317=2,"Medium",W1317=3,"High")</f>
        <v>Low</v>
      </c>
      <c r="AN1317" t="str">
        <f t="shared" si="20"/>
        <v>Near</v>
      </c>
    </row>
    <row r="1318" spans="1:40" x14ac:dyDescent="0.45">
      <c r="A1318">
        <v>43</v>
      </c>
      <c r="B1318" t="s">
        <v>37</v>
      </c>
      <c r="C1318" t="s">
        <v>38</v>
      </c>
      <c r="D1318">
        <v>1422</v>
      </c>
      <c r="E1318" t="s">
        <v>32</v>
      </c>
      <c r="F1318">
        <v>2</v>
      </c>
      <c r="G1318">
        <v>4</v>
      </c>
      <c r="H1318" t="s">
        <v>33</v>
      </c>
      <c r="I1318">
        <v>1849</v>
      </c>
      <c r="J1318">
        <v>1</v>
      </c>
      <c r="K1318" t="s">
        <v>40</v>
      </c>
      <c r="L1318">
        <v>3</v>
      </c>
      <c r="M1318">
        <v>2</v>
      </c>
      <c r="N1318" t="s">
        <v>35</v>
      </c>
      <c r="O1318">
        <v>4</v>
      </c>
      <c r="P1318" t="s">
        <v>42</v>
      </c>
      <c r="Q1318">
        <v>5675</v>
      </c>
      <c r="R1318">
        <v>1</v>
      </c>
      <c r="S1318" t="s">
        <v>37</v>
      </c>
      <c r="T1318">
        <v>20</v>
      </c>
      <c r="U1318">
        <v>4</v>
      </c>
      <c r="V1318">
        <v>3</v>
      </c>
      <c r="W1318">
        <v>1</v>
      </c>
      <c r="X1318">
        <v>7</v>
      </c>
      <c r="Y1318">
        <v>5</v>
      </c>
      <c r="Z1318">
        <v>3</v>
      </c>
      <c r="AA1318">
        <v>7</v>
      </c>
      <c r="AB1318">
        <v>7</v>
      </c>
      <c r="AC1318">
        <v>7</v>
      </c>
      <c r="AD1318">
        <v>7</v>
      </c>
      <c r="AE1318" t="str" cm="1">
        <f t="array" ref="AE1318">_xlfn.IFS(G1318=1,"Before College",G1318=2,"College",G1318=3,"Bachelor",G1318=4,"Master",G1318=5,"Doctor")</f>
        <v>Master</v>
      </c>
      <c r="AF1318" t="str" cm="1">
        <f t="array" ref="AF1318">_xlfn.IFS(J1318=1,"Low",J1318=2,"Medium",J1318=3,"High",J1318=4,"Very High")</f>
        <v>Low</v>
      </c>
      <c r="AG1318" t="str" cm="1">
        <f t="array" ref="AG1318">_xlfn.IFS(L1318=1,"Low",L1318=2,"Medium",L1318=3,"High",L1318=4,"Very High")</f>
        <v>High</v>
      </c>
      <c r="AH1318" t="str" cm="1">
        <f t="array" ref="AH1318">_xlfn.IFS(M1318=1,"Junior employee",M1318=2,"Mid-level",M1318=3,"Senior",M1318=4,"Manager",M1318=5,"Executive")</f>
        <v>Mid-level</v>
      </c>
      <c r="AI1318" t="str" cm="1">
        <f t="array" ref="AI1318">_xlfn.IFS(O1318=1,"Low",O1318=2,"Medium",O1318=3,"High",O1318=4,"Very High")</f>
        <v>Very High</v>
      </c>
      <c r="AJ1318" t="str" cm="1">
        <f t="array" ref="AJ1318">_xlfn.IFS(U1318=1,"Low",U1318=2,"Good",U1318=3,"Excellent",U1318=4,"Outstanding")</f>
        <v>Outstanding</v>
      </c>
      <c r="AK1318" t="str" cm="1">
        <f t="array" ref="AK1318">_xlfn.IFS(V1318=1,"Low",V1318=2,"Medium",V1318=3,"High",V1318=4,"Very High")</f>
        <v>High</v>
      </c>
      <c r="AL1318" t="str" cm="1">
        <f t="array" ref="AL1318">_xlfn.IFS(Z1318=1,"Bad",Z1318=2,"Good",Z1318=3,"Better",Z1318=4,"Best")</f>
        <v>Better</v>
      </c>
      <c r="AM1318" t="str" cm="1">
        <f t="array" ref="AM1318">_xlfn.IFS(W1318=0,"No_stock",W1318=1,"Low",W1318=2,"Medium",W1318=3,"High")</f>
        <v>Low</v>
      </c>
      <c r="AN1318" t="str">
        <f t="shared" si="20"/>
        <v>Near</v>
      </c>
    </row>
    <row r="1319" spans="1:40" x14ac:dyDescent="0.45">
      <c r="A1319">
        <v>27</v>
      </c>
      <c r="B1319" t="s">
        <v>37</v>
      </c>
      <c r="C1319" t="s">
        <v>38</v>
      </c>
      <c r="D1319">
        <v>1297</v>
      </c>
      <c r="E1319" t="s">
        <v>39</v>
      </c>
      <c r="F1319">
        <v>5</v>
      </c>
      <c r="G1319">
        <v>2</v>
      </c>
      <c r="H1319" t="s">
        <v>33</v>
      </c>
      <c r="I1319">
        <v>1850</v>
      </c>
      <c r="J1319">
        <v>4</v>
      </c>
      <c r="K1319" t="s">
        <v>34</v>
      </c>
      <c r="L1319">
        <v>3</v>
      </c>
      <c r="M1319">
        <v>1</v>
      </c>
      <c r="N1319" t="s">
        <v>44</v>
      </c>
      <c r="O1319">
        <v>4</v>
      </c>
      <c r="P1319" t="s">
        <v>36</v>
      </c>
      <c r="Q1319">
        <v>2379</v>
      </c>
      <c r="R1319">
        <v>0</v>
      </c>
      <c r="S1319" t="s">
        <v>30</v>
      </c>
      <c r="T1319">
        <v>14</v>
      </c>
      <c r="U1319">
        <v>3</v>
      </c>
      <c r="V1319">
        <v>3</v>
      </c>
      <c r="W1319">
        <v>0</v>
      </c>
      <c r="X1319">
        <v>6</v>
      </c>
      <c r="Y1319">
        <v>3</v>
      </c>
      <c r="Z1319">
        <v>2</v>
      </c>
      <c r="AA1319">
        <v>5</v>
      </c>
      <c r="AB1319">
        <v>4</v>
      </c>
      <c r="AC1319">
        <v>0</v>
      </c>
      <c r="AD1319">
        <v>2</v>
      </c>
      <c r="AE1319" t="str" cm="1">
        <f t="array" ref="AE1319">_xlfn.IFS(G1319=1,"Before College",G1319=2,"College",G1319=3,"Bachelor",G1319=4,"Master",G1319=5,"Doctor")</f>
        <v>College</v>
      </c>
      <c r="AF1319" t="str" cm="1">
        <f t="array" ref="AF1319">_xlfn.IFS(J1319=1,"Low",J1319=2,"Medium",J1319=3,"High",J1319=4,"Very High")</f>
        <v>Very High</v>
      </c>
      <c r="AG1319" t="str" cm="1">
        <f t="array" ref="AG1319">_xlfn.IFS(L1319=1,"Low",L1319=2,"Medium",L1319=3,"High",L1319=4,"Very High")</f>
        <v>High</v>
      </c>
      <c r="AH1319" t="str" cm="1">
        <f t="array" ref="AH1319">_xlfn.IFS(M1319=1,"Junior employee",M1319=2,"Mid-level",M1319=3,"Senior",M1319=4,"Manager",M1319=5,"Executive")</f>
        <v>Junior employee</v>
      </c>
      <c r="AI1319" t="str" cm="1">
        <f t="array" ref="AI1319">_xlfn.IFS(O1319=1,"Low",O1319=2,"Medium",O1319=3,"High",O1319=4,"Very High")</f>
        <v>Very High</v>
      </c>
      <c r="AJ1319" t="str" cm="1">
        <f t="array" ref="AJ1319">_xlfn.IFS(U1319=1,"Low",U1319=2,"Good",U1319=3,"Excellent",U1319=4,"Outstanding")</f>
        <v>Excellent</v>
      </c>
      <c r="AK1319" t="str" cm="1">
        <f t="array" ref="AK1319">_xlfn.IFS(V1319=1,"Low",V1319=2,"Medium",V1319=3,"High",V1319=4,"Very High")</f>
        <v>High</v>
      </c>
      <c r="AL1319" t="str" cm="1">
        <f t="array" ref="AL1319">_xlfn.IFS(Z1319=1,"Bad",Z1319=2,"Good",Z1319=3,"Better",Z1319=4,"Best")</f>
        <v>Good</v>
      </c>
      <c r="AM1319" t="str" cm="1">
        <f t="array" ref="AM1319">_xlfn.IFS(W1319=0,"No_stock",W1319=1,"Low",W1319=2,"Medium",W1319=3,"High")</f>
        <v>No_stock</v>
      </c>
      <c r="AN1319" t="str">
        <f t="shared" si="20"/>
        <v>Near</v>
      </c>
    </row>
    <row r="1320" spans="1:40" x14ac:dyDescent="0.45">
      <c r="A1320">
        <v>29</v>
      </c>
      <c r="B1320" t="s">
        <v>37</v>
      </c>
      <c r="C1320" t="s">
        <v>38</v>
      </c>
      <c r="D1320">
        <v>574</v>
      </c>
      <c r="E1320" t="s">
        <v>39</v>
      </c>
      <c r="F1320">
        <v>20</v>
      </c>
      <c r="G1320">
        <v>1</v>
      </c>
      <c r="H1320" t="s">
        <v>45</v>
      </c>
      <c r="I1320">
        <v>1852</v>
      </c>
      <c r="J1320">
        <v>4</v>
      </c>
      <c r="K1320" t="s">
        <v>40</v>
      </c>
      <c r="L1320">
        <v>3</v>
      </c>
      <c r="M1320">
        <v>1</v>
      </c>
      <c r="N1320" t="s">
        <v>44</v>
      </c>
      <c r="O1320">
        <v>4</v>
      </c>
      <c r="P1320" t="s">
        <v>42</v>
      </c>
      <c r="Q1320">
        <v>3812</v>
      </c>
      <c r="R1320">
        <v>1</v>
      </c>
      <c r="S1320" t="s">
        <v>37</v>
      </c>
      <c r="T1320">
        <v>13</v>
      </c>
      <c r="U1320">
        <v>3</v>
      </c>
      <c r="V1320">
        <v>2</v>
      </c>
      <c r="W1320">
        <v>0</v>
      </c>
      <c r="X1320">
        <v>11</v>
      </c>
      <c r="Y1320">
        <v>3</v>
      </c>
      <c r="Z1320">
        <v>4</v>
      </c>
      <c r="AA1320">
        <v>11</v>
      </c>
      <c r="AB1320">
        <v>8</v>
      </c>
      <c r="AC1320">
        <v>3</v>
      </c>
      <c r="AD1320">
        <v>10</v>
      </c>
      <c r="AE1320" t="str" cm="1">
        <f t="array" ref="AE1320">_xlfn.IFS(G1320=1,"Before College",G1320=2,"College",G1320=3,"Bachelor",G1320=4,"Master",G1320=5,"Doctor")</f>
        <v>Before College</v>
      </c>
      <c r="AF1320" t="str" cm="1">
        <f t="array" ref="AF1320">_xlfn.IFS(J1320=1,"Low",J1320=2,"Medium",J1320=3,"High",J1320=4,"Very High")</f>
        <v>Very High</v>
      </c>
      <c r="AG1320" t="str" cm="1">
        <f t="array" ref="AG1320">_xlfn.IFS(L1320=1,"Low",L1320=2,"Medium",L1320=3,"High",L1320=4,"Very High")</f>
        <v>High</v>
      </c>
      <c r="AH1320" t="str" cm="1">
        <f t="array" ref="AH1320">_xlfn.IFS(M1320=1,"Junior employee",M1320=2,"Mid-level",M1320=3,"Senior",M1320=4,"Manager",M1320=5,"Executive")</f>
        <v>Junior employee</v>
      </c>
      <c r="AI1320" t="str" cm="1">
        <f t="array" ref="AI1320">_xlfn.IFS(O1320=1,"Low",O1320=2,"Medium",O1320=3,"High",O1320=4,"Very High")</f>
        <v>Very High</v>
      </c>
      <c r="AJ1320" t="str" cm="1">
        <f t="array" ref="AJ1320">_xlfn.IFS(U1320=1,"Low",U1320=2,"Good",U1320=3,"Excellent",U1320=4,"Outstanding")</f>
        <v>Excellent</v>
      </c>
      <c r="AK1320" t="str" cm="1">
        <f t="array" ref="AK1320">_xlfn.IFS(V1320=1,"Low",V1320=2,"Medium",V1320=3,"High",V1320=4,"Very High")</f>
        <v>Medium</v>
      </c>
      <c r="AL1320" t="str" cm="1">
        <f t="array" ref="AL1320">_xlfn.IFS(Z1320=1,"Bad",Z1320=2,"Good",Z1320=3,"Better",Z1320=4,"Best")</f>
        <v>Best</v>
      </c>
      <c r="AM1320" t="str" cm="1">
        <f t="array" ref="AM1320">_xlfn.IFS(W1320=0,"No_stock",W1320=1,"Low",W1320=2,"Medium",W1320=3,"High")</f>
        <v>No_stock</v>
      </c>
      <c r="AN1320" t="str">
        <f t="shared" si="20"/>
        <v>Far</v>
      </c>
    </row>
    <row r="1321" spans="1:40" x14ac:dyDescent="0.45">
      <c r="A1321">
        <v>32</v>
      </c>
      <c r="B1321" t="s">
        <v>37</v>
      </c>
      <c r="C1321" t="s">
        <v>38</v>
      </c>
      <c r="D1321">
        <v>1318</v>
      </c>
      <c r="E1321" t="s">
        <v>32</v>
      </c>
      <c r="F1321">
        <v>10</v>
      </c>
      <c r="G1321">
        <v>4</v>
      </c>
      <c r="H1321" t="s">
        <v>53</v>
      </c>
      <c r="I1321">
        <v>1853</v>
      </c>
      <c r="J1321">
        <v>4</v>
      </c>
      <c r="K1321" t="s">
        <v>40</v>
      </c>
      <c r="L1321">
        <v>3</v>
      </c>
      <c r="M1321">
        <v>2</v>
      </c>
      <c r="N1321" t="s">
        <v>35</v>
      </c>
      <c r="O1321">
        <v>4</v>
      </c>
      <c r="P1321" t="s">
        <v>36</v>
      </c>
      <c r="Q1321">
        <v>4648</v>
      </c>
      <c r="R1321">
        <v>8</v>
      </c>
      <c r="S1321" t="s">
        <v>37</v>
      </c>
      <c r="T1321">
        <v>13</v>
      </c>
      <c r="U1321">
        <v>3</v>
      </c>
      <c r="V1321">
        <v>3</v>
      </c>
      <c r="W1321">
        <v>0</v>
      </c>
      <c r="X1321">
        <v>4</v>
      </c>
      <c r="Y1321">
        <v>2</v>
      </c>
      <c r="Z1321">
        <v>4</v>
      </c>
      <c r="AA1321">
        <v>0</v>
      </c>
      <c r="AB1321">
        <v>0</v>
      </c>
      <c r="AC1321">
        <v>0</v>
      </c>
      <c r="AD1321">
        <v>0</v>
      </c>
      <c r="AE1321" t="str" cm="1">
        <f t="array" ref="AE1321">_xlfn.IFS(G1321=1,"Before College",G1321=2,"College",G1321=3,"Bachelor",G1321=4,"Master",G1321=5,"Doctor")</f>
        <v>Master</v>
      </c>
      <c r="AF1321" t="str" cm="1">
        <f t="array" ref="AF1321">_xlfn.IFS(J1321=1,"Low",J1321=2,"Medium",J1321=3,"High",J1321=4,"Very High")</f>
        <v>Very High</v>
      </c>
      <c r="AG1321" t="str" cm="1">
        <f t="array" ref="AG1321">_xlfn.IFS(L1321=1,"Low",L1321=2,"Medium",L1321=3,"High",L1321=4,"Very High")</f>
        <v>High</v>
      </c>
      <c r="AH1321" t="str" cm="1">
        <f t="array" ref="AH1321">_xlfn.IFS(M1321=1,"Junior employee",M1321=2,"Mid-level",M1321=3,"Senior",M1321=4,"Manager",M1321=5,"Executive")</f>
        <v>Mid-level</v>
      </c>
      <c r="AI1321" t="str" cm="1">
        <f t="array" ref="AI1321">_xlfn.IFS(O1321=1,"Low",O1321=2,"Medium",O1321=3,"High",O1321=4,"Very High")</f>
        <v>Very High</v>
      </c>
      <c r="AJ1321" t="str" cm="1">
        <f t="array" ref="AJ1321">_xlfn.IFS(U1321=1,"Low",U1321=2,"Good",U1321=3,"Excellent",U1321=4,"Outstanding")</f>
        <v>Excellent</v>
      </c>
      <c r="AK1321" t="str" cm="1">
        <f t="array" ref="AK1321">_xlfn.IFS(V1321=1,"Low",V1321=2,"Medium",V1321=3,"High",V1321=4,"Very High")</f>
        <v>High</v>
      </c>
      <c r="AL1321" t="str" cm="1">
        <f t="array" ref="AL1321">_xlfn.IFS(Z1321=1,"Bad",Z1321=2,"Good",Z1321=3,"Better",Z1321=4,"Best")</f>
        <v>Best</v>
      </c>
      <c r="AM1321" t="str" cm="1">
        <f t="array" ref="AM1321">_xlfn.IFS(W1321=0,"No_stock",W1321=1,"Low",W1321=2,"Medium",W1321=3,"High")</f>
        <v>No_stock</v>
      </c>
      <c r="AN1321" t="str">
        <f t="shared" si="20"/>
        <v>Medium</v>
      </c>
    </row>
    <row r="1322" spans="1:40" x14ac:dyDescent="0.45">
      <c r="A1322">
        <v>42</v>
      </c>
      <c r="B1322" t="s">
        <v>37</v>
      </c>
      <c r="C1322" t="s">
        <v>49</v>
      </c>
      <c r="D1322">
        <v>355</v>
      </c>
      <c r="E1322" t="s">
        <v>39</v>
      </c>
      <c r="F1322">
        <v>10</v>
      </c>
      <c r="G1322">
        <v>4</v>
      </c>
      <c r="H1322" t="s">
        <v>54</v>
      </c>
      <c r="I1322">
        <v>1854</v>
      </c>
      <c r="J1322">
        <v>3</v>
      </c>
      <c r="K1322" t="s">
        <v>40</v>
      </c>
      <c r="L1322">
        <v>3</v>
      </c>
      <c r="M1322">
        <v>1</v>
      </c>
      <c r="N1322" t="s">
        <v>41</v>
      </c>
      <c r="O1322">
        <v>3</v>
      </c>
      <c r="P1322" t="s">
        <v>42</v>
      </c>
      <c r="Q1322">
        <v>2936</v>
      </c>
      <c r="R1322">
        <v>3</v>
      </c>
      <c r="S1322" t="s">
        <v>37</v>
      </c>
      <c r="T1322">
        <v>22</v>
      </c>
      <c r="U1322">
        <v>4</v>
      </c>
      <c r="V1322">
        <v>2</v>
      </c>
      <c r="W1322">
        <v>2</v>
      </c>
      <c r="X1322">
        <v>10</v>
      </c>
      <c r="Y1322">
        <v>1</v>
      </c>
      <c r="Z1322">
        <v>2</v>
      </c>
      <c r="AA1322">
        <v>6</v>
      </c>
      <c r="AB1322">
        <v>3</v>
      </c>
      <c r="AC1322">
        <v>3</v>
      </c>
      <c r="AD1322">
        <v>3</v>
      </c>
      <c r="AE1322" t="str" cm="1">
        <f t="array" ref="AE1322">_xlfn.IFS(G1322=1,"Before College",G1322=2,"College",G1322=3,"Bachelor",G1322=4,"Master",G1322=5,"Doctor")</f>
        <v>Master</v>
      </c>
      <c r="AF1322" t="str" cm="1">
        <f t="array" ref="AF1322">_xlfn.IFS(J1322=1,"Low",J1322=2,"Medium",J1322=3,"High",J1322=4,"Very High")</f>
        <v>High</v>
      </c>
      <c r="AG1322" t="str" cm="1">
        <f t="array" ref="AG1322">_xlfn.IFS(L1322=1,"Low",L1322=2,"Medium",L1322=3,"High",L1322=4,"Very High")</f>
        <v>High</v>
      </c>
      <c r="AH1322" t="str" cm="1">
        <f t="array" ref="AH1322">_xlfn.IFS(M1322=1,"Junior employee",M1322=2,"Mid-level",M1322=3,"Senior",M1322=4,"Manager",M1322=5,"Executive")</f>
        <v>Junior employee</v>
      </c>
      <c r="AI1322" t="str" cm="1">
        <f t="array" ref="AI1322">_xlfn.IFS(O1322=1,"Low",O1322=2,"Medium",O1322=3,"High",O1322=4,"Very High")</f>
        <v>High</v>
      </c>
      <c r="AJ1322" t="str" cm="1">
        <f t="array" ref="AJ1322">_xlfn.IFS(U1322=1,"Low",U1322=2,"Good",U1322=3,"Excellent",U1322=4,"Outstanding")</f>
        <v>Outstanding</v>
      </c>
      <c r="AK1322" t="str" cm="1">
        <f t="array" ref="AK1322">_xlfn.IFS(V1322=1,"Low",V1322=2,"Medium",V1322=3,"High",V1322=4,"Very High")</f>
        <v>Medium</v>
      </c>
      <c r="AL1322" t="str" cm="1">
        <f t="array" ref="AL1322">_xlfn.IFS(Z1322=1,"Bad",Z1322=2,"Good",Z1322=3,"Better",Z1322=4,"Best")</f>
        <v>Good</v>
      </c>
      <c r="AM1322" t="str" cm="1">
        <f t="array" ref="AM1322">_xlfn.IFS(W1322=0,"No_stock",W1322=1,"Low",W1322=2,"Medium",W1322=3,"High")</f>
        <v>Medium</v>
      </c>
      <c r="AN1322" t="str">
        <f t="shared" si="20"/>
        <v>Medium</v>
      </c>
    </row>
    <row r="1323" spans="1:40" x14ac:dyDescent="0.45">
      <c r="A1323">
        <v>47</v>
      </c>
      <c r="B1323" t="s">
        <v>37</v>
      </c>
      <c r="C1323" t="s">
        <v>31</v>
      </c>
      <c r="D1323">
        <v>207</v>
      </c>
      <c r="E1323" t="s">
        <v>39</v>
      </c>
      <c r="F1323">
        <v>9</v>
      </c>
      <c r="G1323">
        <v>4</v>
      </c>
      <c r="H1323" t="s">
        <v>33</v>
      </c>
      <c r="I1323">
        <v>1856</v>
      </c>
      <c r="J1323">
        <v>2</v>
      </c>
      <c r="K1323" t="s">
        <v>34</v>
      </c>
      <c r="L1323">
        <v>3</v>
      </c>
      <c r="M1323">
        <v>1</v>
      </c>
      <c r="N1323" t="s">
        <v>44</v>
      </c>
      <c r="O1323">
        <v>3</v>
      </c>
      <c r="P1323" t="s">
        <v>36</v>
      </c>
      <c r="Q1323">
        <v>2105</v>
      </c>
      <c r="R1323">
        <v>4</v>
      </c>
      <c r="S1323" t="s">
        <v>37</v>
      </c>
      <c r="T1323">
        <v>12</v>
      </c>
      <c r="U1323">
        <v>3</v>
      </c>
      <c r="V1323">
        <v>3</v>
      </c>
      <c r="W1323">
        <v>0</v>
      </c>
      <c r="X1323">
        <v>7</v>
      </c>
      <c r="Y1323">
        <v>2</v>
      </c>
      <c r="Z1323">
        <v>3</v>
      </c>
      <c r="AA1323">
        <v>2</v>
      </c>
      <c r="AB1323">
        <v>2</v>
      </c>
      <c r="AC1323">
        <v>2</v>
      </c>
      <c r="AD1323">
        <v>0</v>
      </c>
      <c r="AE1323" t="str" cm="1">
        <f t="array" ref="AE1323">_xlfn.IFS(G1323=1,"Before College",G1323=2,"College",G1323=3,"Bachelor",G1323=4,"Master",G1323=5,"Doctor")</f>
        <v>Master</v>
      </c>
      <c r="AF1323" t="str" cm="1">
        <f t="array" ref="AF1323">_xlfn.IFS(J1323=1,"Low",J1323=2,"Medium",J1323=3,"High",J1323=4,"Very High")</f>
        <v>Medium</v>
      </c>
      <c r="AG1323" t="str" cm="1">
        <f t="array" ref="AG1323">_xlfn.IFS(L1323=1,"Low",L1323=2,"Medium",L1323=3,"High",L1323=4,"Very High")</f>
        <v>High</v>
      </c>
      <c r="AH1323" t="str" cm="1">
        <f t="array" ref="AH1323">_xlfn.IFS(M1323=1,"Junior employee",M1323=2,"Mid-level",M1323=3,"Senior",M1323=4,"Manager",M1323=5,"Executive")</f>
        <v>Junior employee</v>
      </c>
      <c r="AI1323" t="str" cm="1">
        <f t="array" ref="AI1323">_xlfn.IFS(O1323=1,"Low",O1323=2,"Medium",O1323=3,"High",O1323=4,"Very High")</f>
        <v>High</v>
      </c>
      <c r="AJ1323" t="str" cm="1">
        <f t="array" ref="AJ1323">_xlfn.IFS(U1323=1,"Low",U1323=2,"Good",U1323=3,"Excellent",U1323=4,"Outstanding")</f>
        <v>Excellent</v>
      </c>
      <c r="AK1323" t="str" cm="1">
        <f t="array" ref="AK1323">_xlfn.IFS(V1323=1,"Low",V1323=2,"Medium",V1323=3,"High",V1323=4,"Very High")</f>
        <v>High</v>
      </c>
      <c r="AL1323" t="str" cm="1">
        <f t="array" ref="AL1323">_xlfn.IFS(Z1323=1,"Bad",Z1323=2,"Good",Z1323=3,"Better",Z1323=4,"Best")</f>
        <v>Better</v>
      </c>
      <c r="AM1323" t="str" cm="1">
        <f t="array" ref="AM1323">_xlfn.IFS(W1323=0,"No_stock",W1323=1,"Low",W1323=2,"Medium",W1323=3,"High")</f>
        <v>No_stock</v>
      </c>
      <c r="AN1323" t="str">
        <f t="shared" si="20"/>
        <v>Medium</v>
      </c>
    </row>
    <row r="1324" spans="1:40" x14ac:dyDescent="0.45">
      <c r="A1324">
        <v>46</v>
      </c>
      <c r="B1324" t="s">
        <v>37</v>
      </c>
      <c r="C1324" t="s">
        <v>31</v>
      </c>
      <c r="D1324">
        <v>706</v>
      </c>
      <c r="E1324" t="s">
        <v>39</v>
      </c>
      <c r="F1324">
        <v>2</v>
      </c>
      <c r="G1324">
        <v>2</v>
      </c>
      <c r="H1324" t="s">
        <v>33</v>
      </c>
      <c r="I1324">
        <v>1857</v>
      </c>
      <c r="J1324">
        <v>4</v>
      </c>
      <c r="K1324" t="s">
        <v>40</v>
      </c>
      <c r="L1324">
        <v>3</v>
      </c>
      <c r="M1324">
        <v>3</v>
      </c>
      <c r="N1324" t="s">
        <v>47</v>
      </c>
      <c r="O1324">
        <v>4</v>
      </c>
      <c r="P1324" t="s">
        <v>46</v>
      </c>
      <c r="Q1324">
        <v>8578</v>
      </c>
      <c r="R1324">
        <v>3</v>
      </c>
      <c r="S1324" t="s">
        <v>37</v>
      </c>
      <c r="T1324">
        <v>14</v>
      </c>
      <c r="U1324">
        <v>3</v>
      </c>
      <c r="V1324">
        <v>3</v>
      </c>
      <c r="W1324">
        <v>1</v>
      </c>
      <c r="X1324">
        <v>12</v>
      </c>
      <c r="Y1324">
        <v>4</v>
      </c>
      <c r="Z1324">
        <v>2</v>
      </c>
      <c r="AA1324">
        <v>9</v>
      </c>
      <c r="AB1324">
        <v>8</v>
      </c>
      <c r="AC1324">
        <v>4</v>
      </c>
      <c r="AD1324">
        <v>7</v>
      </c>
      <c r="AE1324" t="str" cm="1">
        <f t="array" ref="AE1324">_xlfn.IFS(G1324=1,"Before College",G1324=2,"College",G1324=3,"Bachelor",G1324=4,"Master",G1324=5,"Doctor")</f>
        <v>College</v>
      </c>
      <c r="AF1324" t="str" cm="1">
        <f t="array" ref="AF1324">_xlfn.IFS(J1324=1,"Low",J1324=2,"Medium",J1324=3,"High",J1324=4,"Very High")</f>
        <v>Very High</v>
      </c>
      <c r="AG1324" t="str" cm="1">
        <f t="array" ref="AG1324">_xlfn.IFS(L1324=1,"Low",L1324=2,"Medium",L1324=3,"High",L1324=4,"Very High")</f>
        <v>High</v>
      </c>
      <c r="AH1324" t="str" cm="1">
        <f t="array" ref="AH1324">_xlfn.IFS(M1324=1,"Junior employee",M1324=2,"Mid-level",M1324=3,"Senior",M1324=4,"Manager",M1324=5,"Executive")</f>
        <v>Senior</v>
      </c>
      <c r="AI1324" t="str" cm="1">
        <f t="array" ref="AI1324">_xlfn.IFS(O1324=1,"Low",O1324=2,"Medium",O1324=3,"High",O1324=4,"Very High")</f>
        <v>Very High</v>
      </c>
      <c r="AJ1324" t="str" cm="1">
        <f t="array" ref="AJ1324">_xlfn.IFS(U1324=1,"Low",U1324=2,"Good",U1324=3,"Excellent",U1324=4,"Outstanding")</f>
        <v>Excellent</v>
      </c>
      <c r="AK1324" t="str" cm="1">
        <f t="array" ref="AK1324">_xlfn.IFS(V1324=1,"Low",V1324=2,"Medium",V1324=3,"High",V1324=4,"Very High")</f>
        <v>High</v>
      </c>
      <c r="AL1324" t="str" cm="1">
        <f t="array" ref="AL1324">_xlfn.IFS(Z1324=1,"Bad",Z1324=2,"Good",Z1324=3,"Better",Z1324=4,"Best")</f>
        <v>Good</v>
      </c>
      <c r="AM1324" t="str" cm="1">
        <f t="array" ref="AM1324">_xlfn.IFS(W1324=0,"No_stock",W1324=1,"Low",W1324=2,"Medium",W1324=3,"High")</f>
        <v>Low</v>
      </c>
      <c r="AN1324" t="str">
        <f t="shared" si="20"/>
        <v>Near</v>
      </c>
    </row>
    <row r="1325" spans="1:40" x14ac:dyDescent="0.45">
      <c r="A1325">
        <v>28</v>
      </c>
      <c r="B1325" t="s">
        <v>37</v>
      </c>
      <c r="C1325" t="s">
        <v>49</v>
      </c>
      <c r="D1325">
        <v>280</v>
      </c>
      <c r="E1325" t="s">
        <v>55</v>
      </c>
      <c r="F1325">
        <v>1</v>
      </c>
      <c r="G1325">
        <v>2</v>
      </c>
      <c r="H1325" t="s">
        <v>33</v>
      </c>
      <c r="I1325">
        <v>1858</v>
      </c>
      <c r="J1325">
        <v>3</v>
      </c>
      <c r="K1325" t="s">
        <v>40</v>
      </c>
      <c r="L1325">
        <v>3</v>
      </c>
      <c r="M1325">
        <v>1</v>
      </c>
      <c r="N1325" t="s">
        <v>55</v>
      </c>
      <c r="O1325">
        <v>4</v>
      </c>
      <c r="P1325" t="s">
        <v>46</v>
      </c>
      <c r="Q1325">
        <v>2706</v>
      </c>
      <c r="R1325">
        <v>1</v>
      </c>
      <c r="S1325" t="s">
        <v>37</v>
      </c>
      <c r="T1325">
        <v>15</v>
      </c>
      <c r="U1325">
        <v>3</v>
      </c>
      <c r="V1325">
        <v>2</v>
      </c>
      <c r="W1325">
        <v>1</v>
      </c>
      <c r="X1325">
        <v>3</v>
      </c>
      <c r="Y1325">
        <v>2</v>
      </c>
      <c r="Z1325">
        <v>3</v>
      </c>
      <c r="AA1325">
        <v>3</v>
      </c>
      <c r="AB1325">
        <v>2</v>
      </c>
      <c r="AC1325">
        <v>2</v>
      </c>
      <c r="AD1325">
        <v>2</v>
      </c>
      <c r="AE1325" t="str" cm="1">
        <f t="array" ref="AE1325">_xlfn.IFS(G1325=1,"Before College",G1325=2,"College",G1325=3,"Bachelor",G1325=4,"Master",G1325=5,"Doctor")</f>
        <v>College</v>
      </c>
      <c r="AF1325" t="str" cm="1">
        <f t="array" ref="AF1325">_xlfn.IFS(J1325=1,"Low",J1325=2,"Medium",J1325=3,"High",J1325=4,"Very High")</f>
        <v>High</v>
      </c>
      <c r="AG1325" t="str" cm="1">
        <f t="array" ref="AG1325">_xlfn.IFS(L1325=1,"Low",L1325=2,"Medium",L1325=3,"High",L1325=4,"Very High")</f>
        <v>High</v>
      </c>
      <c r="AH1325" t="str" cm="1">
        <f t="array" ref="AH1325">_xlfn.IFS(M1325=1,"Junior employee",M1325=2,"Mid-level",M1325=3,"Senior",M1325=4,"Manager",M1325=5,"Executive")</f>
        <v>Junior employee</v>
      </c>
      <c r="AI1325" t="str" cm="1">
        <f t="array" ref="AI1325">_xlfn.IFS(O1325=1,"Low",O1325=2,"Medium",O1325=3,"High",O1325=4,"Very High")</f>
        <v>Very High</v>
      </c>
      <c r="AJ1325" t="str" cm="1">
        <f t="array" ref="AJ1325">_xlfn.IFS(U1325=1,"Low",U1325=2,"Good",U1325=3,"Excellent",U1325=4,"Outstanding")</f>
        <v>Excellent</v>
      </c>
      <c r="AK1325" t="str" cm="1">
        <f t="array" ref="AK1325">_xlfn.IFS(V1325=1,"Low",V1325=2,"Medium",V1325=3,"High",V1325=4,"Very High")</f>
        <v>Medium</v>
      </c>
      <c r="AL1325" t="str" cm="1">
        <f t="array" ref="AL1325">_xlfn.IFS(Z1325=1,"Bad",Z1325=2,"Good",Z1325=3,"Better",Z1325=4,"Best")</f>
        <v>Better</v>
      </c>
      <c r="AM1325" t="str" cm="1">
        <f t="array" ref="AM1325">_xlfn.IFS(W1325=0,"No_stock",W1325=1,"Low",W1325=2,"Medium",W1325=3,"High")</f>
        <v>Low</v>
      </c>
      <c r="AN1325" t="str">
        <f t="shared" si="20"/>
        <v>Near</v>
      </c>
    </row>
    <row r="1326" spans="1:40" x14ac:dyDescent="0.45">
      <c r="A1326">
        <v>29</v>
      </c>
      <c r="B1326" t="s">
        <v>37</v>
      </c>
      <c r="C1326" t="s">
        <v>31</v>
      </c>
      <c r="D1326">
        <v>726</v>
      </c>
      <c r="E1326" t="s">
        <v>39</v>
      </c>
      <c r="F1326">
        <v>29</v>
      </c>
      <c r="G1326">
        <v>1</v>
      </c>
      <c r="H1326" t="s">
        <v>33</v>
      </c>
      <c r="I1326">
        <v>1859</v>
      </c>
      <c r="J1326">
        <v>4</v>
      </c>
      <c r="K1326" t="s">
        <v>40</v>
      </c>
      <c r="L1326">
        <v>1</v>
      </c>
      <c r="M1326">
        <v>2</v>
      </c>
      <c r="N1326" t="s">
        <v>48</v>
      </c>
      <c r="O1326">
        <v>3</v>
      </c>
      <c r="P1326" t="s">
        <v>46</v>
      </c>
      <c r="Q1326">
        <v>6384</v>
      </c>
      <c r="R1326">
        <v>8</v>
      </c>
      <c r="S1326" t="s">
        <v>37</v>
      </c>
      <c r="T1326">
        <v>17</v>
      </c>
      <c r="U1326">
        <v>3</v>
      </c>
      <c r="V1326">
        <v>4</v>
      </c>
      <c r="W1326">
        <v>2</v>
      </c>
      <c r="X1326">
        <v>11</v>
      </c>
      <c r="Y1326">
        <v>3</v>
      </c>
      <c r="Z1326">
        <v>3</v>
      </c>
      <c r="AA1326">
        <v>7</v>
      </c>
      <c r="AB1326">
        <v>0</v>
      </c>
      <c r="AC1326">
        <v>1</v>
      </c>
      <c r="AD1326">
        <v>6</v>
      </c>
      <c r="AE1326" t="str" cm="1">
        <f t="array" ref="AE1326">_xlfn.IFS(G1326=1,"Before College",G1326=2,"College",G1326=3,"Bachelor",G1326=4,"Master",G1326=5,"Doctor")</f>
        <v>Before College</v>
      </c>
      <c r="AF1326" t="str" cm="1">
        <f t="array" ref="AF1326">_xlfn.IFS(J1326=1,"Low",J1326=2,"Medium",J1326=3,"High",J1326=4,"Very High")</f>
        <v>Very High</v>
      </c>
      <c r="AG1326" t="str" cm="1">
        <f t="array" ref="AG1326">_xlfn.IFS(L1326=1,"Low",L1326=2,"Medium",L1326=3,"High",L1326=4,"Very High")</f>
        <v>Low</v>
      </c>
      <c r="AH1326" t="str" cm="1">
        <f t="array" ref="AH1326">_xlfn.IFS(M1326=1,"Junior employee",M1326=2,"Mid-level",M1326=3,"Senior",M1326=4,"Manager",M1326=5,"Executive")</f>
        <v>Mid-level</v>
      </c>
      <c r="AI1326" t="str" cm="1">
        <f t="array" ref="AI1326">_xlfn.IFS(O1326=1,"Low",O1326=2,"Medium",O1326=3,"High",O1326=4,"Very High")</f>
        <v>High</v>
      </c>
      <c r="AJ1326" t="str" cm="1">
        <f t="array" ref="AJ1326">_xlfn.IFS(U1326=1,"Low",U1326=2,"Good",U1326=3,"Excellent",U1326=4,"Outstanding")</f>
        <v>Excellent</v>
      </c>
      <c r="AK1326" t="str" cm="1">
        <f t="array" ref="AK1326">_xlfn.IFS(V1326=1,"Low",V1326=2,"Medium",V1326=3,"High",V1326=4,"Very High")</f>
        <v>Very High</v>
      </c>
      <c r="AL1326" t="str" cm="1">
        <f t="array" ref="AL1326">_xlfn.IFS(Z1326=1,"Bad",Z1326=2,"Good",Z1326=3,"Better",Z1326=4,"Best")</f>
        <v>Better</v>
      </c>
      <c r="AM1326" t="str" cm="1">
        <f t="array" ref="AM1326">_xlfn.IFS(W1326=0,"No_stock",W1326=1,"Low",W1326=2,"Medium",W1326=3,"High")</f>
        <v>Medium</v>
      </c>
      <c r="AN1326" t="str">
        <f t="shared" si="20"/>
        <v>Far</v>
      </c>
    </row>
    <row r="1327" spans="1:40" x14ac:dyDescent="0.45">
      <c r="A1327">
        <v>42</v>
      </c>
      <c r="B1327" t="s">
        <v>37</v>
      </c>
      <c r="C1327" t="s">
        <v>31</v>
      </c>
      <c r="D1327">
        <v>1142</v>
      </c>
      <c r="E1327" t="s">
        <v>39</v>
      </c>
      <c r="F1327">
        <v>8</v>
      </c>
      <c r="G1327">
        <v>3</v>
      </c>
      <c r="H1327" t="s">
        <v>33</v>
      </c>
      <c r="I1327">
        <v>1860</v>
      </c>
      <c r="J1327">
        <v>4</v>
      </c>
      <c r="K1327" t="s">
        <v>40</v>
      </c>
      <c r="L1327">
        <v>3</v>
      </c>
      <c r="M1327">
        <v>1</v>
      </c>
      <c r="N1327" t="s">
        <v>44</v>
      </c>
      <c r="O1327">
        <v>3</v>
      </c>
      <c r="P1327" t="s">
        <v>36</v>
      </c>
      <c r="Q1327">
        <v>3968</v>
      </c>
      <c r="R1327">
        <v>4</v>
      </c>
      <c r="S1327" t="s">
        <v>37</v>
      </c>
      <c r="T1327">
        <v>13</v>
      </c>
      <c r="U1327">
        <v>3</v>
      </c>
      <c r="V1327">
        <v>4</v>
      </c>
      <c r="W1327">
        <v>0</v>
      </c>
      <c r="X1327">
        <v>8</v>
      </c>
      <c r="Y1327">
        <v>3</v>
      </c>
      <c r="Z1327">
        <v>3</v>
      </c>
      <c r="AA1327">
        <v>0</v>
      </c>
      <c r="AB1327">
        <v>0</v>
      </c>
      <c r="AC1327">
        <v>0</v>
      </c>
      <c r="AD1327">
        <v>0</v>
      </c>
      <c r="AE1327" t="str" cm="1">
        <f t="array" ref="AE1327">_xlfn.IFS(G1327=1,"Before College",G1327=2,"College",G1327=3,"Bachelor",G1327=4,"Master",G1327=5,"Doctor")</f>
        <v>Bachelor</v>
      </c>
      <c r="AF1327" t="str" cm="1">
        <f t="array" ref="AF1327">_xlfn.IFS(J1327=1,"Low",J1327=2,"Medium",J1327=3,"High",J1327=4,"Very High")</f>
        <v>Very High</v>
      </c>
      <c r="AG1327" t="str" cm="1">
        <f t="array" ref="AG1327">_xlfn.IFS(L1327=1,"Low",L1327=2,"Medium",L1327=3,"High",L1327=4,"Very High")</f>
        <v>High</v>
      </c>
      <c r="AH1327" t="str" cm="1">
        <f t="array" ref="AH1327">_xlfn.IFS(M1327=1,"Junior employee",M1327=2,"Mid-level",M1327=3,"Senior",M1327=4,"Manager",M1327=5,"Executive")</f>
        <v>Junior employee</v>
      </c>
      <c r="AI1327" t="str" cm="1">
        <f t="array" ref="AI1327">_xlfn.IFS(O1327=1,"Low",O1327=2,"Medium",O1327=3,"High",O1327=4,"Very High")</f>
        <v>High</v>
      </c>
      <c r="AJ1327" t="str" cm="1">
        <f t="array" ref="AJ1327">_xlfn.IFS(U1327=1,"Low",U1327=2,"Good",U1327=3,"Excellent",U1327=4,"Outstanding")</f>
        <v>Excellent</v>
      </c>
      <c r="AK1327" t="str" cm="1">
        <f t="array" ref="AK1327">_xlfn.IFS(V1327=1,"Low",V1327=2,"Medium",V1327=3,"High",V1327=4,"Very High")</f>
        <v>Very High</v>
      </c>
      <c r="AL1327" t="str" cm="1">
        <f t="array" ref="AL1327">_xlfn.IFS(Z1327=1,"Bad",Z1327=2,"Good",Z1327=3,"Better",Z1327=4,"Best")</f>
        <v>Better</v>
      </c>
      <c r="AM1327" t="str" cm="1">
        <f t="array" ref="AM1327">_xlfn.IFS(W1327=0,"No_stock",W1327=1,"Low",W1327=2,"Medium",W1327=3,"High")</f>
        <v>No_stock</v>
      </c>
      <c r="AN1327" t="str">
        <f t="shared" si="20"/>
        <v>Medium</v>
      </c>
    </row>
    <row r="1328" spans="1:40" x14ac:dyDescent="0.45">
      <c r="A1328">
        <v>32</v>
      </c>
      <c r="B1328" t="s">
        <v>30</v>
      </c>
      <c r="C1328" t="s">
        <v>31</v>
      </c>
      <c r="D1328">
        <v>414</v>
      </c>
      <c r="E1328" t="s">
        <v>32</v>
      </c>
      <c r="F1328">
        <v>2</v>
      </c>
      <c r="G1328">
        <v>4</v>
      </c>
      <c r="H1328" t="s">
        <v>53</v>
      </c>
      <c r="I1328">
        <v>1862</v>
      </c>
      <c r="J1328">
        <v>3</v>
      </c>
      <c r="K1328" t="s">
        <v>40</v>
      </c>
      <c r="L1328">
        <v>2</v>
      </c>
      <c r="M1328">
        <v>2</v>
      </c>
      <c r="N1328" t="s">
        <v>35</v>
      </c>
      <c r="O1328">
        <v>2</v>
      </c>
      <c r="P1328" t="s">
        <v>36</v>
      </c>
      <c r="Q1328">
        <v>9907</v>
      </c>
      <c r="R1328">
        <v>7</v>
      </c>
      <c r="S1328" t="s">
        <v>30</v>
      </c>
      <c r="T1328">
        <v>12</v>
      </c>
      <c r="U1328">
        <v>3</v>
      </c>
      <c r="V1328">
        <v>3</v>
      </c>
      <c r="W1328">
        <v>0</v>
      </c>
      <c r="X1328">
        <v>7</v>
      </c>
      <c r="Y1328">
        <v>3</v>
      </c>
      <c r="Z1328">
        <v>2</v>
      </c>
      <c r="AA1328">
        <v>2</v>
      </c>
      <c r="AB1328">
        <v>2</v>
      </c>
      <c r="AC1328">
        <v>2</v>
      </c>
      <c r="AD1328">
        <v>2</v>
      </c>
      <c r="AE1328" t="str" cm="1">
        <f t="array" ref="AE1328">_xlfn.IFS(G1328=1,"Before College",G1328=2,"College",G1328=3,"Bachelor",G1328=4,"Master",G1328=5,"Doctor")</f>
        <v>Master</v>
      </c>
      <c r="AF1328" t="str" cm="1">
        <f t="array" ref="AF1328">_xlfn.IFS(J1328=1,"Low",J1328=2,"Medium",J1328=3,"High",J1328=4,"Very High")</f>
        <v>High</v>
      </c>
      <c r="AG1328" t="str" cm="1">
        <f t="array" ref="AG1328">_xlfn.IFS(L1328=1,"Low",L1328=2,"Medium",L1328=3,"High",L1328=4,"Very High")</f>
        <v>Medium</v>
      </c>
      <c r="AH1328" t="str" cm="1">
        <f t="array" ref="AH1328">_xlfn.IFS(M1328=1,"Junior employee",M1328=2,"Mid-level",M1328=3,"Senior",M1328=4,"Manager",M1328=5,"Executive")</f>
        <v>Mid-level</v>
      </c>
      <c r="AI1328" t="str" cm="1">
        <f t="array" ref="AI1328">_xlfn.IFS(O1328=1,"Low",O1328=2,"Medium",O1328=3,"High",O1328=4,"Very High")</f>
        <v>Medium</v>
      </c>
      <c r="AJ1328" t="str" cm="1">
        <f t="array" ref="AJ1328">_xlfn.IFS(U1328=1,"Low",U1328=2,"Good",U1328=3,"Excellent",U1328=4,"Outstanding")</f>
        <v>Excellent</v>
      </c>
      <c r="AK1328" t="str" cm="1">
        <f t="array" ref="AK1328">_xlfn.IFS(V1328=1,"Low",V1328=2,"Medium",V1328=3,"High",V1328=4,"Very High")</f>
        <v>High</v>
      </c>
      <c r="AL1328" t="str" cm="1">
        <f t="array" ref="AL1328">_xlfn.IFS(Z1328=1,"Bad",Z1328=2,"Good",Z1328=3,"Better",Z1328=4,"Best")</f>
        <v>Good</v>
      </c>
      <c r="AM1328" t="str" cm="1">
        <f t="array" ref="AM1328">_xlfn.IFS(W1328=0,"No_stock",W1328=1,"Low",W1328=2,"Medium",W1328=3,"High")</f>
        <v>No_stock</v>
      </c>
      <c r="AN1328" t="str">
        <f t="shared" si="20"/>
        <v>Near</v>
      </c>
    </row>
    <row r="1329" spans="1:40" x14ac:dyDescent="0.45">
      <c r="A1329">
        <v>46</v>
      </c>
      <c r="B1329" t="s">
        <v>37</v>
      </c>
      <c r="C1329" t="s">
        <v>31</v>
      </c>
      <c r="D1329">
        <v>1319</v>
      </c>
      <c r="E1329" t="s">
        <v>32</v>
      </c>
      <c r="F1329">
        <v>3</v>
      </c>
      <c r="G1329">
        <v>3</v>
      </c>
      <c r="H1329" t="s">
        <v>54</v>
      </c>
      <c r="I1329">
        <v>1863</v>
      </c>
      <c r="J1329">
        <v>1</v>
      </c>
      <c r="K1329" t="s">
        <v>34</v>
      </c>
      <c r="L1329">
        <v>4</v>
      </c>
      <c r="M1329">
        <v>4</v>
      </c>
      <c r="N1329" t="s">
        <v>35</v>
      </c>
      <c r="O1329">
        <v>1</v>
      </c>
      <c r="P1329" t="s">
        <v>46</v>
      </c>
      <c r="Q1329">
        <v>13225</v>
      </c>
      <c r="R1329">
        <v>2</v>
      </c>
      <c r="S1329" t="s">
        <v>37</v>
      </c>
      <c r="T1329">
        <v>12</v>
      </c>
      <c r="U1329">
        <v>3</v>
      </c>
      <c r="V1329">
        <v>4</v>
      </c>
      <c r="W1329">
        <v>1</v>
      </c>
      <c r="X1329">
        <v>25</v>
      </c>
      <c r="Y1329">
        <v>5</v>
      </c>
      <c r="Z1329">
        <v>3</v>
      </c>
      <c r="AA1329">
        <v>19</v>
      </c>
      <c r="AB1329">
        <v>17</v>
      </c>
      <c r="AC1329">
        <v>2</v>
      </c>
      <c r="AD1329">
        <v>8</v>
      </c>
      <c r="AE1329" t="str" cm="1">
        <f t="array" ref="AE1329">_xlfn.IFS(G1329=1,"Before College",G1329=2,"College",G1329=3,"Bachelor",G1329=4,"Master",G1329=5,"Doctor")</f>
        <v>Bachelor</v>
      </c>
      <c r="AF1329" t="str" cm="1">
        <f t="array" ref="AF1329">_xlfn.IFS(J1329=1,"Low",J1329=2,"Medium",J1329=3,"High",J1329=4,"Very High")</f>
        <v>Low</v>
      </c>
      <c r="AG1329" t="str" cm="1">
        <f t="array" ref="AG1329">_xlfn.IFS(L1329=1,"Low",L1329=2,"Medium",L1329=3,"High",L1329=4,"Very High")</f>
        <v>Very High</v>
      </c>
      <c r="AH1329" t="str" cm="1">
        <f t="array" ref="AH1329">_xlfn.IFS(M1329=1,"Junior employee",M1329=2,"Mid-level",M1329=3,"Senior",M1329=4,"Manager",M1329=5,"Executive")</f>
        <v>Manager</v>
      </c>
      <c r="AI1329" t="str" cm="1">
        <f t="array" ref="AI1329">_xlfn.IFS(O1329=1,"Low",O1329=2,"Medium",O1329=3,"High",O1329=4,"Very High")</f>
        <v>Low</v>
      </c>
      <c r="AJ1329" t="str" cm="1">
        <f t="array" ref="AJ1329">_xlfn.IFS(U1329=1,"Low",U1329=2,"Good",U1329=3,"Excellent",U1329=4,"Outstanding")</f>
        <v>Excellent</v>
      </c>
      <c r="AK1329" t="str" cm="1">
        <f t="array" ref="AK1329">_xlfn.IFS(V1329=1,"Low",V1329=2,"Medium",V1329=3,"High",V1329=4,"Very High")</f>
        <v>Very High</v>
      </c>
      <c r="AL1329" t="str" cm="1">
        <f t="array" ref="AL1329">_xlfn.IFS(Z1329=1,"Bad",Z1329=2,"Good",Z1329=3,"Better",Z1329=4,"Best")</f>
        <v>Better</v>
      </c>
      <c r="AM1329" t="str" cm="1">
        <f t="array" ref="AM1329">_xlfn.IFS(W1329=0,"No_stock",W1329=1,"Low",W1329=2,"Medium",W1329=3,"High")</f>
        <v>Low</v>
      </c>
      <c r="AN1329" t="str">
        <f t="shared" si="20"/>
        <v>Near</v>
      </c>
    </row>
    <row r="1330" spans="1:40" x14ac:dyDescent="0.45">
      <c r="A1330">
        <v>27</v>
      </c>
      <c r="B1330" t="s">
        <v>37</v>
      </c>
      <c r="C1330" t="s">
        <v>31</v>
      </c>
      <c r="D1330">
        <v>728</v>
      </c>
      <c r="E1330" t="s">
        <v>32</v>
      </c>
      <c r="F1330">
        <v>23</v>
      </c>
      <c r="G1330">
        <v>1</v>
      </c>
      <c r="H1330" t="s">
        <v>45</v>
      </c>
      <c r="I1330">
        <v>1864</v>
      </c>
      <c r="J1330">
        <v>2</v>
      </c>
      <c r="K1330" t="s">
        <v>34</v>
      </c>
      <c r="L1330">
        <v>2</v>
      </c>
      <c r="M1330">
        <v>2</v>
      </c>
      <c r="N1330" t="s">
        <v>51</v>
      </c>
      <c r="O1330">
        <v>3</v>
      </c>
      <c r="P1330" t="s">
        <v>42</v>
      </c>
      <c r="Q1330">
        <v>3540</v>
      </c>
      <c r="R1330">
        <v>1</v>
      </c>
      <c r="S1330" t="s">
        <v>37</v>
      </c>
      <c r="T1330">
        <v>21</v>
      </c>
      <c r="U1330">
        <v>4</v>
      </c>
      <c r="V1330">
        <v>4</v>
      </c>
      <c r="W1330">
        <v>1</v>
      </c>
      <c r="X1330">
        <v>9</v>
      </c>
      <c r="Y1330">
        <v>5</v>
      </c>
      <c r="Z1330">
        <v>3</v>
      </c>
      <c r="AA1330">
        <v>9</v>
      </c>
      <c r="AB1330">
        <v>8</v>
      </c>
      <c r="AC1330">
        <v>5</v>
      </c>
      <c r="AD1330">
        <v>8</v>
      </c>
      <c r="AE1330" t="str" cm="1">
        <f t="array" ref="AE1330">_xlfn.IFS(G1330=1,"Before College",G1330=2,"College",G1330=3,"Bachelor",G1330=4,"Master",G1330=5,"Doctor")</f>
        <v>Before College</v>
      </c>
      <c r="AF1330" t="str" cm="1">
        <f t="array" ref="AF1330">_xlfn.IFS(J1330=1,"Low",J1330=2,"Medium",J1330=3,"High",J1330=4,"Very High")</f>
        <v>Medium</v>
      </c>
      <c r="AG1330" t="str" cm="1">
        <f t="array" ref="AG1330">_xlfn.IFS(L1330=1,"Low",L1330=2,"Medium",L1330=3,"High",L1330=4,"Very High")</f>
        <v>Medium</v>
      </c>
      <c r="AH1330" t="str" cm="1">
        <f t="array" ref="AH1330">_xlfn.IFS(M1330=1,"Junior employee",M1330=2,"Mid-level",M1330=3,"Senior",M1330=4,"Manager",M1330=5,"Executive")</f>
        <v>Mid-level</v>
      </c>
      <c r="AI1330" t="str" cm="1">
        <f t="array" ref="AI1330">_xlfn.IFS(O1330=1,"Low",O1330=2,"Medium",O1330=3,"High",O1330=4,"Very High")</f>
        <v>High</v>
      </c>
      <c r="AJ1330" t="str" cm="1">
        <f t="array" ref="AJ1330">_xlfn.IFS(U1330=1,"Low",U1330=2,"Good",U1330=3,"Excellent",U1330=4,"Outstanding")</f>
        <v>Outstanding</v>
      </c>
      <c r="AK1330" t="str" cm="1">
        <f t="array" ref="AK1330">_xlfn.IFS(V1330=1,"Low",V1330=2,"Medium",V1330=3,"High",V1330=4,"Very High")</f>
        <v>Very High</v>
      </c>
      <c r="AL1330" t="str" cm="1">
        <f t="array" ref="AL1330">_xlfn.IFS(Z1330=1,"Bad",Z1330=2,"Good",Z1330=3,"Better",Z1330=4,"Best")</f>
        <v>Better</v>
      </c>
      <c r="AM1330" t="str" cm="1">
        <f t="array" ref="AM1330">_xlfn.IFS(W1330=0,"No_stock",W1330=1,"Low",W1330=2,"Medium",W1330=3,"High")</f>
        <v>Low</v>
      </c>
      <c r="AN1330" t="str">
        <f t="shared" si="20"/>
        <v>Far</v>
      </c>
    </row>
    <row r="1331" spans="1:40" x14ac:dyDescent="0.45">
      <c r="A1331">
        <v>29</v>
      </c>
      <c r="B1331" t="s">
        <v>37</v>
      </c>
      <c r="C1331" t="s">
        <v>31</v>
      </c>
      <c r="D1331">
        <v>352</v>
      </c>
      <c r="E1331" t="s">
        <v>55</v>
      </c>
      <c r="F1331">
        <v>6</v>
      </c>
      <c r="G1331">
        <v>1</v>
      </c>
      <c r="H1331" t="s">
        <v>45</v>
      </c>
      <c r="I1331">
        <v>1865</v>
      </c>
      <c r="J1331">
        <v>4</v>
      </c>
      <c r="K1331" t="s">
        <v>40</v>
      </c>
      <c r="L1331">
        <v>2</v>
      </c>
      <c r="M1331">
        <v>1</v>
      </c>
      <c r="N1331" t="s">
        <v>55</v>
      </c>
      <c r="O1331">
        <v>2</v>
      </c>
      <c r="P1331" t="s">
        <v>42</v>
      </c>
      <c r="Q1331">
        <v>2804</v>
      </c>
      <c r="R1331">
        <v>1</v>
      </c>
      <c r="S1331" t="s">
        <v>37</v>
      </c>
      <c r="T1331">
        <v>11</v>
      </c>
      <c r="U1331">
        <v>3</v>
      </c>
      <c r="V1331">
        <v>4</v>
      </c>
      <c r="W1331">
        <v>0</v>
      </c>
      <c r="X1331">
        <v>1</v>
      </c>
      <c r="Y1331">
        <v>3</v>
      </c>
      <c r="Z1331">
        <v>3</v>
      </c>
      <c r="AA1331">
        <v>1</v>
      </c>
      <c r="AB1331">
        <v>0</v>
      </c>
      <c r="AC1331">
        <v>0</v>
      </c>
      <c r="AD1331">
        <v>0</v>
      </c>
      <c r="AE1331" t="str" cm="1">
        <f t="array" ref="AE1331">_xlfn.IFS(G1331=1,"Before College",G1331=2,"College",G1331=3,"Bachelor",G1331=4,"Master",G1331=5,"Doctor")</f>
        <v>Before College</v>
      </c>
      <c r="AF1331" t="str" cm="1">
        <f t="array" ref="AF1331">_xlfn.IFS(J1331=1,"Low",J1331=2,"Medium",J1331=3,"High",J1331=4,"Very High")</f>
        <v>Very High</v>
      </c>
      <c r="AG1331" t="str" cm="1">
        <f t="array" ref="AG1331">_xlfn.IFS(L1331=1,"Low",L1331=2,"Medium",L1331=3,"High",L1331=4,"Very High")</f>
        <v>Medium</v>
      </c>
      <c r="AH1331" t="str" cm="1">
        <f t="array" ref="AH1331">_xlfn.IFS(M1331=1,"Junior employee",M1331=2,"Mid-level",M1331=3,"Senior",M1331=4,"Manager",M1331=5,"Executive")</f>
        <v>Junior employee</v>
      </c>
      <c r="AI1331" t="str" cm="1">
        <f t="array" ref="AI1331">_xlfn.IFS(O1331=1,"Low",O1331=2,"Medium",O1331=3,"High",O1331=4,"Very High")</f>
        <v>Medium</v>
      </c>
      <c r="AJ1331" t="str" cm="1">
        <f t="array" ref="AJ1331">_xlfn.IFS(U1331=1,"Low",U1331=2,"Good",U1331=3,"Excellent",U1331=4,"Outstanding")</f>
        <v>Excellent</v>
      </c>
      <c r="AK1331" t="str" cm="1">
        <f t="array" ref="AK1331">_xlfn.IFS(V1331=1,"Low",V1331=2,"Medium",V1331=3,"High",V1331=4,"Very High")</f>
        <v>Very High</v>
      </c>
      <c r="AL1331" t="str" cm="1">
        <f t="array" ref="AL1331">_xlfn.IFS(Z1331=1,"Bad",Z1331=2,"Good",Z1331=3,"Better",Z1331=4,"Best")</f>
        <v>Better</v>
      </c>
      <c r="AM1331" t="str" cm="1">
        <f t="array" ref="AM1331">_xlfn.IFS(W1331=0,"No_stock",W1331=1,"Low",W1331=2,"Medium",W1331=3,"High")</f>
        <v>No_stock</v>
      </c>
      <c r="AN1331" t="str">
        <f t="shared" si="20"/>
        <v>Medium</v>
      </c>
    </row>
    <row r="1332" spans="1:40" x14ac:dyDescent="0.45">
      <c r="A1332">
        <v>43</v>
      </c>
      <c r="B1332" t="s">
        <v>37</v>
      </c>
      <c r="C1332" t="s">
        <v>31</v>
      </c>
      <c r="D1332">
        <v>823</v>
      </c>
      <c r="E1332" t="s">
        <v>39</v>
      </c>
      <c r="F1332">
        <v>6</v>
      </c>
      <c r="G1332">
        <v>3</v>
      </c>
      <c r="H1332" t="s">
        <v>45</v>
      </c>
      <c r="I1332">
        <v>1866</v>
      </c>
      <c r="J1332">
        <v>1</v>
      </c>
      <c r="K1332" t="s">
        <v>34</v>
      </c>
      <c r="L1332">
        <v>2</v>
      </c>
      <c r="M1332">
        <v>5</v>
      </c>
      <c r="N1332" t="s">
        <v>50</v>
      </c>
      <c r="O1332">
        <v>3</v>
      </c>
      <c r="P1332" t="s">
        <v>42</v>
      </c>
      <c r="Q1332">
        <v>19392</v>
      </c>
      <c r="R1332">
        <v>7</v>
      </c>
      <c r="S1332" t="s">
        <v>37</v>
      </c>
      <c r="T1332">
        <v>13</v>
      </c>
      <c r="U1332">
        <v>3</v>
      </c>
      <c r="V1332">
        <v>4</v>
      </c>
      <c r="W1332">
        <v>0</v>
      </c>
      <c r="X1332">
        <v>21</v>
      </c>
      <c r="Y1332">
        <v>2</v>
      </c>
      <c r="Z1332">
        <v>3</v>
      </c>
      <c r="AA1332">
        <v>16</v>
      </c>
      <c r="AB1332">
        <v>12</v>
      </c>
      <c r="AC1332">
        <v>6</v>
      </c>
      <c r="AD1332">
        <v>14</v>
      </c>
      <c r="AE1332" t="str" cm="1">
        <f t="array" ref="AE1332">_xlfn.IFS(G1332=1,"Before College",G1332=2,"College",G1332=3,"Bachelor",G1332=4,"Master",G1332=5,"Doctor")</f>
        <v>Bachelor</v>
      </c>
      <c r="AF1332" t="str" cm="1">
        <f t="array" ref="AF1332">_xlfn.IFS(J1332=1,"Low",J1332=2,"Medium",J1332=3,"High",J1332=4,"Very High")</f>
        <v>Low</v>
      </c>
      <c r="AG1332" t="str" cm="1">
        <f t="array" ref="AG1332">_xlfn.IFS(L1332=1,"Low",L1332=2,"Medium",L1332=3,"High",L1332=4,"Very High")</f>
        <v>Medium</v>
      </c>
      <c r="AH1332" t="str" cm="1">
        <f t="array" ref="AH1332">_xlfn.IFS(M1332=1,"Junior employee",M1332=2,"Mid-level",M1332=3,"Senior",M1332=4,"Manager",M1332=5,"Executive")</f>
        <v>Executive</v>
      </c>
      <c r="AI1332" t="str" cm="1">
        <f t="array" ref="AI1332">_xlfn.IFS(O1332=1,"Low",O1332=2,"Medium",O1332=3,"High",O1332=4,"Very High")</f>
        <v>High</v>
      </c>
      <c r="AJ1332" t="str" cm="1">
        <f t="array" ref="AJ1332">_xlfn.IFS(U1332=1,"Low",U1332=2,"Good",U1332=3,"Excellent",U1332=4,"Outstanding")</f>
        <v>Excellent</v>
      </c>
      <c r="AK1332" t="str" cm="1">
        <f t="array" ref="AK1332">_xlfn.IFS(V1332=1,"Low",V1332=2,"Medium",V1332=3,"High",V1332=4,"Very High")</f>
        <v>Very High</v>
      </c>
      <c r="AL1332" t="str" cm="1">
        <f t="array" ref="AL1332">_xlfn.IFS(Z1332=1,"Bad",Z1332=2,"Good",Z1332=3,"Better",Z1332=4,"Best")</f>
        <v>Better</v>
      </c>
      <c r="AM1332" t="str" cm="1">
        <f t="array" ref="AM1332">_xlfn.IFS(W1332=0,"No_stock",W1332=1,"Low",W1332=2,"Medium",W1332=3,"High")</f>
        <v>No_stock</v>
      </c>
      <c r="AN1332" t="str">
        <f t="shared" si="20"/>
        <v>Medium</v>
      </c>
    </row>
    <row r="1333" spans="1:40" x14ac:dyDescent="0.45">
      <c r="A1333">
        <v>48</v>
      </c>
      <c r="B1333" t="s">
        <v>37</v>
      </c>
      <c r="C1333" t="s">
        <v>31</v>
      </c>
      <c r="D1333">
        <v>1224</v>
      </c>
      <c r="E1333" t="s">
        <v>39</v>
      </c>
      <c r="F1333">
        <v>10</v>
      </c>
      <c r="G1333">
        <v>3</v>
      </c>
      <c r="H1333" t="s">
        <v>33</v>
      </c>
      <c r="I1333">
        <v>1867</v>
      </c>
      <c r="J1333">
        <v>4</v>
      </c>
      <c r="K1333" t="s">
        <v>40</v>
      </c>
      <c r="L1333">
        <v>2</v>
      </c>
      <c r="M1333">
        <v>5</v>
      </c>
      <c r="N1333" t="s">
        <v>52</v>
      </c>
      <c r="O1333">
        <v>2</v>
      </c>
      <c r="P1333" t="s">
        <v>42</v>
      </c>
      <c r="Q1333">
        <v>19665</v>
      </c>
      <c r="R1333">
        <v>4</v>
      </c>
      <c r="S1333" t="s">
        <v>37</v>
      </c>
      <c r="T1333">
        <v>12</v>
      </c>
      <c r="U1333">
        <v>3</v>
      </c>
      <c r="V1333">
        <v>4</v>
      </c>
      <c r="W1333">
        <v>0</v>
      </c>
      <c r="X1333">
        <v>29</v>
      </c>
      <c r="Y1333">
        <v>3</v>
      </c>
      <c r="Z1333">
        <v>3</v>
      </c>
      <c r="AA1333">
        <v>22</v>
      </c>
      <c r="AB1333">
        <v>10</v>
      </c>
      <c r="AC1333">
        <v>12</v>
      </c>
      <c r="AD1333">
        <v>9</v>
      </c>
      <c r="AE1333" t="str" cm="1">
        <f t="array" ref="AE1333">_xlfn.IFS(G1333=1,"Before College",G1333=2,"College",G1333=3,"Bachelor",G1333=4,"Master",G1333=5,"Doctor")</f>
        <v>Bachelor</v>
      </c>
      <c r="AF1333" t="str" cm="1">
        <f t="array" ref="AF1333">_xlfn.IFS(J1333=1,"Low",J1333=2,"Medium",J1333=3,"High",J1333=4,"Very High")</f>
        <v>Very High</v>
      </c>
      <c r="AG1333" t="str" cm="1">
        <f t="array" ref="AG1333">_xlfn.IFS(L1333=1,"Low",L1333=2,"Medium",L1333=3,"High",L1333=4,"Very High")</f>
        <v>Medium</v>
      </c>
      <c r="AH1333" t="str" cm="1">
        <f t="array" ref="AH1333">_xlfn.IFS(M1333=1,"Junior employee",M1333=2,"Mid-level",M1333=3,"Senior",M1333=4,"Manager",M1333=5,"Executive")</f>
        <v>Executive</v>
      </c>
      <c r="AI1333" t="str" cm="1">
        <f t="array" ref="AI1333">_xlfn.IFS(O1333=1,"Low",O1333=2,"Medium",O1333=3,"High",O1333=4,"Very High")</f>
        <v>Medium</v>
      </c>
      <c r="AJ1333" t="str" cm="1">
        <f t="array" ref="AJ1333">_xlfn.IFS(U1333=1,"Low",U1333=2,"Good",U1333=3,"Excellent",U1333=4,"Outstanding")</f>
        <v>Excellent</v>
      </c>
      <c r="AK1333" t="str" cm="1">
        <f t="array" ref="AK1333">_xlfn.IFS(V1333=1,"Low",V1333=2,"Medium",V1333=3,"High",V1333=4,"Very High")</f>
        <v>Very High</v>
      </c>
      <c r="AL1333" t="str" cm="1">
        <f t="array" ref="AL1333">_xlfn.IFS(Z1333=1,"Bad",Z1333=2,"Good",Z1333=3,"Better",Z1333=4,"Best")</f>
        <v>Better</v>
      </c>
      <c r="AM1333" t="str" cm="1">
        <f t="array" ref="AM1333">_xlfn.IFS(W1333=0,"No_stock",W1333=1,"Low",W1333=2,"Medium",W1333=3,"High")</f>
        <v>No_stock</v>
      </c>
      <c r="AN1333" t="str">
        <f t="shared" si="20"/>
        <v>Medium</v>
      </c>
    </row>
    <row r="1334" spans="1:40" x14ac:dyDescent="0.45">
      <c r="A1334">
        <v>29</v>
      </c>
      <c r="B1334" t="s">
        <v>30</v>
      </c>
      <c r="C1334" t="s">
        <v>38</v>
      </c>
      <c r="D1334">
        <v>459</v>
      </c>
      <c r="E1334" t="s">
        <v>39</v>
      </c>
      <c r="F1334">
        <v>24</v>
      </c>
      <c r="G1334">
        <v>2</v>
      </c>
      <c r="H1334" t="s">
        <v>33</v>
      </c>
      <c r="I1334">
        <v>1868</v>
      </c>
      <c r="J1334">
        <v>4</v>
      </c>
      <c r="K1334" t="s">
        <v>40</v>
      </c>
      <c r="L1334">
        <v>2</v>
      </c>
      <c r="M1334">
        <v>1</v>
      </c>
      <c r="N1334" t="s">
        <v>41</v>
      </c>
      <c r="O1334">
        <v>4</v>
      </c>
      <c r="P1334" t="s">
        <v>36</v>
      </c>
      <c r="Q1334">
        <v>2439</v>
      </c>
      <c r="R1334">
        <v>1</v>
      </c>
      <c r="S1334" t="s">
        <v>30</v>
      </c>
      <c r="T1334">
        <v>24</v>
      </c>
      <c r="U1334">
        <v>4</v>
      </c>
      <c r="V1334">
        <v>2</v>
      </c>
      <c r="W1334">
        <v>0</v>
      </c>
      <c r="X1334">
        <v>1</v>
      </c>
      <c r="Y1334">
        <v>3</v>
      </c>
      <c r="Z1334">
        <v>2</v>
      </c>
      <c r="AA1334">
        <v>1</v>
      </c>
      <c r="AB1334">
        <v>0</v>
      </c>
      <c r="AC1334">
        <v>1</v>
      </c>
      <c r="AD1334">
        <v>0</v>
      </c>
      <c r="AE1334" t="str" cm="1">
        <f t="array" ref="AE1334">_xlfn.IFS(G1334=1,"Before College",G1334=2,"College",G1334=3,"Bachelor",G1334=4,"Master",G1334=5,"Doctor")</f>
        <v>College</v>
      </c>
      <c r="AF1334" t="str" cm="1">
        <f t="array" ref="AF1334">_xlfn.IFS(J1334=1,"Low",J1334=2,"Medium",J1334=3,"High",J1334=4,"Very High")</f>
        <v>Very High</v>
      </c>
      <c r="AG1334" t="str" cm="1">
        <f t="array" ref="AG1334">_xlfn.IFS(L1334=1,"Low",L1334=2,"Medium",L1334=3,"High",L1334=4,"Very High")</f>
        <v>Medium</v>
      </c>
      <c r="AH1334" t="str" cm="1">
        <f t="array" ref="AH1334">_xlfn.IFS(M1334=1,"Junior employee",M1334=2,"Mid-level",M1334=3,"Senior",M1334=4,"Manager",M1334=5,"Executive")</f>
        <v>Junior employee</v>
      </c>
      <c r="AI1334" t="str" cm="1">
        <f t="array" ref="AI1334">_xlfn.IFS(O1334=1,"Low",O1334=2,"Medium",O1334=3,"High",O1334=4,"Very High")</f>
        <v>Very High</v>
      </c>
      <c r="AJ1334" t="str" cm="1">
        <f t="array" ref="AJ1334">_xlfn.IFS(U1334=1,"Low",U1334=2,"Good",U1334=3,"Excellent",U1334=4,"Outstanding")</f>
        <v>Outstanding</v>
      </c>
      <c r="AK1334" t="str" cm="1">
        <f t="array" ref="AK1334">_xlfn.IFS(V1334=1,"Low",V1334=2,"Medium",V1334=3,"High",V1334=4,"Very High")</f>
        <v>Medium</v>
      </c>
      <c r="AL1334" t="str" cm="1">
        <f t="array" ref="AL1334">_xlfn.IFS(Z1334=1,"Bad",Z1334=2,"Good",Z1334=3,"Better",Z1334=4,"Best")</f>
        <v>Good</v>
      </c>
      <c r="AM1334" t="str" cm="1">
        <f t="array" ref="AM1334">_xlfn.IFS(W1334=0,"No_stock",W1334=1,"Low",W1334=2,"Medium",W1334=3,"High")</f>
        <v>No_stock</v>
      </c>
      <c r="AN1334" t="str">
        <f t="shared" si="20"/>
        <v>Far</v>
      </c>
    </row>
    <row r="1335" spans="1:40" x14ac:dyDescent="0.45">
      <c r="A1335">
        <v>46</v>
      </c>
      <c r="B1335" t="s">
        <v>30</v>
      </c>
      <c r="C1335" t="s">
        <v>31</v>
      </c>
      <c r="D1335">
        <v>1254</v>
      </c>
      <c r="E1335" t="s">
        <v>32</v>
      </c>
      <c r="F1335">
        <v>10</v>
      </c>
      <c r="G1335">
        <v>3</v>
      </c>
      <c r="H1335" t="s">
        <v>33</v>
      </c>
      <c r="I1335">
        <v>1869</v>
      </c>
      <c r="J1335">
        <v>3</v>
      </c>
      <c r="K1335" t="s">
        <v>34</v>
      </c>
      <c r="L1335">
        <v>3</v>
      </c>
      <c r="M1335">
        <v>3</v>
      </c>
      <c r="N1335" t="s">
        <v>35</v>
      </c>
      <c r="O1335">
        <v>2</v>
      </c>
      <c r="P1335" t="s">
        <v>42</v>
      </c>
      <c r="Q1335">
        <v>7314</v>
      </c>
      <c r="R1335">
        <v>5</v>
      </c>
      <c r="S1335" t="s">
        <v>37</v>
      </c>
      <c r="T1335">
        <v>21</v>
      </c>
      <c r="U1335">
        <v>4</v>
      </c>
      <c r="V1335">
        <v>3</v>
      </c>
      <c r="W1335">
        <v>3</v>
      </c>
      <c r="X1335">
        <v>14</v>
      </c>
      <c r="Y1335">
        <v>2</v>
      </c>
      <c r="Z1335">
        <v>3</v>
      </c>
      <c r="AA1335">
        <v>8</v>
      </c>
      <c r="AB1335">
        <v>7</v>
      </c>
      <c r="AC1335">
        <v>0</v>
      </c>
      <c r="AD1335">
        <v>7</v>
      </c>
      <c r="AE1335" t="str" cm="1">
        <f t="array" ref="AE1335">_xlfn.IFS(G1335=1,"Before College",G1335=2,"College",G1335=3,"Bachelor",G1335=4,"Master",G1335=5,"Doctor")</f>
        <v>Bachelor</v>
      </c>
      <c r="AF1335" t="str" cm="1">
        <f t="array" ref="AF1335">_xlfn.IFS(J1335=1,"Low",J1335=2,"Medium",J1335=3,"High",J1335=4,"Very High")</f>
        <v>High</v>
      </c>
      <c r="AG1335" t="str" cm="1">
        <f t="array" ref="AG1335">_xlfn.IFS(L1335=1,"Low",L1335=2,"Medium",L1335=3,"High",L1335=4,"Very High")</f>
        <v>High</v>
      </c>
      <c r="AH1335" t="str" cm="1">
        <f t="array" ref="AH1335">_xlfn.IFS(M1335=1,"Junior employee",M1335=2,"Mid-level",M1335=3,"Senior",M1335=4,"Manager",M1335=5,"Executive")</f>
        <v>Senior</v>
      </c>
      <c r="AI1335" t="str" cm="1">
        <f t="array" ref="AI1335">_xlfn.IFS(O1335=1,"Low",O1335=2,"Medium",O1335=3,"High",O1335=4,"Very High")</f>
        <v>Medium</v>
      </c>
      <c r="AJ1335" t="str" cm="1">
        <f t="array" ref="AJ1335">_xlfn.IFS(U1335=1,"Low",U1335=2,"Good",U1335=3,"Excellent",U1335=4,"Outstanding")</f>
        <v>Outstanding</v>
      </c>
      <c r="AK1335" t="str" cm="1">
        <f t="array" ref="AK1335">_xlfn.IFS(V1335=1,"Low",V1335=2,"Medium",V1335=3,"High",V1335=4,"Very High")</f>
        <v>High</v>
      </c>
      <c r="AL1335" t="str" cm="1">
        <f t="array" ref="AL1335">_xlfn.IFS(Z1335=1,"Bad",Z1335=2,"Good",Z1335=3,"Better",Z1335=4,"Best")</f>
        <v>Better</v>
      </c>
      <c r="AM1335" t="str" cm="1">
        <f t="array" ref="AM1335">_xlfn.IFS(W1335=0,"No_stock",W1335=1,"Low",W1335=2,"Medium",W1335=3,"High")</f>
        <v>High</v>
      </c>
      <c r="AN1335" t="str">
        <f t="shared" si="20"/>
        <v>Medium</v>
      </c>
    </row>
    <row r="1336" spans="1:40" x14ac:dyDescent="0.45">
      <c r="A1336">
        <v>27</v>
      </c>
      <c r="B1336" t="s">
        <v>37</v>
      </c>
      <c r="C1336" t="s">
        <v>38</v>
      </c>
      <c r="D1336">
        <v>1131</v>
      </c>
      <c r="E1336" t="s">
        <v>39</v>
      </c>
      <c r="F1336">
        <v>15</v>
      </c>
      <c r="G1336">
        <v>3</v>
      </c>
      <c r="H1336" t="s">
        <v>33</v>
      </c>
      <c r="I1336">
        <v>1870</v>
      </c>
      <c r="J1336">
        <v>4</v>
      </c>
      <c r="K1336" t="s">
        <v>34</v>
      </c>
      <c r="L1336">
        <v>2</v>
      </c>
      <c r="M1336">
        <v>1</v>
      </c>
      <c r="N1336" t="s">
        <v>41</v>
      </c>
      <c r="O1336">
        <v>1</v>
      </c>
      <c r="P1336" t="s">
        <v>42</v>
      </c>
      <c r="Q1336">
        <v>4774</v>
      </c>
      <c r="R1336">
        <v>0</v>
      </c>
      <c r="S1336" t="s">
        <v>37</v>
      </c>
      <c r="T1336">
        <v>19</v>
      </c>
      <c r="U1336">
        <v>3</v>
      </c>
      <c r="V1336">
        <v>4</v>
      </c>
      <c r="W1336">
        <v>1</v>
      </c>
      <c r="X1336">
        <v>8</v>
      </c>
      <c r="Y1336">
        <v>2</v>
      </c>
      <c r="Z1336">
        <v>2</v>
      </c>
      <c r="AA1336">
        <v>7</v>
      </c>
      <c r="AB1336">
        <v>6</v>
      </c>
      <c r="AC1336">
        <v>7</v>
      </c>
      <c r="AD1336">
        <v>3</v>
      </c>
      <c r="AE1336" t="str" cm="1">
        <f t="array" ref="AE1336">_xlfn.IFS(G1336=1,"Before College",G1336=2,"College",G1336=3,"Bachelor",G1336=4,"Master",G1336=5,"Doctor")</f>
        <v>Bachelor</v>
      </c>
      <c r="AF1336" t="str" cm="1">
        <f t="array" ref="AF1336">_xlfn.IFS(J1336=1,"Low",J1336=2,"Medium",J1336=3,"High",J1336=4,"Very High")</f>
        <v>Very High</v>
      </c>
      <c r="AG1336" t="str" cm="1">
        <f t="array" ref="AG1336">_xlfn.IFS(L1336=1,"Low",L1336=2,"Medium",L1336=3,"High",L1336=4,"Very High")</f>
        <v>Medium</v>
      </c>
      <c r="AH1336" t="str" cm="1">
        <f t="array" ref="AH1336">_xlfn.IFS(M1336=1,"Junior employee",M1336=2,"Mid-level",M1336=3,"Senior",M1336=4,"Manager",M1336=5,"Executive")</f>
        <v>Junior employee</v>
      </c>
      <c r="AI1336" t="str" cm="1">
        <f t="array" ref="AI1336">_xlfn.IFS(O1336=1,"Low",O1336=2,"Medium",O1336=3,"High",O1336=4,"Very High")</f>
        <v>Low</v>
      </c>
      <c r="AJ1336" t="str" cm="1">
        <f t="array" ref="AJ1336">_xlfn.IFS(U1336=1,"Low",U1336=2,"Good",U1336=3,"Excellent",U1336=4,"Outstanding")</f>
        <v>Excellent</v>
      </c>
      <c r="AK1336" t="str" cm="1">
        <f t="array" ref="AK1336">_xlfn.IFS(V1336=1,"Low",V1336=2,"Medium",V1336=3,"High",V1336=4,"Very High")</f>
        <v>Very High</v>
      </c>
      <c r="AL1336" t="str" cm="1">
        <f t="array" ref="AL1336">_xlfn.IFS(Z1336=1,"Bad",Z1336=2,"Good",Z1336=3,"Better",Z1336=4,"Best")</f>
        <v>Good</v>
      </c>
      <c r="AM1336" t="str" cm="1">
        <f t="array" ref="AM1336">_xlfn.IFS(W1336=0,"No_stock",W1336=1,"Low",W1336=2,"Medium",W1336=3,"High")</f>
        <v>Low</v>
      </c>
      <c r="AN1336" t="str">
        <f t="shared" si="20"/>
        <v>Medium</v>
      </c>
    </row>
    <row r="1337" spans="1:40" x14ac:dyDescent="0.45">
      <c r="A1337">
        <v>39</v>
      </c>
      <c r="B1337" t="s">
        <v>37</v>
      </c>
      <c r="C1337" t="s">
        <v>31</v>
      </c>
      <c r="D1337">
        <v>835</v>
      </c>
      <c r="E1337" t="s">
        <v>39</v>
      </c>
      <c r="F1337">
        <v>19</v>
      </c>
      <c r="G1337">
        <v>4</v>
      </c>
      <c r="H1337" t="s">
        <v>43</v>
      </c>
      <c r="I1337">
        <v>1871</v>
      </c>
      <c r="J1337">
        <v>4</v>
      </c>
      <c r="K1337" t="s">
        <v>40</v>
      </c>
      <c r="L1337">
        <v>3</v>
      </c>
      <c r="M1337">
        <v>2</v>
      </c>
      <c r="N1337" t="s">
        <v>41</v>
      </c>
      <c r="O1337">
        <v>4</v>
      </c>
      <c r="P1337" t="s">
        <v>46</v>
      </c>
      <c r="Q1337">
        <v>3902</v>
      </c>
      <c r="R1337">
        <v>8</v>
      </c>
      <c r="S1337" t="s">
        <v>37</v>
      </c>
      <c r="T1337">
        <v>14</v>
      </c>
      <c r="U1337">
        <v>3</v>
      </c>
      <c r="V1337">
        <v>2</v>
      </c>
      <c r="W1337">
        <v>3</v>
      </c>
      <c r="X1337">
        <v>7</v>
      </c>
      <c r="Y1337">
        <v>2</v>
      </c>
      <c r="Z1337">
        <v>3</v>
      </c>
      <c r="AA1337">
        <v>2</v>
      </c>
      <c r="AB1337">
        <v>2</v>
      </c>
      <c r="AC1337">
        <v>2</v>
      </c>
      <c r="AD1337">
        <v>2</v>
      </c>
      <c r="AE1337" t="str" cm="1">
        <f t="array" ref="AE1337">_xlfn.IFS(G1337=1,"Before College",G1337=2,"College",G1337=3,"Bachelor",G1337=4,"Master",G1337=5,"Doctor")</f>
        <v>Master</v>
      </c>
      <c r="AF1337" t="str" cm="1">
        <f t="array" ref="AF1337">_xlfn.IFS(J1337=1,"Low",J1337=2,"Medium",J1337=3,"High",J1337=4,"Very High")</f>
        <v>Very High</v>
      </c>
      <c r="AG1337" t="str" cm="1">
        <f t="array" ref="AG1337">_xlfn.IFS(L1337=1,"Low",L1337=2,"Medium",L1337=3,"High",L1337=4,"Very High")</f>
        <v>High</v>
      </c>
      <c r="AH1337" t="str" cm="1">
        <f t="array" ref="AH1337">_xlfn.IFS(M1337=1,"Junior employee",M1337=2,"Mid-level",M1337=3,"Senior",M1337=4,"Manager",M1337=5,"Executive")</f>
        <v>Mid-level</v>
      </c>
      <c r="AI1337" t="str" cm="1">
        <f t="array" ref="AI1337">_xlfn.IFS(O1337=1,"Low",O1337=2,"Medium",O1337=3,"High",O1337=4,"Very High")</f>
        <v>Very High</v>
      </c>
      <c r="AJ1337" t="str" cm="1">
        <f t="array" ref="AJ1337">_xlfn.IFS(U1337=1,"Low",U1337=2,"Good",U1337=3,"Excellent",U1337=4,"Outstanding")</f>
        <v>Excellent</v>
      </c>
      <c r="AK1337" t="str" cm="1">
        <f t="array" ref="AK1337">_xlfn.IFS(V1337=1,"Low",V1337=2,"Medium",V1337=3,"High",V1337=4,"Very High")</f>
        <v>Medium</v>
      </c>
      <c r="AL1337" t="str" cm="1">
        <f t="array" ref="AL1337">_xlfn.IFS(Z1337=1,"Bad",Z1337=2,"Good",Z1337=3,"Better",Z1337=4,"Best")</f>
        <v>Better</v>
      </c>
      <c r="AM1337" t="str" cm="1">
        <f t="array" ref="AM1337">_xlfn.IFS(W1337=0,"No_stock",W1337=1,"Low",W1337=2,"Medium",W1337=3,"High")</f>
        <v>High</v>
      </c>
      <c r="AN1337" t="str">
        <f t="shared" si="20"/>
        <v>Far</v>
      </c>
    </row>
    <row r="1338" spans="1:40" x14ac:dyDescent="0.45">
      <c r="A1338">
        <v>55</v>
      </c>
      <c r="B1338" t="s">
        <v>37</v>
      </c>
      <c r="C1338" t="s">
        <v>31</v>
      </c>
      <c r="D1338">
        <v>836</v>
      </c>
      <c r="E1338" t="s">
        <v>39</v>
      </c>
      <c r="F1338">
        <v>2</v>
      </c>
      <c r="G1338">
        <v>4</v>
      </c>
      <c r="H1338" t="s">
        <v>54</v>
      </c>
      <c r="I1338">
        <v>1873</v>
      </c>
      <c r="J1338">
        <v>2</v>
      </c>
      <c r="K1338" t="s">
        <v>40</v>
      </c>
      <c r="L1338">
        <v>2</v>
      </c>
      <c r="M1338">
        <v>1</v>
      </c>
      <c r="N1338" t="s">
        <v>41</v>
      </c>
      <c r="O1338">
        <v>4</v>
      </c>
      <c r="P1338" t="s">
        <v>42</v>
      </c>
      <c r="Q1338">
        <v>2662</v>
      </c>
      <c r="R1338">
        <v>8</v>
      </c>
      <c r="S1338" t="s">
        <v>37</v>
      </c>
      <c r="T1338">
        <v>20</v>
      </c>
      <c r="U1338">
        <v>4</v>
      </c>
      <c r="V1338">
        <v>2</v>
      </c>
      <c r="W1338">
        <v>1</v>
      </c>
      <c r="X1338">
        <v>19</v>
      </c>
      <c r="Y1338">
        <v>2</v>
      </c>
      <c r="Z1338">
        <v>4</v>
      </c>
      <c r="AA1338">
        <v>5</v>
      </c>
      <c r="AB1338">
        <v>2</v>
      </c>
      <c r="AC1338">
        <v>0</v>
      </c>
      <c r="AD1338">
        <v>4</v>
      </c>
      <c r="AE1338" t="str" cm="1">
        <f t="array" ref="AE1338">_xlfn.IFS(G1338=1,"Before College",G1338=2,"College",G1338=3,"Bachelor",G1338=4,"Master",G1338=5,"Doctor")</f>
        <v>Master</v>
      </c>
      <c r="AF1338" t="str" cm="1">
        <f t="array" ref="AF1338">_xlfn.IFS(J1338=1,"Low",J1338=2,"Medium",J1338=3,"High",J1338=4,"Very High")</f>
        <v>Medium</v>
      </c>
      <c r="AG1338" t="str" cm="1">
        <f t="array" ref="AG1338">_xlfn.IFS(L1338=1,"Low",L1338=2,"Medium",L1338=3,"High",L1338=4,"Very High")</f>
        <v>Medium</v>
      </c>
      <c r="AH1338" t="str" cm="1">
        <f t="array" ref="AH1338">_xlfn.IFS(M1338=1,"Junior employee",M1338=2,"Mid-level",M1338=3,"Senior",M1338=4,"Manager",M1338=5,"Executive")</f>
        <v>Junior employee</v>
      </c>
      <c r="AI1338" t="str" cm="1">
        <f t="array" ref="AI1338">_xlfn.IFS(O1338=1,"Low",O1338=2,"Medium",O1338=3,"High",O1338=4,"Very High")</f>
        <v>Very High</v>
      </c>
      <c r="AJ1338" t="str" cm="1">
        <f t="array" ref="AJ1338">_xlfn.IFS(U1338=1,"Low",U1338=2,"Good",U1338=3,"Excellent",U1338=4,"Outstanding")</f>
        <v>Outstanding</v>
      </c>
      <c r="AK1338" t="str" cm="1">
        <f t="array" ref="AK1338">_xlfn.IFS(V1338=1,"Low",V1338=2,"Medium",V1338=3,"High",V1338=4,"Very High")</f>
        <v>Medium</v>
      </c>
      <c r="AL1338" t="str" cm="1">
        <f t="array" ref="AL1338">_xlfn.IFS(Z1338=1,"Bad",Z1338=2,"Good",Z1338=3,"Better",Z1338=4,"Best")</f>
        <v>Best</v>
      </c>
      <c r="AM1338" t="str" cm="1">
        <f t="array" ref="AM1338">_xlfn.IFS(W1338=0,"No_stock",W1338=1,"Low",W1338=2,"Medium",W1338=3,"High")</f>
        <v>Low</v>
      </c>
      <c r="AN1338" t="str">
        <f t="shared" si="20"/>
        <v>Near</v>
      </c>
    </row>
    <row r="1339" spans="1:40" x14ac:dyDescent="0.45">
      <c r="A1339">
        <v>28</v>
      </c>
      <c r="B1339" t="s">
        <v>37</v>
      </c>
      <c r="C1339" t="s">
        <v>31</v>
      </c>
      <c r="D1339">
        <v>1172</v>
      </c>
      <c r="E1339" t="s">
        <v>32</v>
      </c>
      <c r="F1339">
        <v>3</v>
      </c>
      <c r="G1339">
        <v>3</v>
      </c>
      <c r="H1339" t="s">
        <v>45</v>
      </c>
      <c r="I1339">
        <v>1875</v>
      </c>
      <c r="J1339">
        <v>2</v>
      </c>
      <c r="K1339" t="s">
        <v>34</v>
      </c>
      <c r="L1339">
        <v>3</v>
      </c>
      <c r="M1339">
        <v>1</v>
      </c>
      <c r="N1339" t="s">
        <v>51</v>
      </c>
      <c r="O1339">
        <v>2</v>
      </c>
      <c r="P1339" t="s">
        <v>42</v>
      </c>
      <c r="Q1339">
        <v>2856</v>
      </c>
      <c r="R1339">
        <v>1</v>
      </c>
      <c r="S1339" t="s">
        <v>37</v>
      </c>
      <c r="T1339">
        <v>19</v>
      </c>
      <c r="U1339">
        <v>3</v>
      </c>
      <c r="V1339">
        <v>4</v>
      </c>
      <c r="W1339">
        <v>1</v>
      </c>
      <c r="X1339">
        <v>1</v>
      </c>
      <c r="Y1339">
        <v>3</v>
      </c>
      <c r="Z1339">
        <v>3</v>
      </c>
      <c r="AA1339">
        <v>1</v>
      </c>
      <c r="AB1339">
        <v>0</v>
      </c>
      <c r="AC1339">
        <v>0</v>
      </c>
      <c r="AD1339">
        <v>0</v>
      </c>
      <c r="AE1339" t="str" cm="1">
        <f t="array" ref="AE1339">_xlfn.IFS(G1339=1,"Before College",G1339=2,"College",G1339=3,"Bachelor",G1339=4,"Master",G1339=5,"Doctor")</f>
        <v>Bachelor</v>
      </c>
      <c r="AF1339" t="str" cm="1">
        <f t="array" ref="AF1339">_xlfn.IFS(J1339=1,"Low",J1339=2,"Medium",J1339=3,"High",J1339=4,"Very High")</f>
        <v>Medium</v>
      </c>
      <c r="AG1339" t="str" cm="1">
        <f t="array" ref="AG1339">_xlfn.IFS(L1339=1,"Low",L1339=2,"Medium",L1339=3,"High",L1339=4,"Very High")</f>
        <v>High</v>
      </c>
      <c r="AH1339" t="str" cm="1">
        <f t="array" ref="AH1339">_xlfn.IFS(M1339=1,"Junior employee",M1339=2,"Mid-level",M1339=3,"Senior",M1339=4,"Manager",M1339=5,"Executive")</f>
        <v>Junior employee</v>
      </c>
      <c r="AI1339" t="str" cm="1">
        <f t="array" ref="AI1339">_xlfn.IFS(O1339=1,"Low",O1339=2,"Medium",O1339=3,"High",O1339=4,"Very High")</f>
        <v>Medium</v>
      </c>
      <c r="AJ1339" t="str" cm="1">
        <f t="array" ref="AJ1339">_xlfn.IFS(U1339=1,"Low",U1339=2,"Good",U1339=3,"Excellent",U1339=4,"Outstanding")</f>
        <v>Excellent</v>
      </c>
      <c r="AK1339" t="str" cm="1">
        <f t="array" ref="AK1339">_xlfn.IFS(V1339=1,"Low",V1339=2,"Medium",V1339=3,"High",V1339=4,"Very High")</f>
        <v>Very High</v>
      </c>
      <c r="AL1339" t="str" cm="1">
        <f t="array" ref="AL1339">_xlfn.IFS(Z1339=1,"Bad",Z1339=2,"Good",Z1339=3,"Better",Z1339=4,"Best")</f>
        <v>Better</v>
      </c>
      <c r="AM1339" t="str" cm="1">
        <f t="array" ref="AM1339">_xlfn.IFS(W1339=0,"No_stock",W1339=1,"Low",W1339=2,"Medium",W1339=3,"High")</f>
        <v>Low</v>
      </c>
      <c r="AN1339" t="str">
        <f t="shared" si="20"/>
        <v>Near</v>
      </c>
    </row>
    <row r="1340" spans="1:40" x14ac:dyDescent="0.45">
      <c r="A1340">
        <v>30</v>
      </c>
      <c r="B1340" t="s">
        <v>30</v>
      </c>
      <c r="C1340" t="s">
        <v>31</v>
      </c>
      <c r="D1340">
        <v>945</v>
      </c>
      <c r="E1340" t="s">
        <v>32</v>
      </c>
      <c r="F1340">
        <v>9</v>
      </c>
      <c r="G1340">
        <v>3</v>
      </c>
      <c r="H1340" t="s">
        <v>45</v>
      </c>
      <c r="I1340">
        <v>1876</v>
      </c>
      <c r="J1340">
        <v>2</v>
      </c>
      <c r="K1340" t="s">
        <v>40</v>
      </c>
      <c r="L1340">
        <v>3</v>
      </c>
      <c r="M1340">
        <v>1</v>
      </c>
      <c r="N1340" t="s">
        <v>51</v>
      </c>
      <c r="O1340">
        <v>4</v>
      </c>
      <c r="P1340" t="s">
        <v>36</v>
      </c>
      <c r="Q1340">
        <v>1081</v>
      </c>
      <c r="R1340">
        <v>1</v>
      </c>
      <c r="S1340" t="s">
        <v>37</v>
      </c>
      <c r="T1340">
        <v>13</v>
      </c>
      <c r="U1340">
        <v>3</v>
      </c>
      <c r="V1340">
        <v>3</v>
      </c>
      <c r="W1340">
        <v>0</v>
      </c>
      <c r="X1340">
        <v>1</v>
      </c>
      <c r="Y1340">
        <v>3</v>
      </c>
      <c r="Z1340">
        <v>2</v>
      </c>
      <c r="AA1340">
        <v>1</v>
      </c>
      <c r="AB1340">
        <v>0</v>
      </c>
      <c r="AC1340">
        <v>0</v>
      </c>
      <c r="AD1340">
        <v>0</v>
      </c>
      <c r="AE1340" t="str" cm="1">
        <f t="array" ref="AE1340">_xlfn.IFS(G1340=1,"Before College",G1340=2,"College",G1340=3,"Bachelor",G1340=4,"Master",G1340=5,"Doctor")</f>
        <v>Bachelor</v>
      </c>
      <c r="AF1340" t="str" cm="1">
        <f t="array" ref="AF1340">_xlfn.IFS(J1340=1,"Low",J1340=2,"Medium",J1340=3,"High",J1340=4,"Very High")</f>
        <v>Medium</v>
      </c>
      <c r="AG1340" t="str" cm="1">
        <f t="array" ref="AG1340">_xlfn.IFS(L1340=1,"Low",L1340=2,"Medium",L1340=3,"High",L1340=4,"Very High")</f>
        <v>High</v>
      </c>
      <c r="AH1340" t="str" cm="1">
        <f t="array" ref="AH1340">_xlfn.IFS(M1340=1,"Junior employee",M1340=2,"Mid-level",M1340=3,"Senior",M1340=4,"Manager",M1340=5,"Executive")</f>
        <v>Junior employee</v>
      </c>
      <c r="AI1340" t="str" cm="1">
        <f t="array" ref="AI1340">_xlfn.IFS(O1340=1,"Low",O1340=2,"Medium",O1340=3,"High",O1340=4,"Very High")</f>
        <v>Very High</v>
      </c>
      <c r="AJ1340" t="str" cm="1">
        <f t="array" ref="AJ1340">_xlfn.IFS(U1340=1,"Low",U1340=2,"Good",U1340=3,"Excellent",U1340=4,"Outstanding")</f>
        <v>Excellent</v>
      </c>
      <c r="AK1340" t="str" cm="1">
        <f t="array" ref="AK1340">_xlfn.IFS(V1340=1,"Low",V1340=2,"Medium",V1340=3,"High",V1340=4,"Very High")</f>
        <v>High</v>
      </c>
      <c r="AL1340" t="str" cm="1">
        <f t="array" ref="AL1340">_xlfn.IFS(Z1340=1,"Bad",Z1340=2,"Good",Z1340=3,"Better",Z1340=4,"Best")</f>
        <v>Good</v>
      </c>
      <c r="AM1340" t="str" cm="1">
        <f t="array" ref="AM1340">_xlfn.IFS(W1340=0,"No_stock",W1340=1,"Low",W1340=2,"Medium",W1340=3,"High")</f>
        <v>No_stock</v>
      </c>
      <c r="AN1340" t="str">
        <f t="shared" si="20"/>
        <v>Medium</v>
      </c>
    </row>
    <row r="1341" spans="1:40" x14ac:dyDescent="0.45">
      <c r="A1341">
        <v>22</v>
      </c>
      <c r="B1341" t="s">
        <v>30</v>
      </c>
      <c r="C1341" t="s">
        <v>31</v>
      </c>
      <c r="D1341">
        <v>391</v>
      </c>
      <c r="E1341" t="s">
        <v>39</v>
      </c>
      <c r="F1341">
        <v>7</v>
      </c>
      <c r="G1341">
        <v>1</v>
      </c>
      <c r="H1341" t="s">
        <v>33</v>
      </c>
      <c r="I1341">
        <v>1878</v>
      </c>
      <c r="J1341">
        <v>4</v>
      </c>
      <c r="K1341" t="s">
        <v>40</v>
      </c>
      <c r="L1341">
        <v>3</v>
      </c>
      <c r="M1341">
        <v>1</v>
      </c>
      <c r="N1341" t="s">
        <v>41</v>
      </c>
      <c r="O1341">
        <v>2</v>
      </c>
      <c r="P1341" t="s">
        <v>36</v>
      </c>
      <c r="Q1341">
        <v>2472</v>
      </c>
      <c r="R1341">
        <v>1</v>
      </c>
      <c r="S1341" t="s">
        <v>30</v>
      </c>
      <c r="T1341">
        <v>23</v>
      </c>
      <c r="U1341">
        <v>4</v>
      </c>
      <c r="V1341">
        <v>1</v>
      </c>
      <c r="W1341">
        <v>0</v>
      </c>
      <c r="X1341">
        <v>1</v>
      </c>
      <c r="Y1341">
        <v>2</v>
      </c>
      <c r="Z1341">
        <v>3</v>
      </c>
      <c r="AA1341">
        <v>1</v>
      </c>
      <c r="AB1341">
        <v>0</v>
      </c>
      <c r="AC1341">
        <v>0</v>
      </c>
      <c r="AD1341">
        <v>0</v>
      </c>
      <c r="AE1341" t="str" cm="1">
        <f t="array" ref="AE1341">_xlfn.IFS(G1341=1,"Before College",G1341=2,"College",G1341=3,"Bachelor",G1341=4,"Master",G1341=5,"Doctor")</f>
        <v>Before College</v>
      </c>
      <c r="AF1341" t="str" cm="1">
        <f t="array" ref="AF1341">_xlfn.IFS(J1341=1,"Low",J1341=2,"Medium",J1341=3,"High",J1341=4,"Very High")</f>
        <v>Very High</v>
      </c>
      <c r="AG1341" t="str" cm="1">
        <f t="array" ref="AG1341">_xlfn.IFS(L1341=1,"Low",L1341=2,"Medium",L1341=3,"High",L1341=4,"Very High")</f>
        <v>High</v>
      </c>
      <c r="AH1341" t="str" cm="1">
        <f t="array" ref="AH1341">_xlfn.IFS(M1341=1,"Junior employee",M1341=2,"Mid-level",M1341=3,"Senior",M1341=4,"Manager",M1341=5,"Executive")</f>
        <v>Junior employee</v>
      </c>
      <c r="AI1341" t="str" cm="1">
        <f t="array" ref="AI1341">_xlfn.IFS(O1341=1,"Low",O1341=2,"Medium",O1341=3,"High",O1341=4,"Very High")</f>
        <v>Medium</v>
      </c>
      <c r="AJ1341" t="str" cm="1">
        <f t="array" ref="AJ1341">_xlfn.IFS(U1341=1,"Low",U1341=2,"Good",U1341=3,"Excellent",U1341=4,"Outstanding")</f>
        <v>Outstanding</v>
      </c>
      <c r="AK1341" t="str" cm="1">
        <f t="array" ref="AK1341">_xlfn.IFS(V1341=1,"Low",V1341=2,"Medium",V1341=3,"High",V1341=4,"Very High")</f>
        <v>Low</v>
      </c>
      <c r="AL1341" t="str" cm="1">
        <f t="array" ref="AL1341">_xlfn.IFS(Z1341=1,"Bad",Z1341=2,"Good",Z1341=3,"Better",Z1341=4,"Best")</f>
        <v>Better</v>
      </c>
      <c r="AM1341" t="str" cm="1">
        <f t="array" ref="AM1341">_xlfn.IFS(W1341=0,"No_stock",W1341=1,"Low",W1341=2,"Medium",W1341=3,"High")</f>
        <v>No_stock</v>
      </c>
      <c r="AN1341" t="str">
        <f t="shared" si="20"/>
        <v>Medium</v>
      </c>
    </row>
    <row r="1342" spans="1:40" x14ac:dyDescent="0.45">
      <c r="A1342">
        <v>36</v>
      </c>
      <c r="B1342" t="s">
        <v>37</v>
      </c>
      <c r="C1342" t="s">
        <v>31</v>
      </c>
      <c r="D1342">
        <v>1266</v>
      </c>
      <c r="E1342" t="s">
        <v>32</v>
      </c>
      <c r="F1342">
        <v>10</v>
      </c>
      <c r="G1342">
        <v>4</v>
      </c>
      <c r="H1342" t="s">
        <v>54</v>
      </c>
      <c r="I1342">
        <v>1880</v>
      </c>
      <c r="J1342">
        <v>2</v>
      </c>
      <c r="K1342" t="s">
        <v>34</v>
      </c>
      <c r="L1342">
        <v>2</v>
      </c>
      <c r="M1342">
        <v>2</v>
      </c>
      <c r="N1342" t="s">
        <v>35</v>
      </c>
      <c r="O1342">
        <v>3</v>
      </c>
      <c r="P1342" t="s">
        <v>42</v>
      </c>
      <c r="Q1342">
        <v>5673</v>
      </c>
      <c r="R1342">
        <v>1</v>
      </c>
      <c r="S1342" t="s">
        <v>30</v>
      </c>
      <c r="T1342">
        <v>13</v>
      </c>
      <c r="U1342">
        <v>3</v>
      </c>
      <c r="V1342">
        <v>1</v>
      </c>
      <c r="W1342">
        <v>1</v>
      </c>
      <c r="X1342">
        <v>10</v>
      </c>
      <c r="Y1342">
        <v>4</v>
      </c>
      <c r="Z1342">
        <v>3</v>
      </c>
      <c r="AA1342">
        <v>10</v>
      </c>
      <c r="AB1342">
        <v>9</v>
      </c>
      <c r="AC1342">
        <v>1</v>
      </c>
      <c r="AD1342">
        <v>7</v>
      </c>
      <c r="AE1342" t="str" cm="1">
        <f t="array" ref="AE1342">_xlfn.IFS(G1342=1,"Before College",G1342=2,"College",G1342=3,"Bachelor",G1342=4,"Master",G1342=5,"Doctor")</f>
        <v>Master</v>
      </c>
      <c r="AF1342" t="str" cm="1">
        <f t="array" ref="AF1342">_xlfn.IFS(J1342=1,"Low",J1342=2,"Medium",J1342=3,"High",J1342=4,"Very High")</f>
        <v>Medium</v>
      </c>
      <c r="AG1342" t="str" cm="1">
        <f t="array" ref="AG1342">_xlfn.IFS(L1342=1,"Low",L1342=2,"Medium",L1342=3,"High",L1342=4,"Very High")</f>
        <v>Medium</v>
      </c>
      <c r="AH1342" t="str" cm="1">
        <f t="array" ref="AH1342">_xlfn.IFS(M1342=1,"Junior employee",M1342=2,"Mid-level",M1342=3,"Senior",M1342=4,"Manager",M1342=5,"Executive")</f>
        <v>Mid-level</v>
      </c>
      <c r="AI1342" t="str" cm="1">
        <f t="array" ref="AI1342">_xlfn.IFS(O1342=1,"Low",O1342=2,"Medium",O1342=3,"High",O1342=4,"Very High")</f>
        <v>High</v>
      </c>
      <c r="AJ1342" t="str" cm="1">
        <f t="array" ref="AJ1342">_xlfn.IFS(U1342=1,"Low",U1342=2,"Good",U1342=3,"Excellent",U1342=4,"Outstanding")</f>
        <v>Excellent</v>
      </c>
      <c r="AK1342" t="str" cm="1">
        <f t="array" ref="AK1342">_xlfn.IFS(V1342=1,"Low",V1342=2,"Medium",V1342=3,"High",V1342=4,"Very High")</f>
        <v>Low</v>
      </c>
      <c r="AL1342" t="str" cm="1">
        <f t="array" ref="AL1342">_xlfn.IFS(Z1342=1,"Bad",Z1342=2,"Good",Z1342=3,"Better",Z1342=4,"Best")</f>
        <v>Better</v>
      </c>
      <c r="AM1342" t="str" cm="1">
        <f t="array" ref="AM1342">_xlfn.IFS(W1342=0,"No_stock",W1342=1,"Low",W1342=2,"Medium",W1342=3,"High")</f>
        <v>Low</v>
      </c>
      <c r="AN1342" t="str">
        <f t="shared" si="20"/>
        <v>Medium</v>
      </c>
    </row>
    <row r="1343" spans="1:40" x14ac:dyDescent="0.45">
      <c r="A1343">
        <v>31</v>
      </c>
      <c r="B1343" t="s">
        <v>37</v>
      </c>
      <c r="C1343" t="s">
        <v>31</v>
      </c>
      <c r="D1343">
        <v>311</v>
      </c>
      <c r="E1343" t="s">
        <v>39</v>
      </c>
      <c r="F1343">
        <v>20</v>
      </c>
      <c r="G1343">
        <v>3</v>
      </c>
      <c r="H1343" t="s">
        <v>33</v>
      </c>
      <c r="I1343">
        <v>1881</v>
      </c>
      <c r="J1343">
        <v>2</v>
      </c>
      <c r="K1343" t="s">
        <v>40</v>
      </c>
      <c r="L1343">
        <v>3</v>
      </c>
      <c r="M1343">
        <v>2</v>
      </c>
      <c r="N1343" t="s">
        <v>44</v>
      </c>
      <c r="O1343">
        <v>3</v>
      </c>
      <c r="P1343" t="s">
        <v>46</v>
      </c>
      <c r="Q1343">
        <v>4197</v>
      </c>
      <c r="R1343">
        <v>1</v>
      </c>
      <c r="S1343" t="s">
        <v>37</v>
      </c>
      <c r="T1343">
        <v>11</v>
      </c>
      <c r="U1343">
        <v>3</v>
      </c>
      <c r="V1343">
        <v>1</v>
      </c>
      <c r="W1343">
        <v>1</v>
      </c>
      <c r="X1343">
        <v>10</v>
      </c>
      <c r="Y1343">
        <v>2</v>
      </c>
      <c r="Z1343">
        <v>3</v>
      </c>
      <c r="AA1343">
        <v>10</v>
      </c>
      <c r="AB1343">
        <v>8</v>
      </c>
      <c r="AC1343">
        <v>0</v>
      </c>
      <c r="AD1343">
        <v>2</v>
      </c>
      <c r="AE1343" t="str" cm="1">
        <f t="array" ref="AE1343">_xlfn.IFS(G1343=1,"Before College",G1343=2,"College",G1343=3,"Bachelor",G1343=4,"Master",G1343=5,"Doctor")</f>
        <v>Bachelor</v>
      </c>
      <c r="AF1343" t="str" cm="1">
        <f t="array" ref="AF1343">_xlfn.IFS(J1343=1,"Low",J1343=2,"Medium",J1343=3,"High",J1343=4,"Very High")</f>
        <v>Medium</v>
      </c>
      <c r="AG1343" t="str" cm="1">
        <f t="array" ref="AG1343">_xlfn.IFS(L1343=1,"Low",L1343=2,"Medium",L1343=3,"High",L1343=4,"Very High")</f>
        <v>High</v>
      </c>
      <c r="AH1343" t="str" cm="1">
        <f t="array" ref="AH1343">_xlfn.IFS(M1343=1,"Junior employee",M1343=2,"Mid-level",M1343=3,"Senior",M1343=4,"Manager",M1343=5,"Executive")</f>
        <v>Mid-level</v>
      </c>
      <c r="AI1343" t="str" cm="1">
        <f t="array" ref="AI1343">_xlfn.IFS(O1343=1,"Low",O1343=2,"Medium",O1343=3,"High",O1343=4,"Very High")</f>
        <v>High</v>
      </c>
      <c r="AJ1343" t="str" cm="1">
        <f t="array" ref="AJ1343">_xlfn.IFS(U1343=1,"Low",U1343=2,"Good",U1343=3,"Excellent",U1343=4,"Outstanding")</f>
        <v>Excellent</v>
      </c>
      <c r="AK1343" t="str" cm="1">
        <f t="array" ref="AK1343">_xlfn.IFS(V1343=1,"Low",V1343=2,"Medium",V1343=3,"High",V1343=4,"Very High")</f>
        <v>Low</v>
      </c>
      <c r="AL1343" t="str" cm="1">
        <f t="array" ref="AL1343">_xlfn.IFS(Z1343=1,"Bad",Z1343=2,"Good",Z1343=3,"Better",Z1343=4,"Best")</f>
        <v>Better</v>
      </c>
      <c r="AM1343" t="str" cm="1">
        <f t="array" ref="AM1343">_xlfn.IFS(W1343=0,"No_stock",W1343=1,"Low",W1343=2,"Medium",W1343=3,"High")</f>
        <v>Low</v>
      </c>
      <c r="AN1343" t="str">
        <f t="shared" si="20"/>
        <v>Far</v>
      </c>
    </row>
    <row r="1344" spans="1:40" x14ac:dyDescent="0.45">
      <c r="A1344">
        <v>34</v>
      </c>
      <c r="B1344" t="s">
        <v>37</v>
      </c>
      <c r="C1344" t="s">
        <v>31</v>
      </c>
      <c r="D1344">
        <v>1480</v>
      </c>
      <c r="E1344" t="s">
        <v>32</v>
      </c>
      <c r="F1344">
        <v>4</v>
      </c>
      <c r="G1344">
        <v>3</v>
      </c>
      <c r="H1344" t="s">
        <v>33</v>
      </c>
      <c r="I1344">
        <v>1882</v>
      </c>
      <c r="J1344">
        <v>3</v>
      </c>
      <c r="K1344" t="s">
        <v>40</v>
      </c>
      <c r="L1344">
        <v>3</v>
      </c>
      <c r="M1344">
        <v>3</v>
      </c>
      <c r="N1344" t="s">
        <v>35</v>
      </c>
      <c r="O1344">
        <v>4</v>
      </c>
      <c r="P1344" t="s">
        <v>42</v>
      </c>
      <c r="Q1344">
        <v>9713</v>
      </c>
      <c r="R1344">
        <v>2</v>
      </c>
      <c r="S1344" t="s">
        <v>30</v>
      </c>
      <c r="T1344">
        <v>13</v>
      </c>
      <c r="U1344">
        <v>3</v>
      </c>
      <c r="V1344">
        <v>4</v>
      </c>
      <c r="W1344">
        <v>3</v>
      </c>
      <c r="X1344">
        <v>9</v>
      </c>
      <c r="Y1344">
        <v>3</v>
      </c>
      <c r="Z1344">
        <v>3</v>
      </c>
      <c r="AA1344">
        <v>5</v>
      </c>
      <c r="AB1344">
        <v>3</v>
      </c>
      <c r="AC1344">
        <v>1</v>
      </c>
      <c r="AD1344">
        <v>0</v>
      </c>
      <c r="AE1344" t="str" cm="1">
        <f t="array" ref="AE1344">_xlfn.IFS(G1344=1,"Before College",G1344=2,"College",G1344=3,"Bachelor",G1344=4,"Master",G1344=5,"Doctor")</f>
        <v>Bachelor</v>
      </c>
      <c r="AF1344" t="str" cm="1">
        <f t="array" ref="AF1344">_xlfn.IFS(J1344=1,"Low",J1344=2,"Medium",J1344=3,"High",J1344=4,"Very High")</f>
        <v>High</v>
      </c>
      <c r="AG1344" t="str" cm="1">
        <f t="array" ref="AG1344">_xlfn.IFS(L1344=1,"Low",L1344=2,"Medium",L1344=3,"High",L1344=4,"Very High")</f>
        <v>High</v>
      </c>
      <c r="AH1344" t="str" cm="1">
        <f t="array" ref="AH1344">_xlfn.IFS(M1344=1,"Junior employee",M1344=2,"Mid-level",M1344=3,"Senior",M1344=4,"Manager",M1344=5,"Executive")</f>
        <v>Senior</v>
      </c>
      <c r="AI1344" t="str" cm="1">
        <f t="array" ref="AI1344">_xlfn.IFS(O1344=1,"Low",O1344=2,"Medium",O1344=3,"High",O1344=4,"Very High")</f>
        <v>Very High</v>
      </c>
      <c r="AJ1344" t="str" cm="1">
        <f t="array" ref="AJ1344">_xlfn.IFS(U1344=1,"Low",U1344=2,"Good",U1344=3,"Excellent",U1344=4,"Outstanding")</f>
        <v>Excellent</v>
      </c>
      <c r="AK1344" t="str" cm="1">
        <f t="array" ref="AK1344">_xlfn.IFS(V1344=1,"Low",V1344=2,"Medium",V1344=3,"High",V1344=4,"Very High")</f>
        <v>Very High</v>
      </c>
      <c r="AL1344" t="str" cm="1">
        <f t="array" ref="AL1344">_xlfn.IFS(Z1344=1,"Bad",Z1344=2,"Good",Z1344=3,"Better",Z1344=4,"Best")</f>
        <v>Better</v>
      </c>
      <c r="AM1344" t="str" cm="1">
        <f t="array" ref="AM1344">_xlfn.IFS(W1344=0,"No_stock",W1344=1,"Low",W1344=2,"Medium",W1344=3,"High")</f>
        <v>High</v>
      </c>
      <c r="AN1344" t="str">
        <f t="shared" si="20"/>
        <v>Near</v>
      </c>
    </row>
    <row r="1345" spans="1:40" x14ac:dyDescent="0.45">
      <c r="A1345">
        <v>29</v>
      </c>
      <c r="B1345" t="s">
        <v>37</v>
      </c>
      <c r="C1345" t="s">
        <v>31</v>
      </c>
      <c r="D1345">
        <v>592</v>
      </c>
      <c r="E1345" t="s">
        <v>39</v>
      </c>
      <c r="F1345">
        <v>7</v>
      </c>
      <c r="G1345">
        <v>3</v>
      </c>
      <c r="H1345" t="s">
        <v>33</v>
      </c>
      <c r="I1345">
        <v>1883</v>
      </c>
      <c r="J1345">
        <v>4</v>
      </c>
      <c r="K1345" t="s">
        <v>40</v>
      </c>
      <c r="L1345">
        <v>3</v>
      </c>
      <c r="M1345">
        <v>1</v>
      </c>
      <c r="N1345" t="s">
        <v>44</v>
      </c>
      <c r="O1345">
        <v>1</v>
      </c>
      <c r="P1345" t="s">
        <v>36</v>
      </c>
      <c r="Q1345">
        <v>2062</v>
      </c>
      <c r="R1345">
        <v>3</v>
      </c>
      <c r="S1345" t="s">
        <v>37</v>
      </c>
      <c r="T1345">
        <v>14</v>
      </c>
      <c r="U1345">
        <v>3</v>
      </c>
      <c r="V1345">
        <v>2</v>
      </c>
      <c r="W1345">
        <v>0</v>
      </c>
      <c r="X1345">
        <v>11</v>
      </c>
      <c r="Y1345">
        <v>2</v>
      </c>
      <c r="Z1345">
        <v>3</v>
      </c>
      <c r="AA1345">
        <v>3</v>
      </c>
      <c r="AB1345">
        <v>2</v>
      </c>
      <c r="AC1345">
        <v>1</v>
      </c>
      <c r="AD1345">
        <v>2</v>
      </c>
      <c r="AE1345" t="str" cm="1">
        <f t="array" ref="AE1345">_xlfn.IFS(G1345=1,"Before College",G1345=2,"College",G1345=3,"Bachelor",G1345=4,"Master",G1345=5,"Doctor")</f>
        <v>Bachelor</v>
      </c>
      <c r="AF1345" t="str" cm="1">
        <f t="array" ref="AF1345">_xlfn.IFS(J1345=1,"Low",J1345=2,"Medium",J1345=3,"High",J1345=4,"Very High")</f>
        <v>Very High</v>
      </c>
      <c r="AG1345" t="str" cm="1">
        <f t="array" ref="AG1345">_xlfn.IFS(L1345=1,"Low",L1345=2,"Medium",L1345=3,"High",L1345=4,"Very High")</f>
        <v>High</v>
      </c>
      <c r="AH1345" t="str" cm="1">
        <f t="array" ref="AH1345">_xlfn.IFS(M1345=1,"Junior employee",M1345=2,"Mid-level",M1345=3,"Senior",M1345=4,"Manager",M1345=5,"Executive")</f>
        <v>Junior employee</v>
      </c>
      <c r="AI1345" t="str" cm="1">
        <f t="array" ref="AI1345">_xlfn.IFS(O1345=1,"Low",O1345=2,"Medium",O1345=3,"High",O1345=4,"Very High")</f>
        <v>Low</v>
      </c>
      <c r="AJ1345" t="str" cm="1">
        <f t="array" ref="AJ1345">_xlfn.IFS(U1345=1,"Low",U1345=2,"Good",U1345=3,"Excellent",U1345=4,"Outstanding")</f>
        <v>Excellent</v>
      </c>
      <c r="AK1345" t="str" cm="1">
        <f t="array" ref="AK1345">_xlfn.IFS(V1345=1,"Low",V1345=2,"Medium",V1345=3,"High",V1345=4,"Very High")</f>
        <v>Medium</v>
      </c>
      <c r="AL1345" t="str" cm="1">
        <f t="array" ref="AL1345">_xlfn.IFS(Z1345=1,"Bad",Z1345=2,"Good",Z1345=3,"Better",Z1345=4,"Best")</f>
        <v>Better</v>
      </c>
      <c r="AM1345" t="str" cm="1">
        <f t="array" ref="AM1345">_xlfn.IFS(W1345=0,"No_stock",W1345=1,"Low",W1345=2,"Medium",W1345=3,"High")</f>
        <v>No_stock</v>
      </c>
      <c r="AN1345" t="str">
        <f t="shared" si="20"/>
        <v>Medium</v>
      </c>
    </row>
    <row r="1346" spans="1:40" x14ac:dyDescent="0.45">
      <c r="A1346">
        <v>37</v>
      </c>
      <c r="B1346" t="s">
        <v>37</v>
      </c>
      <c r="C1346" t="s">
        <v>31</v>
      </c>
      <c r="D1346">
        <v>783</v>
      </c>
      <c r="E1346" t="s">
        <v>39</v>
      </c>
      <c r="F1346">
        <v>7</v>
      </c>
      <c r="G1346">
        <v>4</v>
      </c>
      <c r="H1346" t="s">
        <v>45</v>
      </c>
      <c r="I1346">
        <v>1885</v>
      </c>
      <c r="J1346">
        <v>4</v>
      </c>
      <c r="K1346" t="s">
        <v>40</v>
      </c>
      <c r="L1346">
        <v>3</v>
      </c>
      <c r="M1346">
        <v>2</v>
      </c>
      <c r="N1346" t="s">
        <v>41</v>
      </c>
      <c r="O1346">
        <v>1</v>
      </c>
      <c r="P1346" t="s">
        <v>42</v>
      </c>
      <c r="Q1346">
        <v>4284</v>
      </c>
      <c r="R1346">
        <v>5</v>
      </c>
      <c r="S1346" t="s">
        <v>30</v>
      </c>
      <c r="T1346">
        <v>22</v>
      </c>
      <c r="U1346">
        <v>4</v>
      </c>
      <c r="V1346">
        <v>3</v>
      </c>
      <c r="W1346">
        <v>1</v>
      </c>
      <c r="X1346">
        <v>16</v>
      </c>
      <c r="Y1346">
        <v>2</v>
      </c>
      <c r="Z1346">
        <v>3</v>
      </c>
      <c r="AA1346">
        <v>5</v>
      </c>
      <c r="AB1346">
        <v>3</v>
      </c>
      <c r="AC1346">
        <v>0</v>
      </c>
      <c r="AD1346">
        <v>4</v>
      </c>
      <c r="AE1346" t="str" cm="1">
        <f t="array" ref="AE1346">_xlfn.IFS(G1346=1,"Before College",G1346=2,"College",G1346=3,"Bachelor",G1346=4,"Master",G1346=5,"Doctor")</f>
        <v>Master</v>
      </c>
      <c r="AF1346" t="str" cm="1">
        <f t="array" ref="AF1346">_xlfn.IFS(J1346=1,"Low",J1346=2,"Medium",J1346=3,"High",J1346=4,"Very High")</f>
        <v>Very High</v>
      </c>
      <c r="AG1346" t="str" cm="1">
        <f t="array" ref="AG1346">_xlfn.IFS(L1346=1,"Low",L1346=2,"Medium",L1346=3,"High",L1346=4,"Very High")</f>
        <v>High</v>
      </c>
      <c r="AH1346" t="str" cm="1">
        <f t="array" ref="AH1346">_xlfn.IFS(M1346=1,"Junior employee",M1346=2,"Mid-level",M1346=3,"Senior",M1346=4,"Manager",M1346=5,"Executive")</f>
        <v>Mid-level</v>
      </c>
      <c r="AI1346" t="str" cm="1">
        <f t="array" ref="AI1346">_xlfn.IFS(O1346=1,"Low",O1346=2,"Medium",O1346=3,"High",O1346=4,"Very High")</f>
        <v>Low</v>
      </c>
      <c r="AJ1346" t="str" cm="1">
        <f t="array" ref="AJ1346">_xlfn.IFS(U1346=1,"Low",U1346=2,"Good",U1346=3,"Excellent",U1346=4,"Outstanding")</f>
        <v>Outstanding</v>
      </c>
      <c r="AK1346" t="str" cm="1">
        <f t="array" ref="AK1346">_xlfn.IFS(V1346=1,"Low",V1346=2,"Medium",V1346=3,"High",V1346=4,"Very High")</f>
        <v>High</v>
      </c>
      <c r="AL1346" t="str" cm="1">
        <f t="array" ref="AL1346">_xlfn.IFS(Z1346=1,"Bad",Z1346=2,"Good",Z1346=3,"Better",Z1346=4,"Best")</f>
        <v>Better</v>
      </c>
      <c r="AM1346" t="str" cm="1">
        <f t="array" ref="AM1346">_xlfn.IFS(W1346=0,"No_stock",W1346=1,"Low",W1346=2,"Medium",W1346=3,"High")</f>
        <v>Low</v>
      </c>
      <c r="AN1346" t="str">
        <f t="shared" ref="AN1346:AN1409" si="21">IF(F1346&lt;=5,"Near",IF(F1346&lt;=15,"Medium","Far"))</f>
        <v>Medium</v>
      </c>
    </row>
    <row r="1347" spans="1:40" x14ac:dyDescent="0.45">
      <c r="A1347">
        <v>35</v>
      </c>
      <c r="B1347" t="s">
        <v>37</v>
      </c>
      <c r="C1347" t="s">
        <v>31</v>
      </c>
      <c r="D1347">
        <v>219</v>
      </c>
      <c r="E1347" t="s">
        <v>39</v>
      </c>
      <c r="F1347">
        <v>16</v>
      </c>
      <c r="G1347">
        <v>2</v>
      </c>
      <c r="H1347" t="s">
        <v>43</v>
      </c>
      <c r="I1347">
        <v>1886</v>
      </c>
      <c r="J1347">
        <v>4</v>
      </c>
      <c r="K1347" t="s">
        <v>34</v>
      </c>
      <c r="L1347">
        <v>2</v>
      </c>
      <c r="M1347">
        <v>2</v>
      </c>
      <c r="N1347" t="s">
        <v>47</v>
      </c>
      <c r="O1347">
        <v>2</v>
      </c>
      <c r="P1347" t="s">
        <v>42</v>
      </c>
      <c r="Q1347">
        <v>4788</v>
      </c>
      <c r="R1347">
        <v>0</v>
      </c>
      <c r="S1347" t="s">
        <v>30</v>
      </c>
      <c r="T1347">
        <v>11</v>
      </c>
      <c r="U1347">
        <v>3</v>
      </c>
      <c r="V1347">
        <v>4</v>
      </c>
      <c r="W1347">
        <v>0</v>
      </c>
      <c r="X1347">
        <v>4</v>
      </c>
      <c r="Y1347">
        <v>2</v>
      </c>
      <c r="Z1347">
        <v>3</v>
      </c>
      <c r="AA1347">
        <v>3</v>
      </c>
      <c r="AB1347">
        <v>2</v>
      </c>
      <c r="AC1347">
        <v>0</v>
      </c>
      <c r="AD1347">
        <v>2</v>
      </c>
      <c r="AE1347" t="str" cm="1">
        <f t="array" ref="AE1347">_xlfn.IFS(G1347=1,"Before College",G1347=2,"College",G1347=3,"Bachelor",G1347=4,"Master",G1347=5,"Doctor")</f>
        <v>College</v>
      </c>
      <c r="AF1347" t="str" cm="1">
        <f t="array" ref="AF1347">_xlfn.IFS(J1347=1,"Low",J1347=2,"Medium",J1347=3,"High",J1347=4,"Very High")</f>
        <v>Very High</v>
      </c>
      <c r="AG1347" t="str" cm="1">
        <f t="array" ref="AG1347">_xlfn.IFS(L1347=1,"Low",L1347=2,"Medium",L1347=3,"High",L1347=4,"Very High")</f>
        <v>Medium</v>
      </c>
      <c r="AH1347" t="str" cm="1">
        <f t="array" ref="AH1347">_xlfn.IFS(M1347=1,"Junior employee",M1347=2,"Mid-level",M1347=3,"Senior",M1347=4,"Manager",M1347=5,"Executive")</f>
        <v>Mid-level</v>
      </c>
      <c r="AI1347" t="str" cm="1">
        <f t="array" ref="AI1347">_xlfn.IFS(O1347=1,"Low",O1347=2,"Medium",O1347=3,"High",O1347=4,"Very High")</f>
        <v>Medium</v>
      </c>
      <c r="AJ1347" t="str" cm="1">
        <f t="array" ref="AJ1347">_xlfn.IFS(U1347=1,"Low",U1347=2,"Good",U1347=3,"Excellent",U1347=4,"Outstanding")</f>
        <v>Excellent</v>
      </c>
      <c r="AK1347" t="str" cm="1">
        <f t="array" ref="AK1347">_xlfn.IFS(V1347=1,"Low",V1347=2,"Medium",V1347=3,"High",V1347=4,"Very High")</f>
        <v>Very High</v>
      </c>
      <c r="AL1347" t="str" cm="1">
        <f t="array" ref="AL1347">_xlfn.IFS(Z1347=1,"Bad",Z1347=2,"Good",Z1347=3,"Better",Z1347=4,"Best")</f>
        <v>Better</v>
      </c>
      <c r="AM1347" t="str" cm="1">
        <f t="array" ref="AM1347">_xlfn.IFS(W1347=0,"No_stock",W1347=1,"Low",W1347=2,"Medium",W1347=3,"High")</f>
        <v>No_stock</v>
      </c>
      <c r="AN1347" t="str">
        <f t="shared" si="21"/>
        <v>Far</v>
      </c>
    </row>
    <row r="1348" spans="1:40" x14ac:dyDescent="0.45">
      <c r="A1348">
        <v>45</v>
      </c>
      <c r="B1348" t="s">
        <v>37</v>
      </c>
      <c r="C1348" t="s">
        <v>31</v>
      </c>
      <c r="D1348">
        <v>556</v>
      </c>
      <c r="E1348" t="s">
        <v>39</v>
      </c>
      <c r="F1348">
        <v>25</v>
      </c>
      <c r="G1348">
        <v>2</v>
      </c>
      <c r="H1348" t="s">
        <v>33</v>
      </c>
      <c r="I1348">
        <v>1888</v>
      </c>
      <c r="J1348">
        <v>2</v>
      </c>
      <c r="K1348" t="s">
        <v>34</v>
      </c>
      <c r="L1348">
        <v>2</v>
      </c>
      <c r="M1348">
        <v>2</v>
      </c>
      <c r="N1348" t="s">
        <v>47</v>
      </c>
      <c r="O1348">
        <v>4</v>
      </c>
      <c r="P1348" t="s">
        <v>42</v>
      </c>
      <c r="Q1348">
        <v>5906</v>
      </c>
      <c r="R1348">
        <v>0</v>
      </c>
      <c r="S1348" t="s">
        <v>37</v>
      </c>
      <c r="T1348">
        <v>13</v>
      </c>
      <c r="U1348">
        <v>3</v>
      </c>
      <c r="V1348">
        <v>4</v>
      </c>
      <c r="W1348">
        <v>2</v>
      </c>
      <c r="X1348">
        <v>10</v>
      </c>
      <c r="Y1348">
        <v>2</v>
      </c>
      <c r="Z1348">
        <v>2</v>
      </c>
      <c r="AA1348">
        <v>9</v>
      </c>
      <c r="AB1348">
        <v>8</v>
      </c>
      <c r="AC1348">
        <v>3</v>
      </c>
      <c r="AD1348">
        <v>8</v>
      </c>
      <c r="AE1348" t="str" cm="1">
        <f t="array" ref="AE1348">_xlfn.IFS(G1348=1,"Before College",G1348=2,"College",G1348=3,"Bachelor",G1348=4,"Master",G1348=5,"Doctor")</f>
        <v>College</v>
      </c>
      <c r="AF1348" t="str" cm="1">
        <f t="array" ref="AF1348">_xlfn.IFS(J1348=1,"Low",J1348=2,"Medium",J1348=3,"High",J1348=4,"Very High")</f>
        <v>Medium</v>
      </c>
      <c r="AG1348" t="str" cm="1">
        <f t="array" ref="AG1348">_xlfn.IFS(L1348=1,"Low",L1348=2,"Medium",L1348=3,"High",L1348=4,"Very High")</f>
        <v>Medium</v>
      </c>
      <c r="AH1348" t="str" cm="1">
        <f t="array" ref="AH1348">_xlfn.IFS(M1348=1,"Junior employee",M1348=2,"Mid-level",M1348=3,"Senior",M1348=4,"Manager",M1348=5,"Executive")</f>
        <v>Mid-level</v>
      </c>
      <c r="AI1348" t="str" cm="1">
        <f t="array" ref="AI1348">_xlfn.IFS(O1348=1,"Low",O1348=2,"Medium",O1348=3,"High",O1348=4,"Very High")</f>
        <v>Very High</v>
      </c>
      <c r="AJ1348" t="str" cm="1">
        <f t="array" ref="AJ1348">_xlfn.IFS(U1348=1,"Low",U1348=2,"Good",U1348=3,"Excellent",U1348=4,"Outstanding")</f>
        <v>Excellent</v>
      </c>
      <c r="AK1348" t="str" cm="1">
        <f t="array" ref="AK1348">_xlfn.IFS(V1348=1,"Low",V1348=2,"Medium",V1348=3,"High",V1348=4,"Very High")</f>
        <v>Very High</v>
      </c>
      <c r="AL1348" t="str" cm="1">
        <f t="array" ref="AL1348">_xlfn.IFS(Z1348=1,"Bad",Z1348=2,"Good",Z1348=3,"Better",Z1348=4,"Best")</f>
        <v>Good</v>
      </c>
      <c r="AM1348" t="str" cm="1">
        <f t="array" ref="AM1348">_xlfn.IFS(W1348=0,"No_stock",W1348=1,"Low",W1348=2,"Medium",W1348=3,"High")</f>
        <v>Medium</v>
      </c>
      <c r="AN1348" t="str">
        <f t="shared" si="21"/>
        <v>Far</v>
      </c>
    </row>
    <row r="1349" spans="1:40" x14ac:dyDescent="0.45">
      <c r="A1349">
        <v>36</v>
      </c>
      <c r="B1349" t="s">
        <v>37</v>
      </c>
      <c r="C1349" t="s">
        <v>38</v>
      </c>
      <c r="D1349">
        <v>1213</v>
      </c>
      <c r="E1349" t="s">
        <v>55</v>
      </c>
      <c r="F1349">
        <v>2</v>
      </c>
      <c r="G1349">
        <v>1</v>
      </c>
      <c r="H1349" t="s">
        <v>55</v>
      </c>
      <c r="I1349">
        <v>1890</v>
      </c>
      <c r="J1349">
        <v>2</v>
      </c>
      <c r="K1349" t="s">
        <v>40</v>
      </c>
      <c r="L1349">
        <v>2</v>
      </c>
      <c r="M1349">
        <v>2</v>
      </c>
      <c r="N1349" t="s">
        <v>55</v>
      </c>
      <c r="O1349">
        <v>4</v>
      </c>
      <c r="P1349" t="s">
        <v>36</v>
      </c>
      <c r="Q1349">
        <v>3886</v>
      </c>
      <c r="R1349">
        <v>1</v>
      </c>
      <c r="S1349" t="s">
        <v>37</v>
      </c>
      <c r="T1349">
        <v>21</v>
      </c>
      <c r="U1349">
        <v>4</v>
      </c>
      <c r="V1349">
        <v>4</v>
      </c>
      <c r="W1349">
        <v>0</v>
      </c>
      <c r="X1349">
        <v>10</v>
      </c>
      <c r="Y1349">
        <v>2</v>
      </c>
      <c r="Z1349">
        <v>2</v>
      </c>
      <c r="AA1349">
        <v>10</v>
      </c>
      <c r="AB1349">
        <v>1</v>
      </c>
      <c r="AC1349">
        <v>0</v>
      </c>
      <c r="AD1349">
        <v>8</v>
      </c>
      <c r="AE1349" t="str" cm="1">
        <f t="array" ref="AE1349">_xlfn.IFS(G1349=1,"Before College",G1349=2,"College",G1349=3,"Bachelor",G1349=4,"Master",G1349=5,"Doctor")</f>
        <v>Before College</v>
      </c>
      <c r="AF1349" t="str" cm="1">
        <f t="array" ref="AF1349">_xlfn.IFS(J1349=1,"Low",J1349=2,"Medium",J1349=3,"High",J1349=4,"Very High")</f>
        <v>Medium</v>
      </c>
      <c r="AG1349" t="str" cm="1">
        <f t="array" ref="AG1349">_xlfn.IFS(L1349=1,"Low",L1349=2,"Medium",L1349=3,"High",L1349=4,"Very High")</f>
        <v>Medium</v>
      </c>
      <c r="AH1349" t="str" cm="1">
        <f t="array" ref="AH1349">_xlfn.IFS(M1349=1,"Junior employee",M1349=2,"Mid-level",M1349=3,"Senior",M1349=4,"Manager",M1349=5,"Executive")</f>
        <v>Mid-level</v>
      </c>
      <c r="AI1349" t="str" cm="1">
        <f t="array" ref="AI1349">_xlfn.IFS(O1349=1,"Low",O1349=2,"Medium",O1349=3,"High",O1349=4,"Very High")</f>
        <v>Very High</v>
      </c>
      <c r="AJ1349" t="str" cm="1">
        <f t="array" ref="AJ1349">_xlfn.IFS(U1349=1,"Low",U1349=2,"Good",U1349=3,"Excellent",U1349=4,"Outstanding")</f>
        <v>Outstanding</v>
      </c>
      <c r="AK1349" t="str" cm="1">
        <f t="array" ref="AK1349">_xlfn.IFS(V1349=1,"Low",V1349=2,"Medium",V1349=3,"High",V1349=4,"Very High")</f>
        <v>Very High</v>
      </c>
      <c r="AL1349" t="str" cm="1">
        <f t="array" ref="AL1349">_xlfn.IFS(Z1349=1,"Bad",Z1349=2,"Good",Z1349=3,"Better",Z1349=4,"Best")</f>
        <v>Good</v>
      </c>
      <c r="AM1349" t="str" cm="1">
        <f t="array" ref="AM1349">_xlfn.IFS(W1349=0,"No_stock",W1349=1,"Low",W1349=2,"Medium",W1349=3,"High")</f>
        <v>No_stock</v>
      </c>
      <c r="AN1349" t="str">
        <f t="shared" si="21"/>
        <v>Near</v>
      </c>
    </row>
    <row r="1350" spans="1:40" x14ac:dyDescent="0.45">
      <c r="A1350">
        <v>40</v>
      </c>
      <c r="B1350" t="s">
        <v>37</v>
      </c>
      <c r="C1350" t="s">
        <v>31</v>
      </c>
      <c r="D1350">
        <v>1137</v>
      </c>
      <c r="E1350" t="s">
        <v>39</v>
      </c>
      <c r="F1350">
        <v>1</v>
      </c>
      <c r="G1350">
        <v>4</v>
      </c>
      <c r="H1350" t="s">
        <v>33</v>
      </c>
      <c r="I1350">
        <v>1892</v>
      </c>
      <c r="J1350">
        <v>1</v>
      </c>
      <c r="K1350" t="s">
        <v>40</v>
      </c>
      <c r="L1350">
        <v>3</v>
      </c>
      <c r="M1350">
        <v>4</v>
      </c>
      <c r="N1350" t="s">
        <v>50</v>
      </c>
      <c r="O1350">
        <v>1</v>
      </c>
      <c r="P1350" t="s">
        <v>46</v>
      </c>
      <c r="Q1350">
        <v>16823</v>
      </c>
      <c r="R1350">
        <v>2</v>
      </c>
      <c r="S1350" t="s">
        <v>37</v>
      </c>
      <c r="T1350">
        <v>11</v>
      </c>
      <c r="U1350">
        <v>3</v>
      </c>
      <c r="V1350">
        <v>1</v>
      </c>
      <c r="W1350">
        <v>1</v>
      </c>
      <c r="X1350">
        <v>22</v>
      </c>
      <c r="Y1350">
        <v>3</v>
      </c>
      <c r="Z1350">
        <v>3</v>
      </c>
      <c r="AA1350">
        <v>19</v>
      </c>
      <c r="AB1350">
        <v>7</v>
      </c>
      <c r="AC1350">
        <v>11</v>
      </c>
      <c r="AD1350">
        <v>16</v>
      </c>
      <c r="AE1350" t="str" cm="1">
        <f t="array" ref="AE1350">_xlfn.IFS(G1350=1,"Before College",G1350=2,"College",G1350=3,"Bachelor",G1350=4,"Master",G1350=5,"Doctor")</f>
        <v>Master</v>
      </c>
      <c r="AF1350" t="str" cm="1">
        <f t="array" ref="AF1350">_xlfn.IFS(J1350=1,"Low",J1350=2,"Medium",J1350=3,"High",J1350=4,"Very High")</f>
        <v>Low</v>
      </c>
      <c r="AG1350" t="str" cm="1">
        <f t="array" ref="AG1350">_xlfn.IFS(L1350=1,"Low",L1350=2,"Medium",L1350=3,"High",L1350=4,"Very High")</f>
        <v>High</v>
      </c>
      <c r="AH1350" t="str" cm="1">
        <f t="array" ref="AH1350">_xlfn.IFS(M1350=1,"Junior employee",M1350=2,"Mid-level",M1350=3,"Senior",M1350=4,"Manager",M1350=5,"Executive")</f>
        <v>Manager</v>
      </c>
      <c r="AI1350" t="str" cm="1">
        <f t="array" ref="AI1350">_xlfn.IFS(O1350=1,"Low",O1350=2,"Medium",O1350=3,"High",O1350=4,"Very High")</f>
        <v>Low</v>
      </c>
      <c r="AJ1350" t="str" cm="1">
        <f t="array" ref="AJ1350">_xlfn.IFS(U1350=1,"Low",U1350=2,"Good",U1350=3,"Excellent",U1350=4,"Outstanding")</f>
        <v>Excellent</v>
      </c>
      <c r="AK1350" t="str" cm="1">
        <f t="array" ref="AK1350">_xlfn.IFS(V1350=1,"Low",V1350=2,"Medium",V1350=3,"High",V1350=4,"Very High")</f>
        <v>Low</v>
      </c>
      <c r="AL1350" t="str" cm="1">
        <f t="array" ref="AL1350">_xlfn.IFS(Z1350=1,"Bad",Z1350=2,"Good",Z1350=3,"Better",Z1350=4,"Best")</f>
        <v>Better</v>
      </c>
      <c r="AM1350" t="str" cm="1">
        <f t="array" ref="AM1350">_xlfn.IFS(W1350=0,"No_stock",W1350=1,"Low",W1350=2,"Medium",W1350=3,"High")</f>
        <v>Low</v>
      </c>
      <c r="AN1350" t="str">
        <f t="shared" si="21"/>
        <v>Near</v>
      </c>
    </row>
    <row r="1351" spans="1:40" x14ac:dyDescent="0.45">
      <c r="A1351">
        <v>26</v>
      </c>
      <c r="B1351" t="s">
        <v>37</v>
      </c>
      <c r="C1351" t="s">
        <v>31</v>
      </c>
      <c r="D1351">
        <v>482</v>
      </c>
      <c r="E1351" t="s">
        <v>39</v>
      </c>
      <c r="F1351">
        <v>1</v>
      </c>
      <c r="G1351">
        <v>2</v>
      </c>
      <c r="H1351" t="s">
        <v>33</v>
      </c>
      <c r="I1351">
        <v>1893</v>
      </c>
      <c r="J1351">
        <v>2</v>
      </c>
      <c r="K1351" t="s">
        <v>34</v>
      </c>
      <c r="L1351">
        <v>2</v>
      </c>
      <c r="M1351">
        <v>1</v>
      </c>
      <c r="N1351" t="s">
        <v>41</v>
      </c>
      <c r="O1351">
        <v>3</v>
      </c>
      <c r="P1351" t="s">
        <v>42</v>
      </c>
      <c r="Q1351">
        <v>2933</v>
      </c>
      <c r="R1351">
        <v>1</v>
      </c>
      <c r="S1351" t="s">
        <v>30</v>
      </c>
      <c r="T1351">
        <v>13</v>
      </c>
      <c r="U1351">
        <v>3</v>
      </c>
      <c r="V1351">
        <v>3</v>
      </c>
      <c r="W1351">
        <v>1</v>
      </c>
      <c r="X1351">
        <v>1</v>
      </c>
      <c r="Y1351">
        <v>3</v>
      </c>
      <c r="Z1351">
        <v>2</v>
      </c>
      <c r="AA1351">
        <v>1</v>
      </c>
      <c r="AB1351">
        <v>0</v>
      </c>
      <c r="AC1351">
        <v>1</v>
      </c>
      <c r="AD1351">
        <v>0</v>
      </c>
      <c r="AE1351" t="str" cm="1">
        <f t="array" ref="AE1351">_xlfn.IFS(G1351=1,"Before College",G1351=2,"College",G1351=3,"Bachelor",G1351=4,"Master",G1351=5,"Doctor")</f>
        <v>College</v>
      </c>
      <c r="AF1351" t="str" cm="1">
        <f t="array" ref="AF1351">_xlfn.IFS(J1351=1,"Low",J1351=2,"Medium",J1351=3,"High",J1351=4,"Very High")</f>
        <v>Medium</v>
      </c>
      <c r="AG1351" t="str" cm="1">
        <f t="array" ref="AG1351">_xlfn.IFS(L1351=1,"Low",L1351=2,"Medium",L1351=3,"High",L1351=4,"Very High")</f>
        <v>Medium</v>
      </c>
      <c r="AH1351" t="str" cm="1">
        <f t="array" ref="AH1351">_xlfn.IFS(M1351=1,"Junior employee",M1351=2,"Mid-level",M1351=3,"Senior",M1351=4,"Manager",M1351=5,"Executive")</f>
        <v>Junior employee</v>
      </c>
      <c r="AI1351" t="str" cm="1">
        <f t="array" ref="AI1351">_xlfn.IFS(O1351=1,"Low",O1351=2,"Medium",O1351=3,"High",O1351=4,"Very High")</f>
        <v>High</v>
      </c>
      <c r="AJ1351" t="str" cm="1">
        <f t="array" ref="AJ1351">_xlfn.IFS(U1351=1,"Low",U1351=2,"Good",U1351=3,"Excellent",U1351=4,"Outstanding")</f>
        <v>Excellent</v>
      </c>
      <c r="AK1351" t="str" cm="1">
        <f t="array" ref="AK1351">_xlfn.IFS(V1351=1,"Low",V1351=2,"Medium",V1351=3,"High",V1351=4,"Very High")</f>
        <v>High</v>
      </c>
      <c r="AL1351" t="str" cm="1">
        <f t="array" ref="AL1351">_xlfn.IFS(Z1351=1,"Bad",Z1351=2,"Good",Z1351=3,"Better",Z1351=4,"Best")</f>
        <v>Good</v>
      </c>
      <c r="AM1351" t="str" cm="1">
        <f t="array" ref="AM1351">_xlfn.IFS(W1351=0,"No_stock",W1351=1,"Low",W1351=2,"Medium",W1351=3,"High")</f>
        <v>Low</v>
      </c>
      <c r="AN1351" t="str">
        <f t="shared" si="21"/>
        <v>Near</v>
      </c>
    </row>
    <row r="1352" spans="1:40" x14ac:dyDescent="0.45">
      <c r="A1352">
        <v>27</v>
      </c>
      <c r="B1352" t="s">
        <v>37</v>
      </c>
      <c r="C1352" t="s">
        <v>31</v>
      </c>
      <c r="D1352">
        <v>511</v>
      </c>
      <c r="E1352" t="s">
        <v>32</v>
      </c>
      <c r="F1352">
        <v>2</v>
      </c>
      <c r="G1352">
        <v>2</v>
      </c>
      <c r="H1352" t="s">
        <v>45</v>
      </c>
      <c r="I1352">
        <v>1898</v>
      </c>
      <c r="J1352">
        <v>1</v>
      </c>
      <c r="K1352" t="s">
        <v>34</v>
      </c>
      <c r="L1352">
        <v>4</v>
      </c>
      <c r="M1352">
        <v>2</v>
      </c>
      <c r="N1352" t="s">
        <v>35</v>
      </c>
      <c r="O1352">
        <v>3</v>
      </c>
      <c r="P1352" t="s">
        <v>36</v>
      </c>
      <c r="Q1352">
        <v>6500</v>
      </c>
      <c r="R1352">
        <v>0</v>
      </c>
      <c r="S1352" t="s">
        <v>37</v>
      </c>
      <c r="T1352">
        <v>14</v>
      </c>
      <c r="U1352">
        <v>3</v>
      </c>
      <c r="V1352">
        <v>2</v>
      </c>
      <c r="W1352">
        <v>0</v>
      </c>
      <c r="X1352">
        <v>9</v>
      </c>
      <c r="Y1352">
        <v>5</v>
      </c>
      <c r="Z1352">
        <v>2</v>
      </c>
      <c r="AA1352">
        <v>8</v>
      </c>
      <c r="AB1352">
        <v>7</v>
      </c>
      <c r="AC1352">
        <v>0</v>
      </c>
      <c r="AD1352">
        <v>7</v>
      </c>
      <c r="AE1352" t="str" cm="1">
        <f t="array" ref="AE1352">_xlfn.IFS(G1352=1,"Before College",G1352=2,"College",G1352=3,"Bachelor",G1352=4,"Master",G1352=5,"Doctor")</f>
        <v>College</v>
      </c>
      <c r="AF1352" t="str" cm="1">
        <f t="array" ref="AF1352">_xlfn.IFS(J1352=1,"Low",J1352=2,"Medium",J1352=3,"High",J1352=4,"Very High")</f>
        <v>Low</v>
      </c>
      <c r="AG1352" t="str" cm="1">
        <f t="array" ref="AG1352">_xlfn.IFS(L1352=1,"Low",L1352=2,"Medium",L1352=3,"High",L1352=4,"Very High")</f>
        <v>Very High</v>
      </c>
      <c r="AH1352" t="str" cm="1">
        <f t="array" ref="AH1352">_xlfn.IFS(M1352=1,"Junior employee",M1352=2,"Mid-level",M1352=3,"Senior",M1352=4,"Manager",M1352=5,"Executive")</f>
        <v>Mid-level</v>
      </c>
      <c r="AI1352" t="str" cm="1">
        <f t="array" ref="AI1352">_xlfn.IFS(O1352=1,"Low",O1352=2,"Medium",O1352=3,"High",O1352=4,"Very High")</f>
        <v>High</v>
      </c>
      <c r="AJ1352" t="str" cm="1">
        <f t="array" ref="AJ1352">_xlfn.IFS(U1352=1,"Low",U1352=2,"Good",U1352=3,"Excellent",U1352=4,"Outstanding")</f>
        <v>Excellent</v>
      </c>
      <c r="AK1352" t="str" cm="1">
        <f t="array" ref="AK1352">_xlfn.IFS(V1352=1,"Low",V1352=2,"Medium",V1352=3,"High",V1352=4,"Very High")</f>
        <v>Medium</v>
      </c>
      <c r="AL1352" t="str" cm="1">
        <f t="array" ref="AL1352">_xlfn.IFS(Z1352=1,"Bad",Z1352=2,"Good",Z1352=3,"Better",Z1352=4,"Best")</f>
        <v>Good</v>
      </c>
      <c r="AM1352" t="str" cm="1">
        <f t="array" ref="AM1352">_xlfn.IFS(W1352=0,"No_stock",W1352=1,"Low",W1352=2,"Medium",W1352=3,"High")</f>
        <v>No_stock</v>
      </c>
      <c r="AN1352" t="str">
        <f t="shared" si="21"/>
        <v>Near</v>
      </c>
    </row>
    <row r="1353" spans="1:40" x14ac:dyDescent="0.45">
      <c r="A1353">
        <v>48</v>
      </c>
      <c r="B1353" t="s">
        <v>37</v>
      </c>
      <c r="C1353" t="s">
        <v>38</v>
      </c>
      <c r="D1353">
        <v>117</v>
      </c>
      <c r="E1353" t="s">
        <v>39</v>
      </c>
      <c r="F1353">
        <v>22</v>
      </c>
      <c r="G1353">
        <v>3</v>
      </c>
      <c r="H1353" t="s">
        <v>45</v>
      </c>
      <c r="I1353">
        <v>1900</v>
      </c>
      <c r="J1353">
        <v>4</v>
      </c>
      <c r="K1353" t="s">
        <v>34</v>
      </c>
      <c r="L1353">
        <v>3</v>
      </c>
      <c r="M1353">
        <v>4</v>
      </c>
      <c r="N1353" t="s">
        <v>50</v>
      </c>
      <c r="O1353">
        <v>4</v>
      </c>
      <c r="P1353" t="s">
        <v>46</v>
      </c>
      <c r="Q1353">
        <v>17174</v>
      </c>
      <c r="R1353">
        <v>3</v>
      </c>
      <c r="S1353" t="s">
        <v>37</v>
      </c>
      <c r="T1353">
        <v>11</v>
      </c>
      <c r="U1353">
        <v>3</v>
      </c>
      <c r="V1353">
        <v>2</v>
      </c>
      <c r="W1353">
        <v>1</v>
      </c>
      <c r="X1353">
        <v>24</v>
      </c>
      <c r="Y1353">
        <v>3</v>
      </c>
      <c r="Z1353">
        <v>3</v>
      </c>
      <c r="AA1353">
        <v>22</v>
      </c>
      <c r="AB1353">
        <v>17</v>
      </c>
      <c r="AC1353">
        <v>4</v>
      </c>
      <c r="AD1353">
        <v>7</v>
      </c>
      <c r="AE1353" t="str" cm="1">
        <f t="array" ref="AE1353">_xlfn.IFS(G1353=1,"Before College",G1353=2,"College",G1353=3,"Bachelor",G1353=4,"Master",G1353=5,"Doctor")</f>
        <v>Bachelor</v>
      </c>
      <c r="AF1353" t="str" cm="1">
        <f t="array" ref="AF1353">_xlfn.IFS(J1353=1,"Low",J1353=2,"Medium",J1353=3,"High",J1353=4,"Very High")</f>
        <v>Very High</v>
      </c>
      <c r="AG1353" t="str" cm="1">
        <f t="array" ref="AG1353">_xlfn.IFS(L1353=1,"Low",L1353=2,"Medium",L1353=3,"High",L1353=4,"Very High")</f>
        <v>High</v>
      </c>
      <c r="AH1353" t="str" cm="1">
        <f t="array" ref="AH1353">_xlfn.IFS(M1353=1,"Junior employee",M1353=2,"Mid-level",M1353=3,"Senior",M1353=4,"Manager",M1353=5,"Executive")</f>
        <v>Manager</v>
      </c>
      <c r="AI1353" t="str" cm="1">
        <f t="array" ref="AI1353">_xlfn.IFS(O1353=1,"Low",O1353=2,"Medium",O1353=3,"High",O1353=4,"Very High")</f>
        <v>Very High</v>
      </c>
      <c r="AJ1353" t="str" cm="1">
        <f t="array" ref="AJ1353">_xlfn.IFS(U1353=1,"Low",U1353=2,"Good",U1353=3,"Excellent",U1353=4,"Outstanding")</f>
        <v>Excellent</v>
      </c>
      <c r="AK1353" t="str" cm="1">
        <f t="array" ref="AK1353">_xlfn.IFS(V1353=1,"Low",V1353=2,"Medium",V1353=3,"High",V1353=4,"Very High")</f>
        <v>Medium</v>
      </c>
      <c r="AL1353" t="str" cm="1">
        <f t="array" ref="AL1353">_xlfn.IFS(Z1353=1,"Bad",Z1353=2,"Good",Z1353=3,"Better",Z1353=4,"Best")</f>
        <v>Better</v>
      </c>
      <c r="AM1353" t="str" cm="1">
        <f t="array" ref="AM1353">_xlfn.IFS(W1353=0,"No_stock",W1353=1,"Low",W1353=2,"Medium",W1353=3,"High")</f>
        <v>Low</v>
      </c>
      <c r="AN1353" t="str">
        <f t="shared" si="21"/>
        <v>Far</v>
      </c>
    </row>
    <row r="1354" spans="1:40" x14ac:dyDescent="0.45">
      <c r="A1354">
        <v>44</v>
      </c>
      <c r="B1354" t="s">
        <v>37</v>
      </c>
      <c r="C1354" t="s">
        <v>31</v>
      </c>
      <c r="D1354">
        <v>170</v>
      </c>
      <c r="E1354" t="s">
        <v>39</v>
      </c>
      <c r="F1354">
        <v>1</v>
      </c>
      <c r="G1354">
        <v>4</v>
      </c>
      <c r="H1354" t="s">
        <v>33</v>
      </c>
      <c r="I1354">
        <v>1903</v>
      </c>
      <c r="J1354">
        <v>2</v>
      </c>
      <c r="K1354" t="s">
        <v>40</v>
      </c>
      <c r="L1354">
        <v>4</v>
      </c>
      <c r="M1354">
        <v>2</v>
      </c>
      <c r="N1354" t="s">
        <v>48</v>
      </c>
      <c r="O1354">
        <v>1</v>
      </c>
      <c r="P1354" t="s">
        <v>42</v>
      </c>
      <c r="Q1354">
        <v>5033</v>
      </c>
      <c r="R1354">
        <v>2</v>
      </c>
      <c r="S1354" t="s">
        <v>37</v>
      </c>
      <c r="T1354">
        <v>15</v>
      </c>
      <c r="U1354">
        <v>3</v>
      </c>
      <c r="V1354">
        <v>4</v>
      </c>
      <c r="W1354">
        <v>1</v>
      </c>
      <c r="X1354">
        <v>10</v>
      </c>
      <c r="Y1354">
        <v>5</v>
      </c>
      <c r="Z1354">
        <v>3</v>
      </c>
      <c r="AA1354">
        <v>2</v>
      </c>
      <c r="AB1354">
        <v>0</v>
      </c>
      <c r="AC1354">
        <v>2</v>
      </c>
      <c r="AD1354">
        <v>2</v>
      </c>
      <c r="AE1354" t="str" cm="1">
        <f t="array" ref="AE1354">_xlfn.IFS(G1354=1,"Before College",G1354=2,"College",G1354=3,"Bachelor",G1354=4,"Master",G1354=5,"Doctor")</f>
        <v>Master</v>
      </c>
      <c r="AF1354" t="str" cm="1">
        <f t="array" ref="AF1354">_xlfn.IFS(J1354=1,"Low",J1354=2,"Medium",J1354=3,"High",J1354=4,"Very High")</f>
        <v>Medium</v>
      </c>
      <c r="AG1354" t="str" cm="1">
        <f t="array" ref="AG1354">_xlfn.IFS(L1354=1,"Low",L1354=2,"Medium",L1354=3,"High",L1354=4,"Very High")</f>
        <v>Very High</v>
      </c>
      <c r="AH1354" t="str" cm="1">
        <f t="array" ref="AH1354">_xlfn.IFS(M1354=1,"Junior employee",M1354=2,"Mid-level",M1354=3,"Senior",M1354=4,"Manager",M1354=5,"Executive")</f>
        <v>Mid-level</v>
      </c>
      <c r="AI1354" t="str" cm="1">
        <f t="array" ref="AI1354">_xlfn.IFS(O1354=1,"Low",O1354=2,"Medium",O1354=3,"High",O1354=4,"Very High")</f>
        <v>Low</v>
      </c>
      <c r="AJ1354" t="str" cm="1">
        <f t="array" ref="AJ1354">_xlfn.IFS(U1354=1,"Low",U1354=2,"Good",U1354=3,"Excellent",U1354=4,"Outstanding")</f>
        <v>Excellent</v>
      </c>
      <c r="AK1354" t="str" cm="1">
        <f t="array" ref="AK1354">_xlfn.IFS(V1354=1,"Low",V1354=2,"Medium",V1354=3,"High",V1354=4,"Very High")</f>
        <v>Very High</v>
      </c>
      <c r="AL1354" t="str" cm="1">
        <f t="array" ref="AL1354">_xlfn.IFS(Z1354=1,"Bad",Z1354=2,"Good",Z1354=3,"Better",Z1354=4,"Best")</f>
        <v>Better</v>
      </c>
      <c r="AM1354" t="str" cm="1">
        <f t="array" ref="AM1354">_xlfn.IFS(W1354=0,"No_stock",W1354=1,"Low",W1354=2,"Medium",W1354=3,"High")</f>
        <v>Low</v>
      </c>
      <c r="AN1354" t="str">
        <f t="shared" si="21"/>
        <v>Near</v>
      </c>
    </row>
    <row r="1355" spans="1:40" x14ac:dyDescent="0.45">
      <c r="A1355">
        <v>34</v>
      </c>
      <c r="B1355" t="s">
        <v>30</v>
      </c>
      <c r="C1355" t="s">
        <v>49</v>
      </c>
      <c r="D1355">
        <v>967</v>
      </c>
      <c r="E1355" t="s">
        <v>39</v>
      </c>
      <c r="F1355">
        <v>16</v>
      </c>
      <c r="G1355">
        <v>4</v>
      </c>
      <c r="H1355" t="s">
        <v>54</v>
      </c>
      <c r="I1355">
        <v>1905</v>
      </c>
      <c r="J1355">
        <v>4</v>
      </c>
      <c r="K1355" t="s">
        <v>40</v>
      </c>
      <c r="L1355">
        <v>1</v>
      </c>
      <c r="M1355">
        <v>1</v>
      </c>
      <c r="N1355" t="s">
        <v>41</v>
      </c>
      <c r="O1355">
        <v>1</v>
      </c>
      <c r="P1355" t="s">
        <v>42</v>
      </c>
      <c r="Q1355">
        <v>2307</v>
      </c>
      <c r="R1355">
        <v>1</v>
      </c>
      <c r="S1355" t="s">
        <v>30</v>
      </c>
      <c r="T1355">
        <v>23</v>
      </c>
      <c r="U1355">
        <v>4</v>
      </c>
      <c r="V1355">
        <v>2</v>
      </c>
      <c r="W1355">
        <v>1</v>
      </c>
      <c r="X1355">
        <v>5</v>
      </c>
      <c r="Y1355">
        <v>2</v>
      </c>
      <c r="Z1355">
        <v>3</v>
      </c>
      <c r="AA1355">
        <v>5</v>
      </c>
      <c r="AB1355">
        <v>2</v>
      </c>
      <c r="AC1355">
        <v>3</v>
      </c>
      <c r="AD1355">
        <v>0</v>
      </c>
      <c r="AE1355" t="str" cm="1">
        <f t="array" ref="AE1355">_xlfn.IFS(G1355=1,"Before College",G1355=2,"College",G1355=3,"Bachelor",G1355=4,"Master",G1355=5,"Doctor")</f>
        <v>Master</v>
      </c>
      <c r="AF1355" t="str" cm="1">
        <f t="array" ref="AF1355">_xlfn.IFS(J1355=1,"Low",J1355=2,"Medium",J1355=3,"High",J1355=4,"Very High")</f>
        <v>Very High</v>
      </c>
      <c r="AG1355" t="str" cm="1">
        <f t="array" ref="AG1355">_xlfn.IFS(L1355=1,"Low",L1355=2,"Medium",L1355=3,"High",L1355=4,"Very High")</f>
        <v>Low</v>
      </c>
      <c r="AH1355" t="str" cm="1">
        <f t="array" ref="AH1355">_xlfn.IFS(M1355=1,"Junior employee",M1355=2,"Mid-level",M1355=3,"Senior",M1355=4,"Manager",M1355=5,"Executive")</f>
        <v>Junior employee</v>
      </c>
      <c r="AI1355" t="str" cm="1">
        <f t="array" ref="AI1355">_xlfn.IFS(O1355=1,"Low",O1355=2,"Medium",O1355=3,"High",O1355=4,"Very High")</f>
        <v>Low</v>
      </c>
      <c r="AJ1355" t="str" cm="1">
        <f t="array" ref="AJ1355">_xlfn.IFS(U1355=1,"Low",U1355=2,"Good",U1355=3,"Excellent",U1355=4,"Outstanding")</f>
        <v>Outstanding</v>
      </c>
      <c r="AK1355" t="str" cm="1">
        <f t="array" ref="AK1355">_xlfn.IFS(V1355=1,"Low",V1355=2,"Medium",V1355=3,"High",V1355=4,"Very High")</f>
        <v>Medium</v>
      </c>
      <c r="AL1355" t="str" cm="1">
        <f t="array" ref="AL1355">_xlfn.IFS(Z1355=1,"Bad",Z1355=2,"Good",Z1355=3,"Better",Z1355=4,"Best")</f>
        <v>Better</v>
      </c>
      <c r="AM1355" t="str" cm="1">
        <f t="array" ref="AM1355">_xlfn.IFS(W1355=0,"No_stock",W1355=1,"Low",W1355=2,"Medium",W1355=3,"High")</f>
        <v>Low</v>
      </c>
      <c r="AN1355" t="str">
        <f t="shared" si="21"/>
        <v>Far</v>
      </c>
    </row>
    <row r="1356" spans="1:40" x14ac:dyDescent="0.45">
      <c r="A1356">
        <v>56</v>
      </c>
      <c r="B1356" t="s">
        <v>30</v>
      </c>
      <c r="C1356" t="s">
        <v>31</v>
      </c>
      <c r="D1356">
        <v>1162</v>
      </c>
      <c r="E1356" t="s">
        <v>39</v>
      </c>
      <c r="F1356">
        <v>24</v>
      </c>
      <c r="G1356">
        <v>2</v>
      </c>
      <c r="H1356" t="s">
        <v>33</v>
      </c>
      <c r="I1356">
        <v>1907</v>
      </c>
      <c r="J1356">
        <v>1</v>
      </c>
      <c r="K1356" t="s">
        <v>40</v>
      </c>
      <c r="L1356">
        <v>3</v>
      </c>
      <c r="M1356">
        <v>1</v>
      </c>
      <c r="N1356" t="s">
        <v>44</v>
      </c>
      <c r="O1356">
        <v>4</v>
      </c>
      <c r="P1356" t="s">
        <v>36</v>
      </c>
      <c r="Q1356">
        <v>2587</v>
      </c>
      <c r="R1356">
        <v>1</v>
      </c>
      <c r="S1356" t="s">
        <v>37</v>
      </c>
      <c r="T1356">
        <v>16</v>
      </c>
      <c r="U1356">
        <v>3</v>
      </c>
      <c r="V1356">
        <v>4</v>
      </c>
      <c r="W1356">
        <v>0</v>
      </c>
      <c r="X1356">
        <v>5</v>
      </c>
      <c r="Y1356">
        <v>3</v>
      </c>
      <c r="Z1356">
        <v>3</v>
      </c>
      <c r="AA1356">
        <v>4</v>
      </c>
      <c r="AB1356">
        <v>2</v>
      </c>
      <c r="AC1356">
        <v>1</v>
      </c>
      <c r="AD1356">
        <v>0</v>
      </c>
      <c r="AE1356" t="str" cm="1">
        <f t="array" ref="AE1356">_xlfn.IFS(G1356=1,"Before College",G1356=2,"College",G1356=3,"Bachelor",G1356=4,"Master",G1356=5,"Doctor")</f>
        <v>College</v>
      </c>
      <c r="AF1356" t="str" cm="1">
        <f t="array" ref="AF1356">_xlfn.IFS(J1356=1,"Low",J1356=2,"Medium",J1356=3,"High",J1356=4,"Very High")</f>
        <v>Low</v>
      </c>
      <c r="AG1356" t="str" cm="1">
        <f t="array" ref="AG1356">_xlfn.IFS(L1356=1,"Low",L1356=2,"Medium",L1356=3,"High",L1356=4,"Very High")</f>
        <v>High</v>
      </c>
      <c r="AH1356" t="str" cm="1">
        <f t="array" ref="AH1356">_xlfn.IFS(M1356=1,"Junior employee",M1356=2,"Mid-level",M1356=3,"Senior",M1356=4,"Manager",M1356=5,"Executive")</f>
        <v>Junior employee</v>
      </c>
      <c r="AI1356" t="str" cm="1">
        <f t="array" ref="AI1356">_xlfn.IFS(O1356=1,"Low",O1356=2,"Medium",O1356=3,"High",O1356=4,"Very High")</f>
        <v>Very High</v>
      </c>
      <c r="AJ1356" t="str" cm="1">
        <f t="array" ref="AJ1356">_xlfn.IFS(U1356=1,"Low",U1356=2,"Good",U1356=3,"Excellent",U1356=4,"Outstanding")</f>
        <v>Excellent</v>
      </c>
      <c r="AK1356" t="str" cm="1">
        <f t="array" ref="AK1356">_xlfn.IFS(V1356=1,"Low",V1356=2,"Medium",V1356=3,"High",V1356=4,"Very High")</f>
        <v>Very High</v>
      </c>
      <c r="AL1356" t="str" cm="1">
        <f t="array" ref="AL1356">_xlfn.IFS(Z1356=1,"Bad",Z1356=2,"Good",Z1356=3,"Better",Z1356=4,"Best")</f>
        <v>Better</v>
      </c>
      <c r="AM1356" t="str" cm="1">
        <f t="array" ref="AM1356">_xlfn.IFS(W1356=0,"No_stock",W1356=1,"Low",W1356=2,"Medium",W1356=3,"High")</f>
        <v>No_stock</v>
      </c>
      <c r="AN1356" t="str">
        <f t="shared" si="21"/>
        <v>Far</v>
      </c>
    </row>
    <row r="1357" spans="1:40" x14ac:dyDescent="0.45">
      <c r="A1357">
        <v>36</v>
      </c>
      <c r="B1357" t="s">
        <v>37</v>
      </c>
      <c r="C1357" t="s">
        <v>31</v>
      </c>
      <c r="D1357">
        <v>335</v>
      </c>
      <c r="E1357" t="s">
        <v>32</v>
      </c>
      <c r="F1357">
        <v>17</v>
      </c>
      <c r="G1357">
        <v>2</v>
      </c>
      <c r="H1357" t="s">
        <v>53</v>
      </c>
      <c r="I1357">
        <v>1908</v>
      </c>
      <c r="J1357">
        <v>3</v>
      </c>
      <c r="K1357" t="s">
        <v>40</v>
      </c>
      <c r="L1357">
        <v>2</v>
      </c>
      <c r="M1357">
        <v>2</v>
      </c>
      <c r="N1357" t="s">
        <v>35</v>
      </c>
      <c r="O1357">
        <v>2</v>
      </c>
      <c r="P1357" t="s">
        <v>42</v>
      </c>
      <c r="Q1357">
        <v>5507</v>
      </c>
      <c r="R1357">
        <v>2</v>
      </c>
      <c r="S1357" t="s">
        <v>37</v>
      </c>
      <c r="T1357">
        <v>16</v>
      </c>
      <c r="U1357">
        <v>3</v>
      </c>
      <c r="V1357">
        <v>3</v>
      </c>
      <c r="W1357">
        <v>2</v>
      </c>
      <c r="X1357">
        <v>12</v>
      </c>
      <c r="Y1357">
        <v>1</v>
      </c>
      <c r="Z1357">
        <v>1</v>
      </c>
      <c r="AA1357">
        <v>4</v>
      </c>
      <c r="AB1357">
        <v>2</v>
      </c>
      <c r="AC1357">
        <v>1</v>
      </c>
      <c r="AD1357">
        <v>3</v>
      </c>
      <c r="AE1357" t="str" cm="1">
        <f t="array" ref="AE1357">_xlfn.IFS(G1357=1,"Before College",G1357=2,"College",G1357=3,"Bachelor",G1357=4,"Master",G1357=5,"Doctor")</f>
        <v>College</v>
      </c>
      <c r="AF1357" t="str" cm="1">
        <f t="array" ref="AF1357">_xlfn.IFS(J1357=1,"Low",J1357=2,"Medium",J1357=3,"High",J1357=4,"Very High")</f>
        <v>High</v>
      </c>
      <c r="AG1357" t="str" cm="1">
        <f t="array" ref="AG1357">_xlfn.IFS(L1357=1,"Low",L1357=2,"Medium",L1357=3,"High",L1357=4,"Very High")</f>
        <v>Medium</v>
      </c>
      <c r="AH1357" t="str" cm="1">
        <f t="array" ref="AH1357">_xlfn.IFS(M1357=1,"Junior employee",M1357=2,"Mid-level",M1357=3,"Senior",M1357=4,"Manager",M1357=5,"Executive")</f>
        <v>Mid-level</v>
      </c>
      <c r="AI1357" t="str" cm="1">
        <f t="array" ref="AI1357">_xlfn.IFS(O1357=1,"Low",O1357=2,"Medium",O1357=3,"High",O1357=4,"Very High")</f>
        <v>Medium</v>
      </c>
      <c r="AJ1357" t="str" cm="1">
        <f t="array" ref="AJ1357">_xlfn.IFS(U1357=1,"Low",U1357=2,"Good",U1357=3,"Excellent",U1357=4,"Outstanding")</f>
        <v>Excellent</v>
      </c>
      <c r="AK1357" t="str" cm="1">
        <f t="array" ref="AK1357">_xlfn.IFS(V1357=1,"Low",V1357=2,"Medium",V1357=3,"High",V1357=4,"Very High")</f>
        <v>High</v>
      </c>
      <c r="AL1357" t="str" cm="1">
        <f t="array" ref="AL1357">_xlfn.IFS(Z1357=1,"Bad",Z1357=2,"Good",Z1357=3,"Better",Z1357=4,"Best")</f>
        <v>Bad</v>
      </c>
      <c r="AM1357" t="str" cm="1">
        <f t="array" ref="AM1357">_xlfn.IFS(W1357=0,"No_stock",W1357=1,"Low",W1357=2,"Medium",W1357=3,"High")</f>
        <v>Medium</v>
      </c>
      <c r="AN1357" t="str">
        <f t="shared" si="21"/>
        <v>Far</v>
      </c>
    </row>
    <row r="1358" spans="1:40" x14ac:dyDescent="0.45">
      <c r="A1358">
        <v>41</v>
      </c>
      <c r="B1358" t="s">
        <v>37</v>
      </c>
      <c r="C1358" t="s">
        <v>31</v>
      </c>
      <c r="D1358">
        <v>337</v>
      </c>
      <c r="E1358" t="s">
        <v>32</v>
      </c>
      <c r="F1358">
        <v>8</v>
      </c>
      <c r="G1358">
        <v>3</v>
      </c>
      <c r="H1358" t="s">
        <v>53</v>
      </c>
      <c r="I1358">
        <v>1909</v>
      </c>
      <c r="J1358">
        <v>3</v>
      </c>
      <c r="K1358" t="s">
        <v>34</v>
      </c>
      <c r="L1358">
        <v>3</v>
      </c>
      <c r="M1358">
        <v>2</v>
      </c>
      <c r="N1358" t="s">
        <v>35</v>
      </c>
      <c r="O1358">
        <v>2</v>
      </c>
      <c r="P1358" t="s">
        <v>42</v>
      </c>
      <c r="Q1358">
        <v>4393</v>
      </c>
      <c r="R1358">
        <v>5</v>
      </c>
      <c r="S1358" t="s">
        <v>37</v>
      </c>
      <c r="T1358">
        <v>21</v>
      </c>
      <c r="U1358">
        <v>4</v>
      </c>
      <c r="V1358">
        <v>3</v>
      </c>
      <c r="W1358">
        <v>1</v>
      </c>
      <c r="X1358">
        <v>14</v>
      </c>
      <c r="Y1358">
        <v>3</v>
      </c>
      <c r="Z1358">
        <v>3</v>
      </c>
      <c r="AA1358">
        <v>5</v>
      </c>
      <c r="AB1358">
        <v>4</v>
      </c>
      <c r="AC1358">
        <v>1</v>
      </c>
      <c r="AD1358">
        <v>4</v>
      </c>
      <c r="AE1358" t="str" cm="1">
        <f t="array" ref="AE1358">_xlfn.IFS(G1358=1,"Before College",G1358=2,"College",G1358=3,"Bachelor",G1358=4,"Master",G1358=5,"Doctor")</f>
        <v>Bachelor</v>
      </c>
      <c r="AF1358" t="str" cm="1">
        <f t="array" ref="AF1358">_xlfn.IFS(J1358=1,"Low",J1358=2,"Medium",J1358=3,"High",J1358=4,"Very High")</f>
        <v>High</v>
      </c>
      <c r="AG1358" t="str" cm="1">
        <f t="array" ref="AG1358">_xlfn.IFS(L1358=1,"Low",L1358=2,"Medium",L1358=3,"High",L1358=4,"Very High")</f>
        <v>High</v>
      </c>
      <c r="AH1358" t="str" cm="1">
        <f t="array" ref="AH1358">_xlfn.IFS(M1358=1,"Junior employee",M1358=2,"Mid-level",M1358=3,"Senior",M1358=4,"Manager",M1358=5,"Executive")</f>
        <v>Mid-level</v>
      </c>
      <c r="AI1358" t="str" cm="1">
        <f t="array" ref="AI1358">_xlfn.IFS(O1358=1,"Low",O1358=2,"Medium",O1358=3,"High",O1358=4,"Very High")</f>
        <v>Medium</v>
      </c>
      <c r="AJ1358" t="str" cm="1">
        <f t="array" ref="AJ1358">_xlfn.IFS(U1358=1,"Low",U1358=2,"Good",U1358=3,"Excellent",U1358=4,"Outstanding")</f>
        <v>Outstanding</v>
      </c>
      <c r="AK1358" t="str" cm="1">
        <f t="array" ref="AK1358">_xlfn.IFS(V1358=1,"Low",V1358=2,"Medium",V1358=3,"High",V1358=4,"Very High")</f>
        <v>High</v>
      </c>
      <c r="AL1358" t="str" cm="1">
        <f t="array" ref="AL1358">_xlfn.IFS(Z1358=1,"Bad",Z1358=2,"Good",Z1358=3,"Better",Z1358=4,"Best")</f>
        <v>Better</v>
      </c>
      <c r="AM1358" t="str" cm="1">
        <f t="array" ref="AM1358">_xlfn.IFS(W1358=0,"No_stock",W1358=1,"Low",W1358=2,"Medium",W1358=3,"High")</f>
        <v>Low</v>
      </c>
      <c r="AN1358" t="str">
        <f t="shared" si="21"/>
        <v>Medium</v>
      </c>
    </row>
    <row r="1359" spans="1:40" x14ac:dyDescent="0.45">
      <c r="A1359">
        <v>42</v>
      </c>
      <c r="B1359" t="s">
        <v>37</v>
      </c>
      <c r="C1359" t="s">
        <v>31</v>
      </c>
      <c r="D1359">
        <v>1396</v>
      </c>
      <c r="E1359" t="s">
        <v>39</v>
      </c>
      <c r="F1359">
        <v>6</v>
      </c>
      <c r="G1359">
        <v>3</v>
      </c>
      <c r="H1359" t="s">
        <v>45</v>
      </c>
      <c r="I1359">
        <v>1911</v>
      </c>
      <c r="J1359">
        <v>3</v>
      </c>
      <c r="K1359" t="s">
        <v>40</v>
      </c>
      <c r="L1359">
        <v>3</v>
      </c>
      <c r="M1359">
        <v>3</v>
      </c>
      <c r="N1359" t="s">
        <v>52</v>
      </c>
      <c r="O1359">
        <v>1</v>
      </c>
      <c r="P1359" t="s">
        <v>42</v>
      </c>
      <c r="Q1359">
        <v>13348</v>
      </c>
      <c r="R1359">
        <v>9</v>
      </c>
      <c r="S1359" t="s">
        <v>37</v>
      </c>
      <c r="T1359">
        <v>13</v>
      </c>
      <c r="U1359">
        <v>3</v>
      </c>
      <c r="V1359">
        <v>2</v>
      </c>
      <c r="W1359">
        <v>1</v>
      </c>
      <c r="X1359">
        <v>18</v>
      </c>
      <c r="Y1359">
        <v>3</v>
      </c>
      <c r="Z1359">
        <v>4</v>
      </c>
      <c r="AA1359">
        <v>13</v>
      </c>
      <c r="AB1359">
        <v>7</v>
      </c>
      <c r="AC1359">
        <v>5</v>
      </c>
      <c r="AD1359">
        <v>7</v>
      </c>
      <c r="AE1359" t="str" cm="1">
        <f t="array" ref="AE1359">_xlfn.IFS(G1359=1,"Before College",G1359=2,"College",G1359=3,"Bachelor",G1359=4,"Master",G1359=5,"Doctor")</f>
        <v>Bachelor</v>
      </c>
      <c r="AF1359" t="str" cm="1">
        <f t="array" ref="AF1359">_xlfn.IFS(J1359=1,"Low",J1359=2,"Medium",J1359=3,"High",J1359=4,"Very High")</f>
        <v>High</v>
      </c>
      <c r="AG1359" t="str" cm="1">
        <f t="array" ref="AG1359">_xlfn.IFS(L1359=1,"Low",L1359=2,"Medium",L1359=3,"High",L1359=4,"Very High")</f>
        <v>High</v>
      </c>
      <c r="AH1359" t="str" cm="1">
        <f t="array" ref="AH1359">_xlfn.IFS(M1359=1,"Junior employee",M1359=2,"Mid-level",M1359=3,"Senior",M1359=4,"Manager",M1359=5,"Executive")</f>
        <v>Senior</v>
      </c>
      <c r="AI1359" t="str" cm="1">
        <f t="array" ref="AI1359">_xlfn.IFS(O1359=1,"Low",O1359=2,"Medium",O1359=3,"High",O1359=4,"Very High")</f>
        <v>Low</v>
      </c>
      <c r="AJ1359" t="str" cm="1">
        <f t="array" ref="AJ1359">_xlfn.IFS(U1359=1,"Low",U1359=2,"Good",U1359=3,"Excellent",U1359=4,"Outstanding")</f>
        <v>Excellent</v>
      </c>
      <c r="AK1359" t="str" cm="1">
        <f t="array" ref="AK1359">_xlfn.IFS(V1359=1,"Low",V1359=2,"Medium",V1359=3,"High",V1359=4,"Very High")</f>
        <v>Medium</v>
      </c>
      <c r="AL1359" t="str" cm="1">
        <f t="array" ref="AL1359">_xlfn.IFS(Z1359=1,"Bad",Z1359=2,"Good",Z1359=3,"Better",Z1359=4,"Best")</f>
        <v>Best</v>
      </c>
      <c r="AM1359" t="str" cm="1">
        <f t="array" ref="AM1359">_xlfn.IFS(W1359=0,"No_stock",W1359=1,"Low",W1359=2,"Medium",W1359=3,"High")</f>
        <v>Low</v>
      </c>
      <c r="AN1359" t="str">
        <f t="shared" si="21"/>
        <v>Medium</v>
      </c>
    </row>
    <row r="1360" spans="1:40" x14ac:dyDescent="0.45">
      <c r="A1360">
        <v>31</v>
      </c>
      <c r="B1360" t="s">
        <v>37</v>
      </c>
      <c r="C1360" t="s">
        <v>31</v>
      </c>
      <c r="D1360">
        <v>1079</v>
      </c>
      <c r="E1360" t="s">
        <v>32</v>
      </c>
      <c r="F1360">
        <v>10</v>
      </c>
      <c r="G1360">
        <v>2</v>
      </c>
      <c r="H1360" t="s">
        <v>45</v>
      </c>
      <c r="I1360">
        <v>1912</v>
      </c>
      <c r="J1360">
        <v>3</v>
      </c>
      <c r="K1360" t="s">
        <v>34</v>
      </c>
      <c r="L1360">
        <v>3</v>
      </c>
      <c r="M1360">
        <v>2</v>
      </c>
      <c r="N1360" t="s">
        <v>35</v>
      </c>
      <c r="O1360">
        <v>4</v>
      </c>
      <c r="P1360" t="s">
        <v>46</v>
      </c>
      <c r="Q1360">
        <v>6583</v>
      </c>
      <c r="R1360">
        <v>2</v>
      </c>
      <c r="S1360" t="s">
        <v>30</v>
      </c>
      <c r="T1360">
        <v>11</v>
      </c>
      <c r="U1360">
        <v>3</v>
      </c>
      <c r="V1360">
        <v>4</v>
      </c>
      <c r="W1360">
        <v>1</v>
      </c>
      <c r="X1360">
        <v>8</v>
      </c>
      <c r="Y1360">
        <v>2</v>
      </c>
      <c r="Z1360">
        <v>3</v>
      </c>
      <c r="AA1360">
        <v>5</v>
      </c>
      <c r="AB1360">
        <v>2</v>
      </c>
      <c r="AC1360">
        <v>1</v>
      </c>
      <c r="AD1360">
        <v>4</v>
      </c>
      <c r="AE1360" t="str" cm="1">
        <f t="array" ref="AE1360">_xlfn.IFS(G1360=1,"Before College",G1360=2,"College",G1360=3,"Bachelor",G1360=4,"Master",G1360=5,"Doctor")</f>
        <v>College</v>
      </c>
      <c r="AF1360" t="str" cm="1">
        <f t="array" ref="AF1360">_xlfn.IFS(J1360=1,"Low",J1360=2,"Medium",J1360=3,"High",J1360=4,"Very High")</f>
        <v>High</v>
      </c>
      <c r="AG1360" t="str" cm="1">
        <f t="array" ref="AG1360">_xlfn.IFS(L1360=1,"Low",L1360=2,"Medium",L1360=3,"High",L1360=4,"Very High")</f>
        <v>High</v>
      </c>
      <c r="AH1360" t="str" cm="1">
        <f t="array" ref="AH1360">_xlfn.IFS(M1360=1,"Junior employee",M1360=2,"Mid-level",M1360=3,"Senior",M1360=4,"Manager",M1360=5,"Executive")</f>
        <v>Mid-level</v>
      </c>
      <c r="AI1360" t="str" cm="1">
        <f t="array" ref="AI1360">_xlfn.IFS(O1360=1,"Low",O1360=2,"Medium",O1360=3,"High",O1360=4,"Very High")</f>
        <v>Very High</v>
      </c>
      <c r="AJ1360" t="str" cm="1">
        <f t="array" ref="AJ1360">_xlfn.IFS(U1360=1,"Low",U1360=2,"Good",U1360=3,"Excellent",U1360=4,"Outstanding")</f>
        <v>Excellent</v>
      </c>
      <c r="AK1360" t="str" cm="1">
        <f t="array" ref="AK1360">_xlfn.IFS(V1360=1,"Low",V1360=2,"Medium",V1360=3,"High",V1360=4,"Very High")</f>
        <v>Very High</v>
      </c>
      <c r="AL1360" t="str" cm="1">
        <f t="array" ref="AL1360">_xlfn.IFS(Z1360=1,"Bad",Z1360=2,"Good",Z1360=3,"Better",Z1360=4,"Best")</f>
        <v>Better</v>
      </c>
      <c r="AM1360" t="str" cm="1">
        <f t="array" ref="AM1360">_xlfn.IFS(W1360=0,"No_stock",W1360=1,"Low",W1360=2,"Medium",W1360=3,"High")</f>
        <v>Low</v>
      </c>
      <c r="AN1360" t="str">
        <f t="shared" si="21"/>
        <v>Medium</v>
      </c>
    </row>
    <row r="1361" spans="1:40" x14ac:dyDescent="0.45">
      <c r="A1361">
        <v>34</v>
      </c>
      <c r="B1361" t="s">
        <v>37</v>
      </c>
      <c r="C1361" t="s">
        <v>31</v>
      </c>
      <c r="D1361">
        <v>735</v>
      </c>
      <c r="E1361" t="s">
        <v>32</v>
      </c>
      <c r="F1361">
        <v>3</v>
      </c>
      <c r="G1361">
        <v>1</v>
      </c>
      <c r="H1361" t="s">
        <v>45</v>
      </c>
      <c r="I1361">
        <v>1915</v>
      </c>
      <c r="J1361">
        <v>4</v>
      </c>
      <c r="K1361" t="s">
        <v>34</v>
      </c>
      <c r="L1361">
        <v>2</v>
      </c>
      <c r="M1361">
        <v>2</v>
      </c>
      <c r="N1361" t="s">
        <v>35</v>
      </c>
      <c r="O1361">
        <v>4</v>
      </c>
      <c r="P1361" t="s">
        <v>42</v>
      </c>
      <c r="Q1361">
        <v>8103</v>
      </c>
      <c r="R1361">
        <v>3</v>
      </c>
      <c r="S1361" t="s">
        <v>30</v>
      </c>
      <c r="T1361">
        <v>12</v>
      </c>
      <c r="U1361">
        <v>3</v>
      </c>
      <c r="V1361">
        <v>3</v>
      </c>
      <c r="W1361">
        <v>0</v>
      </c>
      <c r="X1361">
        <v>9</v>
      </c>
      <c r="Y1361">
        <v>3</v>
      </c>
      <c r="Z1361">
        <v>2</v>
      </c>
      <c r="AA1361">
        <v>4</v>
      </c>
      <c r="AB1361">
        <v>2</v>
      </c>
      <c r="AC1361">
        <v>0</v>
      </c>
      <c r="AD1361">
        <v>1</v>
      </c>
      <c r="AE1361" t="str" cm="1">
        <f t="array" ref="AE1361">_xlfn.IFS(G1361=1,"Before College",G1361=2,"College",G1361=3,"Bachelor",G1361=4,"Master",G1361=5,"Doctor")</f>
        <v>Before College</v>
      </c>
      <c r="AF1361" t="str" cm="1">
        <f t="array" ref="AF1361">_xlfn.IFS(J1361=1,"Low",J1361=2,"Medium",J1361=3,"High",J1361=4,"Very High")</f>
        <v>Very High</v>
      </c>
      <c r="AG1361" t="str" cm="1">
        <f t="array" ref="AG1361">_xlfn.IFS(L1361=1,"Low",L1361=2,"Medium",L1361=3,"High",L1361=4,"Very High")</f>
        <v>Medium</v>
      </c>
      <c r="AH1361" t="str" cm="1">
        <f t="array" ref="AH1361">_xlfn.IFS(M1361=1,"Junior employee",M1361=2,"Mid-level",M1361=3,"Senior",M1361=4,"Manager",M1361=5,"Executive")</f>
        <v>Mid-level</v>
      </c>
      <c r="AI1361" t="str" cm="1">
        <f t="array" ref="AI1361">_xlfn.IFS(O1361=1,"Low",O1361=2,"Medium",O1361=3,"High",O1361=4,"Very High")</f>
        <v>Very High</v>
      </c>
      <c r="AJ1361" t="str" cm="1">
        <f t="array" ref="AJ1361">_xlfn.IFS(U1361=1,"Low",U1361=2,"Good",U1361=3,"Excellent",U1361=4,"Outstanding")</f>
        <v>Excellent</v>
      </c>
      <c r="AK1361" t="str" cm="1">
        <f t="array" ref="AK1361">_xlfn.IFS(V1361=1,"Low",V1361=2,"Medium",V1361=3,"High",V1361=4,"Very High")</f>
        <v>High</v>
      </c>
      <c r="AL1361" t="str" cm="1">
        <f t="array" ref="AL1361">_xlfn.IFS(Z1361=1,"Bad",Z1361=2,"Good",Z1361=3,"Better",Z1361=4,"Best")</f>
        <v>Good</v>
      </c>
      <c r="AM1361" t="str" cm="1">
        <f t="array" ref="AM1361">_xlfn.IFS(W1361=0,"No_stock",W1361=1,"Low",W1361=2,"Medium",W1361=3,"High")</f>
        <v>No_stock</v>
      </c>
      <c r="AN1361" t="str">
        <f t="shared" si="21"/>
        <v>Near</v>
      </c>
    </row>
    <row r="1362" spans="1:40" x14ac:dyDescent="0.45">
      <c r="A1362">
        <v>31</v>
      </c>
      <c r="B1362" t="s">
        <v>37</v>
      </c>
      <c r="C1362" t="s">
        <v>31</v>
      </c>
      <c r="D1362">
        <v>471</v>
      </c>
      <c r="E1362" t="s">
        <v>39</v>
      </c>
      <c r="F1362">
        <v>4</v>
      </c>
      <c r="G1362">
        <v>3</v>
      </c>
      <c r="H1362" t="s">
        <v>45</v>
      </c>
      <c r="I1362">
        <v>1916</v>
      </c>
      <c r="J1362">
        <v>1</v>
      </c>
      <c r="K1362" t="s">
        <v>34</v>
      </c>
      <c r="L1362">
        <v>4</v>
      </c>
      <c r="M1362">
        <v>1</v>
      </c>
      <c r="N1362" t="s">
        <v>44</v>
      </c>
      <c r="O1362">
        <v>3</v>
      </c>
      <c r="P1362" t="s">
        <v>46</v>
      </c>
      <c r="Q1362">
        <v>3978</v>
      </c>
      <c r="R1362">
        <v>8</v>
      </c>
      <c r="S1362" t="s">
        <v>37</v>
      </c>
      <c r="T1362">
        <v>12</v>
      </c>
      <c r="U1362">
        <v>3</v>
      </c>
      <c r="V1362">
        <v>2</v>
      </c>
      <c r="W1362">
        <v>1</v>
      </c>
      <c r="X1362">
        <v>4</v>
      </c>
      <c r="Y1362">
        <v>0</v>
      </c>
      <c r="Z1362">
        <v>2</v>
      </c>
      <c r="AA1362">
        <v>2</v>
      </c>
      <c r="AB1362">
        <v>2</v>
      </c>
      <c r="AC1362">
        <v>2</v>
      </c>
      <c r="AD1362">
        <v>2</v>
      </c>
      <c r="AE1362" t="str" cm="1">
        <f t="array" ref="AE1362">_xlfn.IFS(G1362=1,"Before College",G1362=2,"College",G1362=3,"Bachelor",G1362=4,"Master",G1362=5,"Doctor")</f>
        <v>Bachelor</v>
      </c>
      <c r="AF1362" t="str" cm="1">
        <f t="array" ref="AF1362">_xlfn.IFS(J1362=1,"Low",J1362=2,"Medium",J1362=3,"High",J1362=4,"Very High")</f>
        <v>Low</v>
      </c>
      <c r="AG1362" t="str" cm="1">
        <f t="array" ref="AG1362">_xlfn.IFS(L1362=1,"Low",L1362=2,"Medium",L1362=3,"High",L1362=4,"Very High")</f>
        <v>Very High</v>
      </c>
      <c r="AH1362" t="str" cm="1">
        <f t="array" ref="AH1362">_xlfn.IFS(M1362=1,"Junior employee",M1362=2,"Mid-level",M1362=3,"Senior",M1362=4,"Manager",M1362=5,"Executive")</f>
        <v>Junior employee</v>
      </c>
      <c r="AI1362" t="str" cm="1">
        <f t="array" ref="AI1362">_xlfn.IFS(O1362=1,"Low",O1362=2,"Medium",O1362=3,"High",O1362=4,"Very High")</f>
        <v>High</v>
      </c>
      <c r="AJ1362" t="str" cm="1">
        <f t="array" ref="AJ1362">_xlfn.IFS(U1362=1,"Low",U1362=2,"Good",U1362=3,"Excellent",U1362=4,"Outstanding")</f>
        <v>Excellent</v>
      </c>
      <c r="AK1362" t="str" cm="1">
        <f t="array" ref="AK1362">_xlfn.IFS(V1362=1,"Low",V1362=2,"Medium",V1362=3,"High",V1362=4,"Very High")</f>
        <v>Medium</v>
      </c>
      <c r="AL1362" t="str" cm="1">
        <f t="array" ref="AL1362">_xlfn.IFS(Z1362=1,"Bad",Z1362=2,"Good",Z1362=3,"Better",Z1362=4,"Best")</f>
        <v>Good</v>
      </c>
      <c r="AM1362" t="str" cm="1">
        <f t="array" ref="AM1362">_xlfn.IFS(W1362=0,"No_stock",W1362=1,"Low",W1362=2,"Medium",W1362=3,"High")</f>
        <v>Low</v>
      </c>
      <c r="AN1362" t="str">
        <f t="shared" si="21"/>
        <v>Near</v>
      </c>
    </row>
    <row r="1363" spans="1:40" x14ac:dyDescent="0.45">
      <c r="A1363">
        <v>26</v>
      </c>
      <c r="B1363" t="s">
        <v>37</v>
      </c>
      <c r="C1363" t="s">
        <v>38</v>
      </c>
      <c r="D1363">
        <v>1096</v>
      </c>
      <c r="E1363" t="s">
        <v>39</v>
      </c>
      <c r="F1363">
        <v>6</v>
      </c>
      <c r="G1363">
        <v>3</v>
      </c>
      <c r="H1363" t="s">
        <v>43</v>
      </c>
      <c r="I1363">
        <v>1918</v>
      </c>
      <c r="J1363">
        <v>3</v>
      </c>
      <c r="K1363" t="s">
        <v>40</v>
      </c>
      <c r="L1363">
        <v>4</v>
      </c>
      <c r="M1363">
        <v>1</v>
      </c>
      <c r="N1363" t="s">
        <v>44</v>
      </c>
      <c r="O1363">
        <v>4</v>
      </c>
      <c r="P1363" t="s">
        <v>42</v>
      </c>
      <c r="Q1363">
        <v>2544</v>
      </c>
      <c r="R1363">
        <v>0</v>
      </c>
      <c r="S1363" t="s">
        <v>37</v>
      </c>
      <c r="T1363">
        <v>18</v>
      </c>
      <c r="U1363">
        <v>3</v>
      </c>
      <c r="V1363">
        <v>1</v>
      </c>
      <c r="W1363">
        <v>1</v>
      </c>
      <c r="X1363">
        <v>8</v>
      </c>
      <c r="Y1363">
        <v>3</v>
      </c>
      <c r="Z1363">
        <v>3</v>
      </c>
      <c r="AA1363">
        <v>7</v>
      </c>
      <c r="AB1363">
        <v>7</v>
      </c>
      <c r="AC1363">
        <v>7</v>
      </c>
      <c r="AD1363">
        <v>7</v>
      </c>
      <c r="AE1363" t="str" cm="1">
        <f t="array" ref="AE1363">_xlfn.IFS(G1363=1,"Before College",G1363=2,"College",G1363=3,"Bachelor",G1363=4,"Master",G1363=5,"Doctor")</f>
        <v>Bachelor</v>
      </c>
      <c r="AF1363" t="str" cm="1">
        <f t="array" ref="AF1363">_xlfn.IFS(J1363=1,"Low",J1363=2,"Medium",J1363=3,"High",J1363=4,"Very High")</f>
        <v>High</v>
      </c>
      <c r="AG1363" t="str" cm="1">
        <f t="array" ref="AG1363">_xlfn.IFS(L1363=1,"Low",L1363=2,"Medium",L1363=3,"High",L1363=4,"Very High")</f>
        <v>Very High</v>
      </c>
      <c r="AH1363" t="str" cm="1">
        <f t="array" ref="AH1363">_xlfn.IFS(M1363=1,"Junior employee",M1363=2,"Mid-level",M1363=3,"Senior",M1363=4,"Manager",M1363=5,"Executive")</f>
        <v>Junior employee</v>
      </c>
      <c r="AI1363" t="str" cm="1">
        <f t="array" ref="AI1363">_xlfn.IFS(O1363=1,"Low",O1363=2,"Medium",O1363=3,"High",O1363=4,"Very High")</f>
        <v>Very High</v>
      </c>
      <c r="AJ1363" t="str" cm="1">
        <f t="array" ref="AJ1363">_xlfn.IFS(U1363=1,"Low",U1363=2,"Good",U1363=3,"Excellent",U1363=4,"Outstanding")</f>
        <v>Excellent</v>
      </c>
      <c r="AK1363" t="str" cm="1">
        <f t="array" ref="AK1363">_xlfn.IFS(V1363=1,"Low",V1363=2,"Medium",V1363=3,"High",V1363=4,"Very High")</f>
        <v>Low</v>
      </c>
      <c r="AL1363" t="str" cm="1">
        <f t="array" ref="AL1363">_xlfn.IFS(Z1363=1,"Bad",Z1363=2,"Good",Z1363=3,"Better",Z1363=4,"Best")</f>
        <v>Better</v>
      </c>
      <c r="AM1363" t="str" cm="1">
        <f t="array" ref="AM1363">_xlfn.IFS(W1363=0,"No_stock",W1363=1,"Low",W1363=2,"Medium",W1363=3,"High")</f>
        <v>Low</v>
      </c>
      <c r="AN1363" t="str">
        <f t="shared" si="21"/>
        <v>Medium</v>
      </c>
    </row>
    <row r="1364" spans="1:40" x14ac:dyDescent="0.45">
      <c r="A1364">
        <v>45</v>
      </c>
      <c r="B1364" t="s">
        <v>37</v>
      </c>
      <c r="C1364" t="s">
        <v>38</v>
      </c>
      <c r="D1364">
        <v>1297</v>
      </c>
      <c r="E1364" t="s">
        <v>39</v>
      </c>
      <c r="F1364">
        <v>1</v>
      </c>
      <c r="G1364">
        <v>4</v>
      </c>
      <c r="H1364" t="s">
        <v>45</v>
      </c>
      <c r="I1364">
        <v>1922</v>
      </c>
      <c r="J1364">
        <v>2</v>
      </c>
      <c r="K1364" t="s">
        <v>40</v>
      </c>
      <c r="L1364">
        <v>3</v>
      </c>
      <c r="M1364">
        <v>2</v>
      </c>
      <c r="N1364" t="s">
        <v>48</v>
      </c>
      <c r="O1364">
        <v>3</v>
      </c>
      <c r="P1364" t="s">
        <v>36</v>
      </c>
      <c r="Q1364">
        <v>5399</v>
      </c>
      <c r="R1364">
        <v>4</v>
      </c>
      <c r="S1364" t="s">
        <v>37</v>
      </c>
      <c r="T1364">
        <v>12</v>
      </c>
      <c r="U1364">
        <v>3</v>
      </c>
      <c r="V1364">
        <v>3</v>
      </c>
      <c r="W1364">
        <v>0</v>
      </c>
      <c r="X1364">
        <v>12</v>
      </c>
      <c r="Y1364">
        <v>3</v>
      </c>
      <c r="Z1364">
        <v>3</v>
      </c>
      <c r="AA1364">
        <v>4</v>
      </c>
      <c r="AB1364">
        <v>2</v>
      </c>
      <c r="AC1364">
        <v>0</v>
      </c>
      <c r="AD1364">
        <v>3</v>
      </c>
      <c r="AE1364" t="str" cm="1">
        <f t="array" ref="AE1364">_xlfn.IFS(G1364=1,"Before College",G1364=2,"College",G1364=3,"Bachelor",G1364=4,"Master",G1364=5,"Doctor")</f>
        <v>Master</v>
      </c>
      <c r="AF1364" t="str" cm="1">
        <f t="array" ref="AF1364">_xlfn.IFS(J1364=1,"Low",J1364=2,"Medium",J1364=3,"High",J1364=4,"Very High")</f>
        <v>Medium</v>
      </c>
      <c r="AG1364" t="str" cm="1">
        <f t="array" ref="AG1364">_xlfn.IFS(L1364=1,"Low",L1364=2,"Medium",L1364=3,"High",L1364=4,"Very High")</f>
        <v>High</v>
      </c>
      <c r="AH1364" t="str" cm="1">
        <f t="array" ref="AH1364">_xlfn.IFS(M1364=1,"Junior employee",M1364=2,"Mid-level",M1364=3,"Senior",M1364=4,"Manager",M1364=5,"Executive")</f>
        <v>Mid-level</v>
      </c>
      <c r="AI1364" t="str" cm="1">
        <f t="array" ref="AI1364">_xlfn.IFS(O1364=1,"Low",O1364=2,"Medium",O1364=3,"High",O1364=4,"Very High")</f>
        <v>High</v>
      </c>
      <c r="AJ1364" t="str" cm="1">
        <f t="array" ref="AJ1364">_xlfn.IFS(U1364=1,"Low",U1364=2,"Good",U1364=3,"Excellent",U1364=4,"Outstanding")</f>
        <v>Excellent</v>
      </c>
      <c r="AK1364" t="str" cm="1">
        <f t="array" ref="AK1364">_xlfn.IFS(V1364=1,"Low",V1364=2,"Medium",V1364=3,"High",V1364=4,"Very High")</f>
        <v>High</v>
      </c>
      <c r="AL1364" t="str" cm="1">
        <f t="array" ref="AL1364">_xlfn.IFS(Z1364=1,"Bad",Z1364=2,"Good",Z1364=3,"Better",Z1364=4,"Best")</f>
        <v>Better</v>
      </c>
      <c r="AM1364" t="str" cm="1">
        <f t="array" ref="AM1364">_xlfn.IFS(W1364=0,"No_stock",W1364=1,"Low",W1364=2,"Medium",W1364=3,"High")</f>
        <v>No_stock</v>
      </c>
      <c r="AN1364" t="str">
        <f t="shared" si="21"/>
        <v>Near</v>
      </c>
    </row>
    <row r="1365" spans="1:40" x14ac:dyDescent="0.45">
      <c r="A1365">
        <v>33</v>
      </c>
      <c r="B1365" t="s">
        <v>37</v>
      </c>
      <c r="C1365" t="s">
        <v>31</v>
      </c>
      <c r="D1365">
        <v>217</v>
      </c>
      <c r="E1365" t="s">
        <v>32</v>
      </c>
      <c r="F1365">
        <v>10</v>
      </c>
      <c r="G1365">
        <v>4</v>
      </c>
      <c r="H1365" t="s">
        <v>53</v>
      </c>
      <c r="I1365">
        <v>1924</v>
      </c>
      <c r="J1365">
        <v>2</v>
      </c>
      <c r="K1365" t="s">
        <v>40</v>
      </c>
      <c r="L1365">
        <v>3</v>
      </c>
      <c r="M1365">
        <v>2</v>
      </c>
      <c r="N1365" t="s">
        <v>35</v>
      </c>
      <c r="O1365">
        <v>3</v>
      </c>
      <c r="P1365" t="s">
        <v>36</v>
      </c>
      <c r="Q1365">
        <v>5487</v>
      </c>
      <c r="R1365">
        <v>1</v>
      </c>
      <c r="S1365" t="s">
        <v>37</v>
      </c>
      <c r="T1365">
        <v>14</v>
      </c>
      <c r="U1365">
        <v>3</v>
      </c>
      <c r="V1365">
        <v>2</v>
      </c>
      <c r="W1365">
        <v>0</v>
      </c>
      <c r="X1365">
        <v>10</v>
      </c>
      <c r="Y1365">
        <v>2</v>
      </c>
      <c r="Z1365">
        <v>2</v>
      </c>
      <c r="AA1365">
        <v>10</v>
      </c>
      <c r="AB1365">
        <v>4</v>
      </c>
      <c r="AC1365">
        <v>0</v>
      </c>
      <c r="AD1365">
        <v>9</v>
      </c>
      <c r="AE1365" t="str" cm="1">
        <f t="array" ref="AE1365">_xlfn.IFS(G1365=1,"Before College",G1365=2,"College",G1365=3,"Bachelor",G1365=4,"Master",G1365=5,"Doctor")</f>
        <v>Master</v>
      </c>
      <c r="AF1365" t="str" cm="1">
        <f t="array" ref="AF1365">_xlfn.IFS(J1365=1,"Low",J1365=2,"Medium",J1365=3,"High",J1365=4,"Very High")</f>
        <v>Medium</v>
      </c>
      <c r="AG1365" t="str" cm="1">
        <f t="array" ref="AG1365">_xlfn.IFS(L1365=1,"Low",L1365=2,"Medium",L1365=3,"High",L1365=4,"Very High")</f>
        <v>High</v>
      </c>
      <c r="AH1365" t="str" cm="1">
        <f t="array" ref="AH1365">_xlfn.IFS(M1365=1,"Junior employee",M1365=2,"Mid-level",M1365=3,"Senior",M1365=4,"Manager",M1365=5,"Executive")</f>
        <v>Mid-level</v>
      </c>
      <c r="AI1365" t="str" cm="1">
        <f t="array" ref="AI1365">_xlfn.IFS(O1365=1,"Low",O1365=2,"Medium",O1365=3,"High",O1365=4,"Very High")</f>
        <v>High</v>
      </c>
      <c r="AJ1365" t="str" cm="1">
        <f t="array" ref="AJ1365">_xlfn.IFS(U1365=1,"Low",U1365=2,"Good",U1365=3,"Excellent",U1365=4,"Outstanding")</f>
        <v>Excellent</v>
      </c>
      <c r="AK1365" t="str" cm="1">
        <f t="array" ref="AK1365">_xlfn.IFS(V1365=1,"Low",V1365=2,"Medium",V1365=3,"High",V1365=4,"Very High")</f>
        <v>Medium</v>
      </c>
      <c r="AL1365" t="str" cm="1">
        <f t="array" ref="AL1365">_xlfn.IFS(Z1365=1,"Bad",Z1365=2,"Good",Z1365=3,"Better",Z1365=4,"Best")</f>
        <v>Good</v>
      </c>
      <c r="AM1365" t="str" cm="1">
        <f t="array" ref="AM1365">_xlfn.IFS(W1365=0,"No_stock",W1365=1,"Low",W1365=2,"Medium",W1365=3,"High")</f>
        <v>No_stock</v>
      </c>
      <c r="AN1365" t="str">
        <f t="shared" si="21"/>
        <v>Medium</v>
      </c>
    </row>
    <row r="1366" spans="1:40" x14ac:dyDescent="0.45">
      <c r="A1366">
        <v>28</v>
      </c>
      <c r="B1366" t="s">
        <v>37</v>
      </c>
      <c r="C1366" t="s">
        <v>38</v>
      </c>
      <c r="D1366">
        <v>783</v>
      </c>
      <c r="E1366" t="s">
        <v>32</v>
      </c>
      <c r="F1366">
        <v>1</v>
      </c>
      <c r="G1366">
        <v>2</v>
      </c>
      <c r="H1366" t="s">
        <v>33</v>
      </c>
      <c r="I1366">
        <v>1927</v>
      </c>
      <c r="J1366">
        <v>3</v>
      </c>
      <c r="K1366" t="s">
        <v>40</v>
      </c>
      <c r="L1366">
        <v>2</v>
      </c>
      <c r="M1366">
        <v>2</v>
      </c>
      <c r="N1366" t="s">
        <v>35</v>
      </c>
      <c r="O1366">
        <v>4</v>
      </c>
      <c r="P1366" t="s">
        <v>42</v>
      </c>
      <c r="Q1366">
        <v>6834</v>
      </c>
      <c r="R1366">
        <v>1</v>
      </c>
      <c r="S1366" t="s">
        <v>30</v>
      </c>
      <c r="T1366">
        <v>12</v>
      </c>
      <c r="U1366">
        <v>3</v>
      </c>
      <c r="V1366">
        <v>3</v>
      </c>
      <c r="W1366">
        <v>1</v>
      </c>
      <c r="X1366">
        <v>7</v>
      </c>
      <c r="Y1366">
        <v>2</v>
      </c>
      <c r="Z1366">
        <v>3</v>
      </c>
      <c r="AA1366">
        <v>7</v>
      </c>
      <c r="AB1366">
        <v>7</v>
      </c>
      <c r="AC1366">
        <v>0</v>
      </c>
      <c r="AD1366">
        <v>7</v>
      </c>
      <c r="AE1366" t="str" cm="1">
        <f t="array" ref="AE1366">_xlfn.IFS(G1366=1,"Before College",G1366=2,"College",G1366=3,"Bachelor",G1366=4,"Master",G1366=5,"Doctor")</f>
        <v>College</v>
      </c>
      <c r="AF1366" t="str" cm="1">
        <f t="array" ref="AF1366">_xlfn.IFS(J1366=1,"Low",J1366=2,"Medium",J1366=3,"High",J1366=4,"Very High")</f>
        <v>High</v>
      </c>
      <c r="AG1366" t="str" cm="1">
        <f t="array" ref="AG1366">_xlfn.IFS(L1366=1,"Low",L1366=2,"Medium",L1366=3,"High",L1366=4,"Very High")</f>
        <v>Medium</v>
      </c>
      <c r="AH1366" t="str" cm="1">
        <f t="array" ref="AH1366">_xlfn.IFS(M1366=1,"Junior employee",M1366=2,"Mid-level",M1366=3,"Senior",M1366=4,"Manager",M1366=5,"Executive")</f>
        <v>Mid-level</v>
      </c>
      <c r="AI1366" t="str" cm="1">
        <f t="array" ref="AI1366">_xlfn.IFS(O1366=1,"Low",O1366=2,"Medium",O1366=3,"High",O1366=4,"Very High")</f>
        <v>Very High</v>
      </c>
      <c r="AJ1366" t="str" cm="1">
        <f t="array" ref="AJ1366">_xlfn.IFS(U1366=1,"Low",U1366=2,"Good",U1366=3,"Excellent",U1366=4,"Outstanding")</f>
        <v>Excellent</v>
      </c>
      <c r="AK1366" t="str" cm="1">
        <f t="array" ref="AK1366">_xlfn.IFS(V1366=1,"Low",V1366=2,"Medium",V1366=3,"High",V1366=4,"Very High")</f>
        <v>High</v>
      </c>
      <c r="AL1366" t="str" cm="1">
        <f t="array" ref="AL1366">_xlfn.IFS(Z1366=1,"Bad",Z1366=2,"Good",Z1366=3,"Better",Z1366=4,"Best")</f>
        <v>Better</v>
      </c>
      <c r="AM1366" t="str" cm="1">
        <f t="array" ref="AM1366">_xlfn.IFS(W1366=0,"No_stock",W1366=1,"Low",W1366=2,"Medium",W1366=3,"High")</f>
        <v>Low</v>
      </c>
      <c r="AN1366" t="str">
        <f t="shared" si="21"/>
        <v>Near</v>
      </c>
    </row>
    <row r="1367" spans="1:40" x14ac:dyDescent="0.45">
      <c r="A1367">
        <v>29</v>
      </c>
      <c r="B1367" t="s">
        <v>30</v>
      </c>
      <c r="C1367" t="s">
        <v>38</v>
      </c>
      <c r="D1367">
        <v>746</v>
      </c>
      <c r="E1367" t="s">
        <v>32</v>
      </c>
      <c r="F1367">
        <v>24</v>
      </c>
      <c r="G1367">
        <v>3</v>
      </c>
      <c r="H1367" t="s">
        <v>54</v>
      </c>
      <c r="I1367">
        <v>1928</v>
      </c>
      <c r="J1367">
        <v>3</v>
      </c>
      <c r="K1367" t="s">
        <v>40</v>
      </c>
      <c r="L1367">
        <v>4</v>
      </c>
      <c r="M1367">
        <v>1</v>
      </c>
      <c r="N1367" t="s">
        <v>51</v>
      </c>
      <c r="O1367">
        <v>1</v>
      </c>
      <c r="P1367" t="s">
        <v>36</v>
      </c>
      <c r="Q1367">
        <v>1091</v>
      </c>
      <c r="R1367">
        <v>1</v>
      </c>
      <c r="S1367" t="s">
        <v>37</v>
      </c>
      <c r="T1367">
        <v>17</v>
      </c>
      <c r="U1367">
        <v>3</v>
      </c>
      <c r="V1367">
        <v>4</v>
      </c>
      <c r="W1367">
        <v>0</v>
      </c>
      <c r="X1367">
        <v>1</v>
      </c>
      <c r="Y1367">
        <v>3</v>
      </c>
      <c r="Z1367">
        <v>3</v>
      </c>
      <c r="AA1367">
        <v>1</v>
      </c>
      <c r="AB1367">
        <v>0</v>
      </c>
      <c r="AC1367">
        <v>0</v>
      </c>
      <c r="AD1367">
        <v>0</v>
      </c>
      <c r="AE1367" t="str" cm="1">
        <f t="array" ref="AE1367">_xlfn.IFS(G1367=1,"Before College",G1367=2,"College",G1367=3,"Bachelor",G1367=4,"Master",G1367=5,"Doctor")</f>
        <v>Bachelor</v>
      </c>
      <c r="AF1367" t="str" cm="1">
        <f t="array" ref="AF1367">_xlfn.IFS(J1367=1,"Low",J1367=2,"Medium",J1367=3,"High",J1367=4,"Very High")</f>
        <v>High</v>
      </c>
      <c r="AG1367" t="str" cm="1">
        <f t="array" ref="AG1367">_xlfn.IFS(L1367=1,"Low",L1367=2,"Medium",L1367=3,"High",L1367=4,"Very High")</f>
        <v>Very High</v>
      </c>
      <c r="AH1367" t="str" cm="1">
        <f t="array" ref="AH1367">_xlfn.IFS(M1367=1,"Junior employee",M1367=2,"Mid-level",M1367=3,"Senior",M1367=4,"Manager",M1367=5,"Executive")</f>
        <v>Junior employee</v>
      </c>
      <c r="AI1367" t="str" cm="1">
        <f t="array" ref="AI1367">_xlfn.IFS(O1367=1,"Low",O1367=2,"Medium",O1367=3,"High",O1367=4,"Very High")</f>
        <v>Low</v>
      </c>
      <c r="AJ1367" t="str" cm="1">
        <f t="array" ref="AJ1367">_xlfn.IFS(U1367=1,"Low",U1367=2,"Good",U1367=3,"Excellent",U1367=4,"Outstanding")</f>
        <v>Excellent</v>
      </c>
      <c r="AK1367" t="str" cm="1">
        <f t="array" ref="AK1367">_xlfn.IFS(V1367=1,"Low",V1367=2,"Medium",V1367=3,"High",V1367=4,"Very High")</f>
        <v>Very High</v>
      </c>
      <c r="AL1367" t="str" cm="1">
        <f t="array" ref="AL1367">_xlfn.IFS(Z1367=1,"Bad",Z1367=2,"Good",Z1367=3,"Better",Z1367=4,"Best")</f>
        <v>Better</v>
      </c>
      <c r="AM1367" t="str" cm="1">
        <f t="array" ref="AM1367">_xlfn.IFS(W1367=0,"No_stock",W1367=1,"Low",W1367=2,"Medium",W1367=3,"High")</f>
        <v>No_stock</v>
      </c>
      <c r="AN1367" t="str">
        <f t="shared" si="21"/>
        <v>Far</v>
      </c>
    </row>
    <row r="1368" spans="1:40" x14ac:dyDescent="0.45">
      <c r="A1368">
        <v>39</v>
      </c>
      <c r="B1368" t="s">
        <v>37</v>
      </c>
      <c r="C1368" t="s">
        <v>49</v>
      </c>
      <c r="D1368">
        <v>1251</v>
      </c>
      <c r="E1368" t="s">
        <v>32</v>
      </c>
      <c r="F1368">
        <v>21</v>
      </c>
      <c r="G1368">
        <v>4</v>
      </c>
      <c r="H1368" t="s">
        <v>33</v>
      </c>
      <c r="I1368">
        <v>1929</v>
      </c>
      <c r="J1368">
        <v>1</v>
      </c>
      <c r="K1368" t="s">
        <v>34</v>
      </c>
      <c r="L1368">
        <v>1</v>
      </c>
      <c r="M1368">
        <v>2</v>
      </c>
      <c r="N1368" t="s">
        <v>35</v>
      </c>
      <c r="O1368">
        <v>3</v>
      </c>
      <c r="P1368" t="s">
        <v>42</v>
      </c>
      <c r="Q1368">
        <v>5736</v>
      </c>
      <c r="R1368">
        <v>6</v>
      </c>
      <c r="S1368" t="s">
        <v>37</v>
      </c>
      <c r="T1368">
        <v>19</v>
      </c>
      <c r="U1368">
        <v>3</v>
      </c>
      <c r="V1368">
        <v>3</v>
      </c>
      <c r="W1368">
        <v>1</v>
      </c>
      <c r="X1368">
        <v>10</v>
      </c>
      <c r="Y1368">
        <v>1</v>
      </c>
      <c r="Z1368">
        <v>3</v>
      </c>
      <c r="AA1368">
        <v>3</v>
      </c>
      <c r="AB1368">
        <v>2</v>
      </c>
      <c r="AC1368">
        <v>1</v>
      </c>
      <c r="AD1368">
        <v>2</v>
      </c>
      <c r="AE1368" t="str" cm="1">
        <f t="array" ref="AE1368">_xlfn.IFS(G1368=1,"Before College",G1368=2,"College",G1368=3,"Bachelor",G1368=4,"Master",G1368=5,"Doctor")</f>
        <v>Master</v>
      </c>
      <c r="AF1368" t="str" cm="1">
        <f t="array" ref="AF1368">_xlfn.IFS(J1368=1,"Low",J1368=2,"Medium",J1368=3,"High",J1368=4,"Very High")</f>
        <v>Low</v>
      </c>
      <c r="AG1368" t="str" cm="1">
        <f t="array" ref="AG1368">_xlfn.IFS(L1368=1,"Low",L1368=2,"Medium",L1368=3,"High",L1368=4,"Very High")</f>
        <v>Low</v>
      </c>
      <c r="AH1368" t="str" cm="1">
        <f t="array" ref="AH1368">_xlfn.IFS(M1368=1,"Junior employee",M1368=2,"Mid-level",M1368=3,"Senior",M1368=4,"Manager",M1368=5,"Executive")</f>
        <v>Mid-level</v>
      </c>
      <c r="AI1368" t="str" cm="1">
        <f t="array" ref="AI1368">_xlfn.IFS(O1368=1,"Low",O1368=2,"Medium",O1368=3,"High",O1368=4,"Very High")</f>
        <v>High</v>
      </c>
      <c r="AJ1368" t="str" cm="1">
        <f t="array" ref="AJ1368">_xlfn.IFS(U1368=1,"Low",U1368=2,"Good",U1368=3,"Excellent",U1368=4,"Outstanding")</f>
        <v>Excellent</v>
      </c>
      <c r="AK1368" t="str" cm="1">
        <f t="array" ref="AK1368">_xlfn.IFS(V1368=1,"Low",V1368=2,"Medium",V1368=3,"High",V1368=4,"Very High")</f>
        <v>High</v>
      </c>
      <c r="AL1368" t="str" cm="1">
        <f t="array" ref="AL1368">_xlfn.IFS(Z1368=1,"Bad",Z1368=2,"Good",Z1368=3,"Better",Z1368=4,"Best")</f>
        <v>Better</v>
      </c>
      <c r="AM1368" t="str" cm="1">
        <f t="array" ref="AM1368">_xlfn.IFS(W1368=0,"No_stock",W1368=1,"Low",W1368=2,"Medium",W1368=3,"High")</f>
        <v>Low</v>
      </c>
      <c r="AN1368" t="str">
        <f t="shared" si="21"/>
        <v>Far</v>
      </c>
    </row>
    <row r="1369" spans="1:40" x14ac:dyDescent="0.45">
      <c r="A1369">
        <v>27</v>
      </c>
      <c r="B1369" t="s">
        <v>37</v>
      </c>
      <c r="C1369" t="s">
        <v>31</v>
      </c>
      <c r="D1369">
        <v>1354</v>
      </c>
      <c r="E1369" t="s">
        <v>39</v>
      </c>
      <c r="F1369">
        <v>2</v>
      </c>
      <c r="G1369">
        <v>4</v>
      </c>
      <c r="H1369" t="s">
        <v>54</v>
      </c>
      <c r="I1369">
        <v>1931</v>
      </c>
      <c r="J1369">
        <v>2</v>
      </c>
      <c r="K1369" t="s">
        <v>40</v>
      </c>
      <c r="L1369">
        <v>3</v>
      </c>
      <c r="M1369">
        <v>1</v>
      </c>
      <c r="N1369" t="s">
        <v>41</v>
      </c>
      <c r="O1369">
        <v>2</v>
      </c>
      <c r="P1369" t="s">
        <v>42</v>
      </c>
      <c r="Q1369">
        <v>2226</v>
      </c>
      <c r="R1369">
        <v>1</v>
      </c>
      <c r="S1369" t="s">
        <v>37</v>
      </c>
      <c r="T1369">
        <v>11</v>
      </c>
      <c r="U1369">
        <v>3</v>
      </c>
      <c r="V1369">
        <v>3</v>
      </c>
      <c r="W1369">
        <v>1</v>
      </c>
      <c r="X1369">
        <v>6</v>
      </c>
      <c r="Y1369">
        <v>3</v>
      </c>
      <c r="Z1369">
        <v>2</v>
      </c>
      <c r="AA1369">
        <v>5</v>
      </c>
      <c r="AB1369">
        <v>3</v>
      </c>
      <c r="AC1369">
        <v>1</v>
      </c>
      <c r="AD1369">
        <v>2</v>
      </c>
      <c r="AE1369" t="str" cm="1">
        <f t="array" ref="AE1369">_xlfn.IFS(G1369=1,"Before College",G1369=2,"College",G1369=3,"Bachelor",G1369=4,"Master",G1369=5,"Doctor")</f>
        <v>Master</v>
      </c>
      <c r="AF1369" t="str" cm="1">
        <f t="array" ref="AF1369">_xlfn.IFS(J1369=1,"Low",J1369=2,"Medium",J1369=3,"High",J1369=4,"Very High")</f>
        <v>Medium</v>
      </c>
      <c r="AG1369" t="str" cm="1">
        <f t="array" ref="AG1369">_xlfn.IFS(L1369=1,"Low",L1369=2,"Medium",L1369=3,"High",L1369=4,"Very High")</f>
        <v>High</v>
      </c>
      <c r="AH1369" t="str" cm="1">
        <f t="array" ref="AH1369">_xlfn.IFS(M1369=1,"Junior employee",M1369=2,"Mid-level",M1369=3,"Senior",M1369=4,"Manager",M1369=5,"Executive")</f>
        <v>Junior employee</v>
      </c>
      <c r="AI1369" t="str" cm="1">
        <f t="array" ref="AI1369">_xlfn.IFS(O1369=1,"Low",O1369=2,"Medium",O1369=3,"High",O1369=4,"Very High")</f>
        <v>Medium</v>
      </c>
      <c r="AJ1369" t="str" cm="1">
        <f t="array" ref="AJ1369">_xlfn.IFS(U1369=1,"Low",U1369=2,"Good",U1369=3,"Excellent",U1369=4,"Outstanding")</f>
        <v>Excellent</v>
      </c>
      <c r="AK1369" t="str" cm="1">
        <f t="array" ref="AK1369">_xlfn.IFS(V1369=1,"Low",V1369=2,"Medium",V1369=3,"High",V1369=4,"Very High")</f>
        <v>High</v>
      </c>
      <c r="AL1369" t="str" cm="1">
        <f t="array" ref="AL1369">_xlfn.IFS(Z1369=1,"Bad",Z1369=2,"Good",Z1369=3,"Better",Z1369=4,"Best")</f>
        <v>Good</v>
      </c>
      <c r="AM1369" t="str" cm="1">
        <f t="array" ref="AM1369">_xlfn.IFS(W1369=0,"No_stock",W1369=1,"Low",W1369=2,"Medium",W1369=3,"High")</f>
        <v>Low</v>
      </c>
      <c r="AN1369" t="str">
        <f t="shared" si="21"/>
        <v>Near</v>
      </c>
    </row>
    <row r="1370" spans="1:40" x14ac:dyDescent="0.45">
      <c r="A1370">
        <v>34</v>
      </c>
      <c r="B1370" t="s">
        <v>37</v>
      </c>
      <c r="C1370" t="s">
        <v>38</v>
      </c>
      <c r="D1370">
        <v>735</v>
      </c>
      <c r="E1370" t="s">
        <v>39</v>
      </c>
      <c r="F1370">
        <v>22</v>
      </c>
      <c r="G1370">
        <v>4</v>
      </c>
      <c r="H1370" t="s">
        <v>43</v>
      </c>
      <c r="I1370">
        <v>1932</v>
      </c>
      <c r="J1370">
        <v>3</v>
      </c>
      <c r="K1370" t="s">
        <v>40</v>
      </c>
      <c r="L1370">
        <v>2</v>
      </c>
      <c r="M1370">
        <v>2</v>
      </c>
      <c r="N1370" t="s">
        <v>41</v>
      </c>
      <c r="O1370">
        <v>4</v>
      </c>
      <c r="P1370" t="s">
        <v>42</v>
      </c>
      <c r="Q1370">
        <v>5747</v>
      </c>
      <c r="R1370">
        <v>1</v>
      </c>
      <c r="S1370" t="s">
        <v>30</v>
      </c>
      <c r="T1370">
        <v>15</v>
      </c>
      <c r="U1370">
        <v>3</v>
      </c>
      <c r="V1370">
        <v>2</v>
      </c>
      <c r="W1370">
        <v>0</v>
      </c>
      <c r="X1370">
        <v>16</v>
      </c>
      <c r="Y1370">
        <v>3</v>
      </c>
      <c r="Z1370">
        <v>3</v>
      </c>
      <c r="AA1370">
        <v>15</v>
      </c>
      <c r="AB1370">
        <v>10</v>
      </c>
      <c r="AC1370">
        <v>6</v>
      </c>
      <c r="AD1370">
        <v>11</v>
      </c>
      <c r="AE1370" t="str" cm="1">
        <f t="array" ref="AE1370">_xlfn.IFS(G1370=1,"Before College",G1370=2,"College",G1370=3,"Bachelor",G1370=4,"Master",G1370=5,"Doctor")</f>
        <v>Master</v>
      </c>
      <c r="AF1370" t="str" cm="1">
        <f t="array" ref="AF1370">_xlfn.IFS(J1370=1,"Low",J1370=2,"Medium",J1370=3,"High",J1370=4,"Very High")</f>
        <v>High</v>
      </c>
      <c r="AG1370" t="str" cm="1">
        <f t="array" ref="AG1370">_xlfn.IFS(L1370=1,"Low",L1370=2,"Medium",L1370=3,"High",L1370=4,"Very High")</f>
        <v>Medium</v>
      </c>
      <c r="AH1370" t="str" cm="1">
        <f t="array" ref="AH1370">_xlfn.IFS(M1370=1,"Junior employee",M1370=2,"Mid-level",M1370=3,"Senior",M1370=4,"Manager",M1370=5,"Executive")</f>
        <v>Mid-level</v>
      </c>
      <c r="AI1370" t="str" cm="1">
        <f t="array" ref="AI1370">_xlfn.IFS(O1370=1,"Low",O1370=2,"Medium",O1370=3,"High",O1370=4,"Very High")</f>
        <v>Very High</v>
      </c>
      <c r="AJ1370" t="str" cm="1">
        <f t="array" ref="AJ1370">_xlfn.IFS(U1370=1,"Low",U1370=2,"Good",U1370=3,"Excellent",U1370=4,"Outstanding")</f>
        <v>Excellent</v>
      </c>
      <c r="AK1370" t="str" cm="1">
        <f t="array" ref="AK1370">_xlfn.IFS(V1370=1,"Low",V1370=2,"Medium",V1370=3,"High",V1370=4,"Very High")</f>
        <v>Medium</v>
      </c>
      <c r="AL1370" t="str" cm="1">
        <f t="array" ref="AL1370">_xlfn.IFS(Z1370=1,"Bad",Z1370=2,"Good",Z1370=3,"Better",Z1370=4,"Best")</f>
        <v>Better</v>
      </c>
      <c r="AM1370" t="str" cm="1">
        <f t="array" ref="AM1370">_xlfn.IFS(W1370=0,"No_stock",W1370=1,"Low",W1370=2,"Medium",W1370=3,"High")</f>
        <v>No_stock</v>
      </c>
      <c r="AN1370" t="str">
        <f t="shared" si="21"/>
        <v>Far</v>
      </c>
    </row>
    <row r="1371" spans="1:40" x14ac:dyDescent="0.45">
      <c r="A1371">
        <v>28</v>
      </c>
      <c r="B1371" t="s">
        <v>30</v>
      </c>
      <c r="C1371" t="s">
        <v>31</v>
      </c>
      <c r="D1371">
        <v>1475</v>
      </c>
      <c r="E1371" t="s">
        <v>32</v>
      </c>
      <c r="F1371">
        <v>13</v>
      </c>
      <c r="G1371">
        <v>2</v>
      </c>
      <c r="H1371" t="s">
        <v>53</v>
      </c>
      <c r="I1371">
        <v>1933</v>
      </c>
      <c r="J1371">
        <v>4</v>
      </c>
      <c r="K1371" t="s">
        <v>34</v>
      </c>
      <c r="L1371">
        <v>3</v>
      </c>
      <c r="M1371">
        <v>2</v>
      </c>
      <c r="N1371" t="s">
        <v>35</v>
      </c>
      <c r="O1371">
        <v>3</v>
      </c>
      <c r="P1371" t="s">
        <v>36</v>
      </c>
      <c r="Q1371">
        <v>9854</v>
      </c>
      <c r="R1371">
        <v>3</v>
      </c>
      <c r="S1371" t="s">
        <v>30</v>
      </c>
      <c r="T1371">
        <v>11</v>
      </c>
      <c r="U1371">
        <v>3</v>
      </c>
      <c r="V1371">
        <v>4</v>
      </c>
      <c r="W1371">
        <v>0</v>
      </c>
      <c r="X1371">
        <v>6</v>
      </c>
      <c r="Y1371">
        <v>0</v>
      </c>
      <c r="Z1371">
        <v>3</v>
      </c>
      <c r="AA1371">
        <v>2</v>
      </c>
      <c r="AB1371">
        <v>0</v>
      </c>
      <c r="AC1371">
        <v>2</v>
      </c>
      <c r="AD1371">
        <v>2</v>
      </c>
      <c r="AE1371" t="str" cm="1">
        <f t="array" ref="AE1371">_xlfn.IFS(G1371=1,"Before College",G1371=2,"College",G1371=3,"Bachelor",G1371=4,"Master",G1371=5,"Doctor")</f>
        <v>College</v>
      </c>
      <c r="AF1371" t="str" cm="1">
        <f t="array" ref="AF1371">_xlfn.IFS(J1371=1,"Low",J1371=2,"Medium",J1371=3,"High",J1371=4,"Very High")</f>
        <v>Very High</v>
      </c>
      <c r="AG1371" t="str" cm="1">
        <f t="array" ref="AG1371">_xlfn.IFS(L1371=1,"Low",L1371=2,"Medium",L1371=3,"High",L1371=4,"Very High")</f>
        <v>High</v>
      </c>
      <c r="AH1371" t="str" cm="1">
        <f t="array" ref="AH1371">_xlfn.IFS(M1371=1,"Junior employee",M1371=2,"Mid-level",M1371=3,"Senior",M1371=4,"Manager",M1371=5,"Executive")</f>
        <v>Mid-level</v>
      </c>
      <c r="AI1371" t="str" cm="1">
        <f t="array" ref="AI1371">_xlfn.IFS(O1371=1,"Low",O1371=2,"Medium",O1371=3,"High",O1371=4,"Very High")</f>
        <v>High</v>
      </c>
      <c r="AJ1371" t="str" cm="1">
        <f t="array" ref="AJ1371">_xlfn.IFS(U1371=1,"Low",U1371=2,"Good",U1371=3,"Excellent",U1371=4,"Outstanding")</f>
        <v>Excellent</v>
      </c>
      <c r="AK1371" t="str" cm="1">
        <f t="array" ref="AK1371">_xlfn.IFS(V1371=1,"Low",V1371=2,"Medium",V1371=3,"High",V1371=4,"Very High")</f>
        <v>Very High</v>
      </c>
      <c r="AL1371" t="str" cm="1">
        <f t="array" ref="AL1371">_xlfn.IFS(Z1371=1,"Bad",Z1371=2,"Good",Z1371=3,"Better",Z1371=4,"Best")</f>
        <v>Better</v>
      </c>
      <c r="AM1371" t="str" cm="1">
        <f t="array" ref="AM1371">_xlfn.IFS(W1371=0,"No_stock",W1371=1,"Low",W1371=2,"Medium",W1371=3,"High")</f>
        <v>No_stock</v>
      </c>
      <c r="AN1371" t="str">
        <f t="shared" si="21"/>
        <v>Medium</v>
      </c>
    </row>
    <row r="1372" spans="1:40" x14ac:dyDescent="0.45">
      <c r="A1372">
        <v>47</v>
      </c>
      <c r="B1372" t="s">
        <v>37</v>
      </c>
      <c r="C1372" t="s">
        <v>49</v>
      </c>
      <c r="D1372">
        <v>1169</v>
      </c>
      <c r="E1372" t="s">
        <v>39</v>
      </c>
      <c r="F1372">
        <v>14</v>
      </c>
      <c r="G1372">
        <v>4</v>
      </c>
      <c r="H1372" t="s">
        <v>54</v>
      </c>
      <c r="I1372">
        <v>1934</v>
      </c>
      <c r="J1372">
        <v>3</v>
      </c>
      <c r="K1372" t="s">
        <v>40</v>
      </c>
      <c r="L1372">
        <v>3</v>
      </c>
      <c r="M1372">
        <v>2</v>
      </c>
      <c r="N1372" t="s">
        <v>41</v>
      </c>
      <c r="O1372">
        <v>2</v>
      </c>
      <c r="P1372" t="s">
        <v>42</v>
      </c>
      <c r="Q1372">
        <v>5467</v>
      </c>
      <c r="R1372">
        <v>8</v>
      </c>
      <c r="S1372" t="s">
        <v>37</v>
      </c>
      <c r="T1372">
        <v>18</v>
      </c>
      <c r="U1372">
        <v>3</v>
      </c>
      <c r="V1372">
        <v>3</v>
      </c>
      <c r="W1372">
        <v>1</v>
      </c>
      <c r="X1372">
        <v>16</v>
      </c>
      <c r="Y1372">
        <v>4</v>
      </c>
      <c r="Z1372">
        <v>4</v>
      </c>
      <c r="AA1372">
        <v>8</v>
      </c>
      <c r="AB1372">
        <v>7</v>
      </c>
      <c r="AC1372">
        <v>1</v>
      </c>
      <c r="AD1372">
        <v>7</v>
      </c>
      <c r="AE1372" t="str" cm="1">
        <f t="array" ref="AE1372">_xlfn.IFS(G1372=1,"Before College",G1372=2,"College",G1372=3,"Bachelor",G1372=4,"Master",G1372=5,"Doctor")</f>
        <v>Master</v>
      </c>
      <c r="AF1372" t="str" cm="1">
        <f t="array" ref="AF1372">_xlfn.IFS(J1372=1,"Low",J1372=2,"Medium",J1372=3,"High",J1372=4,"Very High")</f>
        <v>High</v>
      </c>
      <c r="AG1372" t="str" cm="1">
        <f t="array" ref="AG1372">_xlfn.IFS(L1372=1,"Low",L1372=2,"Medium",L1372=3,"High",L1372=4,"Very High")</f>
        <v>High</v>
      </c>
      <c r="AH1372" t="str" cm="1">
        <f t="array" ref="AH1372">_xlfn.IFS(M1372=1,"Junior employee",M1372=2,"Mid-level",M1372=3,"Senior",M1372=4,"Manager",M1372=5,"Executive")</f>
        <v>Mid-level</v>
      </c>
      <c r="AI1372" t="str" cm="1">
        <f t="array" ref="AI1372">_xlfn.IFS(O1372=1,"Low",O1372=2,"Medium",O1372=3,"High",O1372=4,"Very High")</f>
        <v>Medium</v>
      </c>
      <c r="AJ1372" t="str" cm="1">
        <f t="array" ref="AJ1372">_xlfn.IFS(U1372=1,"Low",U1372=2,"Good",U1372=3,"Excellent",U1372=4,"Outstanding")</f>
        <v>Excellent</v>
      </c>
      <c r="AK1372" t="str" cm="1">
        <f t="array" ref="AK1372">_xlfn.IFS(V1372=1,"Low",V1372=2,"Medium",V1372=3,"High",V1372=4,"Very High")</f>
        <v>High</v>
      </c>
      <c r="AL1372" t="str" cm="1">
        <f t="array" ref="AL1372">_xlfn.IFS(Z1372=1,"Bad",Z1372=2,"Good",Z1372=3,"Better",Z1372=4,"Best")</f>
        <v>Best</v>
      </c>
      <c r="AM1372" t="str" cm="1">
        <f t="array" ref="AM1372">_xlfn.IFS(W1372=0,"No_stock",W1372=1,"Low",W1372=2,"Medium",W1372=3,"High")</f>
        <v>Low</v>
      </c>
      <c r="AN1372" t="str">
        <f t="shared" si="21"/>
        <v>Medium</v>
      </c>
    </row>
    <row r="1373" spans="1:40" x14ac:dyDescent="0.45">
      <c r="A1373">
        <v>56</v>
      </c>
      <c r="B1373" t="s">
        <v>37</v>
      </c>
      <c r="C1373" t="s">
        <v>31</v>
      </c>
      <c r="D1373">
        <v>1443</v>
      </c>
      <c r="E1373" t="s">
        <v>32</v>
      </c>
      <c r="F1373">
        <v>11</v>
      </c>
      <c r="G1373">
        <v>5</v>
      </c>
      <c r="H1373" t="s">
        <v>53</v>
      </c>
      <c r="I1373">
        <v>1935</v>
      </c>
      <c r="J1373">
        <v>4</v>
      </c>
      <c r="K1373" t="s">
        <v>34</v>
      </c>
      <c r="L1373">
        <v>2</v>
      </c>
      <c r="M1373">
        <v>2</v>
      </c>
      <c r="N1373" t="s">
        <v>35</v>
      </c>
      <c r="O1373">
        <v>1</v>
      </c>
      <c r="P1373" t="s">
        <v>42</v>
      </c>
      <c r="Q1373">
        <v>5380</v>
      </c>
      <c r="R1373">
        <v>4</v>
      </c>
      <c r="S1373" t="s">
        <v>37</v>
      </c>
      <c r="T1373">
        <v>16</v>
      </c>
      <c r="U1373">
        <v>3</v>
      </c>
      <c r="V1373">
        <v>3</v>
      </c>
      <c r="W1373">
        <v>1</v>
      </c>
      <c r="X1373">
        <v>6</v>
      </c>
      <c r="Y1373">
        <v>3</v>
      </c>
      <c r="Z1373">
        <v>3</v>
      </c>
      <c r="AA1373">
        <v>0</v>
      </c>
      <c r="AB1373">
        <v>0</v>
      </c>
      <c r="AC1373">
        <v>0</v>
      </c>
      <c r="AD1373">
        <v>0</v>
      </c>
      <c r="AE1373" t="str" cm="1">
        <f t="array" ref="AE1373">_xlfn.IFS(G1373=1,"Before College",G1373=2,"College",G1373=3,"Bachelor",G1373=4,"Master",G1373=5,"Doctor")</f>
        <v>Doctor</v>
      </c>
      <c r="AF1373" t="str" cm="1">
        <f t="array" ref="AF1373">_xlfn.IFS(J1373=1,"Low",J1373=2,"Medium",J1373=3,"High",J1373=4,"Very High")</f>
        <v>Very High</v>
      </c>
      <c r="AG1373" t="str" cm="1">
        <f t="array" ref="AG1373">_xlfn.IFS(L1373=1,"Low",L1373=2,"Medium",L1373=3,"High",L1373=4,"Very High")</f>
        <v>Medium</v>
      </c>
      <c r="AH1373" t="str" cm="1">
        <f t="array" ref="AH1373">_xlfn.IFS(M1373=1,"Junior employee",M1373=2,"Mid-level",M1373=3,"Senior",M1373=4,"Manager",M1373=5,"Executive")</f>
        <v>Mid-level</v>
      </c>
      <c r="AI1373" t="str" cm="1">
        <f t="array" ref="AI1373">_xlfn.IFS(O1373=1,"Low",O1373=2,"Medium",O1373=3,"High",O1373=4,"Very High")</f>
        <v>Low</v>
      </c>
      <c r="AJ1373" t="str" cm="1">
        <f t="array" ref="AJ1373">_xlfn.IFS(U1373=1,"Low",U1373=2,"Good",U1373=3,"Excellent",U1373=4,"Outstanding")</f>
        <v>Excellent</v>
      </c>
      <c r="AK1373" t="str" cm="1">
        <f t="array" ref="AK1373">_xlfn.IFS(V1373=1,"Low",V1373=2,"Medium",V1373=3,"High",V1373=4,"Very High")</f>
        <v>High</v>
      </c>
      <c r="AL1373" t="str" cm="1">
        <f t="array" ref="AL1373">_xlfn.IFS(Z1373=1,"Bad",Z1373=2,"Good",Z1373=3,"Better",Z1373=4,"Best")</f>
        <v>Better</v>
      </c>
      <c r="AM1373" t="str" cm="1">
        <f t="array" ref="AM1373">_xlfn.IFS(W1373=0,"No_stock",W1373=1,"Low",W1373=2,"Medium",W1373=3,"High")</f>
        <v>Low</v>
      </c>
      <c r="AN1373" t="str">
        <f t="shared" si="21"/>
        <v>Medium</v>
      </c>
    </row>
    <row r="1374" spans="1:40" x14ac:dyDescent="0.45">
      <c r="A1374">
        <v>39</v>
      </c>
      <c r="B1374" t="s">
        <v>37</v>
      </c>
      <c r="C1374" t="s">
        <v>31</v>
      </c>
      <c r="D1374">
        <v>867</v>
      </c>
      <c r="E1374" t="s">
        <v>39</v>
      </c>
      <c r="F1374">
        <v>9</v>
      </c>
      <c r="G1374">
        <v>2</v>
      </c>
      <c r="H1374" t="s">
        <v>45</v>
      </c>
      <c r="I1374">
        <v>1936</v>
      </c>
      <c r="J1374">
        <v>1</v>
      </c>
      <c r="K1374" t="s">
        <v>40</v>
      </c>
      <c r="L1374">
        <v>3</v>
      </c>
      <c r="M1374">
        <v>2</v>
      </c>
      <c r="N1374" t="s">
        <v>47</v>
      </c>
      <c r="O1374">
        <v>1</v>
      </c>
      <c r="P1374" t="s">
        <v>42</v>
      </c>
      <c r="Q1374">
        <v>5151</v>
      </c>
      <c r="R1374">
        <v>1</v>
      </c>
      <c r="S1374" t="s">
        <v>37</v>
      </c>
      <c r="T1374">
        <v>25</v>
      </c>
      <c r="U1374">
        <v>4</v>
      </c>
      <c r="V1374">
        <v>4</v>
      </c>
      <c r="W1374">
        <v>1</v>
      </c>
      <c r="X1374">
        <v>10</v>
      </c>
      <c r="Y1374">
        <v>3</v>
      </c>
      <c r="Z1374">
        <v>3</v>
      </c>
      <c r="AA1374">
        <v>10</v>
      </c>
      <c r="AB1374">
        <v>0</v>
      </c>
      <c r="AC1374">
        <v>7</v>
      </c>
      <c r="AD1374">
        <v>9</v>
      </c>
      <c r="AE1374" t="str" cm="1">
        <f t="array" ref="AE1374">_xlfn.IFS(G1374=1,"Before College",G1374=2,"College",G1374=3,"Bachelor",G1374=4,"Master",G1374=5,"Doctor")</f>
        <v>College</v>
      </c>
      <c r="AF1374" t="str" cm="1">
        <f t="array" ref="AF1374">_xlfn.IFS(J1374=1,"Low",J1374=2,"Medium",J1374=3,"High",J1374=4,"Very High")</f>
        <v>Low</v>
      </c>
      <c r="AG1374" t="str" cm="1">
        <f t="array" ref="AG1374">_xlfn.IFS(L1374=1,"Low",L1374=2,"Medium",L1374=3,"High",L1374=4,"Very High")</f>
        <v>High</v>
      </c>
      <c r="AH1374" t="str" cm="1">
        <f t="array" ref="AH1374">_xlfn.IFS(M1374=1,"Junior employee",M1374=2,"Mid-level",M1374=3,"Senior",M1374=4,"Manager",M1374=5,"Executive")</f>
        <v>Mid-level</v>
      </c>
      <c r="AI1374" t="str" cm="1">
        <f t="array" ref="AI1374">_xlfn.IFS(O1374=1,"Low",O1374=2,"Medium",O1374=3,"High",O1374=4,"Very High")</f>
        <v>Low</v>
      </c>
      <c r="AJ1374" t="str" cm="1">
        <f t="array" ref="AJ1374">_xlfn.IFS(U1374=1,"Low",U1374=2,"Good",U1374=3,"Excellent",U1374=4,"Outstanding")</f>
        <v>Outstanding</v>
      </c>
      <c r="AK1374" t="str" cm="1">
        <f t="array" ref="AK1374">_xlfn.IFS(V1374=1,"Low",V1374=2,"Medium",V1374=3,"High",V1374=4,"Very High")</f>
        <v>Very High</v>
      </c>
      <c r="AL1374" t="str" cm="1">
        <f t="array" ref="AL1374">_xlfn.IFS(Z1374=1,"Bad",Z1374=2,"Good",Z1374=3,"Better",Z1374=4,"Best")</f>
        <v>Better</v>
      </c>
      <c r="AM1374" t="str" cm="1">
        <f t="array" ref="AM1374">_xlfn.IFS(W1374=0,"No_stock",W1374=1,"Low",W1374=2,"Medium",W1374=3,"High")</f>
        <v>Low</v>
      </c>
      <c r="AN1374" t="str">
        <f t="shared" si="21"/>
        <v>Medium</v>
      </c>
    </row>
    <row r="1375" spans="1:40" x14ac:dyDescent="0.45">
      <c r="A1375">
        <v>38</v>
      </c>
      <c r="B1375" t="s">
        <v>37</v>
      </c>
      <c r="C1375" t="s">
        <v>38</v>
      </c>
      <c r="D1375">
        <v>1394</v>
      </c>
      <c r="E1375" t="s">
        <v>39</v>
      </c>
      <c r="F1375">
        <v>8</v>
      </c>
      <c r="G1375">
        <v>3</v>
      </c>
      <c r="H1375" t="s">
        <v>45</v>
      </c>
      <c r="I1375">
        <v>1937</v>
      </c>
      <c r="J1375">
        <v>4</v>
      </c>
      <c r="K1375" t="s">
        <v>34</v>
      </c>
      <c r="L1375">
        <v>2</v>
      </c>
      <c r="M1375">
        <v>2</v>
      </c>
      <c r="N1375" t="s">
        <v>41</v>
      </c>
      <c r="O1375">
        <v>2</v>
      </c>
      <c r="P1375" t="s">
        <v>46</v>
      </c>
      <c r="Q1375">
        <v>2133</v>
      </c>
      <c r="R1375">
        <v>1</v>
      </c>
      <c r="S1375" t="s">
        <v>30</v>
      </c>
      <c r="T1375">
        <v>16</v>
      </c>
      <c r="U1375">
        <v>3</v>
      </c>
      <c r="V1375">
        <v>3</v>
      </c>
      <c r="W1375">
        <v>1</v>
      </c>
      <c r="X1375">
        <v>20</v>
      </c>
      <c r="Y1375">
        <v>3</v>
      </c>
      <c r="Z1375">
        <v>3</v>
      </c>
      <c r="AA1375">
        <v>20</v>
      </c>
      <c r="AB1375">
        <v>11</v>
      </c>
      <c r="AC1375">
        <v>0</v>
      </c>
      <c r="AD1375">
        <v>7</v>
      </c>
      <c r="AE1375" t="str" cm="1">
        <f t="array" ref="AE1375">_xlfn.IFS(G1375=1,"Before College",G1375=2,"College",G1375=3,"Bachelor",G1375=4,"Master",G1375=5,"Doctor")</f>
        <v>Bachelor</v>
      </c>
      <c r="AF1375" t="str" cm="1">
        <f t="array" ref="AF1375">_xlfn.IFS(J1375=1,"Low",J1375=2,"Medium",J1375=3,"High",J1375=4,"Very High")</f>
        <v>Very High</v>
      </c>
      <c r="AG1375" t="str" cm="1">
        <f t="array" ref="AG1375">_xlfn.IFS(L1375=1,"Low",L1375=2,"Medium",L1375=3,"High",L1375=4,"Very High")</f>
        <v>Medium</v>
      </c>
      <c r="AH1375" t="str" cm="1">
        <f t="array" ref="AH1375">_xlfn.IFS(M1375=1,"Junior employee",M1375=2,"Mid-level",M1375=3,"Senior",M1375=4,"Manager",M1375=5,"Executive")</f>
        <v>Mid-level</v>
      </c>
      <c r="AI1375" t="str" cm="1">
        <f t="array" ref="AI1375">_xlfn.IFS(O1375=1,"Low",O1375=2,"Medium",O1375=3,"High",O1375=4,"Very High")</f>
        <v>Medium</v>
      </c>
      <c r="AJ1375" t="str" cm="1">
        <f t="array" ref="AJ1375">_xlfn.IFS(U1375=1,"Low",U1375=2,"Good",U1375=3,"Excellent",U1375=4,"Outstanding")</f>
        <v>Excellent</v>
      </c>
      <c r="AK1375" t="str" cm="1">
        <f t="array" ref="AK1375">_xlfn.IFS(V1375=1,"Low",V1375=2,"Medium",V1375=3,"High",V1375=4,"Very High")</f>
        <v>High</v>
      </c>
      <c r="AL1375" t="str" cm="1">
        <f t="array" ref="AL1375">_xlfn.IFS(Z1375=1,"Bad",Z1375=2,"Good",Z1375=3,"Better",Z1375=4,"Best")</f>
        <v>Better</v>
      </c>
      <c r="AM1375" t="str" cm="1">
        <f t="array" ref="AM1375">_xlfn.IFS(W1375=0,"No_stock",W1375=1,"Low",W1375=2,"Medium",W1375=3,"High")</f>
        <v>Low</v>
      </c>
      <c r="AN1375" t="str">
        <f t="shared" si="21"/>
        <v>Medium</v>
      </c>
    </row>
    <row r="1376" spans="1:40" x14ac:dyDescent="0.45">
      <c r="A1376">
        <v>58</v>
      </c>
      <c r="B1376" t="s">
        <v>37</v>
      </c>
      <c r="C1376" t="s">
        <v>31</v>
      </c>
      <c r="D1376">
        <v>605</v>
      </c>
      <c r="E1376" t="s">
        <v>32</v>
      </c>
      <c r="F1376">
        <v>21</v>
      </c>
      <c r="G1376">
        <v>3</v>
      </c>
      <c r="H1376" t="s">
        <v>33</v>
      </c>
      <c r="I1376">
        <v>1938</v>
      </c>
      <c r="J1376">
        <v>4</v>
      </c>
      <c r="K1376" t="s">
        <v>34</v>
      </c>
      <c r="L1376">
        <v>3</v>
      </c>
      <c r="M1376">
        <v>4</v>
      </c>
      <c r="N1376" t="s">
        <v>50</v>
      </c>
      <c r="O1376">
        <v>4</v>
      </c>
      <c r="P1376" t="s">
        <v>42</v>
      </c>
      <c r="Q1376">
        <v>17875</v>
      </c>
      <c r="R1376">
        <v>4</v>
      </c>
      <c r="S1376" t="s">
        <v>30</v>
      </c>
      <c r="T1376">
        <v>13</v>
      </c>
      <c r="U1376">
        <v>3</v>
      </c>
      <c r="V1376">
        <v>3</v>
      </c>
      <c r="W1376">
        <v>1</v>
      </c>
      <c r="X1376">
        <v>29</v>
      </c>
      <c r="Y1376">
        <v>2</v>
      </c>
      <c r="Z1376">
        <v>2</v>
      </c>
      <c r="AA1376">
        <v>1</v>
      </c>
      <c r="AB1376">
        <v>0</v>
      </c>
      <c r="AC1376">
        <v>0</v>
      </c>
      <c r="AD1376">
        <v>0</v>
      </c>
      <c r="AE1376" t="str" cm="1">
        <f t="array" ref="AE1376">_xlfn.IFS(G1376=1,"Before College",G1376=2,"College",G1376=3,"Bachelor",G1376=4,"Master",G1376=5,"Doctor")</f>
        <v>Bachelor</v>
      </c>
      <c r="AF1376" t="str" cm="1">
        <f t="array" ref="AF1376">_xlfn.IFS(J1376=1,"Low",J1376=2,"Medium",J1376=3,"High",J1376=4,"Very High")</f>
        <v>Very High</v>
      </c>
      <c r="AG1376" t="str" cm="1">
        <f t="array" ref="AG1376">_xlfn.IFS(L1376=1,"Low",L1376=2,"Medium",L1376=3,"High",L1376=4,"Very High")</f>
        <v>High</v>
      </c>
      <c r="AH1376" t="str" cm="1">
        <f t="array" ref="AH1376">_xlfn.IFS(M1376=1,"Junior employee",M1376=2,"Mid-level",M1376=3,"Senior",M1376=4,"Manager",M1376=5,"Executive")</f>
        <v>Manager</v>
      </c>
      <c r="AI1376" t="str" cm="1">
        <f t="array" ref="AI1376">_xlfn.IFS(O1376=1,"Low",O1376=2,"Medium",O1376=3,"High",O1376=4,"Very High")</f>
        <v>Very High</v>
      </c>
      <c r="AJ1376" t="str" cm="1">
        <f t="array" ref="AJ1376">_xlfn.IFS(U1376=1,"Low",U1376=2,"Good",U1376=3,"Excellent",U1376=4,"Outstanding")</f>
        <v>Excellent</v>
      </c>
      <c r="AK1376" t="str" cm="1">
        <f t="array" ref="AK1376">_xlfn.IFS(V1376=1,"Low",V1376=2,"Medium",V1376=3,"High",V1376=4,"Very High")</f>
        <v>High</v>
      </c>
      <c r="AL1376" t="str" cm="1">
        <f t="array" ref="AL1376">_xlfn.IFS(Z1376=1,"Bad",Z1376=2,"Good",Z1376=3,"Better",Z1376=4,"Best")</f>
        <v>Good</v>
      </c>
      <c r="AM1376" t="str" cm="1">
        <f t="array" ref="AM1376">_xlfn.IFS(W1376=0,"No_stock",W1376=1,"Low",W1376=2,"Medium",W1376=3,"High")</f>
        <v>Low</v>
      </c>
      <c r="AN1376" t="str">
        <f t="shared" si="21"/>
        <v>Far</v>
      </c>
    </row>
    <row r="1377" spans="1:40" x14ac:dyDescent="0.45">
      <c r="A1377">
        <v>32</v>
      </c>
      <c r="B1377" t="s">
        <v>30</v>
      </c>
      <c r="C1377" t="s">
        <v>38</v>
      </c>
      <c r="D1377">
        <v>238</v>
      </c>
      <c r="E1377" t="s">
        <v>39</v>
      </c>
      <c r="F1377">
        <v>5</v>
      </c>
      <c r="G1377">
        <v>2</v>
      </c>
      <c r="H1377" t="s">
        <v>33</v>
      </c>
      <c r="I1377">
        <v>1939</v>
      </c>
      <c r="J1377">
        <v>1</v>
      </c>
      <c r="K1377" t="s">
        <v>34</v>
      </c>
      <c r="L1377">
        <v>4</v>
      </c>
      <c r="M1377">
        <v>1</v>
      </c>
      <c r="N1377" t="s">
        <v>41</v>
      </c>
      <c r="O1377">
        <v>3</v>
      </c>
      <c r="P1377" t="s">
        <v>36</v>
      </c>
      <c r="Q1377">
        <v>2432</v>
      </c>
      <c r="R1377">
        <v>3</v>
      </c>
      <c r="S1377" t="s">
        <v>30</v>
      </c>
      <c r="T1377">
        <v>14</v>
      </c>
      <c r="U1377">
        <v>3</v>
      </c>
      <c r="V1377">
        <v>1</v>
      </c>
      <c r="W1377">
        <v>0</v>
      </c>
      <c r="X1377">
        <v>8</v>
      </c>
      <c r="Y1377">
        <v>2</v>
      </c>
      <c r="Z1377">
        <v>3</v>
      </c>
      <c r="AA1377">
        <v>4</v>
      </c>
      <c r="AB1377">
        <v>1</v>
      </c>
      <c r="AC1377">
        <v>0</v>
      </c>
      <c r="AD1377">
        <v>3</v>
      </c>
      <c r="AE1377" t="str" cm="1">
        <f t="array" ref="AE1377">_xlfn.IFS(G1377=1,"Before College",G1377=2,"College",G1377=3,"Bachelor",G1377=4,"Master",G1377=5,"Doctor")</f>
        <v>College</v>
      </c>
      <c r="AF1377" t="str" cm="1">
        <f t="array" ref="AF1377">_xlfn.IFS(J1377=1,"Low",J1377=2,"Medium",J1377=3,"High",J1377=4,"Very High")</f>
        <v>Low</v>
      </c>
      <c r="AG1377" t="str" cm="1">
        <f t="array" ref="AG1377">_xlfn.IFS(L1377=1,"Low",L1377=2,"Medium",L1377=3,"High",L1377=4,"Very High")</f>
        <v>Very High</v>
      </c>
      <c r="AH1377" t="str" cm="1">
        <f t="array" ref="AH1377">_xlfn.IFS(M1377=1,"Junior employee",M1377=2,"Mid-level",M1377=3,"Senior",M1377=4,"Manager",M1377=5,"Executive")</f>
        <v>Junior employee</v>
      </c>
      <c r="AI1377" t="str" cm="1">
        <f t="array" ref="AI1377">_xlfn.IFS(O1377=1,"Low",O1377=2,"Medium",O1377=3,"High",O1377=4,"Very High")</f>
        <v>High</v>
      </c>
      <c r="AJ1377" t="str" cm="1">
        <f t="array" ref="AJ1377">_xlfn.IFS(U1377=1,"Low",U1377=2,"Good",U1377=3,"Excellent",U1377=4,"Outstanding")</f>
        <v>Excellent</v>
      </c>
      <c r="AK1377" t="str" cm="1">
        <f t="array" ref="AK1377">_xlfn.IFS(V1377=1,"Low",V1377=2,"Medium",V1377=3,"High",V1377=4,"Very High")</f>
        <v>Low</v>
      </c>
      <c r="AL1377" t="str" cm="1">
        <f t="array" ref="AL1377">_xlfn.IFS(Z1377=1,"Bad",Z1377=2,"Good",Z1377=3,"Better",Z1377=4,"Best")</f>
        <v>Better</v>
      </c>
      <c r="AM1377" t="str" cm="1">
        <f t="array" ref="AM1377">_xlfn.IFS(W1377=0,"No_stock",W1377=1,"Low",W1377=2,"Medium",W1377=3,"High")</f>
        <v>No_stock</v>
      </c>
      <c r="AN1377" t="str">
        <f t="shared" si="21"/>
        <v>Near</v>
      </c>
    </row>
    <row r="1378" spans="1:40" x14ac:dyDescent="0.45">
      <c r="A1378">
        <v>38</v>
      </c>
      <c r="B1378" t="s">
        <v>37</v>
      </c>
      <c r="C1378" t="s">
        <v>31</v>
      </c>
      <c r="D1378">
        <v>1206</v>
      </c>
      <c r="E1378" t="s">
        <v>39</v>
      </c>
      <c r="F1378">
        <v>9</v>
      </c>
      <c r="G1378">
        <v>2</v>
      </c>
      <c r="H1378" t="s">
        <v>33</v>
      </c>
      <c r="I1378">
        <v>1940</v>
      </c>
      <c r="J1378">
        <v>2</v>
      </c>
      <c r="K1378" t="s">
        <v>40</v>
      </c>
      <c r="L1378">
        <v>3</v>
      </c>
      <c r="M1378">
        <v>1</v>
      </c>
      <c r="N1378" t="s">
        <v>41</v>
      </c>
      <c r="O1378">
        <v>4</v>
      </c>
      <c r="P1378" t="s">
        <v>46</v>
      </c>
      <c r="Q1378">
        <v>4771</v>
      </c>
      <c r="R1378">
        <v>2</v>
      </c>
      <c r="S1378" t="s">
        <v>37</v>
      </c>
      <c r="T1378">
        <v>19</v>
      </c>
      <c r="U1378">
        <v>3</v>
      </c>
      <c r="V1378">
        <v>4</v>
      </c>
      <c r="W1378">
        <v>2</v>
      </c>
      <c r="X1378">
        <v>10</v>
      </c>
      <c r="Y1378">
        <v>0</v>
      </c>
      <c r="Z1378">
        <v>4</v>
      </c>
      <c r="AA1378">
        <v>5</v>
      </c>
      <c r="AB1378">
        <v>2</v>
      </c>
      <c r="AC1378">
        <v>0</v>
      </c>
      <c r="AD1378">
        <v>3</v>
      </c>
      <c r="AE1378" t="str" cm="1">
        <f t="array" ref="AE1378">_xlfn.IFS(G1378=1,"Before College",G1378=2,"College",G1378=3,"Bachelor",G1378=4,"Master",G1378=5,"Doctor")</f>
        <v>College</v>
      </c>
      <c r="AF1378" t="str" cm="1">
        <f t="array" ref="AF1378">_xlfn.IFS(J1378=1,"Low",J1378=2,"Medium",J1378=3,"High",J1378=4,"Very High")</f>
        <v>Medium</v>
      </c>
      <c r="AG1378" t="str" cm="1">
        <f t="array" ref="AG1378">_xlfn.IFS(L1378=1,"Low",L1378=2,"Medium",L1378=3,"High",L1378=4,"Very High")</f>
        <v>High</v>
      </c>
      <c r="AH1378" t="str" cm="1">
        <f t="array" ref="AH1378">_xlfn.IFS(M1378=1,"Junior employee",M1378=2,"Mid-level",M1378=3,"Senior",M1378=4,"Manager",M1378=5,"Executive")</f>
        <v>Junior employee</v>
      </c>
      <c r="AI1378" t="str" cm="1">
        <f t="array" ref="AI1378">_xlfn.IFS(O1378=1,"Low",O1378=2,"Medium",O1378=3,"High",O1378=4,"Very High")</f>
        <v>Very High</v>
      </c>
      <c r="AJ1378" t="str" cm="1">
        <f t="array" ref="AJ1378">_xlfn.IFS(U1378=1,"Low",U1378=2,"Good",U1378=3,"Excellent",U1378=4,"Outstanding")</f>
        <v>Excellent</v>
      </c>
      <c r="AK1378" t="str" cm="1">
        <f t="array" ref="AK1378">_xlfn.IFS(V1378=1,"Low",V1378=2,"Medium",V1378=3,"High",V1378=4,"Very High")</f>
        <v>Very High</v>
      </c>
      <c r="AL1378" t="str" cm="1">
        <f t="array" ref="AL1378">_xlfn.IFS(Z1378=1,"Bad",Z1378=2,"Good",Z1378=3,"Better",Z1378=4,"Best")</f>
        <v>Best</v>
      </c>
      <c r="AM1378" t="str" cm="1">
        <f t="array" ref="AM1378">_xlfn.IFS(W1378=0,"No_stock",W1378=1,"Low",W1378=2,"Medium",W1378=3,"High")</f>
        <v>Medium</v>
      </c>
      <c r="AN1378" t="str">
        <f t="shared" si="21"/>
        <v>Medium</v>
      </c>
    </row>
    <row r="1379" spans="1:40" x14ac:dyDescent="0.45">
      <c r="A1379">
        <v>49</v>
      </c>
      <c r="B1379" t="s">
        <v>37</v>
      </c>
      <c r="C1379" t="s">
        <v>38</v>
      </c>
      <c r="D1379">
        <v>1064</v>
      </c>
      <c r="E1379" t="s">
        <v>39</v>
      </c>
      <c r="F1379">
        <v>2</v>
      </c>
      <c r="G1379">
        <v>1</v>
      </c>
      <c r="H1379" t="s">
        <v>33</v>
      </c>
      <c r="I1379">
        <v>1941</v>
      </c>
      <c r="J1379">
        <v>2</v>
      </c>
      <c r="K1379" t="s">
        <v>40</v>
      </c>
      <c r="L1379">
        <v>3</v>
      </c>
      <c r="M1379">
        <v>5</v>
      </c>
      <c r="N1379" t="s">
        <v>52</v>
      </c>
      <c r="O1379">
        <v>4</v>
      </c>
      <c r="P1379" t="s">
        <v>42</v>
      </c>
      <c r="Q1379">
        <v>19161</v>
      </c>
      <c r="R1379">
        <v>3</v>
      </c>
      <c r="S1379" t="s">
        <v>37</v>
      </c>
      <c r="T1379">
        <v>15</v>
      </c>
      <c r="U1379">
        <v>3</v>
      </c>
      <c r="V1379">
        <v>4</v>
      </c>
      <c r="W1379">
        <v>0</v>
      </c>
      <c r="X1379">
        <v>28</v>
      </c>
      <c r="Y1379">
        <v>3</v>
      </c>
      <c r="Z1379">
        <v>3</v>
      </c>
      <c r="AA1379">
        <v>5</v>
      </c>
      <c r="AB1379">
        <v>4</v>
      </c>
      <c r="AC1379">
        <v>4</v>
      </c>
      <c r="AD1379">
        <v>3</v>
      </c>
      <c r="AE1379" t="str" cm="1">
        <f t="array" ref="AE1379">_xlfn.IFS(G1379=1,"Before College",G1379=2,"College",G1379=3,"Bachelor",G1379=4,"Master",G1379=5,"Doctor")</f>
        <v>Before College</v>
      </c>
      <c r="AF1379" t="str" cm="1">
        <f t="array" ref="AF1379">_xlfn.IFS(J1379=1,"Low",J1379=2,"Medium",J1379=3,"High",J1379=4,"Very High")</f>
        <v>Medium</v>
      </c>
      <c r="AG1379" t="str" cm="1">
        <f t="array" ref="AG1379">_xlfn.IFS(L1379=1,"Low",L1379=2,"Medium",L1379=3,"High",L1379=4,"Very High")</f>
        <v>High</v>
      </c>
      <c r="AH1379" t="str" cm="1">
        <f t="array" ref="AH1379">_xlfn.IFS(M1379=1,"Junior employee",M1379=2,"Mid-level",M1379=3,"Senior",M1379=4,"Manager",M1379=5,"Executive")</f>
        <v>Executive</v>
      </c>
      <c r="AI1379" t="str" cm="1">
        <f t="array" ref="AI1379">_xlfn.IFS(O1379=1,"Low",O1379=2,"Medium",O1379=3,"High",O1379=4,"Very High")</f>
        <v>Very High</v>
      </c>
      <c r="AJ1379" t="str" cm="1">
        <f t="array" ref="AJ1379">_xlfn.IFS(U1379=1,"Low",U1379=2,"Good",U1379=3,"Excellent",U1379=4,"Outstanding")</f>
        <v>Excellent</v>
      </c>
      <c r="AK1379" t="str" cm="1">
        <f t="array" ref="AK1379">_xlfn.IFS(V1379=1,"Low",V1379=2,"Medium",V1379=3,"High",V1379=4,"Very High")</f>
        <v>Very High</v>
      </c>
      <c r="AL1379" t="str" cm="1">
        <f t="array" ref="AL1379">_xlfn.IFS(Z1379=1,"Bad",Z1379=2,"Good",Z1379=3,"Better",Z1379=4,"Best")</f>
        <v>Better</v>
      </c>
      <c r="AM1379" t="str" cm="1">
        <f t="array" ref="AM1379">_xlfn.IFS(W1379=0,"No_stock",W1379=1,"Low",W1379=2,"Medium",W1379=3,"High")</f>
        <v>No_stock</v>
      </c>
      <c r="AN1379" t="str">
        <f t="shared" si="21"/>
        <v>Near</v>
      </c>
    </row>
    <row r="1380" spans="1:40" x14ac:dyDescent="0.45">
      <c r="A1380">
        <v>42</v>
      </c>
      <c r="B1380" t="s">
        <v>37</v>
      </c>
      <c r="C1380" t="s">
        <v>31</v>
      </c>
      <c r="D1380">
        <v>419</v>
      </c>
      <c r="E1380" t="s">
        <v>32</v>
      </c>
      <c r="F1380">
        <v>12</v>
      </c>
      <c r="G1380">
        <v>4</v>
      </c>
      <c r="H1380" t="s">
        <v>53</v>
      </c>
      <c r="I1380">
        <v>1943</v>
      </c>
      <c r="J1380">
        <v>2</v>
      </c>
      <c r="K1380" t="s">
        <v>40</v>
      </c>
      <c r="L1380">
        <v>3</v>
      </c>
      <c r="M1380">
        <v>2</v>
      </c>
      <c r="N1380" t="s">
        <v>35</v>
      </c>
      <c r="O1380">
        <v>4</v>
      </c>
      <c r="P1380" t="s">
        <v>46</v>
      </c>
      <c r="Q1380">
        <v>5087</v>
      </c>
      <c r="R1380">
        <v>3</v>
      </c>
      <c r="S1380" t="s">
        <v>30</v>
      </c>
      <c r="T1380">
        <v>12</v>
      </c>
      <c r="U1380">
        <v>3</v>
      </c>
      <c r="V1380">
        <v>3</v>
      </c>
      <c r="W1380">
        <v>2</v>
      </c>
      <c r="X1380">
        <v>14</v>
      </c>
      <c r="Y1380">
        <v>4</v>
      </c>
      <c r="Z1380">
        <v>3</v>
      </c>
      <c r="AA1380">
        <v>0</v>
      </c>
      <c r="AB1380">
        <v>0</v>
      </c>
      <c r="AC1380">
        <v>0</v>
      </c>
      <c r="AD1380">
        <v>0</v>
      </c>
      <c r="AE1380" t="str" cm="1">
        <f t="array" ref="AE1380">_xlfn.IFS(G1380=1,"Before College",G1380=2,"College",G1380=3,"Bachelor",G1380=4,"Master",G1380=5,"Doctor")</f>
        <v>Master</v>
      </c>
      <c r="AF1380" t="str" cm="1">
        <f t="array" ref="AF1380">_xlfn.IFS(J1380=1,"Low",J1380=2,"Medium",J1380=3,"High",J1380=4,"Very High")</f>
        <v>Medium</v>
      </c>
      <c r="AG1380" t="str" cm="1">
        <f t="array" ref="AG1380">_xlfn.IFS(L1380=1,"Low",L1380=2,"Medium",L1380=3,"High",L1380=4,"Very High")</f>
        <v>High</v>
      </c>
      <c r="AH1380" t="str" cm="1">
        <f t="array" ref="AH1380">_xlfn.IFS(M1380=1,"Junior employee",M1380=2,"Mid-level",M1380=3,"Senior",M1380=4,"Manager",M1380=5,"Executive")</f>
        <v>Mid-level</v>
      </c>
      <c r="AI1380" t="str" cm="1">
        <f t="array" ref="AI1380">_xlfn.IFS(O1380=1,"Low",O1380=2,"Medium",O1380=3,"High",O1380=4,"Very High")</f>
        <v>Very High</v>
      </c>
      <c r="AJ1380" t="str" cm="1">
        <f t="array" ref="AJ1380">_xlfn.IFS(U1380=1,"Low",U1380=2,"Good",U1380=3,"Excellent",U1380=4,"Outstanding")</f>
        <v>Excellent</v>
      </c>
      <c r="AK1380" t="str" cm="1">
        <f t="array" ref="AK1380">_xlfn.IFS(V1380=1,"Low",V1380=2,"Medium",V1380=3,"High",V1380=4,"Very High")</f>
        <v>High</v>
      </c>
      <c r="AL1380" t="str" cm="1">
        <f t="array" ref="AL1380">_xlfn.IFS(Z1380=1,"Bad",Z1380=2,"Good",Z1380=3,"Better",Z1380=4,"Best")</f>
        <v>Better</v>
      </c>
      <c r="AM1380" t="str" cm="1">
        <f t="array" ref="AM1380">_xlfn.IFS(W1380=0,"No_stock",W1380=1,"Low",W1380=2,"Medium",W1380=3,"High")</f>
        <v>Medium</v>
      </c>
      <c r="AN1380" t="str">
        <f t="shared" si="21"/>
        <v>Medium</v>
      </c>
    </row>
    <row r="1381" spans="1:40" x14ac:dyDescent="0.45">
      <c r="A1381">
        <v>27</v>
      </c>
      <c r="B1381" t="s">
        <v>30</v>
      </c>
      <c r="C1381" t="s">
        <v>38</v>
      </c>
      <c r="D1381">
        <v>1337</v>
      </c>
      <c r="E1381" t="s">
        <v>55</v>
      </c>
      <c r="F1381">
        <v>22</v>
      </c>
      <c r="G1381">
        <v>3</v>
      </c>
      <c r="H1381" t="s">
        <v>55</v>
      </c>
      <c r="I1381">
        <v>1944</v>
      </c>
      <c r="J1381">
        <v>1</v>
      </c>
      <c r="K1381" t="s">
        <v>34</v>
      </c>
      <c r="L1381">
        <v>2</v>
      </c>
      <c r="M1381">
        <v>1</v>
      </c>
      <c r="N1381" t="s">
        <v>55</v>
      </c>
      <c r="O1381">
        <v>2</v>
      </c>
      <c r="P1381" t="s">
        <v>42</v>
      </c>
      <c r="Q1381">
        <v>2863</v>
      </c>
      <c r="R1381">
        <v>1</v>
      </c>
      <c r="S1381" t="s">
        <v>37</v>
      </c>
      <c r="T1381">
        <v>12</v>
      </c>
      <c r="U1381">
        <v>3</v>
      </c>
      <c r="V1381">
        <v>1</v>
      </c>
      <c r="W1381">
        <v>0</v>
      </c>
      <c r="X1381">
        <v>1</v>
      </c>
      <c r="Y1381">
        <v>2</v>
      </c>
      <c r="Z1381">
        <v>3</v>
      </c>
      <c r="AA1381">
        <v>1</v>
      </c>
      <c r="AB1381">
        <v>0</v>
      </c>
      <c r="AC1381">
        <v>0</v>
      </c>
      <c r="AD1381">
        <v>0</v>
      </c>
      <c r="AE1381" t="str" cm="1">
        <f t="array" ref="AE1381">_xlfn.IFS(G1381=1,"Before College",G1381=2,"College",G1381=3,"Bachelor",G1381=4,"Master",G1381=5,"Doctor")</f>
        <v>Bachelor</v>
      </c>
      <c r="AF1381" t="str" cm="1">
        <f t="array" ref="AF1381">_xlfn.IFS(J1381=1,"Low",J1381=2,"Medium",J1381=3,"High",J1381=4,"Very High")</f>
        <v>Low</v>
      </c>
      <c r="AG1381" t="str" cm="1">
        <f t="array" ref="AG1381">_xlfn.IFS(L1381=1,"Low",L1381=2,"Medium",L1381=3,"High",L1381=4,"Very High")</f>
        <v>Medium</v>
      </c>
      <c r="AH1381" t="str" cm="1">
        <f t="array" ref="AH1381">_xlfn.IFS(M1381=1,"Junior employee",M1381=2,"Mid-level",M1381=3,"Senior",M1381=4,"Manager",M1381=5,"Executive")</f>
        <v>Junior employee</v>
      </c>
      <c r="AI1381" t="str" cm="1">
        <f t="array" ref="AI1381">_xlfn.IFS(O1381=1,"Low",O1381=2,"Medium",O1381=3,"High",O1381=4,"Very High")</f>
        <v>Medium</v>
      </c>
      <c r="AJ1381" t="str" cm="1">
        <f t="array" ref="AJ1381">_xlfn.IFS(U1381=1,"Low",U1381=2,"Good",U1381=3,"Excellent",U1381=4,"Outstanding")</f>
        <v>Excellent</v>
      </c>
      <c r="AK1381" t="str" cm="1">
        <f t="array" ref="AK1381">_xlfn.IFS(V1381=1,"Low",V1381=2,"Medium",V1381=3,"High",V1381=4,"Very High")</f>
        <v>Low</v>
      </c>
      <c r="AL1381" t="str" cm="1">
        <f t="array" ref="AL1381">_xlfn.IFS(Z1381=1,"Bad",Z1381=2,"Good",Z1381=3,"Better",Z1381=4,"Best")</f>
        <v>Better</v>
      </c>
      <c r="AM1381" t="str" cm="1">
        <f t="array" ref="AM1381">_xlfn.IFS(W1381=0,"No_stock",W1381=1,"Low",W1381=2,"Medium",W1381=3,"High")</f>
        <v>No_stock</v>
      </c>
      <c r="AN1381" t="str">
        <f t="shared" si="21"/>
        <v>Far</v>
      </c>
    </row>
    <row r="1382" spans="1:40" x14ac:dyDescent="0.45">
      <c r="A1382">
        <v>35</v>
      </c>
      <c r="B1382" t="s">
        <v>37</v>
      </c>
      <c r="C1382" t="s">
        <v>31</v>
      </c>
      <c r="D1382">
        <v>682</v>
      </c>
      <c r="E1382" t="s">
        <v>32</v>
      </c>
      <c r="F1382">
        <v>18</v>
      </c>
      <c r="G1382">
        <v>4</v>
      </c>
      <c r="H1382" t="s">
        <v>45</v>
      </c>
      <c r="I1382">
        <v>1945</v>
      </c>
      <c r="J1382">
        <v>2</v>
      </c>
      <c r="K1382" t="s">
        <v>40</v>
      </c>
      <c r="L1382">
        <v>3</v>
      </c>
      <c r="M1382">
        <v>2</v>
      </c>
      <c r="N1382" t="s">
        <v>35</v>
      </c>
      <c r="O1382">
        <v>1</v>
      </c>
      <c r="P1382" t="s">
        <v>42</v>
      </c>
      <c r="Q1382">
        <v>5561</v>
      </c>
      <c r="R1382">
        <v>0</v>
      </c>
      <c r="S1382" t="s">
        <v>37</v>
      </c>
      <c r="T1382">
        <v>16</v>
      </c>
      <c r="U1382">
        <v>3</v>
      </c>
      <c r="V1382">
        <v>4</v>
      </c>
      <c r="W1382">
        <v>1</v>
      </c>
      <c r="X1382">
        <v>6</v>
      </c>
      <c r="Y1382">
        <v>2</v>
      </c>
      <c r="Z1382">
        <v>1</v>
      </c>
      <c r="AA1382">
        <v>5</v>
      </c>
      <c r="AB1382">
        <v>3</v>
      </c>
      <c r="AC1382">
        <v>0</v>
      </c>
      <c r="AD1382">
        <v>4</v>
      </c>
      <c r="AE1382" t="str" cm="1">
        <f t="array" ref="AE1382">_xlfn.IFS(G1382=1,"Before College",G1382=2,"College",G1382=3,"Bachelor",G1382=4,"Master",G1382=5,"Doctor")</f>
        <v>Master</v>
      </c>
      <c r="AF1382" t="str" cm="1">
        <f t="array" ref="AF1382">_xlfn.IFS(J1382=1,"Low",J1382=2,"Medium",J1382=3,"High",J1382=4,"Very High")</f>
        <v>Medium</v>
      </c>
      <c r="AG1382" t="str" cm="1">
        <f t="array" ref="AG1382">_xlfn.IFS(L1382=1,"Low",L1382=2,"Medium",L1382=3,"High",L1382=4,"Very High")</f>
        <v>High</v>
      </c>
      <c r="AH1382" t="str" cm="1">
        <f t="array" ref="AH1382">_xlfn.IFS(M1382=1,"Junior employee",M1382=2,"Mid-level",M1382=3,"Senior",M1382=4,"Manager",M1382=5,"Executive")</f>
        <v>Mid-level</v>
      </c>
      <c r="AI1382" t="str" cm="1">
        <f t="array" ref="AI1382">_xlfn.IFS(O1382=1,"Low",O1382=2,"Medium",O1382=3,"High",O1382=4,"Very High")</f>
        <v>Low</v>
      </c>
      <c r="AJ1382" t="str" cm="1">
        <f t="array" ref="AJ1382">_xlfn.IFS(U1382=1,"Low",U1382=2,"Good",U1382=3,"Excellent",U1382=4,"Outstanding")</f>
        <v>Excellent</v>
      </c>
      <c r="AK1382" t="str" cm="1">
        <f t="array" ref="AK1382">_xlfn.IFS(V1382=1,"Low",V1382=2,"Medium",V1382=3,"High",V1382=4,"Very High")</f>
        <v>Very High</v>
      </c>
      <c r="AL1382" t="str" cm="1">
        <f t="array" ref="AL1382">_xlfn.IFS(Z1382=1,"Bad",Z1382=2,"Good",Z1382=3,"Better",Z1382=4,"Best")</f>
        <v>Bad</v>
      </c>
      <c r="AM1382" t="str" cm="1">
        <f t="array" ref="AM1382">_xlfn.IFS(W1382=0,"No_stock",W1382=1,"Low",W1382=2,"Medium",W1382=3,"High")</f>
        <v>Low</v>
      </c>
      <c r="AN1382" t="str">
        <f t="shared" si="21"/>
        <v>Far</v>
      </c>
    </row>
    <row r="1383" spans="1:40" x14ac:dyDescent="0.45">
      <c r="A1383">
        <v>28</v>
      </c>
      <c r="B1383" t="s">
        <v>37</v>
      </c>
      <c r="C1383" t="s">
        <v>49</v>
      </c>
      <c r="D1383">
        <v>1103</v>
      </c>
      <c r="E1383" t="s">
        <v>39</v>
      </c>
      <c r="F1383">
        <v>16</v>
      </c>
      <c r="G1383">
        <v>3</v>
      </c>
      <c r="H1383" t="s">
        <v>45</v>
      </c>
      <c r="I1383">
        <v>1947</v>
      </c>
      <c r="J1383">
        <v>3</v>
      </c>
      <c r="K1383" t="s">
        <v>40</v>
      </c>
      <c r="L1383">
        <v>3</v>
      </c>
      <c r="M1383">
        <v>1</v>
      </c>
      <c r="N1383" t="s">
        <v>41</v>
      </c>
      <c r="O1383">
        <v>3</v>
      </c>
      <c r="P1383" t="s">
        <v>36</v>
      </c>
      <c r="Q1383">
        <v>2144</v>
      </c>
      <c r="R1383">
        <v>1</v>
      </c>
      <c r="S1383" t="s">
        <v>37</v>
      </c>
      <c r="T1383">
        <v>14</v>
      </c>
      <c r="U1383">
        <v>3</v>
      </c>
      <c r="V1383">
        <v>3</v>
      </c>
      <c r="W1383">
        <v>0</v>
      </c>
      <c r="X1383">
        <v>5</v>
      </c>
      <c r="Y1383">
        <v>3</v>
      </c>
      <c r="Z1383">
        <v>2</v>
      </c>
      <c r="AA1383">
        <v>5</v>
      </c>
      <c r="AB1383">
        <v>3</v>
      </c>
      <c r="AC1383">
        <v>1</v>
      </c>
      <c r="AD1383">
        <v>4</v>
      </c>
      <c r="AE1383" t="str" cm="1">
        <f t="array" ref="AE1383">_xlfn.IFS(G1383=1,"Before College",G1383=2,"College",G1383=3,"Bachelor",G1383=4,"Master",G1383=5,"Doctor")</f>
        <v>Bachelor</v>
      </c>
      <c r="AF1383" t="str" cm="1">
        <f t="array" ref="AF1383">_xlfn.IFS(J1383=1,"Low",J1383=2,"Medium",J1383=3,"High",J1383=4,"Very High")</f>
        <v>High</v>
      </c>
      <c r="AG1383" t="str" cm="1">
        <f t="array" ref="AG1383">_xlfn.IFS(L1383=1,"Low",L1383=2,"Medium",L1383=3,"High",L1383=4,"Very High")</f>
        <v>High</v>
      </c>
      <c r="AH1383" t="str" cm="1">
        <f t="array" ref="AH1383">_xlfn.IFS(M1383=1,"Junior employee",M1383=2,"Mid-level",M1383=3,"Senior",M1383=4,"Manager",M1383=5,"Executive")</f>
        <v>Junior employee</v>
      </c>
      <c r="AI1383" t="str" cm="1">
        <f t="array" ref="AI1383">_xlfn.IFS(O1383=1,"Low",O1383=2,"Medium",O1383=3,"High",O1383=4,"Very High")</f>
        <v>High</v>
      </c>
      <c r="AJ1383" t="str" cm="1">
        <f t="array" ref="AJ1383">_xlfn.IFS(U1383=1,"Low",U1383=2,"Good",U1383=3,"Excellent",U1383=4,"Outstanding")</f>
        <v>Excellent</v>
      </c>
      <c r="AK1383" t="str" cm="1">
        <f t="array" ref="AK1383">_xlfn.IFS(V1383=1,"Low",V1383=2,"Medium",V1383=3,"High",V1383=4,"Very High")</f>
        <v>High</v>
      </c>
      <c r="AL1383" t="str" cm="1">
        <f t="array" ref="AL1383">_xlfn.IFS(Z1383=1,"Bad",Z1383=2,"Good",Z1383=3,"Better",Z1383=4,"Best")</f>
        <v>Good</v>
      </c>
      <c r="AM1383" t="str" cm="1">
        <f t="array" ref="AM1383">_xlfn.IFS(W1383=0,"No_stock",W1383=1,"Low",W1383=2,"Medium",W1383=3,"High")</f>
        <v>No_stock</v>
      </c>
      <c r="AN1383" t="str">
        <f t="shared" si="21"/>
        <v>Far</v>
      </c>
    </row>
    <row r="1384" spans="1:40" x14ac:dyDescent="0.45">
      <c r="A1384">
        <v>31</v>
      </c>
      <c r="B1384" t="s">
        <v>37</v>
      </c>
      <c r="C1384" t="s">
        <v>49</v>
      </c>
      <c r="D1384">
        <v>976</v>
      </c>
      <c r="E1384" t="s">
        <v>39</v>
      </c>
      <c r="F1384">
        <v>3</v>
      </c>
      <c r="G1384">
        <v>2</v>
      </c>
      <c r="H1384" t="s">
        <v>45</v>
      </c>
      <c r="I1384">
        <v>1948</v>
      </c>
      <c r="J1384">
        <v>3</v>
      </c>
      <c r="K1384" t="s">
        <v>40</v>
      </c>
      <c r="L1384">
        <v>3</v>
      </c>
      <c r="M1384">
        <v>1</v>
      </c>
      <c r="N1384" t="s">
        <v>41</v>
      </c>
      <c r="O1384">
        <v>1</v>
      </c>
      <c r="P1384" t="s">
        <v>46</v>
      </c>
      <c r="Q1384">
        <v>3065</v>
      </c>
      <c r="R1384">
        <v>1</v>
      </c>
      <c r="S1384" t="s">
        <v>30</v>
      </c>
      <c r="T1384">
        <v>13</v>
      </c>
      <c r="U1384">
        <v>3</v>
      </c>
      <c r="V1384">
        <v>4</v>
      </c>
      <c r="W1384">
        <v>1</v>
      </c>
      <c r="X1384">
        <v>4</v>
      </c>
      <c r="Y1384">
        <v>3</v>
      </c>
      <c r="Z1384">
        <v>4</v>
      </c>
      <c r="AA1384">
        <v>4</v>
      </c>
      <c r="AB1384">
        <v>2</v>
      </c>
      <c r="AC1384">
        <v>2</v>
      </c>
      <c r="AD1384">
        <v>3</v>
      </c>
      <c r="AE1384" t="str" cm="1">
        <f t="array" ref="AE1384">_xlfn.IFS(G1384=1,"Before College",G1384=2,"College",G1384=3,"Bachelor",G1384=4,"Master",G1384=5,"Doctor")</f>
        <v>College</v>
      </c>
      <c r="AF1384" t="str" cm="1">
        <f t="array" ref="AF1384">_xlfn.IFS(J1384=1,"Low",J1384=2,"Medium",J1384=3,"High",J1384=4,"Very High")</f>
        <v>High</v>
      </c>
      <c r="AG1384" t="str" cm="1">
        <f t="array" ref="AG1384">_xlfn.IFS(L1384=1,"Low",L1384=2,"Medium",L1384=3,"High",L1384=4,"Very High")</f>
        <v>High</v>
      </c>
      <c r="AH1384" t="str" cm="1">
        <f t="array" ref="AH1384">_xlfn.IFS(M1384=1,"Junior employee",M1384=2,"Mid-level",M1384=3,"Senior",M1384=4,"Manager",M1384=5,"Executive")</f>
        <v>Junior employee</v>
      </c>
      <c r="AI1384" t="str" cm="1">
        <f t="array" ref="AI1384">_xlfn.IFS(O1384=1,"Low",O1384=2,"Medium",O1384=3,"High",O1384=4,"Very High")</f>
        <v>Low</v>
      </c>
      <c r="AJ1384" t="str" cm="1">
        <f t="array" ref="AJ1384">_xlfn.IFS(U1384=1,"Low",U1384=2,"Good",U1384=3,"Excellent",U1384=4,"Outstanding")</f>
        <v>Excellent</v>
      </c>
      <c r="AK1384" t="str" cm="1">
        <f t="array" ref="AK1384">_xlfn.IFS(V1384=1,"Low",V1384=2,"Medium",V1384=3,"High",V1384=4,"Very High")</f>
        <v>Very High</v>
      </c>
      <c r="AL1384" t="str" cm="1">
        <f t="array" ref="AL1384">_xlfn.IFS(Z1384=1,"Bad",Z1384=2,"Good",Z1384=3,"Better",Z1384=4,"Best")</f>
        <v>Best</v>
      </c>
      <c r="AM1384" t="str" cm="1">
        <f t="array" ref="AM1384">_xlfn.IFS(W1384=0,"No_stock",W1384=1,"Low",W1384=2,"Medium",W1384=3,"High")</f>
        <v>Low</v>
      </c>
      <c r="AN1384" t="str">
        <f t="shared" si="21"/>
        <v>Near</v>
      </c>
    </row>
    <row r="1385" spans="1:40" x14ac:dyDescent="0.45">
      <c r="A1385">
        <v>36</v>
      </c>
      <c r="B1385" t="s">
        <v>37</v>
      </c>
      <c r="C1385" t="s">
        <v>49</v>
      </c>
      <c r="D1385">
        <v>1351</v>
      </c>
      <c r="E1385" t="s">
        <v>39</v>
      </c>
      <c r="F1385">
        <v>9</v>
      </c>
      <c r="G1385">
        <v>4</v>
      </c>
      <c r="H1385" t="s">
        <v>33</v>
      </c>
      <c r="I1385">
        <v>1949</v>
      </c>
      <c r="J1385">
        <v>1</v>
      </c>
      <c r="K1385" t="s">
        <v>40</v>
      </c>
      <c r="L1385">
        <v>4</v>
      </c>
      <c r="M1385">
        <v>1</v>
      </c>
      <c r="N1385" t="s">
        <v>44</v>
      </c>
      <c r="O1385">
        <v>2</v>
      </c>
      <c r="P1385" t="s">
        <v>42</v>
      </c>
      <c r="Q1385">
        <v>2810</v>
      </c>
      <c r="R1385">
        <v>1</v>
      </c>
      <c r="S1385" t="s">
        <v>37</v>
      </c>
      <c r="T1385">
        <v>22</v>
      </c>
      <c r="U1385">
        <v>4</v>
      </c>
      <c r="V1385">
        <v>2</v>
      </c>
      <c r="W1385">
        <v>0</v>
      </c>
      <c r="X1385">
        <v>5</v>
      </c>
      <c r="Y1385">
        <v>3</v>
      </c>
      <c r="Z1385">
        <v>3</v>
      </c>
      <c r="AA1385">
        <v>5</v>
      </c>
      <c r="AB1385">
        <v>4</v>
      </c>
      <c r="AC1385">
        <v>0</v>
      </c>
      <c r="AD1385">
        <v>2</v>
      </c>
      <c r="AE1385" t="str" cm="1">
        <f t="array" ref="AE1385">_xlfn.IFS(G1385=1,"Before College",G1385=2,"College",G1385=3,"Bachelor",G1385=4,"Master",G1385=5,"Doctor")</f>
        <v>Master</v>
      </c>
      <c r="AF1385" t="str" cm="1">
        <f t="array" ref="AF1385">_xlfn.IFS(J1385=1,"Low",J1385=2,"Medium",J1385=3,"High",J1385=4,"Very High")</f>
        <v>Low</v>
      </c>
      <c r="AG1385" t="str" cm="1">
        <f t="array" ref="AG1385">_xlfn.IFS(L1385=1,"Low",L1385=2,"Medium",L1385=3,"High",L1385=4,"Very High")</f>
        <v>Very High</v>
      </c>
      <c r="AH1385" t="str" cm="1">
        <f t="array" ref="AH1385">_xlfn.IFS(M1385=1,"Junior employee",M1385=2,"Mid-level",M1385=3,"Senior",M1385=4,"Manager",M1385=5,"Executive")</f>
        <v>Junior employee</v>
      </c>
      <c r="AI1385" t="str" cm="1">
        <f t="array" ref="AI1385">_xlfn.IFS(O1385=1,"Low",O1385=2,"Medium",O1385=3,"High",O1385=4,"Very High")</f>
        <v>Medium</v>
      </c>
      <c r="AJ1385" t="str" cm="1">
        <f t="array" ref="AJ1385">_xlfn.IFS(U1385=1,"Low",U1385=2,"Good",U1385=3,"Excellent",U1385=4,"Outstanding")</f>
        <v>Outstanding</v>
      </c>
      <c r="AK1385" t="str" cm="1">
        <f t="array" ref="AK1385">_xlfn.IFS(V1385=1,"Low",V1385=2,"Medium",V1385=3,"High",V1385=4,"Very High")</f>
        <v>Medium</v>
      </c>
      <c r="AL1385" t="str" cm="1">
        <f t="array" ref="AL1385">_xlfn.IFS(Z1385=1,"Bad",Z1385=2,"Good",Z1385=3,"Better",Z1385=4,"Best")</f>
        <v>Better</v>
      </c>
      <c r="AM1385" t="str" cm="1">
        <f t="array" ref="AM1385">_xlfn.IFS(W1385=0,"No_stock",W1385=1,"Low",W1385=2,"Medium",W1385=3,"High")</f>
        <v>No_stock</v>
      </c>
      <c r="AN1385" t="str">
        <f t="shared" si="21"/>
        <v>Medium</v>
      </c>
    </row>
    <row r="1386" spans="1:40" x14ac:dyDescent="0.45">
      <c r="A1386">
        <v>34</v>
      </c>
      <c r="B1386" t="s">
        <v>37</v>
      </c>
      <c r="C1386" t="s">
        <v>31</v>
      </c>
      <c r="D1386">
        <v>937</v>
      </c>
      <c r="E1386" t="s">
        <v>32</v>
      </c>
      <c r="F1386">
        <v>1</v>
      </c>
      <c r="G1386">
        <v>3</v>
      </c>
      <c r="H1386" t="s">
        <v>53</v>
      </c>
      <c r="I1386">
        <v>1950</v>
      </c>
      <c r="J1386">
        <v>1</v>
      </c>
      <c r="K1386" t="s">
        <v>40</v>
      </c>
      <c r="L1386">
        <v>3</v>
      </c>
      <c r="M1386">
        <v>3</v>
      </c>
      <c r="N1386" t="s">
        <v>35</v>
      </c>
      <c r="O1386">
        <v>4</v>
      </c>
      <c r="P1386" t="s">
        <v>36</v>
      </c>
      <c r="Q1386">
        <v>9888</v>
      </c>
      <c r="R1386">
        <v>1</v>
      </c>
      <c r="S1386" t="s">
        <v>37</v>
      </c>
      <c r="T1386">
        <v>21</v>
      </c>
      <c r="U1386">
        <v>4</v>
      </c>
      <c r="V1386">
        <v>1</v>
      </c>
      <c r="W1386">
        <v>0</v>
      </c>
      <c r="X1386">
        <v>14</v>
      </c>
      <c r="Y1386">
        <v>3</v>
      </c>
      <c r="Z1386">
        <v>2</v>
      </c>
      <c r="AA1386">
        <v>14</v>
      </c>
      <c r="AB1386">
        <v>8</v>
      </c>
      <c r="AC1386">
        <v>2</v>
      </c>
      <c r="AD1386">
        <v>1</v>
      </c>
      <c r="AE1386" t="str" cm="1">
        <f t="array" ref="AE1386">_xlfn.IFS(G1386=1,"Before College",G1386=2,"College",G1386=3,"Bachelor",G1386=4,"Master",G1386=5,"Doctor")</f>
        <v>Bachelor</v>
      </c>
      <c r="AF1386" t="str" cm="1">
        <f t="array" ref="AF1386">_xlfn.IFS(J1386=1,"Low",J1386=2,"Medium",J1386=3,"High",J1386=4,"Very High")</f>
        <v>Low</v>
      </c>
      <c r="AG1386" t="str" cm="1">
        <f t="array" ref="AG1386">_xlfn.IFS(L1386=1,"Low",L1386=2,"Medium",L1386=3,"High",L1386=4,"Very High")</f>
        <v>High</v>
      </c>
      <c r="AH1386" t="str" cm="1">
        <f t="array" ref="AH1386">_xlfn.IFS(M1386=1,"Junior employee",M1386=2,"Mid-level",M1386=3,"Senior",M1386=4,"Manager",M1386=5,"Executive")</f>
        <v>Senior</v>
      </c>
      <c r="AI1386" t="str" cm="1">
        <f t="array" ref="AI1386">_xlfn.IFS(O1386=1,"Low",O1386=2,"Medium",O1386=3,"High",O1386=4,"Very High")</f>
        <v>Very High</v>
      </c>
      <c r="AJ1386" t="str" cm="1">
        <f t="array" ref="AJ1386">_xlfn.IFS(U1386=1,"Low",U1386=2,"Good",U1386=3,"Excellent",U1386=4,"Outstanding")</f>
        <v>Outstanding</v>
      </c>
      <c r="AK1386" t="str" cm="1">
        <f t="array" ref="AK1386">_xlfn.IFS(V1386=1,"Low",V1386=2,"Medium",V1386=3,"High",V1386=4,"Very High")</f>
        <v>Low</v>
      </c>
      <c r="AL1386" t="str" cm="1">
        <f t="array" ref="AL1386">_xlfn.IFS(Z1386=1,"Bad",Z1386=2,"Good",Z1386=3,"Better",Z1386=4,"Best")</f>
        <v>Good</v>
      </c>
      <c r="AM1386" t="str" cm="1">
        <f t="array" ref="AM1386">_xlfn.IFS(W1386=0,"No_stock",W1386=1,"Low",W1386=2,"Medium",W1386=3,"High")</f>
        <v>No_stock</v>
      </c>
      <c r="AN1386" t="str">
        <f t="shared" si="21"/>
        <v>Near</v>
      </c>
    </row>
    <row r="1387" spans="1:40" x14ac:dyDescent="0.45">
      <c r="A1387">
        <v>34</v>
      </c>
      <c r="B1387" t="s">
        <v>37</v>
      </c>
      <c r="C1387" t="s">
        <v>31</v>
      </c>
      <c r="D1387">
        <v>1239</v>
      </c>
      <c r="E1387" t="s">
        <v>32</v>
      </c>
      <c r="F1387">
        <v>13</v>
      </c>
      <c r="G1387">
        <v>4</v>
      </c>
      <c r="H1387" t="s">
        <v>45</v>
      </c>
      <c r="I1387">
        <v>1951</v>
      </c>
      <c r="J1387">
        <v>4</v>
      </c>
      <c r="K1387" t="s">
        <v>40</v>
      </c>
      <c r="L1387">
        <v>3</v>
      </c>
      <c r="M1387">
        <v>3</v>
      </c>
      <c r="N1387" t="s">
        <v>35</v>
      </c>
      <c r="O1387">
        <v>3</v>
      </c>
      <c r="P1387" t="s">
        <v>46</v>
      </c>
      <c r="Q1387">
        <v>8628</v>
      </c>
      <c r="R1387">
        <v>1</v>
      </c>
      <c r="S1387" t="s">
        <v>37</v>
      </c>
      <c r="T1387">
        <v>18</v>
      </c>
      <c r="U1387">
        <v>3</v>
      </c>
      <c r="V1387">
        <v>3</v>
      </c>
      <c r="W1387">
        <v>1</v>
      </c>
      <c r="X1387">
        <v>9</v>
      </c>
      <c r="Y1387">
        <v>2</v>
      </c>
      <c r="Z1387">
        <v>2</v>
      </c>
      <c r="AA1387">
        <v>8</v>
      </c>
      <c r="AB1387">
        <v>7</v>
      </c>
      <c r="AC1387">
        <v>1</v>
      </c>
      <c r="AD1387">
        <v>1</v>
      </c>
      <c r="AE1387" t="str" cm="1">
        <f t="array" ref="AE1387">_xlfn.IFS(G1387=1,"Before College",G1387=2,"College",G1387=3,"Bachelor",G1387=4,"Master",G1387=5,"Doctor")</f>
        <v>Master</v>
      </c>
      <c r="AF1387" t="str" cm="1">
        <f t="array" ref="AF1387">_xlfn.IFS(J1387=1,"Low",J1387=2,"Medium",J1387=3,"High",J1387=4,"Very High")</f>
        <v>Very High</v>
      </c>
      <c r="AG1387" t="str" cm="1">
        <f t="array" ref="AG1387">_xlfn.IFS(L1387=1,"Low",L1387=2,"Medium",L1387=3,"High",L1387=4,"Very High")</f>
        <v>High</v>
      </c>
      <c r="AH1387" t="str" cm="1">
        <f t="array" ref="AH1387">_xlfn.IFS(M1387=1,"Junior employee",M1387=2,"Mid-level",M1387=3,"Senior",M1387=4,"Manager",M1387=5,"Executive")</f>
        <v>Senior</v>
      </c>
      <c r="AI1387" t="str" cm="1">
        <f t="array" ref="AI1387">_xlfn.IFS(O1387=1,"Low",O1387=2,"Medium",O1387=3,"High",O1387=4,"Very High")</f>
        <v>High</v>
      </c>
      <c r="AJ1387" t="str" cm="1">
        <f t="array" ref="AJ1387">_xlfn.IFS(U1387=1,"Low",U1387=2,"Good",U1387=3,"Excellent",U1387=4,"Outstanding")</f>
        <v>Excellent</v>
      </c>
      <c r="AK1387" t="str" cm="1">
        <f t="array" ref="AK1387">_xlfn.IFS(V1387=1,"Low",V1387=2,"Medium",V1387=3,"High",V1387=4,"Very High")</f>
        <v>High</v>
      </c>
      <c r="AL1387" t="str" cm="1">
        <f t="array" ref="AL1387">_xlfn.IFS(Z1387=1,"Bad",Z1387=2,"Good",Z1387=3,"Better",Z1387=4,"Best")</f>
        <v>Good</v>
      </c>
      <c r="AM1387" t="str" cm="1">
        <f t="array" ref="AM1387">_xlfn.IFS(W1387=0,"No_stock",W1387=1,"Low",W1387=2,"Medium",W1387=3,"High")</f>
        <v>Low</v>
      </c>
      <c r="AN1387" t="str">
        <f t="shared" si="21"/>
        <v>Medium</v>
      </c>
    </row>
    <row r="1388" spans="1:40" x14ac:dyDescent="0.45">
      <c r="A1388">
        <v>26</v>
      </c>
      <c r="B1388" t="s">
        <v>37</v>
      </c>
      <c r="C1388" t="s">
        <v>31</v>
      </c>
      <c r="D1388">
        <v>157</v>
      </c>
      <c r="E1388" t="s">
        <v>39</v>
      </c>
      <c r="F1388">
        <v>1</v>
      </c>
      <c r="G1388">
        <v>3</v>
      </c>
      <c r="H1388" t="s">
        <v>45</v>
      </c>
      <c r="I1388">
        <v>1952</v>
      </c>
      <c r="J1388">
        <v>3</v>
      </c>
      <c r="K1388" t="s">
        <v>40</v>
      </c>
      <c r="L1388">
        <v>3</v>
      </c>
      <c r="M1388">
        <v>1</v>
      </c>
      <c r="N1388" t="s">
        <v>44</v>
      </c>
      <c r="O1388">
        <v>1</v>
      </c>
      <c r="P1388" t="s">
        <v>36</v>
      </c>
      <c r="Q1388">
        <v>2867</v>
      </c>
      <c r="R1388">
        <v>0</v>
      </c>
      <c r="S1388" t="s">
        <v>37</v>
      </c>
      <c r="T1388">
        <v>13</v>
      </c>
      <c r="U1388">
        <v>3</v>
      </c>
      <c r="V1388">
        <v>4</v>
      </c>
      <c r="W1388">
        <v>0</v>
      </c>
      <c r="X1388">
        <v>8</v>
      </c>
      <c r="Y1388">
        <v>6</v>
      </c>
      <c r="Z1388">
        <v>2</v>
      </c>
      <c r="AA1388">
        <v>7</v>
      </c>
      <c r="AB1388">
        <v>7</v>
      </c>
      <c r="AC1388">
        <v>7</v>
      </c>
      <c r="AD1388">
        <v>6</v>
      </c>
      <c r="AE1388" t="str" cm="1">
        <f t="array" ref="AE1388">_xlfn.IFS(G1388=1,"Before College",G1388=2,"College",G1388=3,"Bachelor",G1388=4,"Master",G1388=5,"Doctor")</f>
        <v>Bachelor</v>
      </c>
      <c r="AF1388" t="str" cm="1">
        <f t="array" ref="AF1388">_xlfn.IFS(J1388=1,"Low",J1388=2,"Medium",J1388=3,"High",J1388=4,"Very High")</f>
        <v>High</v>
      </c>
      <c r="AG1388" t="str" cm="1">
        <f t="array" ref="AG1388">_xlfn.IFS(L1388=1,"Low",L1388=2,"Medium",L1388=3,"High",L1388=4,"Very High")</f>
        <v>High</v>
      </c>
      <c r="AH1388" t="str" cm="1">
        <f t="array" ref="AH1388">_xlfn.IFS(M1388=1,"Junior employee",M1388=2,"Mid-level",M1388=3,"Senior",M1388=4,"Manager",M1388=5,"Executive")</f>
        <v>Junior employee</v>
      </c>
      <c r="AI1388" t="str" cm="1">
        <f t="array" ref="AI1388">_xlfn.IFS(O1388=1,"Low",O1388=2,"Medium",O1388=3,"High",O1388=4,"Very High")</f>
        <v>Low</v>
      </c>
      <c r="AJ1388" t="str" cm="1">
        <f t="array" ref="AJ1388">_xlfn.IFS(U1388=1,"Low",U1388=2,"Good",U1388=3,"Excellent",U1388=4,"Outstanding")</f>
        <v>Excellent</v>
      </c>
      <c r="AK1388" t="str" cm="1">
        <f t="array" ref="AK1388">_xlfn.IFS(V1388=1,"Low",V1388=2,"Medium",V1388=3,"High",V1388=4,"Very High")</f>
        <v>Very High</v>
      </c>
      <c r="AL1388" t="str" cm="1">
        <f t="array" ref="AL1388">_xlfn.IFS(Z1388=1,"Bad",Z1388=2,"Good",Z1388=3,"Better",Z1388=4,"Best")</f>
        <v>Good</v>
      </c>
      <c r="AM1388" t="str" cm="1">
        <f t="array" ref="AM1388">_xlfn.IFS(W1388=0,"No_stock",W1388=1,"Low",W1388=2,"Medium",W1388=3,"High")</f>
        <v>No_stock</v>
      </c>
      <c r="AN1388" t="str">
        <f t="shared" si="21"/>
        <v>Near</v>
      </c>
    </row>
    <row r="1389" spans="1:40" x14ac:dyDescent="0.45">
      <c r="A1389">
        <v>29</v>
      </c>
      <c r="B1389" t="s">
        <v>37</v>
      </c>
      <c r="C1389" t="s">
        <v>31</v>
      </c>
      <c r="D1389">
        <v>136</v>
      </c>
      <c r="E1389" t="s">
        <v>39</v>
      </c>
      <c r="F1389">
        <v>1</v>
      </c>
      <c r="G1389">
        <v>3</v>
      </c>
      <c r="H1389" t="s">
        <v>33</v>
      </c>
      <c r="I1389">
        <v>1954</v>
      </c>
      <c r="J1389">
        <v>1</v>
      </c>
      <c r="K1389" t="s">
        <v>40</v>
      </c>
      <c r="L1389">
        <v>3</v>
      </c>
      <c r="M1389">
        <v>2</v>
      </c>
      <c r="N1389" t="s">
        <v>48</v>
      </c>
      <c r="O1389">
        <v>1</v>
      </c>
      <c r="P1389" t="s">
        <v>42</v>
      </c>
      <c r="Q1389">
        <v>5373</v>
      </c>
      <c r="R1389">
        <v>0</v>
      </c>
      <c r="S1389" t="s">
        <v>37</v>
      </c>
      <c r="T1389">
        <v>12</v>
      </c>
      <c r="U1389">
        <v>3</v>
      </c>
      <c r="V1389">
        <v>1</v>
      </c>
      <c r="W1389">
        <v>1</v>
      </c>
      <c r="X1389">
        <v>6</v>
      </c>
      <c r="Y1389">
        <v>5</v>
      </c>
      <c r="Z1389">
        <v>2</v>
      </c>
      <c r="AA1389">
        <v>5</v>
      </c>
      <c r="AB1389">
        <v>3</v>
      </c>
      <c r="AC1389">
        <v>0</v>
      </c>
      <c r="AD1389">
        <v>2</v>
      </c>
      <c r="AE1389" t="str" cm="1">
        <f t="array" ref="AE1389">_xlfn.IFS(G1389=1,"Before College",G1389=2,"College",G1389=3,"Bachelor",G1389=4,"Master",G1389=5,"Doctor")</f>
        <v>Bachelor</v>
      </c>
      <c r="AF1389" t="str" cm="1">
        <f t="array" ref="AF1389">_xlfn.IFS(J1389=1,"Low",J1389=2,"Medium",J1389=3,"High",J1389=4,"Very High")</f>
        <v>Low</v>
      </c>
      <c r="AG1389" t="str" cm="1">
        <f t="array" ref="AG1389">_xlfn.IFS(L1389=1,"Low",L1389=2,"Medium",L1389=3,"High",L1389=4,"Very High")</f>
        <v>High</v>
      </c>
      <c r="AH1389" t="str" cm="1">
        <f t="array" ref="AH1389">_xlfn.IFS(M1389=1,"Junior employee",M1389=2,"Mid-level",M1389=3,"Senior",M1389=4,"Manager",M1389=5,"Executive")</f>
        <v>Mid-level</v>
      </c>
      <c r="AI1389" t="str" cm="1">
        <f t="array" ref="AI1389">_xlfn.IFS(O1389=1,"Low",O1389=2,"Medium",O1389=3,"High",O1389=4,"Very High")</f>
        <v>Low</v>
      </c>
      <c r="AJ1389" t="str" cm="1">
        <f t="array" ref="AJ1389">_xlfn.IFS(U1389=1,"Low",U1389=2,"Good",U1389=3,"Excellent",U1389=4,"Outstanding")</f>
        <v>Excellent</v>
      </c>
      <c r="AK1389" t="str" cm="1">
        <f t="array" ref="AK1389">_xlfn.IFS(V1389=1,"Low",V1389=2,"Medium",V1389=3,"High",V1389=4,"Very High")</f>
        <v>Low</v>
      </c>
      <c r="AL1389" t="str" cm="1">
        <f t="array" ref="AL1389">_xlfn.IFS(Z1389=1,"Bad",Z1389=2,"Good",Z1389=3,"Better",Z1389=4,"Best")</f>
        <v>Good</v>
      </c>
      <c r="AM1389" t="str" cm="1">
        <f t="array" ref="AM1389">_xlfn.IFS(W1389=0,"No_stock",W1389=1,"Low",W1389=2,"Medium",W1389=3,"High")</f>
        <v>Low</v>
      </c>
      <c r="AN1389" t="str">
        <f t="shared" si="21"/>
        <v>Near</v>
      </c>
    </row>
    <row r="1390" spans="1:40" x14ac:dyDescent="0.45">
      <c r="A1390">
        <v>32</v>
      </c>
      <c r="B1390" t="s">
        <v>37</v>
      </c>
      <c r="C1390" t="s">
        <v>49</v>
      </c>
      <c r="D1390">
        <v>1146</v>
      </c>
      <c r="E1390" t="s">
        <v>39</v>
      </c>
      <c r="F1390">
        <v>15</v>
      </c>
      <c r="G1390">
        <v>4</v>
      </c>
      <c r="H1390" t="s">
        <v>45</v>
      </c>
      <c r="I1390">
        <v>1955</v>
      </c>
      <c r="J1390">
        <v>3</v>
      </c>
      <c r="K1390" t="s">
        <v>34</v>
      </c>
      <c r="L1390">
        <v>3</v>
      </c>
      <c r="M1390">
        <v>2</v>
      </c>
      <c r="N1390" t="s">
        <v>48</v>
      </c>
      <c r="O1390">
        <v>4</v>
      </c>
      <c r="P1390" t="s">
        <v>46</v>
      </c>
      <c r="Q1390">
        <v>6667</v>
      </c>
      <c r="R1390">
        <v>5</v>
      </c>
      <c r="S1390" t="s">
        <v>37</v>
      </c>
      <c r="T1390">
        <v>18</v>
      </c>
      <c r="U1390">
        <v>3</v>
      </c>
      <c r="V1390">
        <v>2</v>
      </c>
      <c r="W1390">
        <v>1</v>
      </c>
      <c r="X1390">
        <v>9</v>
      </c>
      <c r="Y1390">
        <v>6</v>
      </c>
      <c r="Z1390">
        <v>3</v>
      </c>
      <c r="AA1390">
        <v>5</v>
      </c>
      <c r="AB1390">
        <v>1</v>
      </c>
      <c r="AC1390">
        <v>1</v>
      </c>
      <c r="AD1390">
        <v>2</v>
      </c>
      <c r="AE1390" t="str" cm="1">
        <f t="array" ref="AE1390">_xlfn.IFS(G1390=1,"Before College",G1390=2,"College",G1390=3,"Bachelor",G1390=4,"Master",G1390=5,"Doctor")</f>
        <v>Master</v>
      </c>
      <c r="AF1390" t="str" cm="1">
        <f t="array" ref="AF1390">_xlfn.IFS(J1390=1,"Low",J1390=2,"Medium",J1390=3,"High",J1390=4,"Very High")</f>
        <v>High</v>
      </c>
      <c r="AG1390" t="str" cm="1">
        <f t="array" ref="AG1390">_xlfn.IFS(L1390=1,"Low",L1390=2,"Medium",L1390=3,"High",L1390=4,"Very High")</f>
        <v>High</v>
      </c>
      <c r="AH1390" t="str" cm="1">
        <f t="array" ref="AH1390">_xlfn.IFS(M1390=1,"Junior employee",M1390=2,"Mid-level",M1390=3,"Senior",M1390=4,"Manager",M1390=5,"Executive")</f>
        <v>Mid-level</v>
      </c>
      <c r="AI1390" t="str" cm="1">
        <f t="array" ref="AI1390">_xlfn.IFS(O1390=1,"Low",O1390=2,"Medium",O1390=3,"High",O1390=4,"Very High")</f>
        <v>Very High</v>
      </c>
      <c r="AJ1390" t="str" cm="1">
        <f t="array" ref="AJ1390">_xlfn.IFS(U1390=1,"Low",U1390=2,"Good",U1390=3,"Excellent",U1390=4,"Outstanding")</f>
        <v>Excellent</v>
      </c>
      <c r="AK1390" t="str" cm="1">
        <f t="array" ref="AK1390">_xlfn.IFS(V1390=1,"Low",V1390=2,"Medium",V1390=3,"High",V1390=4,"Very High")</f>
        <v>Medium</v>
      </c>
      <c r="AL1390" t="str" cm="1">
        <f t="array" ref="AL1390">_xlfn.IFS(Z1390=1,"Bad",Z1390=2,"Good",Z1390=3,"Better",Z1390=4,"Best")</f>
        <v>Better</v>
      </c>
      <c r="AM1390" t="str" cm="1">
        <f t="array" ref="AM1390">_xlfn.IFS(W1390=0,"No_stock",W1390=1,"Low",W1390=2,"Medium",W1390=3,"High")</f>
        <v>Low</v>
      </c>
      <c r="AN1390" t="str">
        <f t="shared" si="21"/>
        <v>Medium</v>
      </c>
    </row>
    <row r="1391" spans="1:40" x14ac:dyDescent="0.45">
      <c r="A1391">
        <v>31</v>
      </c>
      <c r="B1391" t="s">
        <v>37</v>
      </c>
      <c r="C1391" t="s">
        <v>38</v>
      </c>
      <c r="D1391">
        <v>1125</v>
      </c>
      <c r="E1391" t="s">
        <v>39</v>
      </c>
      <c r="F1391">
        <v>1</v>
      </c>
      <c r="G1391">
        <v>3</v>
      </c>
      <c r="H1391" t="s">
        <v>33</v>
      </c>
      <c r="I1391">
        <v>1956</v>
      </c>
      <c r="J1391">
        <v>4</v>
      </c>
      <c r="K1391" t="s">
        <v>40</v>
      </c>
      <c r="L1391">
        <v>1</v>
      </c>
      <c r="M1391">
        <v>2</v>
      </c>
      <c r="N1391" t="s">
        <v>41</v>
      </c>
      <c r="O1391">
        <v>1</v>
      </c>
      <c r="P1391" t="s">
        <v>42</v>
      </c>
      <c r="Q1391">
        <v>5003</v>
      </c>
      <c r="R1391">
        <v>1</v>
      </c>
      <c r="S1391" t="s">
        <v>37</v>
      </c>
      <c r="T1391">
        <v>21</v>
      </c>
      <c r="U1391">
        <v>4</v>
      </c>
      <c r="V1391">
        <v>2</v>
      </c>
      <c r="W1391">
        <v>0</v>
      </c>
      <c r="X1391">
        <v>10</v>
      </c>
      <c r="Y1391">
        <v>6</v>
      </c>
      <c r="Z1391">
        <v>3</v>
      </c>
      <c r="AA1391">
        <v>10</v>
      </c>
      <c r="AB1391">
        <v>8</v>
      </c>
      <c r="AC1391">
        <v>8</v>
      </c>
      <c r="AD1391">
        <v>7</v>
      </c>
      <c r="AE1391" t="str" cm="1">
        <f t="array" ref="AE1391">_xlfn.IFS(G1391=1,"Before College",G1391=2,"College",G1391=3,"Bachelor",G1391=4,"Master",G1391=5,"Doctor")</f>
        <v>Bachelor</v>
      </c>
      <c r="AF1391" t="str" cm="1">
        <f t="array" ref="AF1391">_xlfn.IFS(J1391=1,"Low",J1391=2,"Medium",J1391=3,"High",J1391=4,"Very High")</f>
        <v>Very High</v>
      </c>
      <c r="AG1391" t="str" cm="1">
        <f t="array" ref="AG1391">_xlfn.IFS(L1391=1,"Low",L1391=2,"Medium",L1391=3,"High",L1391=4,"Very High")</f>
        <v>Low</v>
      </c>
      <c r="AH1391" t="str" cm="1">
        <f t="array" ref="AH1391">_xlfn.IFS(M1391=1,"Junior employee",M1391=2,"Mid-level",M1391=3,"Senior",M1391=4,"Manager",M1391=5,"Executive")</f>
        <v>Mid-level</v>
      </c>
      <c r="AI1391" t="str" cm="1">
        <f t="array" ref="AI1391">_xlfn.IFS(O1391=1,"Low",O1391=2,"Medium",O1391=3,"High",O1391=4,"Very High")</f>
        <v>Low</v>
      </c>
      <c r="AJ1391" t="str" cm="1">
        <f t="array" ref="AJ1391">_xlfn.IFS(U1391=1,"Low",U1391=2,"Good",U1391=3,"Excellent",U1391=4,"Outstanding")</f>
        <v>Outstanding</v>
      </c>
      <c r="AK1391" t="str" cm="1">
        <f t="array" ref="AK1391">_xlfn.IFS(V1391=1,"Low",V1391=2,"Medium",V1391=3,"High",V1391=4,"Very High")</f>
        <v>Medium</v>
      </c>
      <c r="AL1391" t="str" cm="1">
        <f t="array" ref="AL1391">_xlfn.IFS(Z1391=1,"Bad",Z1391=2,"Good",Z1391=3,"Better",Z1391=4,"Best")</f>
        <v>Better</v>
      </c>
      <c r="AM1391" t="str" cm="1">
        <f t="array" ref="AM1391">_xlfn.IFS(W1391=0,"No_stock",W1391=1,"Low",W1391=2,"Medium",W1391=3,"High")</f>
        <v>No_stock</v>
      </c>
      <c r="AN1391" t="str">
        <f t="shared" si="21"/>
        <v>Near</v>
      </c>
    </row>
    <row r="1392" spans="1:40" x14ac:dyDescent="0.45">
      <c r="A1392">
        <v>28</v>
      </c>
      <c r="B1392" t="s">
        <v>30</v>
      </c>
      <c r="C1392" t="s">
        <v>31</v>
      </c>
      <c r="D1392">
        <v>1404</v>
      </c>
      <c r="E1392" t="s">
        <v>39</v>
      </c>
      <c r="F1392">
        <v>17</v>
      </c>
      <c r="G1392">
        <v>3</v>
      </c>
      <c r="H1392" t="s">
        <v>54</v>
      </c>
      <c r="I1392">
        <v>1960</v>
      </c>
      <c r="J1392">
        <v>3</v>
      </c>
      <c r="K1392" t="s">
        <v>40</v>
      </c>
      <c r="L1392">
        <v>2</v>
      </c>
      <c r="M1392">
        <v>1</v>
      </c>
      <c r="N1392" t="s">
        <v>44</v>
      </c>
      <c r="O1392">
        <v>4</v>
      </c>
      <c r="P1392" t="s">
        <v>46</v>
      </c>
      <c r="Q1392">
        <v>2367</v>
      </c>
      <c r="R1392">
        <v>5</v>
      </c>
      <c r="S1392" t="s">
        <v>37</v>
      </c>
      <c r="T1392">
        <v>12</v>
      </c>
      <c r="U1392">
        <v>3</v>
      </c>
      <c r="V1392">
        <v>1</v>
      </c>
      <c r="W1392">
        <v>1</v>
      </c>
      <c r="X1392">
        <v>6</v>
      </c>
      <c r="Y1392">
        <v>2</v>
      </c>
      <c r="Z1392">
        <v>2</v>
      </c>
      <c r="AA1392">
        <v>4</v>
      </c>
      <c r="AB1392">
        <v>1</v>
      </c>
      <c r="AC1392">
        <v>0</v>
      </c>
      <c r="AD1392">
        <v>3</v>
      </c>
      <c r="AE1392" t="str" cm="1">
        <f t="array" ref="AE1392">_xlfn.IFS(G1392=1,"Before College",G1392=2,"College",G1392=3,"Bachelor",G1392=4,"Master",G1392=5,"Doctor")</f>
        <v>Bachelor</v>
      </c>
      <c r="AF1392" t="str" cm="1">
        <f t="array" ref="AF1392">_xlfn.IFS(J1392=1,"Low",J1392=2,"Medium",J1392=3,"High",J1392=4,"Very High")</f>
        <v>High</v>
      </c>
      <c r="AG1392" t="str" cm="1">
        <f t="array" ref="AG1392">_xlfn.IFS(L1392=1,"Low",L1392=2,"Medium",L1392=3,"High",L1392=4,"Very High")</f>
        <v>Medium</v>
      </c>
      <c r="AH1392" t="str" cm="1">
        <f t="array" ref="AH1392">_xlfn.IFS(M1392=1,"Junior employee",M1392=2,"Mid-level",M1392=3,"Senior",M1392=4,"Manager",M1392=5,"Executive")</f>
        <v>Junior employee</v>
      </c>
      <c r="AI1392" t="str" cm="1">
        <f t="array" ref="AI1392">_xlfn.IFS(O1392=1,"Low",O1392=2,"Medium",O1392=3,"High",O1392=4,"Very High")</f>
        <v>Very High</v>
      </c>
      <c r="AJ1392" t="str" cm="1">
        <f t="array" ref="AJ1392">_xlfn.IFS(U1392=1,"Low",U1392=2,"Good",U1392=3,"Excellent",U1392=4,"Outstanding")</f>
        <v>Excellent</v>
      </c>
      <c r="AK1392" t="str" cm="1">
        <f t="array" ref="AK1392">_xlfn.IFS(V1392=1,"Low",V1392=2,"Medium",V1392=3,"High",V1392=4,"Very High")</f>
        <v>Low</v>
      </c>
      <c r="AL1392" t="str" cm="1">
        <f t="array" ref="AL1392">_xlfn.IFS(Z1392=1,"Bad",Z1392=2,"Good",Z1392=3,"Better",Z1392=4,"Best")</f>
        <v>Good</v>
      </c>
      <c r="AM1392" t="str" cm="1">
        <f t="array" ref="AM1392">_xlfn.IFS(W1392=0,"No_stock",W1392=1,"Low",W1392=2,"Medium",W1392=3,"High")</f>
        <v>Low</v>
      </c>
      <c r="AN1392" t="str">
        <f t="shared" si="21"/>
        <v>Far</v>
      </c>
    </row>
    <row r="1393" spans="1:40" x14ac:dyDescent="0.45">
      <c r="A1393">
        <v>38</v>
      </c>
      <c r="B1393" t="s">
        <v>37</v>
      </c>
      <c r="C1393" t="s">
        <v>31</v>
      </c>
      <c r="D1393">
        <v>1404</v>
      </c>
      <c r="E1393" t="s">
        <v>32</v>
      </c>
      <c r="F1393">
        <v>1</v>
      </c>
      <c r="G1393">
        <v>3</v>
      </c>
      <c r="H1393" t="s">
        <v>33</v>
      </c>
      <c r="I1393">
        <v>1961</v>
      </c>
      <c r="J1393">
        <v>1</v>
      </c>
      <c r="K1393" t="s">
        <v>40</v>
      </c>
      <c r="L1393">
        <v>2</v>
      </c>
      <c r="M1393">
        <v>1</v>
      </c>
      <c r="N1393" t="s">
        <v>51</v>
      </c>
      <c r="O1393">
        <v>1</v>
      </c>
      <c r="P1393" t="s">
        <v>36</v>
      </c>
      <c r="Q1393">
        <v>2858</v>
      </c>
      <c r="R1393">
        <v>4</v>
      </c>
      <c r="S1393" t="s">
        <v>37</v>
      </c>
      <c r="T1393">
        <v>14</v>
      </c>
      <c r="U1393">
        <v>3</v>
      </c>
      <c r="V1393">
        <v>1</v>
      </c>
      <c r="W1393">
        <v>0</v>
      </c>
      <c r="X1393">
        <v>20</v>
      </c>
      <c r="Y1393">
        <v>3</v>
      </c>
      <c r="Z1393">
        <v>2</v>
      </c>
      <c r="AA1393">
        <v>1</v>
      </c>
      <c r="AB1393">
        <v>0</v>
      </c>
      <c r="AC1393">
        <v>0</v>
      </c>
      <c r="AD1393">
        <v>0</v>
      </c>
      <c r="AE1393" t="str" cm="1">
        <f t="array" ref="AE1393">_xlfn.IFS(G1393=1,"Before College",G1393=2,"College",G1393=3,"Bachelor",G1393=4,"Master",G1393=5,"Doctor")</f>
        <v>Bachelor</v>
      </c>
      <c r="AF1393" t="str" cm="1">
        <f t="array" ref="AF1393">_xlfn.IFS(J1393=1,"Low",J1393=2,"Medium",J1393=3,"High",J1393=4,"Very High")</f>
        <v>Low</v>
      </c>
      <c r="AG1393" t="str" cm="1">
        <f t="array" ref="AG1393">_xlfn.IFS(L1393=1,"Low",L1393=2,"Medium",L1393=3,"High",L1393=4,"Very High")</f>
        <v>Medium</v>
      </c>
      <c r="AH1393" t="str" cm="1">
        <f t="array" ref="AH1393">_xlfn.IFS(M1393=1,"Junior employee",M1393=2,"Mid-level",M1393=3,"Senior",M1393=4,"Manager",M1393=5,"Executive")</f>
        <v>Junior employee</v>
      </c>
      <c r="AI1393" t="str" cm="1">
        <f t="array" ref="AI1393">_xlfn.IFS(O1393=1,"Low",O1393=2,"Medium",O1393=3,"High",O1393=4,"Very High")</f>
        <v>Low</v>
      </c>
      <c r="AJ1393" t="str" cm="1">
        <f t="array" ref="AJ1393">_xlfn.IFS(U1393=1,"Low",U1393=2,"Good",U1393=3,"Excellent",U1393=4,"Outstanding")</f>
        <v>Excellent</v>
      </c>
      <c r="AK1393" t="str" cm="1">
        <f t="array" ref="AK1393">_xlfn.IFS(V1393=1,"Low",V1393=2,"Medium",V1393=3,"High",V1393=4,"Very High")</f>
        <v>Low</v>
      </c>
      <c r="AL1393" t="str" cm="1">
        <f t="array" ref="AL1393">_xlfn.IFS(Z1393=1,"Bad",Z1393=2,"Good",Z1393=3,"Better",Z1393=4,"Best")</f>
        <v>Good</v>
      </c>
      <c r="AM1393" t="str" cm="1">
        <f t="array" ref="AM1393">_xlfn.IFS(W1393=0,"No_stock",W1393=1,"Low",W1393=2,"Medium",W1393=3,"High")</f>
        <v>No_stock</v>
      </c>
      <c r="AN1393" t="str">
        <f t="shared" si="21"/>
        <v>Near</v>
      </c>
    </row>
    <row r="1394" spans="1:40" x14ac:dyDescent="0.45">
      <c r="A1394">
        <v>35</v>
      </c>
      <c r="B1394" t="s">
        <v>37</v>
      </c>
      <c r="C1394" t="s">
        <v>31</v>
      </c>
      <c r="D1394">
        <v>1224</v>
      </c>
      <c r="E1394" t="s">
        <v>32</v>
      </c>
      <c r="F1394">
        <v>7</v>
      </c>
      <c r="G1394">
        <v>4</v>
      </c>
      <c r="H1394" t="s">
        <v>33</v>
      </c>
      <c r="I1394">
        <v>1962</v>
      </c>
      <c r="J1394">
        <v>3</v>
      </c>
      <c r="K1394" t="s">
        <v>34</v>
      </c>
      <c r="L1394">
        <v>3</v>
      </c>
      <c r="M1394">
        <v>2</v>
      </c>
      <c r="N1394" t="s">
        <v>35</v>
      </c>
      <c r="O1394">
        <v>4</v>
      </c>
      <c r="P1394" t="s">
        <v>42</v>
      </c>
      <c r="Q1394">
        <v>5204</v>
      </c>
      <c r="R1394">
        <v>1</v>
      </c>
      <c r="S1394" t="s">
        <v>30</v>
      </c>
      <c r="T1394">
        <v>11</v>
      </c>
      <c r="U1394">
        <v>3</v>
      </c>
      <c r="V1394">
        <v>4</v>
      </c>
      <c r="W1394">
        <v>0</v>
      </c>
      <c r="X1394">
        <v>10</v>
      </c>
      <c r="Y1394">
        <v>2</v>
      </c>
      <c r="Z1394">
        <v>3</v>
      </c>
      <c r="AA1394">
        <v>10</v>
      </c>
      <c r="AB1394">
        <v>8</v>
      </c>
      <c r="AC1394">
        <v>0</v>
      </c>
      <c r="AD1394">
        <v>9</v>
      </c>
      <c r="AE1394" t="str" cm="1">
        <f t="array" ref="AE1394">_xlfn.IFS(G1394=1,"Before College",G1394=2,"College",G1394=3,"Bachelor",G1394=4,"Master",G1394=5,"Doctor")</f>
        <v>Master</v>
      </c>
      <c r="AF1394" t="str" cm="1">
        <f t="array" ref="AF1394">_xlfn.IFS(J1394=1,"Low",J1394=2,"Medium",J1394=3,"High",J1394=4,"Very High")</f>
        <v>High</v>
      </c>
      <c r="AG1394" t="str" cm="1">
        <f t="array" ref="AG1394">_xlfn.IFS(L1394=1,"Low",L1394=2,"Medium",L1394=3,"High",L1394=4,"Very High")</f>
        <v>High</v>
      </c>
      <c r="AH1394" t="str" cm="1">
        <f t="array" ref="AH1394">_xlfn.IFS(M1394=1,"Junior employee",M1394=2,"Mid-level",M1394=3,"Senior",M1394=4,"Manager",M1394=5,"Executive")</f>
        <v>Mid-level</v>
      </c>
      <c r="AI1394" t="str" cm="1">
        <f t="array" ref="AI1394">_xlfn.IFS(O1394=1,"Low",O1394=2,"Medium",O1394=3,"High",O1394=4,"Very High")</f>
        <v>Very High</v>
      </c>
      <c r="AJ1394" t="str" cm="1">
        <f t="array" ref="AJ1394">_xlfn.IFS(U1394=1,"Low",U1394=2,"Good",U1394=3,"Excellent",U1394=4,"Outstanding")</f>
        <v>Excellent</v>
      </c>
      <c r="AK1394" t="str" cm="1">
        <f t="array" ref="AK1394">_xlfn.IFS(V1394=1,"Low",V1394=2,"Medium",V1394=3,"High",V1394=4,"Very High")</f>
        <v>Very High</v>
      </c>
      <c r="AL1394" t="str" cm="1">
        <f t="array" ref="AL1394">_xlfn.IFS(Z1394=1,"Bad",Z1394=2,"Good",Z1394=3,"Better",Z1394=4,"Best")</f>
        <v>Better</v>
      </c>
      <c r="AM1394" t="str" cm="1">
        <f t="array" ref="AM1394">_xlfn.IFS(W1394=0,"No_stock",W1394=1,"Low",W1394=2,"Medium",W1394=3,"High")</f>
        <v>No_stock</v>
      </c>
      <c r="AN1394" t="str">
        <f t="shared" si="21"/>
        <v>Medium</v>
      </c>
    </row>
    <row r="1395" spans="1:40" x14ac:dyDescent="0.45">
      <c r="A1395">
        <v>27</v>
      </c>
      <c r="B1395" t="s">
        <v>37</v>
      </c>
      <c r="C1395" t="s">
        <v>31</v>
      </c>
      <c r="D1395">
        <v>954</v>
      </c>
      <c r="E1395" t="s">
        <v>32</v>
      </c>
      <c r="F1395">
        <v>9</v>
      </c>
      <c r="G1395">
        <v>3</v>
      </c>
      <c r="H1395" t="s">
        <v>53</v>
      </c>
      <c r="I1395">
        <v>1965</v>
      </c>
      <c r="J1395">
        <v>4</v>
      </c>
      <c r="K1395" t="s">
        <v>40</v>
      </c>
      <c r="L1395">
        <v>3</v>
      </c>
      <c r="M1395">
        <v>2</v>
      </c>
      <c r="N1395" t="s">
        <v>35</v>
      </c>
      <c r="O1395">
        <v>4</v>
      </c>
      <c r="P1395" t="s">
        <v>36</v>
      </c>
      <c r="Q1395">
        <v>4105</v>
      </c>
      <c r="R1395">
        <v>1</v>
      </c>
      <c r="S1395" t="s">
        <v>37</v>
      </c>
      <c r="T1395">
        <v>14</v>
      </c>
      <c r="U1395">
        <v>3</v>
      </c>
      <c r="V1395">
        <v>1</v>
      </c>
      <c r="W1395">
        <v>0</v>
      </c>
      <c r="X1395">
        <v>7</v>
      </c>
      <c r="Y1395">
        <v>5</v>
      </c>
      <c r="Z1395">
        <v>3</v>
      </c>
      <c r="AA1395">
        <v>7</v>
      </c>
      <c r="AB1395">
        <v>7</v>
      </c>
      <c r="AC1395">
        <v>0</v>
      </c>
      <c r="AD1395">
        <v>7</v>
      </c>
      <c r="AE1395" t="str" cm="1">
        <f t="array" ref="AE1395">_xlfn.IFS(G1395=1,"Before College",G1395=2,"College",G1395=3,"Bachelor",G1395=4,"Master",G1395=5,"Doctor")</f>
        <v>Bachelor</v>
      </c>
      <c r="AF1395" t="str" cm="1">
        <f t="array" ref="AF1395">_xlfn.IFS(J1395=1,"Low",J1395=2,"Medium",J1395=3,"High",J1395=4,"Very High")</f>
        <v>Very High</v>
      </c>
      <c r="AG1395" t="str" cm="1">
        <f t="array" ref="AG1395">_xlfn.IFS(L1395=1,"Low",L1395=2,"Medium",L1395=3,"High",L1395=4,"Very High")</f>
        <v>High</v>
      </c>
      <c r="AH1395" t="str" cm="1">
        <f t="array" ref="AH1395">_xlfn.IFS(M1395=1,"Junior employee",M1395=2,"Mid-level",M1395=3,"Senior",M1395=4,"Manager",M1395=5,"Executive")</f>
        <v>Mid-level</v>
      </c>
      <c r="AI1395" t="str" cm="1">
        <f t="array" ref="AI1395">_xlfn.IFS(O1395=1,"Low",O1395=2,"Medium",O1395=3,"High",O1395=4,"Very High")</f>
        <v>Very High</v>
      </c>
      <c r="AJ1395" t="str" cm="1">
        <f t="array" ref="AJ1395">_xlfn.IFS(U1395=1,"Low",U1395=2,"Good",U1395=3,"Excellent",U1395=4,"Outstanding")</f>
        <v>Excellent</v>
      </c>
      <c r="AK1395" t="str" cm="1">
        <f t="array" ref="AK1395">_xlfn.IFS(V1395=1,"Low",V1395=2,"Medium",V1395=3,"High",V1395=4,"Very High")</f>
        <v>Low</v>
      </c>
      <c r="AL1395" t="str" cm="1">
        <f t="array" ref="AL1395">_xlfn.IFS(Z1395=1,"Bad",Z1395=2,"Good",Z1395=3,"Better",Z1395=4,"Best")</f>
        <v>Better</v>
      </c>
      <c r="AM1395" t="str" cm="1">
        <f t="array" ref="AM1395">_xlfn.IFS(W1395=0,"No_stock",W1395=1,"Low",W1395=2,"Medium",W1395=3,"High")</f>
        <v>No_stock</v>
      </c>
      <c r="AN1395" t="str">
        <f t="shared" si="21"/>
        <v>Medium</v>
      </c>
    </row>
    <row r="1396" spans="1:40" x14ac:dyDescent="0.45">
      <c r="A1396">
        <v>32</v>
      </c>
      <c r="B1396" t="s">
        <v>37</v>
      </c>
      <c r="C1396" t="s">
        <v>31</v>
      </c>
      <c r="D1396">
        <v>1373</v>
      </c>
      <c r="E1396" t="s">
        <v>39</v>
      </c>
      <c r="F1396">
        <v>5</v>
      </c>
      <c r="G1396">
        <v>4</v>
      </c>
      <c r="H1396" t="s">
        <v>33</v>
      </c>
      <c r="I1396">
        <v>1966</v>
      </c>
      <c r="J1396">
        <v>4</v>
      </c>
      <c r="K1396" t="s">
        <v>40</v>
      </c>
      <c r="L1396">
        <v>2</v>
      </c>
      <c r="M1396">
        <v>2</v>
      </c>
      <c r="N1396" t="s">
        <v>47</v>
      </c>
      <c r="O1396">
        <v>4</v>
      </c>
      <c r="P1396" t="s">
        <v>36</v>
      </c>
      <c r="Q1396">
        <v>9679</v>
      </c>
      <c r="R1396">
        <v>8</v>
      </c>
      <c r="S1396" t="s">
        <v>37</v>
      </c>
      <c r="T1396">
        <v>24</v>
      </c>
      <c r="U1396">
        <v>4</v>
      </c>
      <c r="V1396">
        <v>2</v>
      </c>
      <c r="W1396">
        <v>0</v>
      </c>
      <c r="X1396">
        <v>8</v>
      </c>
      <c r="Y1396">
        <v>1</v>
      </c>
      <c r="Z1396">
        <v>3</v>
      </c>
      <c r="AA1396">
        <v>1</v>
      </c>
      <c r="AB1396">
        <v>0</v>
      </c>
      <c r="AC1396">
        <v>0</v>
      </c>
      <c r="AD1396">
        <v>0</v>
      </c>
      <c r="AE1396" t="str" cm="1">
        <f t="array" ref="AE1396">_xlfn.IFS(G1396=1,"Before College",G1396=2,"College",G1396=3,"Bachelor",G1396=4,"Master",G1396=5,"Doctor")</f>
        <v>Master</v>
      </c>
      <c r="AF1396" t="str" cm="1">
        <f t="array" ref="AF1396">_xlfn.IFS(J1396=1,"Low",J1396=2,"Medium",J1396=3,"High",J1396=4,"Very High")</f>
        <v>Very High</v>
      </c>
      <c r="AG1396" t="str" cm="1">
        <f t="array" ref="AG1396">_xlfn.IFS(L1396=1,"Low",L1396=2,"Medium",L1396=3,"High",L1396=4,"Very High")</f>
        <v>Medium</v>
      </c>
      <c r="AH1396" t="str" cm="1">
        <f t="array" ref="AH1396">_xlfn.IFS(M1396=1,"Junior employee",M1396=2,"Mid-level",M1396=3,"Senior",M1396=4,"Manager",M1396=5,"Executive")</f>
        <v>Mid-level</v>
      </c>
      <c r="AI1396" t="str" cm="1">
        <f t="array" ref="AI1396">_xlfn.IFS(O1396=1,"Low",O1396=2,"Medium",O1396=3,"High",O1396=4,"Very High")</f>
        <v>Very High</v>
      </c>
      <c r="AJ1396" t="str" cm="1">
        <f t="array" ref="AJ1396">_xlfn.IFS(U1396=1,"Low",U1396=2,"Good",U1396=3,"Excellent",U1396=4,"Outstanding")</f>
        <v>Outstanding</v>
      </c>
      <c r="AK1396" t="str" cm="1">
        <f t="array" ref="AK1396">_xlfn.IFS(V1396=1,"Low",V1396=2,"Medium",V1396=3,"High",V1396=4,"Very High")</f>
        <v>Medium</v>
      </c>
      <c r="AL1396" t="str" cm="1">
        <f t="array" ref="AL1396">_xlfn.IFS(Z1396=1,"Bad",Z1396=2,"Good",Z1396=3,"Better",Z1396=4,"Best")</f>
        <v>Better</v>
      </c>
      <c r="AM1396" t="str" cm="1">
        <f t="array" ref="AM1396">_xlfn.IFS(W1396=0,"No_stock",W1396=1,"Low",W1396=2,"Medium",W1396=3,"High")</f>
        <v>No_stock</v>
      </c>
      <c r="AN1396" t="str">
        <f t="shared" si="21"/>
        <v>Near</v>
      </c>
    </row>
    <row r="1397" spans="1:40" x14ac:dyDescent="0.45">
      <c r="A1397">
        <v>31</v>
      </c>
      <c r="B1397" t="s">
        <v>30</v>
      </c>
      <c r="C1397" t="s">
        <v>38</v>
      </c>
      <c r="D1397">
        <v>754</v>
      </c>
      <c r="E1397" t="s">
        <v>32</v>
      </c>
      <c r="F1397">
        <v>26</v>
      </c>
      <c r="G1397">
        <v>4</v>
      </c>
      <c r="H1397" t="s">
        <v>53</v>
      </c>
      <c r="I1397">
        <v>1967</v>
      </c>
      <c r="J1397">
        <v>1</v>
      </c>
      <c r="K1397" t="s">
        <v>40</v>
      </c>
      <c r="L1397">
        <v>3</v>
      </c>
      <c r="M1397">
        <v>2</v>
      </c>
      <c r="N1397" t="s">
        <v>35</v>
      </c>
      <c r="O1397">
        <v>4</v>
      </c>
      <c r="P1397" t="s">
        <v>42</v>
      </c>
      <c r="Q1397">
        <v>5617</v>
      </c>
      <c r="R1397">
        <v>1</v>
      </c>
      <c r="S1397" t="s">
        <v>30</v>
      </c>
      <c r="T1397">
        <v>11</v>
      </c>
      <c r="U1397">
        <v>3</v>
      </c>
      <c r="V1397">
        <v>3</v>
      </c>
      <c r="W1397">
        <v>0</v>
      </c>
      <c r="X1397">
        <v>10</v>
      </c>
      <c r="Y1397">
        <v>4</v>
      </c>
      <c r="Z1397">
        <v>3</v>
      </c>
      <c r="AA1397">
        <v>10</v>
      </c>
      <c r="AB1397">
        <v>7</v>
      </c>
      <c r="AC1397">
        <v>0</v>
      </c>
      <c r="AD1397">
        <v>8</v>
      </c>
      <c r="AE1397" t="str" cm="1">
        <f t="array" ref="AE1397">_xlfn.IFS(G1397=1,"Before College",G1397=2,"College",G1397=3,"Bachelor",G1397=4,"Master",G1397=5,"Doctor")</f>
        <v>Master</v>
      </c>
      <c r="AF1397" t="str" cm="1">
        <f t="array" ref="AF1397">_xlfn.IFS(J1397=1,"Low",J1397=2,"Medium",J1397=3,"High",J1397=4,"Very High")</f>
        <v>Low</v>
      </c>
      <c r="AG1397" t="str" cm="1">
        <f t="array" ref="AG1397">_xlfn.IFS(L1397=1,"Low",L1397=2,"Medium",L1397=3,"High",L1397=4,"Very High")</f>
        <v>High</v>
      </c>
      <c r="AH1397" t="str" cm="1">
        <f t="array" ref="AH1397">_xlfn.IFS(M1397=1,"Junior employee",M1397=2,"Mid-level",M1397=3,"Senior",M1397=4,"Manager",M1397=5,"Executive")</f>
        <v>Mid-level</v>
      </c>
      <c r="AI1397" t="str" cm="1">
        <f t="array" ref="AI1397">_xlfn.IFS(O1397=1,"Low",O1397=2,"Medium",O1397=3,"High",O1397=4,"Very High")</f>
        <v>Very High</v>
      </c>
      <c r="AJ1397" t="str" cm="1">
        <f t="array" ref="AJ1397">_xlfn.IFS(U1397=1,"Low",U1397=2,"Good",U1397=3,"Excellent",U1397=4,"Outstanding")</f>
        <v>Excellent</v>
      </c>
      <c r="AK1397" t="str" cm="1">
        <f t="array" ref="AK1397">_xlfn.IFS(V1397=1,"Low",V1397=2,"Medium",V1397=3,"High",V1397=4,"Very High")</f>
        <v>High</v>
      </c>
      <c r="AL1397" t="str" cm="1">
        <f t="array" ref="AL1397">_xlfn.IFS(Z1397=1,"Bad",Z1397=2,"Good",Z1397=3,"Better",Z1397=4,"Best")</f>
        <v>Better</v>
      </c>
      <c r="AM1397" t="str" cm="1">
        <f t="array" ref="AM1397">_xlfn.IFS(W1397=0,"No_stock",W1397=1,"Low",W1397=2,"Medium",W1397=3,"High")</f>
        <v>No_stock</v>
      </c>
      <c r="AN1397" t="str">
        <f t="shared" si="21"/>
        <v>Far</v>
      </c>
    </row>
    <row r="1398" spans="1:40" x14ac:dyDescent="0.45">
      <c r="A1398">
        <v>53</v>
      </c>
      <c r="B1398" t="s">
        <v>30</v>
      </c>
      <c r="C1398" t="s">
        <v>31</v>
      </c>
      <c r="D1398">
        <v>1168</v>
      </c>
      <c r="E1398" t="s">
        <v>32</v>
      </c>
      <c r="F1398">
        <v>24</v>
      </c>
      <c r="G1398">
        <v>4</v>
      </c>
      <c r="H1398" t="s">
        <v>33</v>
      </c>
      <c r="I1398">
        <v>1968</v>
      </c>
      <c r="J1398">
        <v>1</v>
      </c>
      <c r="K1398" t="s">
        <v>40</v>
      </c>
      <c r="L1398">
        <v>3</v>
      </c>
      <c r="M1398">
        <v>3</v>
      </c>
      <c r="N1398" t="s">
        <v>35</v>
      </c>
      <c r="O1398">
        <v>1</v>
      </c>
      <c r="P1398" t="s">
        <v>36</v>
      </c>
      <c r="Q1398">
        <v>10448</v>
      </c>
      <c r="R1398">
        <v>6</v>
      </c>
      <c r="S1398" t="s">
        <v>30</v>
      </c>
      <c r="T1398">
        <v>13</v>
      </c>
      <c r="U1398">
        <v>3</v>
      </c>
      <c r="V1398">
        <v>2</v>
      </c>
      <c r="W1398">
        <v>0</v>
      </c>
      <c r="X1398">
        <v>15</v>
      </c>
      <c r="Y1398">
        <v>2</v>
      </c>
      <c r="Z1398">
        <v>2</v>
      </c>
      <c r="AA1398">
        <v>2</v>
      </c>
      <c r="AB1398">
        <v>2</v>
      </c>
      <c r="AC1398">
        <v>2</v>
      </c>
      <c r="AD1398">
        <v>2</v>
      </c>
      <c r="AE1398" t="str" cm="1">
        <f t="array" ref="AE1398">_xlfn.IFS(G1398=1,"Before College",G1398=2,"College",G1398=3,"Bachelor",G1398=4,"Master",G1398=5,"Doctor")</f>
        <v>Master</v>
      </c>
      <c r="AF1398" t="str" cm="1">
        <f t="array" ref="AF1398">_xlfn.IFS(J1398=1,"Low",J1398=2,"Medium",J1398=3,"High",J1398=4,"Very High")</f>
        <v>Low</v>
      </c>
      <c r="AG1398" t="str" cm="1">
        <f t="array" ref="AG1398">_xlfn.IFS(L1398=1,"Low",L1398=2,"Medium",L1398=3,"High",L1398=4,"Very High")</f>
        <v>High</v>
      </c>
      <c r="AH1398" t="str" cm="1">
        <f t="array" ref="AH1398">_xlfn.IFS(M1398=1,"Junior employee",M1398=2,"Mid-level",M1398=3,"Senior",M1398=4,"Manager",M1398=5,"Executive")</f>
        <v>Senior</v>
      </c>
      <c r="AI1398" t="str" cm="1">
        <f t="array" ref="AI1398">_xlfn.IFS(O1398=1,"Low",O1398=2,"Medium",O1398=3,"High",O1398=4,"Very High")</f>
        <v>Low</v>
      </c>
      <c r="AJ1398" t="str" cm="1">
        <f t="array" ref="AJ1398">_xlfn.IFS(U1398=1,"Low",U1398=2,"Good",U1398=3,"Excellent",U1398=4,"Outstanding")</f>
        <v>Excellent</v>
      </c>
      <c r="AK1398" t="str" cm="1">
        <f t="array" ref="AK1398">_xlfn.IFS(V1398=1,"Low",V1398=2,"Medium",V1398=3,"High",V1398=4,"Very High")</f>
        <v>Medium</v>
      </c>
      <c r="AL1398" t="str" cm="1">
        <f t="array" ref="AL1398">_xlfn.IFS(Z1398=1,"Bad",Z1398=2,"Good",Z1398=3,"Better",Z1398=4,"Best")</f>
        <v>Good</v>
      </c>
      <c r="AM1398" t="str" cm="1">
        <f t="array" ref="AM1398">_xlfn.IFS(W1398=0,"No_stock",W1398=1,"Low",W1398=2,"Medium",W1398=3,"High")</f>
        <v>No_stock</v>
      </c>
      <c r="AN1398" t="str">
        <f t="shared" si="21"/>
        <v>Far</v>
      </c>
    </row>
    <row r="1399" spans="1:40" x14ac:dyDescent="0.45">
      <c r="A1399">
        <v>54</v>
      </c>
      <c r="B1399" t="s">
        <v>37</v>
      </c>
      <c r="C1399" t="s">
        <v>31</v>
      </c>
      <c r="D1399">
        <v>155</v>
      </c>
      <c r="E1399" t="s">
        <v>39</v>
      </c>
      <c r="F1399">
        <v>9</v>
      </c>
      <c r="G1399">
        <v>2</v>
      </c>
      <c r="H1399" t="s">
        <v>33</v>
      </c>
      <c r="I1399">
        <v>1969</v>
      </c>
      <c r="J1399">
        <v>1</v>
      </c>
      <c r="K1399" t="s">
        <v>34</v>
      </c>
      <c r="L1399">
        <v>3</v>
      </c>
      <c r="M1399">
        <v>2</v>
      </c>
      <c r="N1399" t="s">
        <v>41</v>
      </c>
      <c r="O1399">
        <v>3</v>
      </c>
      <c r="P1399" t="s">
        <v>42</v>
      </c>
      <c r="Q1399">
        <v>2897</v>
      </c>
      <c r="R1399">
        <v>3</v>
      </c>
      <c r="S1399" t="s">
        <v>37</v>
      </c>
      <c r="T1399">
        <v>11</v>
      </c>
      <c r="U1399">
        <v>3</v>
      </c>
      <c r="V1399">
        <v>3</v>
      </c>
      <c r="W1399">
        <v>2</v>
      </c>
      <c r="X1399">
        <v>9</v>
      </c>
      <c r="Y1399">
        <v>6</v>
      </c>
      <c r="Z1399">
        <v>2</v>
      </c>
      <c r="AA1399">
        <v>4</v>
      </c>
      <c r="AB1399">
        <v>3</v>
      </c>
      <c r="AC1399">
        <v>2</v>
      </c>
      <c r="AD1399">
        <v>3</v>
      </c>
      <c r="AE1399" t="str" cm="1">
        <f t="array" ref="AE1399">_xlfn.IFS(G1399=1,"Before College",G1399=2,"College",G1399=3,"Bachelor",G1399=4,"Master",G1399=5,"Doctor")</f>
        <v>College</v>
      </c>
      <c r="AF1399" t="str" cm="1">
        <f t="array" ref="AF1399">_xlfn.IFS(J1399=1,"Low",J1399=2,"Medium",J1399=3,"High",J1399=4,"Very High")</f>
        <v>Low</v>
      </c>
      <c r="AG1399" t="str" cm="1">
        <f t="array" ref="AG1399">_xlfn.IFS(L1399=1,"Low",L1399=2,"Medium",L1399=3,"High",L1399=4,"Very High")</f>
        <v>High</v>
      </c>
      <c r="AH1399" t="str" cm="1">
        <f t="array" ref="AH1399">_xlfn.IFS(M1399=1,"Junior employee",M1399=2,"Mid-level",M1399=3,"Senior",M1399=4,"Manager",M1399=5,"Executive")</f>
        <v>Mid-level</v>
      </c>
      <c r="AI1399" t="str" cm="1">
        <f t="array" ref="AI1399">_xlfn.IFS(O1399=1,"Low",O1399=2,"Medium",O1399=3,"High",O1399=4,"Very High")</f>
        <v>High</v>
      </c>
      <c r="AJ1399" t="str" cm="1">
        <f t="array" ref="AJ1399">_xlfn.IFS(U1399=1,"Low",U1399=2,"Good",U1399=3,"Excellent",U1399=4,"Outstanding")</f>
        <v>Excellent</v>
      </c>
      <c r="AK1399" t="str" cm="1">
        <f t="array" ref="AK1399">_xlfn.IFS(V1399=1,"Low",V1399=2,"Medium",V1399=3,"High",V1399=4,"Very High")</f>
        <v>High</v>
      </c>
      <c r="AL1399" t="str" cm="1">
        <f t="array" ref="AL1399">_xlfn.IFS(Z1399=1,"Bad",Z1399=2,"Good",Z1399=3,"Better",Z1399=4,"Best")</f>
        <v>Good</v>
      </c>
      <c r="AM1399" t="str" cm="1">
        <f t="array" ref="AM1399">_xlfn.IFS(W1399=0,"No_stock",W1399=1,"Low",W1399=2,"Medium",W1399=3,"High")</f>
        <v>Medium</v>
      </c>
      <c r="AN1399" t="str">
        <f t="shared" si="21"/>
        <v>Medium</v>
      </c>
    </row>
    <row r="1400" spans="1:40" x14ac:dyDescent="0.45">
      <c r="A1400">
        <v>33</v>
      </c>
      <c r="B1400" t="s">
        <v>37</v>
      </c>
      <c r="C1400" t="s">
        <v>38</v>
      </c>
      <c r="D1400">
        <v>1303</v>
      </c>
      <c r="E1400" t="s">
        <v>39</v>
      </c>
      <c r="F1400">
        <v>7</v>
      </c>
      <c r="G1400">
        <v>2</v>
      </c>
      <c r="H1400" t="s">
        <v>33</v>
      </c>
      <c r="I1400">
        <v>1970</v>
      </c>
      <c r="J1400">
        <v>4</v>
      </c>
      <c r="K1400" t="s">
        <v>40</v>
      </c>
      <c r="L1400">
        <v>3</v>
      </c>
      <c r="M1400">
        <v>2</v>
      </c>
      <c r="N1400" t="s">
        <v>48</v>
      </c>
      <c r="O1400">
        <v>3</v>
      </c>
      <c r="P1400" t="s">
        <v>46</v>
      </c>
      <c r="Q1400">
        <v>5968</v>
      </c>
      <c r="R1400">
        <v>1</v>
      </c>
      <c r="S1400" t="s">
        <v>37</v>
      </c>
      <c r="T1400">
        <v>20</v>
      </c>
      <c r="U1400">
        <v>4</v>
      </c>
      <c r="V1400">
        <v>3</v>
      </c>
      <c r="W1400">
        <v>3</v>
      </c>
      <c r="X1400">
        <v>9</v>
      </c>
      <c r="Y1400">
        <v>2</v>
      </c>
      <c r="Z1400">
        <v>3</v>
      </c>
      <c r="AA1400">
        <v>9</v>
      </c>
      <c r="AB1400">
        <v>7</v>
      </c>
      <c r="AC1400">
        <v>2</v>
      </c>
      <c r="AD1400">
        <v>8</v>
      </c>
      <c r="AE1400" t="str" cm="1">
        <f t="array" ref="AE1400">_xlfn.IFS(G1400=1,"Before College",G1400=2,"College",G1400=3,"Bachelor",G1400=4,"Master",G1400=5,"Doctor")</f>
        <v>College</v>
      </c>
      <c r="AF1400" t="str" cm="1">
        <f t="array" ref="AF1400">_xlfn.IFS(J1400=1,"Low",J1400=2,"Medium",J1400=3,"High",J1400=4,"Very High")</f>
        <v>Very High</v>
      </c>
      <c r="AG1400" t="str" cm="1">
        <f t="array" ref="AG1400">_xlfn.IFS(L1400=1,"Low",L1400=2,"Medium",L1400=3,"High",L1400=4,"Very High")</f>
        <v>High</v>
      </c>
      <c r="AH1400" t="str" cm="1">
        <f t="array" ref="AH1400">_xlfn.IFS(M1400=1,"Junior employee",M1400=2,"Mid-level",M1400=3,"Senior",M1400=4,"Manager",M1400=5,"Executive")</f>
        <v>Mid-level</v>
      </c>
      <c r="AI1400" t="str" cm="1">
        <f t="array" ref="AI1400">_xlfn.IFS(O1400=1,"Low",O1400=2,"Medium",O1400=3,"High",O1400=4,"Very High")</f>
        <v>High</v>
      </c>
      <c r="AJ1400" t="str" cm="1">
        <f t="array" ref="AJ1400">_xlfn.IFS(U1400=1,"Low",U1400=2,"Good",U1400=3,"Excellent",U1400=4,"Outstanding")</f>
        <v>Outstanding</v>
      </c>
      <c r="AK1400" t="str" cm="1">
        <f t="array" ref="AK1400">_xlfn.IFS(V1400=1,"Low",V1400=2,"Medium",V1400=3,"High",V1400=4,"Very High")</f>
        <v>High</v>
      </c>
      <c r="AL1400" t="str" cm="1">
        <f t="array" ref="AL1400">_xlfn.IFS(Z1400=1,"Bad",Z1400=2,"Good",Z1400=3,"Better",Z1400=4,"Best")</f>
        <v>Better</v>
      </c>
      <c r="AM1400" t="str" cm="1">
        <f t="array" ref="AM1400">_xlfn.IFS(W1400=0,"No_stock",W1400=1,"Low",W1400=2,"Medium",W1400=3,"High")</f>
        <v>High</v>
      </c>
      <c r="AN1400" t="str">
        <f t="shared" si="21"/>
        <v>Medium</v>
      </c>
    </row>
    <row r="1401" spans="1:40" x14ac:dyDescent="0.45">
      <c r="A1401">
        <v>43</v>
      </c>
      <c r="B1401" t="s">
        <v>37</v>
      </c>
      <c r="C1401" t="s">
        <v>31</v>
      </c>
      <c r="D1401">
        <v>574</v>
      </c>
      <c r="E1401" t="s">
        <v>39</v>
      </c>
      <c r="F1401">
        <v>11</v>
      </c>
      <c r="G1401">
        <v>3</v>
      </c>
      <c r="H1401" t="s">
        <v>33</v>
      </c>
      <c r="I1401">
        <v>1971</v>
      </c>
      <c r="J1401">
        <v>1</v>
      </c>
      <c r="K1401" t="s">
        <v>40</v>
      </c>
      <c r="L1401">
        <v>3</v>
      </c>
      <c r="M1401">
        <v>3</v>
      </c>
      <c r="N1401" t="s">
        <v>48</v>
      </c>
      <c r="O1401">
        <v>3</v>
      </c>
      <c r="P1401" t="s">
        <v>42</v>
      </c>
      <c r="Q1401">
        <v>7510</v>
      </c>
      <c r="R1401">
        <v>1</v>
      </c>
      <c r="S1401" t="s">
        <v>37</v>
      </c>
      <c r="T1401">
        <v>17</v>
      </c>
      <c r="U1401">
        <v>3</v>
      </c>
      <c r="V1401">
        <v>2</v>
      </c>
      <c r="W1401">
        <v>1</v>
      </c>
      <c r="X1401">
        <v>10</v>
      </c>
      <c r="Y1401">
        <v>1</v>
      </c>
      <c r="Z1401">
        <v>3</v>
      </c>
      <c r="AA1401">
        <v>10</v>
      </c>
      <c r="AB1401">
        <v>9</v>
      </c>
      <c r="AC1401">
        <v>0</v>
      </c>
      <c r="AD1401">
        <v>9</v>
      </c>
      <c r="AE1401" t="str" cm="1">
        <f t="array" ref="AE1401">_xlfn.IFS(G1401=1,"Before College",G1401=2,"College",G1401=3,"Bachelor",G1401=4,"Master",G1401=5,"Doctor")</f>
        <v>Bachelor</v>
      </c>
      <c r="AF1401" t="str" cm="1">
        <f t="array" ref="AF1401">_xlfn.IFS(J1401=1,"Low",J1401=2,"Medium",J1401=3,"High",J1401=4,"Very High")</f>
        <v>Low</v>
      </c>
      <c r="AG1401" t="str" cm="1">
        <f t="array" ref="AG1401">_xlfn.IFS(L1401=1,"Low",L1401=2,"Medium",L1401=3,"High",L1401=4,"Very High")</f>
        <v>High</v>
      </c>
      <c r="AH1401" t="str" cm="1">
        <f t="array" ref="AH1401">_xlfn.IFS(M1401=1,"Junior employee",M1401=2,"Mid-level",M1401=3,"Senior",M1401=4,"Manager",M1401=5,"Executive")</f>
        <v>Senior</v>
      </c>
      <c r="AI1401" t="str" cm="1">
        <f t="array" ref="AI1401">_xlfn.IFS(O1401=1,"Low",O1401=2,"Medium",O1401=3,"High",O1401=4,"Very High")</f>
        <v>High</v>
      </c>
      <c r="AJ1401" t="str" cm="1">
        <f t="array" ref="AJ1401">_xlfn.IFS(U1401=1,"Low",U1401=2,"Good",U1401=3,"Excellent",U1401=4,"Outstanding")</f>
        <v>Excellent</v>
      </c>
      <c r="AK1401" t="str" cm="1">
        <f t="array" ref="AK1401">_xlfn.IFS(V1401=1,"Low",V1401=2,"Medium",V1401=3,"High",V1401=4,"Very High")</f>
        <v>Medium</v>
      </c>
      <c r="AL1401" t="str" cm="1">
        <f t="array" ref="AL1401">_xlfn.IFS(Z1401=1,"Bad",Z1401=2,"Good",Z1401=3,"Better",Z1401=4,"Best")</f>
        <v>Better</v>
      </c>
      <c r="AM1401" t="str" cm="1">
        <f t="array" ref="AM1401">_xlfn.IFS(W1401=0,"No_stock",W1401=1,"Low",W1401=2,"Medium",W1401=3,"High")</f>
        <v>Low</v>
      </c>
      <c r="AN1401" t="str">
        <f t="shared" si="21"/>
        <v>Medium</v>
      </c>
    </row>
    <row r="1402" spans="1:40" x14ac:dyDescent="0.45">
      <c r="A1402">
        <v>38</v>
      </c>
      <c r="B1402" t="s">
        <v>37</v>
      </c>
      <c r="C1402" t="s">
        <v>38</v>
      </c>
      <c r="D1402">
        <v>1444</v>
      </c>
      <c r="E1402" t="s">
        <v>55</v>
      </c>
      <c r="F1402">
        <v>1</v>
      </c>
      <c r="G1402">
        <v>4</v>
      </c>
      <c r="H1402" t="s">
        <v>43</v>
      </c>
      <c r="I1402">
        <v>1972</v>
      </c>
      <c r="J1402">
        <v>4</v>
      </c>
      <c r="K1402" t="s">
        <v>40</v>
      </c>
      <c r="L1402">
        <v>3</v>
      </c>
      <c r="M1402">
        <v>1</v>
      </c>
      <c r="N1402" t="s">
        <v>55</v>
      </c>
      <c r="O1402">
        <v>2</v>
      </c>
      <c r="P1402" t="s">
        <v>42</v>
      </c>
      <c r="Q1402">
        <v>2991</v>
      </c>
      <c r="R1402">
        <v>0</v>
      </c>
      <c r="S1402" t="s">
        <v>30</v>
      </c>
      <c r="T1402">
        <v>11</v>
      </c>
      <c r="U1402">
        <v>3</v>
      </c>
      <c r="V1402">
        <v>2</v>
      </c>
      <c r="W1402">
        <v>1</v>
      </c>
      <c r="X1402">
        <v>7</v>
      </c>
      <c r="Y1402">
        <v>2</v>
      </c>
      <c r="Z1402">
        <v>3</v>
      </c>
      <c r="AA1402">
        <v>6</v>
      </c>
      <c r="AB1402">
        <v>2</v>
      </c>
      <c r="AC1402">
        <v>1</v>
      </c>
      <c r="AD1402">
        <v>2</v>
      </c>
      <c r="AE1402" t="str" cm="1">
        <f t="array" ref="AE1402">_xlfn.IFS(G1402=1,"Before College",G1402=2,"College",G1402=3,"Bachelor",G1402=4,"Master",G1402=5,"Doctor")</f>
        <v>Master</v>
      </c>
      <c r="AF1402" t="str" cm="1">
        <f t="array" ref="AF1402">_xlfn.IFS(J1402=1,"Low",J1402=2,"Medium",J1402=3,"High",J1402=4,"Very High")</f>
        <v>Very High</v>
      </c>
      <c r="AG1402" t="str" cm="1">
        <f t="array" ref="AG1402">_xlfn.IFS(L1402=1,"Low",L1402=2,"Medium",L1402=3,"High",L1402=4,"Very High")</f>
        <v>High</v>
      </c>
      <c r="AH1402" t="str" cm="1">
        <f t="array" ref="AH1402">_xlfn.IFS(M1402=1,"Junior employee",M1402=2,"Mid-level",M1402=3,"Senior",M1402=4,"Manager",M1402=5,"Executive")</f>
        <v>Junior employee</v>
      </c>
      <c r="AI1402" t="str" cm="1">
        <f t="array" ref="AI1402">_xlfn.IFS(O1402=1,"Low",O1402=2,"Medium",O1402=3,"High",O1402=4,"Very High")</f>
        <v>Medium</v>
      </c>
      <c r="AJ1402" t="str" cm="1">
        <f t="array" ref="AJ1402">_xlfn.IFS(U1402=1,"Low",U1402=2,"Good",U1402=3,"Excellent",U1402=4,"Outstanding")</f>
        <v>Excellent</v>
      </c>
      <c r="AK1402" t="str" cm="1">
        <f t="array" ref="AK1402">_xlfn.IFS(V1402=1,"Low",V1402=2,"Medium",V1402=3,"High",V1402=4,"Very High")</f>
        <v>Medium</v>
      </c>
      <c r="AL1402" t="str" cm="1">
        <f t="array" ref="AL1402">_xlfn.IFS(Z1402=1,"Bad",Z1402=2,"Good",Z1402=3,"Better",Z1402=4,"Best")</f>
        <v>Better</v>
      </c>
      <c r="AM1402" t="str" cm="1">
        <f t="array" ref="AM1402">_xlfn.IFS(W1402=0,"No_stock",W1402=1,"Low",W1402=2,"Medium",W1402=3,"High")</f>
        <v>Low</v>
      </c>
      <c r="AN1402" t="str">
        <f t="shared" si="21"/>
        <v>Near</v>
      </c>
    </row>
    <row r="1403" spans="1:40" x14ac:dyDescent="0.45">
      <c r="A1403">
        <v>55</v>
      </c>
      <c r="B1403" t="s">
        <v>37</v>
      </c>
      <c r="C1403" t="s">
        <v>31</v>
      </c>
      <c r="D1403">
        <v>189</v>
      </c>
      <c r="E1403" t="s">
        <v>55</v>
      </c>
      <c r="F1403">
        <v>26</v>
      </c>
      <c r="G1403">
        <v>4</v>
      </c>
      <c r="H1403" t="s">
        <v>55</v>
      </c>
      <c r="I1403">
        <v>1973</v>
      </c>
      <c r="J1403">
        <v>3</v>
      </c>
      <c r="K1403" t="s">
        <v>40</v>
      </c>
      <c r="L1403">
        <v>4</v>
      </c>
      <c r="M1403">
        <v>5</v>
      </c>
      <c r="N1403" t="s">
        <v>50</v>
      </c>
      <c r="O1403">
        <v>2</v>
      </c>
      <c r="P1403" t="s">
        <v>42</v>
      </c>
      <c r="Q1403">
        <v>19636</v>
      </c>
      <c r="R1403">
        <v>4</v>
      </c>
      <c r="S1403" t="s">
        <v>30</v>
      </c>
      <c r="T1403">
        <v>18</v>
      </c>
      <c r="U1403">
        <v>3</v>
      </c>
      <c r="V1403">
        <v>1</v>
      </c>
      <c r="W1403">
        <v>1</v>
      </c>
      <c r="X1403">
        <v>35</v>
      </c>
      <c r="Y1403">
        <v>0</v>
      </c>
      <c r="Z1403">
        <v>3</v>
      </c>
      <c r="AA1403">
        <v>10</v>
      </c>
      <c r="AB1403">
        <v>9</v>
      </c>
      <c r="AC1403">
        <v>1</v>
      </c>
      <c r="AD1403">
        <v>4</v>
      </c>
      <c r="AE1403" t="str" cm="1">
        <f t="array" ref="AE1403">_xlfn.IFS(G1403=1,"Before College",G1403=2,"College",G1403=3,"Bachelor",G1403=4,"Master",G1403=5,"Doctor")</f>
        <v>Master</v>
      </c>
      <c r="AF1403" t="str" cm="1">
        <f t="array" ref="AF1403">_xlfn.IFS(J1403=1,"Low",J1403=2,"Medium",J1403=3,"High",J1403=4,"Very High")</f>
        <v>High</v>
      </c>
      <c r="AG1403" t="str" cm="1">
        <f t="array" ref="AG1403">_xlfn.IFS(L1403=1,"Low",L1403=2,"Medium",L1403=3,"High",L1403=4,"Very High")</f>
        <v>Very High</v>
      </c>
      <c r="AH1403" t="str" cm="1">
        <f t="array" ref="AH1403">_xlfn.IFS(M1403=1,"Junior employee",M1403=2,"Mid-level",M1403=3,"Senior",M1403=4,"Manager",M1403=5,"Executive")</f>
        <v>Executive</v>
      </c>
      <c r="AI1403" t="str" cm="1">
        <f t="array" ref="AI1403">_xlfn.IFS(O1403=1,"Low",O1403=2,"Medium",O1403=3,"High",O1403=4,"Very High")</f>
        <v>Medium</v>
      </c>
      <c r="AJ1403" t="str" cm="1">
        <f t="array" ref="AJ1403">_xlfn.IFS(U1403=1,"Low",U1403=2,"Good",U1403=3,"Excellent",U1403=4,"Outstanding")</f>
        <v>Excellent</v>
      </c>
      <c r="AK1403" t="str" cm="1">
        <f t="array" ref="AK1403">_xlfn.IFS(V1403=1,"Low",V1403=2,"Medium",V1403=3,"High",V1403=4,"Very High")</f>
        <v>Low</v>
      </c>
      <c r="AL1403" t="str" cm="1">
        <f t="array" ref="AL1403">_xlfn.IFS(Z1403=1,"Bad",Z1403=2,"Good",Z1403=3,"Better",Z1403=4,"Best")</f>
        <v>Better</v>
      </c>
      <c r="AM1403" t="str" cm="1">
        <f t="array" ref="AM1403">_xlfn.IFS(W1403=0,"No_stock",W1403=1,"Low",W1403=2,"Medium",W1403=3,"High")</f>
        <v>Low</v>
      </c>
      <c r="AN1403" t="str">
        <f t="shared" si="21"/>
        <v>Far</v>
      </c>
    </row>
    <row r="1404" spans="1:40" x14ac:dyDescent="0.45">
      <c r="A1404">
        <v>31</v>
      </c>
      <c r="B1404" t="s">
        <v>37</v>
      </c>
      <c r="C1404" t="s">
        <v>31</v>
      </c>
      <c r="D1404">
        <v>1276</v>
      </c>
      <c r="E1404" t="s">
        <v>39</v>
      </c>
      <c r="F1404">
        <v>2</v>
      </c>
      <c r="G1404">
        <v>1</v>
      </c>
      <c r="H1404" t="s">
        <v>45</v>
      </c>
      <c r="I1404">
        <v>1974</v>
      </c>
      <c r="J1404">
        <v>4</v>
      </c>
      <c r="K1404" t="s">
        <v>34</v>
      </c>
      <c r="L1404">
        <v>1</v>
      </c>
      <c r="M1404">
        <v>1</v>
      </c>
      <c r="N1404" t="s">
        <v>44</v>
      </c>
      <c r="O1404">
        <v>4</v>
      </c>
      <c r="P1404" t="s">
        <v>46</v>
      </c>
      <c r="Q1404">
        <v>1129</v>
      </c>
      <c r="R1404">
        <v>1</v>
      </c>
      <c r="S1404" t="s">
        <v>30</v>
      </c>
      <c r="T1404">
        <v>11</v>
      </c>
      <c r="U1404">
        <v>3</v>
      </c>
      <c r="V1404">
        <v>3</v>
      </c>
      <c r="W1404">
        <v>3</v>
      </c>
      <c r="X1404">
        <v>1</v>
      </c>
      <c r="Y1404">
        <v>4</v>
      </c>
      <c r="Z1404">
        <v>3</v>
      </c>
      <c r="AA1404">
        <v>1</v>
      </c>
      <c r="AB1404">
        <v>0</v>
      </c>
      <c r="AC1404">
        <v>0</v>
      </c>
      <c r="AD1404">
        <v>0</v>
      </c>
      <c r="AE1404" t="str" cm="1">
        <f t="array" ref="AE1404">_xlfn.IFS(G1404=1,"Before College",G1404=2,"College",G1404=3,"Bachelor",G1404=4,"Master",G1404=5,"Doctor")</f>
        <v>Before College</v>
      </c>
      <c r="AF1404" t="str" cm="1">
        <f t="array" ref="AF1404">_xlfn.IFS(J1404=1,"Low",J1404=2,"Medium",J1404=3,"High",J1404=4,"Very High")</f>
        <v>Very High</v>
      </c>
      <c r="AG1404" t="str" cm="1">
        <f t="array" ref="AG1404">_xlfn.IFS(L1404=1,"Low",L1404=2,"Medium",L1404=3,"High",L1404=4,"Very High")</f>
        <v>Low</v>
      </c>
      <c r="AH1404" t="str" cm="1">
        <f t="array" ref="AH1404">_xlfn.IFS(M1404=1,"Junior employee",M1404=2,"Mid-level",M1404=3,"Senior",M1404=4,"Manager",M1404=5,"Executive")</f>
        <v>Junior employee</v>
      </c>
      <c r="AI1404" t="str" cm="1">
        <f t="array" ref="AI1404">_xlfn.IFS(O1404=1,"Low",O1404=2,"Medium",O1404=3,"High",O1404=4,"Very High")</f>
        <v>Very High</v>
      </c>
      <c r="AJ1404" t="str" cm="1">
        <f t="array" ref="AJ1404">_xlfn.IFS(U1404=1,"Low",U1404=2,"Good",U1404=3,"Excellent",U1404=4,"Outstanding")</f>
        <v>Excellent</v>
      </c>
      <c r="AK1404" t="str" cm="1">
        <f t="array" ref="AK1404">_xlfn.IFS(V1404=1,"Low",V1404=2,"Medium",V1404=3,"High",V1404=4,"Very High")</f>
        <v>High</v>
      </c>
      <c r="AL1404" t="str" cm="1">
        <f t="array" ref="AL1404">_xlfn.IFS(Z1404=1,"Bad",Z1404=2,"Good",Z1404=3,"Better",Z1404=4,"Best")</f>
        <v>Better</v>
      </c>
      <c r="AM1404" t="str" cm="1">
        <f t="array" ref="AM1404">_xlfn.IFS(W1404=0,"No_stock",W1404=1,"Low",W1404=2,"Medium",W1404=3,"High")</f>
        <v>High</v>
      </c>
      <c r="AN1404" t="str">
        <f t="shared" si="21"/>
        <v>Near</v>
      </c>
    </row>
    <row r="1405" spans="1:40" x14ac:dyDescent="0.45">
      <c r="A1405">
        <v>39</v>
      </c>
      <c r="B1405" t="s">
        <v>37</v>
      </c>
      <c r="C1405" t="s">
        <v>31</v>
      </c>
      <c r="D1405">
        <v>119</v>
      </c>
      <c r="E1405" t="s">
        <v>32</v>
      </c>
      <c r="F1405">
        <v>15</v>
      </c>
      <c r="G1405">
        <v>4</v>
      </c>
      <c r="H1405" t="s">
        <v>53</v>
      </c>
      <c r="I1405">
        <v>1975</v>
      </c>
      <c r="J1405">
        <v>2</v>
      </c>
      <c r="K1405" t="s">
        <v>40</v>
      </c>
      <c r="L1405">
        <v>3</v>
      </c>
      <c r="M1405">
        <v>4</v>
      </c>
      <c r="N1405" t="s">
        <v>35</v>
      </c>
      <c r="O1405">
        <v>1</v>
      </c>
      <c r="P1405" t="s">
        <v>36</v>
      </c>
      <c r="Q1405">
        <v>13341</v>
      </c>
      <c r="R1405">
        <v>0</v>
      </c>
      <c r="S1405" t="s">
        <v>37</v>
      </c>
      <c r="T1405">
        <v>12</v>
      </c>
      <c r="U1405">
        <v>3</v>
      </c>
      <c r="V1405">
        <v>1</v>
      </c>
      <c r="W1405">
        <v>0</v>
      </c>
      <c r="X1405">
        <v>21</v>
      </c>
      <c r="Y1405">
        <v>3</v>
      </c>
      <c r="Z1405">
        <v>3</v>
      </c>
      <c r="AA1405">
        <v>20</v>
      </c>
      <c r="AB1405">
        <v>8</v>
      </c>
      <c r="AC1405">
        <v>11</v>
      </c>
      <c r="AD1405">
        <v>10</v>
      </c>
      <c r="AE1405" t="str" cm="1">
        <f t="array" ref="AE1405">_xlfn.IFS(G1405=1,"Before College",G1405=2,"College",G1405=3,"Bachelor",G1405=4,"Master",G1405=5,"Doctor")</f>
        <v>Master</v>
      </c>
      <c r="AF1405" t="str" cm="1">
        <f t="array" ref="AF1405">_xlfn.IFS(J1405=1,"Low",J1405=2,"Medium",J1405=3,"High",J1405=4,"Very High")</f>
        <v>Medium</v>
      </c>
      <c r="AG1405" t="str" cm="1">
        <f t="array" ref="AG1405">_xlfn.IFS(L1405=1,"Low",L1405=2,"Medium",L1405=3,"High",L1405=4,"Very High")</f>
        <v>High</v>
      </c>
      <c r="AH1405" t="str" cm="1">
        <f t="array" ref="AH1405">_xlfn.IFS(M1405=1,"Junior employee",M1405=2,"Mid-level",M1405=3,"Senior",M1405=4,"Manager",M1405=5,"Executive")</f>
        <v>Manager</v>
      </c>
      <c r="AI1405" t="str" cm="1">
        <f t="array" ref="AI1405">_xlfn.IFS(O1405=1,"Low",O1405=2,"Medium",O1405=3,"High",O1405=4,"Very High")</f>
        <v>Low</v>
      </c>
      <c r="AJ1405" t="str" cm="1">
        <f t="array" ref="AJ1405">_xlfn.IFS(U1405=1,"Low",U1405=2,"Good",U1405=3,"Excellent",U1405=4,"Outstanding")</f>
        <v>Excellent</v>
      </c>
      <c r="AK1405" t="str" cm="1">
        <f t="array" ref="AK1405">_xlfn.IFS(V1405=1,"Low",V1405=2,"Medium",V1405=3,"High",V1405=4,"Very High")</f>
        <v>Low</v>
      </c>
      <c r="AL1405" t="str" cm="1">
        <f t="array" ref="AL1405">_xlfn.IFS(Z1405=1,"Bad",Z1405=2,"Good",Z1405=3,"Better",Z1405=4,"Best")</f>
        <v>Better</v>
      </c>
      <c r="AM1405" t="str" cm="1">
        <f t="array" ref="AM1405">_xlfn.IFS(W1405=0,"No_stock",W1405=1,"Low",W1405=2,"Medium",W1405=3,"High")</f>
        <v>No_stock</v>
      </c>
      <c r="AN1405" t="str">
        <f t="shared" si="21"/>
        <v>Medium</v>
      </c>
    </row>
    <row r="1406" spans="1:40" x14ac:dyDescent="0.45">
      <c r="A1406">
        <v>42</v>
      </c>
      <c r="B1406" t="s">
        <v>37</v>
      </c>
      <c r="C1406" t="s">
        <v>49</v>
      </c>
      <c r="D1406">
        <v>335</v>
      </c>
      <c r="E1406" t="s">
        <v>39</v>
      </c>
      <c r="F1406">
        <v>23</v>
      </c>
      <c r="G1406">
        <v>2</v>
      </c>
      <c r="H1406" t="s">
        <v>33</v>
      </c>
      <c r="I1406">
        <v>1976</v>
      </c>
      <c r="J1406">
        <v>4</v>
      </c>
      <c r="K1406" t="s">
        <v>40</v>
      </c>
      <c r="L1406">
        <v>2</v>
      </c>
      <c r="M1406">
        <v>2</v>
      </c>
      <c r="N1406" t="s">
        <v>41</v>
      </c>
      <c r="O1406">
        <v>3</v>
      </c>
      <c r="P1406" t="s">
        <v>36</v>
      </c>
      <c r="Q1406">
        <v>4332</v>
      </c>
      <c r="R1406">
        <v>1</v>
      </c>
      <c r="S1406" t="s">
        <v>37</v>
      </c>
      <c r="T1406">
        <v>12</v>
      </c>
      <c r="U1406">
        <v>3</v>
      </c>
      <c r="V1406">
        <v>4</v>
      </c>
      <c r="W1406">
        <v>0</v>
      </c>
      <c r="X1406">
        <v>20</v>
      </c>
      <c r="Y1406">
        <v>2</v>
      </c>
      <c r="Z1406">
        <v>3</v>
      </c>
      <c r="AA1406">
        <v>20</v>
      </c>
      <c r="AB1406">
        <v>9</v>
      </c>
      <c r="AC1406">
        <v>3</v>
      </c>
      <c r="AD1406">
        <v>7</v>
      </c>
      <c r="AE1406" t="str" cm="1">
        <f t="array" ref="AE1406">_xlfn.IFS(G1406=1,"Before College",G1406=2,"College",G1406=3,"Bachelor",G1406=4,"Master",G1406=5,"Doctor")</f>
        <v>College</v>
      </c>
      <c r="AF1406" t="str" cm="1">
        <f t="array" ref="AF1406">_xlfn.IFS(J1406=1,"Low",J1406=2,"Medium",J1406=3,"High",J1406=4,"Very High")</f>
        <v>Very High</v>
      </c>
      <c r="AG1406" t="str" cm="1">
        <f t="array" ref="AG1406">_xlfn.IFS(L1406=1,"Low",L1406=2,"Medium",L1406=3,"High",L1406=4,"Very High")</f>
        <v>Medium</v>
      </c>
      <c r="AH1406" t="str" cm="1">
        <f t="array" ref="AH1406">_xlfn.IFS(M1406=1,"Junior employee",M1406=2,"Mid-level",M1406=3,"Senior",M1406=4,"Manager",M1406=5,"Executive")</f>
        <v>Mid-level</v>
      </c>
      <c r="AI1406" t="str" cm="1">
        <f t="array" ref="AI1406">_xlfn.IFS(O1406=1,"Low",O1406=2,"Medium",O1406=3,"High",O1406=4,"Very High")</f>
        <v>High</v>
      </c>
      <c r="AJ1406" t="str" cm="1">
        <f t="array" ref="AJ1406">_xlfn.IFS(U1406=1,"Low",U1406=2,"Good",U1406=3,"Excellent",U1406=4,"Outstanding")</f>
        <v>Excellent</v>
      </c>
      <c r="AK1406" t="str" cm="1">
        <f t="array" ref="AK1406">_xlfn.IFS(V1406=1,"Low",V1406=2,"Medium",V1406=3,"High",V1406=4,"Very High")</f>
        <v>Very High</v>
      </c>
      <c r="AL1406" t="str" cm="1">
        <f t="array" ref="AL1406">_xlfn.IFS(Z1406=1,"Bad",Z1406=2,"Good",Z1406=3,"Better",Z1406=4,"Best")</f>
        <v>Better</v>
      </c>
      <c r="AM1406" t="str" cm="1">
        <f t="array" ref="AM1406">_xlfn.IFS(W1406=0,"No_stock",W1406=1,"Low",W1406=2,"Medium",W1406=3,"High")</f>
        <v>No_stock</v>
      </c>
      <c r="AN1406" t="str">
        <f t="shared" si="21"/>
        <v>Far</v>
      </c>
    </row>
    <row r="1407" spans="1:40" x14ac:dyDescent="0.45">
      <c r="A1407">
        <v>31</v>
      </c>
      <c r="B1407" t="s">
        <v>37</v>
      </c>
      <c r="C1407" t="s">
        <v>49</v>
      </c>
      <c r="D1407">
        <v>697</v>
      </c>
      <c r="E1407" t="s">
        <v>39</v>
      </c>
      <c r="F1407">
        <v>10</v>
      </c>
      <c r="G1407">
        <v>3</v>
      </c>
      <c r="H1407" t="s">
        <v>45</v>
      </c>
      <c r="I1407">
        <v>1979</v>
      </c>
      <c r="J1407">
        <v>3</v>
      </c>
      <c r="K1407" t="s">
        <v>34</v>
      </c>
      <c r="L1407">
        <v>3</v>
      </c>
      <c r="M1407">
        <v>3</v>
      </c>
      <c r="N1407" t="s">
        <v>52</v>
      </c>
      <c r="O1407">
        <v>3</v>
      </c>
      <c r="P1407" t="s">
        <v>42</v>
      </c>
      <c r="Q1407">
        <v>11031</v>
      </c>
      <c r="R1407">
        <v>4</v>
      </c>
      <c r="S1407" t="s">
        <v>37</v>
      </c>
      <c r="T1407">
        <v>20</v>
      </c>
      <c r="U1407">
        <v>4</v>
      </c>
      <c r="V1407">
        <v>3</v>
      </c>
      <c r="W1407">
        <v>1</v>
      </c>
      <c r="X1407">
        <v>13</v>
      </c>
      <c r="Y1407">
        <v>2</v>
      </c>
      <c r="Z1407">
        <v>4</v>
      </c>
      <c r="AA1407">
        <v>11</v>
      </c>
      <c r="AB1407">
        <v>7</v>
      </c>
      <c r="AC1407">
        <v>4</v>
      </c>
      <c r="AD1407">
        <v>8</v>
      </c>
      <c r="AE1407" t="str" cm="1">
        <f t="array" ref="AE1407">_xlfn.IFS(G1407=1,"Before College",G1407=2,"College",G1407=3,"Bachelor",G1407=4,"Master",G1407=5,"Doctor")</f>
        <v>Bachelor</v>
      </c>
      <c r="AF1407" t="str" cm="1">
        <f t="array" ref="AF1407">_xlfn.IFS(J1407=1,"Low",J1407=2,"Medium",J1407=3,"High",J1407=4,"Very High")</f>
        <v>High</v>
      </c>
      <c r="AG1407" t="str" cm="1">
        <f t="array" ref="AG1407">_xlfn.IFS(L1407=1,"Low",L1407=2,"Medium",L1407=3,"High",L1407=4,"Very High")</f>
        <v>High</v>
      </c>
      <c r="AH1407" t="str" cm="1">
        <f t="array" ref="AH1407">_xlfn.IFS(M1407=1,"Junior employee",M1407=2,"Mid-level",M1407=3,"Senior",M1407=4,"Manager",M1407=5,"Executive")</f>
        <v>Senior</v>
      </c>
      <c r="AI1407" t="str" cm="1">
        <f t="array" ref="AI1407">_xlfn.IFS(O1407=1,"Low",O1407=2,"Medium",O1407=3,"High",O1407=4,"Very High")</f>
        <v>High</v>
      </c>
      <c r="AJ1407" t="str" cm="1">
        <f t="array" ref="AJ1407">_xlfn.IFS(U1407=1,"Low",U1407=2,"Good",U1407=3,"Excellent",U1407=4,"Outstanding")</f>
        <v>Outstanding</v>
      </c>
      <c r="AK1407" t="str" cm="1">
        <f t="array" ref="AK1407">_xlfn.IFS(V1407=1,"Low",V1407=2,"Medium",V1407=3,"High",V1407=4,"Very High")</f>
        <v>High</v>
      </c>
      <c r="AL1407" t="str" cm="1">
        <f t="array" ref="AL1407">_xlfn.IFS(Z1407=1,"Bad",Z1407=2,"Good",Z1407=3,"Better",Z1407=4,"Best")</f>
        <v>Best</v>
      </c>
      <c r="AM1407" t="str" cm="1">
        <f t="array" ref="AM1407">_xlfn.IFS(W1407=0,"No_stock",W1407=1,"Low",W1407=2,"Medium",W1407=3,"High")</f>
        <v>Low</v>
      </c>
      <c r="AN1407" t="str">
        <f t="shared" si="21"/>
        <v>Medium</v>
      </c>
    </row>
    <row r="1408" spans="1:40" x14ac:dyDescent="0.45">
      <c r="A1408">
        <v>54</v>
      </c>
      <c r="B1408" t="s">
        <v>37</v>
      </c>
      <c r="C1408" t="s">
        <v>31</v>
      </c>
      <c r="D1408">
        <v>157</v>
      </c>
      <c r="E1408" t="s">
        <v>39</v>
      </c>
      <c r="F1408">
        <v>10</v>
      </c>
      <c r="G1408">
        <v>3</v>
      </c>
      <c r="H1408" t="s">
        <v>45</v>
      </c>
      <c r="I1408">
        <v>1980</v>
      </c>
      <c r="J1408">
        <v>3</v>
      </c>
      <c r="K1408" t="s">
        <v>34</v>
      </c>
      <c r="L1408">
        <v>3</v>
      </c>
      <c r="M1408">
        <v>2</v>
      </c>
      <c r="N1408" t="s">
        <v>47</v>
      </c>
      <c r="O1408">
        <v>1</v>
      </c>
      <c r="P1408" t="s">
        <v>36</v>
      </c>
      <c r="Q1408">
        <v>4440</v>
      </c>
      <c r="R1408">
        <v>6</v>
      </c>
      <c r="S1408" t="s">
        <v>30</v>
      </c>
      <c r="T1408">
        <v>19</v>
      </c>
      <c r="U1408">
        <v>3</v>
      </c>
      <c r="V1408">
        <v>4</v>
      </c>
      <c r="W1408">
        <v>0</v>
      </c>
      <c r="X1408">
        <v>9</v>
      </c>
      <c r="Y1408">
        <v>3</v>
      </c>
      <c r="Z1408">
        <v>3</v>
      </c>
      <c r="AA1408">
        <v>5</v>
      </c>
      <c r="AB1408">
        <v>2</v>
      </c>
      <c r="AC1408">
        <v>1</v>
      </c>
      <c r="AD1408">
        <v>4</v>
      </c>
      <c r="AE1408" t="str" cm="1">
        <f t="array" ref="AE1408">_xlfn.IFS(G1408=1,"Before College",G1408=2,"College",G1408=3,"Bachelor",G1408=4,"Master",G1408=5,"Doctor")</f>
        <v>Bachelor</v>
      </c>
      <c r="AF1408" t="str" cm="1">
        <f t="array" ref="AF1408">_xlfn.IFS(J1408=1,"Low",J1408=2,"Medium",J1408=3,"High",J1408=4,"Very High")</f>
        <v>High</v>
      </c>
      <c r="AG1408" t="str" cm="1">
        <f t="array" ref="AG1408">_xlfn.IFS(L1408=1,"Low",L1408=2,"Medium",L1408=3,"High",L1408=4,"Very High")</f>
        <v>High</v>
      </c>
      <c r="AH1408" t="str" cm="1">
        <f t="array" ref="AH1408">_xlfn.IFS(M1408=1,"Junior employee",M1408=2,"Mid-level",M1408=3,"Senior",M1408=4,"Manager",M1408=5,"Executive")</f>
        <v>Mid-level</v>
      </c>
      <c r="AI1408" t="str" cm="1">
        <f t="array" ref="AI1408">_xlfn.IFS(O1408=1,"Low",O1408=2,"Medium",O1408=3,"High",O1408=4,"Very High")</f>
        <v>Low</v>
      </c>
      <c r="AJ1408" t="str" cm="1">
        <f t="array" ref="AJ1408">_xlfn.IFS(U1408=1,"Low",U1408=2,"Good",U1408=3,"Excellent",U1408=4,"Outstanding")</f>
        <v>Excellent</v>
      </c>
      <c r="AK1408" t="str" cm="1">
        <f t="array" ref="AK1408">_xlfn.IFS(V1408=1,"Low",V1408=2,"Medium",V1408=3,"High",V1408=4,"Very High")</f>
        <v>Very High</v>
      </c>
      <c r="AL1408" t="str" cm="1">
        <f t="array" ref="AL1408">_xlfn.IFS(Z1408=1,"Bad",Z1408=2,"Good",Z1408=3,"Better",Z1408=4,"Best")</f>
        <v>Better</v>
      </c>
      <c r="AM1408" t="str" cm="1">
        <f t="array" ref="AM1408">_xlfn.IFS(W1408=0,"No_stock",W1408=1,"Low",W1408=2,"Medium",W1408=3,"High")</f>
        <v>No_stock</v>
      </c>
      <c r="AN1408" t="str">
        <f t="shared" si="21"/>
        <v>Medium</v>
      </c>
    </row>
    <row r="1409" spans="1:40" x14ac:dyDescent="0.45">
      <c r="A1409">
        <v>24</v>
      </c>
      <c r="B1409" t="s">
        <v>37</v>
      </c>
      <c r="C1409" t="s">
        <v>31</v>
      </c>
      <c r="D1409">
        <v>771</v>
      </c>
      <c r="E1409" t="s">
        <v>39</v>
      </c>
      <c r="F1409">
        <v>1</v>
      </c>
      <c r="G1409">
        <v>2</v>
      </c>
      <c r="H1409" t="s">
        <v>33</v>
      </c>
      <c r="I1409">
        <v>1981</v>
      </c>
      <c r="J1409">
        <v>2</v>
      </c>
      <c r="K1409" t="s">
        <v>40</v>
      </c>
      <c r="L1409">
        <v>2</v>
      </c>
      <c r="M1409">
        <v>2</v>
      </c>
      <c r="N1409" t="s">
        <v>48</v>
      </c>
      <c r="O1409">
        <v>3</v>
      </c>
      <c r="P1409" t="s">
        <v>36</v>
      </c>
      <c r="Q1409">
        <v>4617</v>
      </c>
      <c r="R1409">
        <v>1</v>
      </c>
      <c r="S1409" t="s">
        <v>37</v>
      </c>
      <c r="T1409">
        <v>12</v>
      </c>
      <c r="U1409">
        <v>3</v>
      </c>
      <c r="V1409">
        <v>2</v>
      </c>
      <c r="W1409">
        <v>0</v>
      </c>
      <c r="X1409">
        <v>4</v>
      </c>
      <c r="Y1409">
        <v>2</v>
      </c>
      <c r="Z1409">
        <v>2</v>
      </c>
      <c r="AA1409">
        <v>4</v>
      </c>
      <c r="AB1409">
        <v>3</v>
      </c>
      <c r="AC1409">
        <v>1</v>
      </c>
      <c r="AD1409">
        <v>2</v>
      </c>
      <c r="AE1409" t="str" cm="1">
        <f t="array" ref="AE1409">_xlfn.IFS(G1409=1,"Before College",G1409=2,"College",G1409=3,"Bachelor",G1409=4,"Master",G1409=5,"Doctor")</f>
        <v>College</v>
      </c>
      <c r="AF1409" t="str" cm="1">
        <f t="array" ref="AF1409">_xlfn.IFS(J1409=1,"Low",J1409=2,"Medium",J1409=3,"High",J1409=4,"Very High")</f>
        <v>Medium</v>
      </c>
      <c r="AG1409" t="str" cm="1">
        <f t="array" ref="AG1409">_xlfn.IFS(L1409=1,"Low",L1409=2,"Medium",L1409=3,"High",L1409=4,"Very High")</f>
        <v>Medium</v>
      </c>
      <c r="AH1409" t="str" cm="1">
        <f t="array" ref="AH1409">_xlfn.IFS(M1409=1,"Junior employee",M1409=2,"Mid-level",M1409=3,"Senior",M1409=4,"Manager",M1409=5,"Executive")</f>
        <v>Mid-level</v>
      </c>
      <c r="AI1409" t="str" cm="1">
        <f t="array" ref="AI1409">_xlfn.IFS(O1409=1,"Low",O1409=2,"Medium",O1409=3,"High",O1409=4,"Very High")</f>
        <v>High</v>
      </c>
      <c r="AJ1409" t="str" cm="1">
        <f t="array" ref="AJ1409">_xlfn.IFS(U1409=1,"Low",U1409=2,"Good",U1409=3,"Excellent",U1409=4,"Outstanding")</f>
        <v>Excellent</v>
      </c>
      <c r="AK1409" t="str" cm="1">
        <f t="array" ref="AK1409">_xlfn.IFS(V1409=1,"Low",V1409=2,"Medium",V1409=3,"High",V1409=4,"Very High")</f>
        <v>Medium</v>
      </c>
      <c r="AL1409" t="str" cm="1">
        <f t="array" ref="AL1409">_xlfn.IFS(Z1409=1,"Bad",Z1409=2,"Good",Z1409=3,"Better",Z1409=4,"Best")</f>
        <v>Good</v>
      </c>
      <c r="AM1409" t="str" cm="1">
        <f t="array" ref="AM1409">_xlfn.IFS(W1409=0,"No_stock",W1409=1,"Low",W1409=2,"Medium",W1409=3,"High")</f>
        <v>No_stock</v>
      </c>
      <c r="AN1409" t="str">
        <f t="shared" si="21"/>
        <v>Near</v>
      </c>
    </row>
    <row r="1410" spans="1:40" x14ac:dyDescent="0.45">
      <c r="A1410">
        <v>23</v>
      </c>
      <c r="B1410" t="s">
        <v>37</v>
      </c>
      <c r="C1410" t="s">
        <v>31</v>
      </c>
      <c r="D1410">
        <v>571</v>
      </c>
      <c r="E1410" t="s">
        <v>39</v>
      </c>
      <c r="F1410">
        <v>12</v>
      </c>
      <c r="G1410">
        <v>2</v>
      </c>
      <c r="H1410" t="s">
        <v>43</v>
      </c>
      <c r="I1410">
        <v>1982</v>
      </c>
      <c r="J1410">
        <v>4</v>
      </c>
      <c r="K1410" t="s">
        <v>40</v>
      </c>
      <c r="L1410">
        <v>3</v>
      </c>
      <c r="M1410">
        <v>1</v>
      </c>
      <c r="N1410" t="s">
        <v>44</v>
      </c>
      <c r="O1410">
        <v>4</v>
      </c>
      <c r="P1410" t="s">
        <v>36</v>
      </c>
      <c r="Q1410">
        <v>2647</v>
      </c>
      <c r="R1410">
        <v>1</v>
      </c>
      <c r="S1410" t="s">
        <v>37</v>
      </c>
      <c r="T1410">
        <v>13</v>
      </c>
      <c r="U1410">
        <v>3</v>
      </c>
      <c r="V1410">
        <v>3</v>
      </c>
      <c r="W1410">
        <v>0</v>
      </c>
      <c r="X1410">
        <v>5</v>
      </c>
      <c r="Y1410">
        <v>6</v>
      </c>
      <c r="Z1410">
        <v>4</v>
      </c>
      <c r="AA1410">
        <v>5</v>
      </c>
      <c r="AB1410">
        <v>2</v>
      </c>
      <c r="AC1410">
        <v>1</v>
      </c>
      <c r="AD1410">
        <v>4</v>
      </c>
      <c r="AE1410" t="str" cm="1">
        <f t="array" ref="AE1410">_xlfn.IFS(G1410=1,"Before College",G1410=2,"College",G1410=3,"Bachelor",G1410=4,"Master",G1410=5,"Doctor")</f>
        <v>College</v>
      </c>
      <c r="AF1410" t="str" cm="1">
        <f t="array" ref="AF1410">_xlfn.IFS(J1410=1,"Low",J1410=2,"Medium",J1410=3,"High",J1410=4,"Very High")</f>
        <v>Very High</v>
      </c>
      <c r="AG1410" t="str" cm="1">
        <f t="array" ref="AG1410">_xlfn.IFS(L1410=1,"Low",L1410=2,"Medium",L1410=3,"High",L1410=4,"Very High")</f>
        <v>High</v>
      </c>
      <c r="AH1410" t="str" cm="1">
        <f t="array" ref="AH1410">_xlfn.IFS(M1410=1,"Junior employee",M1410=2,"Mid-level",M1410=3,"Senior",M1410=4,"Manager",M1410=5,"Executive")</f>
        <v>Junior employee</v>
      </c>
      <c r="AI1410" t="str" cm="1">
        <f t="array" ref="AI1410">_xlfn.IFS(O1410=1,"Low",O1410=2,"Medium",O1410=3,"High",O1410=4,"Very High")</f>
        <v>Very High</v>
      </c>
      <c r="AJ1410" t="str" cm="1">
        <f t="array" ref="AJ1410">_xlfn.IFS(U1410=1,"Low",U1410=2,"Good",U1410=3,"Excellent",U1410=4,"Outstanding")</f>
        <v>Excellent</v>
      </c>
      <c r="AK1410" t="str" cm="1">
        <f t="array" ref="AK1410">_xlfn.IFS(V1410=1,"Low",V1410=2,"Medium",V1410=3,"High",V1410=4,"Very High")</f>
        <v>High</v>
      </c>
      <c r="AL1410" t="str" cm="1">
        <f t="array" ref="AL1410">_xlfn.IFS(Z1410=1,"Bad",Z1410=2,"Good",Z1410=3,"Better",Z1410=4,"Best")</f>
        <v>Best</v>
      </c>
      <c r="AM1410" t="str" cm="1">
        <f t="array" ref="AM1410">_xlfn.IFS(W1410=0,"No_stock",W1410=1,"Low",W1410=2,"Medium",W1410=3,"High")</f>
        <v>No_stock</v>
      </c>
      <c r="AN1410" t="str">
        <f t="shared" ref="AN1410:AN1471" si="22">IF(F1410&lt;=5,"Near",IF(F1410&lt;=15,"Medium","Far"))</f>
        <v>Medium</v>
      </c>
    </row>
    <row r="1411" spans="1:40" x14ac:dyDescent="0.45">
      <c r="A1411">
        <v>40</v>
      </c>
      <c r="B1411" t="s">
        <v>37</v>
      </c>
      <c r="C1411" t="s">
        <v>38</v>
      </c>
      <c r="D1411">
        <v>692</v>
      </c>
      <c r="E1411" t="s">
        <v>39</v>
      </c>
      <c r="F1411">
        <v>11</v>
      </c>
      <c r="G1411">
        <v>3</v>
      </c>
      <c r="H1411" t="s">
        <v>54</v>
      </c>
      <c r="I1411">
        <v>1985</v>
      </c>
      <c r="J1411">
        <v>4</v>
      </c>
      <c r="K1411" t="s">
        <v>34</v>
      </c>
      <c r="L1411">
        <v>3</v>
      </c>
      <c r="M1411">
        <v>2</v>
      </c>
      <c r="N1411" t="s">
        <v>44</v>
      </c>
      <c r="O1411">
        <v>3</v>
      </c>
      <c r="P1411" t="s">
        <v>42</v>
      </c>
      <c r="Q1411">
        <v>6323</v>
      </c>
      <c r="R1411">
        <v>1</v>
      </c>
      <c r="S1411" t="s">
        <v>37</v>
      </c>
      <c r="T1411">
        <v>11</v>
      </c>
      <c r="U1411">
        <v>3</v>
      </c>
      <c r="V1411">
        <v>1</v>
      </c>
      <c r="W1411">
        <v>1</v>
      </c>
      <c r="X1411">
        <v>10</v>
      </c>
      <c r="Y1411">
        <v>2</v>
      </c>
      <c r="Z1411">
        <v>4</v>
      </c>
      <c r="AA1411">
        <v>10</v>
      </c>
      <c r="AB1411">
        <v>9</v>
      </c>
      <c r="AC1411">
        <v>9</v>
      </c>
      <c r="AD1411">
        <v>4</v>
      </c>
      <c r="AE1411" t="str" cm="1">
        <f t="array" ref="AE1411">_xlfn.IFS(G1411=1,"Before College",G1411=2,"College",G1411=3,"Bachelor",G1411=4,"Master",G1411=5,"Doctor")</f>
        <v>Bachelor</v>
      </c>
      <c r="AF1411" t="str" cm="1">
        <f t="array" ref="AF1411">_xlfn.IFS(J1411=1,"Low",J1411=2,"Medium",J1411=3,"High",J1411=4,"Very High")</f>
        <v>Very High</v>
      </c>
      <c r="AG1411" t="str" cm="1">
        <f t="array" ref="AG1411">_xlfn.IFS(L1411=1,"Low",L1411=2,"Medium",L1411=3,"High",L1411=4,"Very High")</f>
        <v>High</v>
      </c>
      <c r="AH1411" t="str" cm="1">
        <f t="array" ref="AH1411">_xlfn.IFS(M1411=1,"Junior employee",M1411=2,"Mid-level",M1411=3,"Senior",M1411=4,"Manager",M1411=5,"Executive")</f>
        <v>Mid-level</v>
      </c>
      <c r="AI1411" t="str" cm="1">
        <f t="array" ref="AI1411">_xlfn.IFS(O1411=1,"Low",O1411=2,"Medium",O1411=3,"High",O1411=4,"Very High")</f>
        <v>High</v>
      </c>
      <c r="AJ1411" t="str" cm="1">
        <f t="array" ref="AJ1411">_xlfn.IFS(U1411=1,"Low",U1411=2,"Good",U1411=3,"Excellent",U1411=4,"Outstanding")</f>
        <v>Excellent</v>
      </c>
      <c r="AK1411" t="str" cm="1">
        <f t="array" ref="AK1411">_xlfn.IFS(V1411=1,"Low",V1411=2,"Medium",V1411=3,"High",V1411=4,"Very High")</f>
        <v>Low</v>
      </c>
      <c r="AL1411" t="str" cm="1">
        <f t="array" ref="AL1411">_xlfn.IFS(Z1411=1,"Bad",Z1411=2,"Good",Z1411=3,"Better",Z1411=4,"Best")</f>
        <v>Best</v>
      </c>
      <c r="AM1411" t="str" cm="1">
        <f t="array" ref="AM1411">_xlfn.IFS(W1411=0,"No_stock",W1411=1,"Low",W1411=2,"Medium",W1411=3,"High")</f>
        <v>Low</v>
      </c>
      <c r="AN1411" t="str">
        <f t="shared" si="22"/>
        <v>Medium</v>
      </c>
    </row>
    <row r="1412" spans="1:40" x14ac:dyDescent="0.45">
      <c r="A1412">
        <v>40</v>
      </c>
      <c r="B1412" t="s">
        <v>37</v>
      </c>
      <c r="C1412" t="s">
        <v>31</v>
      </c>
      <c r="D1412">
        <v>444</v>
      </c>
      <c r="E1412" t="s">
        <v>32</v>
      </c>
      <c r="F1412">
        <v>2</v>
      </c>
      <c r="G1412">
        <v>2</v>
      </c>
      <c r="H1412" t="s">
        <v>53</v>
      </c>
      <c r="I1412">
        <v>1986</v>
      </c>
      <c r="J1412">
        <v>2</v>
      </c>
      <c r="K1412" t="s">
        <v>34</v>
      </c>
      <c r="L1412">
        <v>3</v>
      </c>
      <c r="M1412">
        <v>2</v>
      </c>
      <c r="N1412" t="s">
        <v>35</v>
      </c>
      <c r="O1412">
        <v>2</v>
      </c>
      <c r="P1412" t="s">
        <v>42</v>
      </c>
      <c r="Q1412">
        <v>5677</v>
      </c>
      <c r="R1412">
        <v>3</v>
      </c>
      <c r="S1412" t="s">
        <v>37</v>
      </c>
      <c r="T1412">
        <v>14</v>
      </c>
      <c r="U1412">
        <v>3</v>
      </c>
      <c r="V1412">
        <v>3</v>
      </c>
      <c r="W1412">
        <v>1</v>
      </c>
      <c r="X1412">
        <v>15</v>
      </c>
      <c r="Y1412">
        <v>4</v>
      </c>
      <c r="Z1412">
        <v>3</v>
      </c>
      <c r="AA1412">
        <v>11</v>
      </c>
      <c r="AB1412">
        <v>8</v>
      </c>
      <c r="AC1412">
        <v>5</v>
      </c>
      <c r="AD1412">
        <v>10</v>
      </c>
      <c r="AE1412" t="str" cm="1">
        <f t="array" ref="AE1412">_xlfn.IFS(G1412=1,"Before College",G1412=2,"College",G1412=3,"Bachelor",G1412=4,"Master",G1412=5,"Doctor")</f>
        <v>College</v>
      </c>
      <c r="AF1412" t="str" cm="1">
        <f t="array" ref="AF1412">_xlfn.IFS(J1412=1,"Low",J1412=2,"Medium",J1412=3,"High",J1412=4,"Very High")</f>
        <v>Medium</v>
      </c>
      <c r="AG1412" t="str" cm="1">
        <f t="array" ref="AG1412">_xlfn.IFS(L1412=1,"Low",L1412=2,"Medium",L1412=3,"High",L1412=4,"Very High")</f>
        <v>High</v>
      </c>
      <c r="AH1412" t="str" cm="1">
        <f t="array" ref="AH1412">_xlfn.IFS(M1412=1,"Junior employee",M1412=2,"Mid-level",M1412=3,"Senior",M1412=4,"Manager",M1412=5,"Executive")</f>
        <v>Mid-level</v>
      </c>
      <c r="AI1412" t="str" cm="1">
        <f t="array" ref="AI1412">_xlfn.IFS(O1412=1,"Low",O1412=2,"Medium",O1412=3,"High",O1412=4,"Very High")</f>
        <v>Medium</v>
      </c>
      <c r="AJ1412" t="str" cm="1">
        <f t="array" ref="AJ1412">_xlfn.IFS(U1412=1,"Low",U1412=2,"Good",U1412=3,"Excellent",U1412=4,"Outstanding")</f>
        <v>Excellent</v>
      </c>
      <c r="AK1412" t="str" cm="1">
        <f t="array" ref="AK1412">_xlfn.IFS(V1412=1,"Low",V1412=2,"Medium",V1412=3,"High",V1412=4,"Very High")</f>
        <v>High</v>
      </c>
      <c r="AL1412" t="str" cm="1">
        <f t="array" ref="AL1412">_xlfn.IFS(Z1412=1,"Bad",Z1412=2,"Good",Z1412=3,"Better",Z1412=4,"Best")</f>
        <v>Better</v>
      </c>
      <c r="AM1412" t="str" cm="1">
        <f t="array" ref="AM1412">_xlfn.IFS(W1412=0,"No_stock",W1412=1,"Low",W1412=2,"Medium",W1412=3,"High")</f>
        <v>Low</v>
      </c>
      <c r="AN1412" t="str">
        <f t="shared" si="22"/>
        <v>Near</v>
      </c>
    </row>
    <row r="1413" spans="1:40" x14ac:dyDescent="0.45">
      <c r="A1413">
        <v>25</v>
      </c>
      <c r="B1413" t="s">
        <v>37</v>
      </c>
      <c r="C1413" t="s">
        <v>31</v>
      </c>
      <c r="D1413">
        <v>309</v>
      </c>
      <c r="E1413" t="s">
        <v>55</v>
      </c>
      <c r="F1413">
        <v>2</v>
      </c>
      <c r="G1413">
        <v>3</v>
      </c>
      <c r="H1413" t="s">
        <v>55</v>
      </c>
      <c r="I1413">
        <v>1987</v>
      </c>
      <c r="J1413">
        <v>3</v>
      </c>
      <c r="K1413" t="s">
        <v>34</v>
      </c>
      <c r="L1413">
        <v>3</v>
      </c>
      <c r="M1413">
        <v>1</v>
      </c>
      <c r="N1413" t="s">
        <v>55</v>
      </c>
      <c r="O1413">
        <v>2</v>
      </c>
      <c r="P1413" t="s">
        <v>42</v>
      </c>
      <c r="Q1413">
        <v>2187</v>
      </c>
      <c r="R1413">
        <v>4</v>
      </c>
      <c r="S1413" t="s">
        <v>37</v>
      </c>
      <c r="T1413">
        <v>14</v>
      </c>
      <c r="U1413">
        <v>3</v>
      </c>
      <c r="V1413">
        <v>3</v>
      </c>
      <c r="W1413">
        <v>0</v>
      </c>
      <c r="X1413">
        <v>6</v>
      </c>
      <c r="Y1413">
        <v>3</v>
      </c>
      <c r="Z1413">
        <v>3</v>
      </c>
      <c r="AA1413">
        <v>2</v>
      </c>
      <c r="AB1413">
        <v>0</v>
      </c>
      <c r="AC1413">
        <v>1</v>
      </c>
      <c r="AD1413">
        <v>2</v>
      </c>
      <c r="AE1413" t="str" cm="1">
        <f t="array" ref="AE1413">_xlfn.IFS(G1413=1,"Before College",G1413=2,"College",G1413=3,"Bachelor",G1413=4,"Master",G1413=5,"Doctor")</f>
        <v>Bachelor</v>
      </c>
      <c r="AF1413" t="str" cm="1">
        <f t="array" ref="AF1413">_xlfn.IFS(J1413=1,"Low",J1413=2,"Medium",J1413=3,"High",J1413=4,"Very High")</f>
        <v>High</v>
      </c>
      <c r="AG1413" t="str" cm="1">
        <f t="array" ref="AG1413">_xlfn.IFS(L1413=1,"Low",L1413=2,"Medium",L1413=3,"High",L1413=4,"Very High")</f>
        <v>High</v>
      </c>
      <c r="AH1413" t="str" cm="1">
        <f t="array" ref="AH1413">_xlfn.IFS(M1413=1,"Junior employee",M1413=2,"Mid-level",M1413=3,"Senior",M1413=4,"Manager",M1413=5,"Executive")</f>
        <v>Junior employee</v>
      </c>
      <c r="AI1413" t="str" cm="1">
        <f t="array" ref="AI1413">_xlfn.IFS(O1413=1,"Low",O1413=2,"Medium",O1413=3,"High",O1413=4,"Very High")</f>
        <v>Medium</v>
      </c>
      <c r="AJ1413" t="str" cm="1">
        <f t="array" ref="AJ1413">_xlfn.IFS(U1413=1,"Low",U1413=2,"Good",U1413=3,"Excellent",U1413=4,"Outstanding")</f>
        <v>Excellent</v>
      </c>
      <c r="AK1413" t="str" cm="1">
        <f t="array" ref="AK1413">_xlfn.IFS(V1413=1,"Low",V1413=2,"Medium",V1413=3,"High",V1413=4,"Very High")</f>
        <v>High</v>
      </c>
      <c r="AL1413" t="str" cm="1">
        <f t="array" ref="AL1413">_xlfn.IFS(Z1413=1,"Bad",Z1413=2,"Good",Z1413=3,"Better",Z1413=4,"Best")</f>
        <v>Better</v>
      </c>
      <c r="AM1413" t="str" cm="1">
        <f t="array" ref="AM1413">_xlfn.IFS(W1413=0,"No_stock",W1413=1,"Low",W1413=2,"Medium",W1413=3,"High")</f>
        <v>No_stock</v>
      </c>
      <c r="AN1413" t="str">
        <f t="shared" si="22"/>
        <v>Near</v>
      </c>
    </row>
    <row r="1414" spans="1:40" x14ac:dyDescent="0.45">
      <c r="A1414">
        <v>30</v>
      </c>
      <c r="B1414" t="s">
        <v>37</v>
      </c>
      <c r="C1414" t="s">
        <v>31</v>
      </c>
      <c r="D1414">
        <v>911</v>
      </c>
      <c r="E1414" t="s">
        <v>39</v>
      </c>
      <c r="F1414">
        <v>1</v>
      </c>
      <c r="G1414">
        <v>2</v>
      </c>
      <c r="H1414" t="s">
        <v>45</v>
      </c>
      <c r="I1414">
        <v>1989</v>
      </c>
      <c r="J1414">
        <v>4</v>
      </c>
      <c r="K1414" t="s">
        <v>40</v>
      </c>
      <c r="L1414">
        <v>3</v>
      </c>
      <c r="M1414">
        <v>1</v>
      </c>
      <c r="N1414" t="s">
        <v>44</v>
      </c>
      <c r="O1414">
        <v>2</v>
      </c>
      <c r="P1414" t="s">
        <v>42</v>
      </c>
      <c r="Q1414">
        <v>3748</v>
      </c>
      <c r="R1414">
        <v>1</v>
      </c>
      <c r="S1414" t="s">
        <v>37</v>
      </c>
      <c r="T1414">
        <v>13</v>
      </c>
      <c r="U1414">
        <v>3</v>
      </c>
      <c r="V1414">
        <v>3</v>
      </c>
      <c r="W1414">
        <v>0</v>
      </c>
      <c r="X1414">
        <v>12</v>
      </c>
      <c r="Y1414">
        <v>6</v>
      </c>
      <c r="Z1414">
        <v>2</v>
      </c>
      <c r="AA1414">
        <v>12</v>
      </c>
      <c r="AB1414">
        <v>8</v>
      </c>
      <c r="AC1414">
        <v>1</v>
      </c>
      <c r="AD1414">
        <v>7</v>
      </c>
      <c r="AE1414" t="str" cm="1">
        <f t="array" ref="AE1414">_xlfn.IFS(G1414=1,"Before College",G1414=2,"College",G1414=3,"Bachelor",G1414=4,"Master",G1414=5,"Doctor")</f>
        <v>College</v>
      </c>
      <c r="AF1414" t="str" cm="1">
        <f t="array" ref="AF1414">_xlfn.IFS(J1414=1,"Low",J1414=2,"Medium",J1414=3,"High",J1414=4,"Very High")</f>
        <v>Very High</v>
      </c>
      <c r="AG1414" t="str" cm="1">
        <f t="array" ref="AG1414">_xlfn.IFS(L1414=1,"Low",L1414=2,"Medium",L1414=3,"High",L1414=4,"Very High")</f>
        <v>High</v>
      </c>
      <c r="AH1414" t="str" cm="1">
        <f t="array" ref="AH1414">_xlfn.IFS(M1414=1,"Junior employee",M1414=2,"Mid-level",M1414=3,"Senior",M1414=4,"Manager",M1414=5,"Executive")</f>
        <v>Junior employee</v>
      </c>
      <c r="AI1414" t="str" cm="1">
        <f t="array" ref="AI1414">_xlfn.IFS(O1414=1,"Low",O1414=2,"Medium",O1414=3,"High",O1414=4,"Very High")</f>
        <v>Medium</v>
      </c>
      <c r="AJ1414" t="str" cm="1">
        <f t="array" ref="AJ1414">_xlfn.IFS(U1414=1,"Low",U1414=2,"Good",U1414=3,"Excellent",U1414=4,"Outstanding")</f>
        <v>Excellent</v>
      </c>
      <c r="AK1414" t="str" cm="1">
        <f t="array" ref="AK1414">_xlfn.IFS(V1414=1,"Low",V1414=2,"Medium",V1414=3,"High",V1414=4,"Very High")</f>
        <v>High</v>
      </c>
      <c r="AL1414" t="str" cm="1">
        <f t="array" ref="AL1414">_xlfn.IFS(Z1414=1,"Bad",Z1414=2,"Good",Z1414=3,"Better",Z1414=4,"Best")</f>
        <v>Good</v>
      </c>
      <c r="AM1414" t="str" cm="1">
        <f t="array" ref="AM1414">_xlfn.IFS(W1414=0,"No_stock",W1414=1,"Low",W1414=2,"Medium",W1414=3,"High")</f>
        <v>No_stock</v>
      </c>
      <c r="AN1414" t="str">
        <f t="shared" si="22"/>
        <v>Near</v>
      </c>
    </row>
    <row r="1415" spans="1:40" x14ac:dyDescent="0.45">
      <c r="A1415">
        <v>25</v>
      </c>
      <c r="B1415" t="s">
        <v>37</v>
      </c>
      <c r="C1415" t="s">
        <v>31</v>
      </c>
      <c r="D1415">
        <v>977</v>
      </c>
      <c r="E1415" t="s">
        <v>39</v>
      </c>
      <c r="F1415">
        <v>2</v>
      </c>
      <c r="G1415">
        <v>1</v>
      </c>
      <c r="H1415" t="s">
        <v>43</v>
      </c>
      <c r="I1415">
        <v>1992</v>
      </c>
      <c r="J1415">
        <v>4</v>
      </c>
      <c r="K1415" t="s">
        <v>40</v>
      </c>
      <c r="L1415">
        <v>3</v>
      </c>
      <c r="M1415">
        <v>1</v>
      </c>
      <c r="N1415" t="s">
        <v>44</v>
      </c>
      <c r="O1415">
        <v>3</v>
      </c>
      <c r="P1415" t="s">
        <v>46</v>
      </c>
      <c r="Q1415">
        <v>3977</v>
      </c>
      <c r="R1415">
        <v>6</v>
      </c>
      <c r="S1415" t="s">
        <v>30</v>
      </c>
      <c r="T1415">
        <v>19</v>
      </c>
      <c r="U1415">
        <v>3</v>
      </c>
      <c r="V1415">
        <v>3</v>
      </c>
      <c r="W1415">
        <v>1</v>
      </c>
      <c r="X1415">
        <v>7</v>
      </c>
      <c r="Y1415">
        <v>2</v>
      </c>
      <c r="Z1415">
        <v>2</v>
      </c>
      <c r="AA1415">
        <v>2</v>
      </c>
      <c r="AB1415">
        <v>2</v>
      </c>
      <c r="AC1415">
        <v>0</v>
      </c>
      <c r="AD1415">
        <v>2</v>
      </c>
      <c r="AE1415" t="str" cm="1">
        <f t="array" ref="AE1415">_xlfn.IFS(G1415=1,"Before College",G1415=2,"College",G1415=3,"Bachelor",G1415=4,"Master",G1415=5,"Doctor")</f>
        <v>Before College</v>
      </c>
      <c r="AF1415" t="str" cm="1">
        <f t="array" ref="AF1415">_xlfn.IFS(J1415=1,"Low",J1415=2,"Medium",J1415=3,"High",J1415=4,"Very High")</f>
        <v>Very High</v>
      </c>
      <c r="AG1415" t="str" cm="1">
        <f t="array" ref="AG1415">_xlfn.IFS(L1415=1,"Low",L1415=2,"Medium",L1415=3,"High",L1415=4,"Very High")</f>
        <v>High</v>
      </c>
      <c r="AH1415" t="str" cm="1">
        <f t="array" ref="AH1415">_xlfn.IFS(M1415=1,"Junior employee",M1415=2,"Mid-level",M1415=3,"Senior",M1415=4,"Manager",M1415=5,"Executive")</f>
        <v>Junior employee</v>
      </c>
      <c r="AI1415" t="str" cm="1">
        <f t="array" ref="AI1415">_xlfn.IFS(O1415=1,"Low",O1415=2,"Medium",O1415=3,"High",O1415=4,"Very High")</f>
        <v>High</v>
      </c>
      <c r="AJ1415" t="str" cm="1">
        <f t="array" ref="AJ1415">_xlfn.IFS(U1415=1,"Low",U1415=2,"Good",U1415=3,"Excellent",U1415=4,"Outstanding")</f>
        <v>Excellent</v>
      </c>
      <c r="AK1415" t="str" cm="1">
        <f t="array" ref="AK1415">_xlfn.IFS(V1415=1,"Low",V1415=2,"Medium",V1415=3,"High",V1415=4,"Very High")</f>
        <v>High</v>
      </c>
      <c r="AL1415" t="str" cm="1">
        <f t="array" ref="AL1415">_xlfn.IFS(Z1415=1,"Bad",Z1415=2,"Good",Z1415=3,"Better",Z1415=4,"Best")</f>
        <v>Good</v>
      </c>
      <c r="AM1415" t="str" cm="1">
        <f t="array" ref="AM1415">_xlfn.IFS(W1415=0,"No_stock",W1415=1,"Low",W1415=2,"Medium",W1415=3,"High")</f>
        <v>Low</v>
      </c>
      <c r="AN1415" t="str">
        <f t="shared" si="22"/>
        <v>Near</v>
      </c>
    </row>
    <row r="1416" spans="1:40" x14ac:dyDescent="0.45">
      <c r="A1416">
        <v>47</v>
      </c>
      <c r="B1416" t="s">
        <v>37</v>
      </c>
      <c r="C1416" t="s">
        <v>31</v>
      </c>
      <c r="D1416">
        <v>1180</v>
      </c>
      <c r="E1416" t="s">
        <v>39</v>
      </c>
      <c r="F1416">
        <v>25</v>
      </c>
      <c r="G1416">
        <v>3</v>
      </c>
      <c r="H1416" t="s">
        <v>45</v>
      </c>
      <c r="I1416">
        <v>1993</v>
      </c>
      <c r="J1416">
        <v>1</v>
      </c>
      <c r="K1416" t="s">
        <v>40</v>
      </c>
      <c r="L1416">
        <v>3</v>
      </c>
      <c r="M1416">
        <v>3</v>
      </c>
      <c r="N1416" t="s">
        <v>48</v>
      </c>
      <c r="O1416">
        <v>3</v>
      </c>
      <c r="P1416" t="s">
        <v>36</v>
      </c>
      <c r="Q1416">
        <v>8633</v>
      </c>
      <c r="R1416">
        <v>2</v>
      </c>
      <c r="S1416" t="s">
        <v>37</v>
      </c>
      <c r="T1416">
        <v>23</v>
      </c>
      <c r="U1416">
        <v>4</v>
      </c>
      <c r="V1416">
        <v>2</v>
      </c>
      <c r="W1416">
        <v>0</v>
      </c>
      <c r="X1416">
        <v>25</v>
      </c>
      <c r="Y1416">
        <v>3</v>
      </c>
      <c r="Z1416">
        <v>3</v>
      </c>
      <c r="AA1416">
        <v>17</v>
      </c>
      <c r="AB1416">
        <v>14</v>
      </c>
      <c r="AC1416">
        <v>12</v>
      </c>
      <c r="AD1416">
        <v>11</v>
      </c>
      <c r="AE1416" t="str" cm="1">
        <f t="array" ref="AE1416">_xlfn.IFS(G1416=1,"Before College",G1416=2,"College",G1416=3,"Bachelor",G1416=4,"Master",G1416=5,"Doctor")</f>
        <v>Bachelor</v>
      </c>
      <c r="AF1416" t="str" cm="1">
        <f t="array" ref="AF1416">_xlfn.IFS(J1416=1,"Low",J1416=2,"Medium",J1416=3,"High",J1416=4,"Very High")</f>
        <v>Low</v>
      </c>
      <c r="AG1416" t="str" cm="1">
        <f t="array" ref="AG1416">_xlfn.IFS(L1416=1,"Low",L1416=2,"Medium",L1416=3,"High",L1416=4,"Very High")</f>
        <v>High</v>
      </c>
      <c r="AH1416" t="str" cm="1">
        <f t="array" ref="AH1416">_xlfn.IFS(M1416=1,"Junior employee",M1416=2,"Mid-level",M1416=3,"Senior",M1416=4,"Manager",M1416=5,"Executive")</f>
        <v>Senior</v>
      </c>
      <c r="AI1416" t="str" cm="1">
        <f t="array" ref="AI1416">_xlfn.IFS(O1416=1,"Low",O1416=2,"Medium",O1416=3,"High",O1416=4,"Very High")</f>
        <v>High</v>
      </c>
      <c r="AJ1416" t="str" cm="1">
        <f t="array" ref="AJ1416">_xlfn.IFS(U1416=1,"Low",U1416=2,"Good",U1416=3,"Excellent",U1416=4,"Outstanding")</f>
        <v>Outstanding</v>
      </c>
      <c r="AK1416" t="str" cm="1">
        <f t="array" ref="AK1416">_xlfn.IFS(V1416=1,"Low",V1416=2,"Medium",V1416=3,"High",V1416=4,"Very High")</f>
        <v>Medium</v>
      </c>
      <c r="AL1416" t="str" cm="1">
        <f t="array" ref="AL1416">_xlfn.IFS(Z1416=1,"Bad",Z1416=2,"Good",Z1416=3,"Better",Z1416=4,"Best")</f>
        <v>Better</v>
      </c>
      <c r="AM1416" t="str" cm="1">
        <f t="array" ref="AM1416">_xlfn.IFS(W1416=0,"No_stock",W1416=1,"Low",W1416=2,"Medium",W1416=3,"High")</f>
        <v>No_stock</v>
      </c>
      <c r="AN1416" t="str">
        <f t="shared" si="22"/>
        <v>Far</v>
      </c>
    </row>
    <row r="1417" spans="1:40" x14ac:dyDescent="0.45">
      <c r="A1417">
        <v>33</v>
      </c>
      <c r="B1417" t="s">
        <v>37</v>
      </c>
      <c r="C1417" t="s">
        <v>49</v>
      </c>
      <c r="D1417">
        <v>1313</v>
      </c>
      <c r="E1417" t="s">
        <v>39</v>
      </c>
      <c r="F1417">
        <v>1</v>
      </c>
      <c r="G1417">
        <v>2</v>
      </c>
      <c r="H1417" t="s">
        <v>45</v>
      </c>
      <c r="I1417">
        <v>1994</v>
      </c>
      <c r="J1417">
        <v>2</v>
      </c>
      <c r="K1417" t="s">
        <v>40</v>
      </c>
      <c r="L1417">
        <v>2</v>
      </c>
      <c r="M1417">
        <v>1</v>
      </c>
      <c r="N1417" t="s">
        <v>44</v>
      </c>
      <c r="O1417">
        <v>3</v>
      </c>
      <c r="P1417" t="s">
        <v>46</v>
      </c>
      <c r="Q1417">
        <v>2008</v>
      </c>
      <c r="R1417">
        <v>1</v>
      </c>
      <c r="S1417" t="s">
        <v>37</v>
      </c>
      <c r="T1417">
        <v>12</v>
      </c>
      <c r="U1417">
        <v>3</v>
      </c>
      <c r="V1417">
        <v>3</v>
      </c>
      <c r="W1417">
        <v>3</v>
      </c>
      <c r="X1417">
        <v>1</v>
      </c>
      <c r="Y1417">
        <v>2</v>
      </c>
      <c r="Z1417">
        <v>2</v>
      </c>
      <c r="AA1417">
        <v>1</v>
      </c>
      <c r="AB1417">
        <v>1</v>
      </c>
      <c r="AC1417">
        <v>0</v>
      </c>
      <c r="AD1417">
        <v>0</v>
      </c>
      <c r="AE1417" t="str" cm="1">
        <f t="array" ref="AE1417">_xlfn.IFS(G1417=1,"Before College",G1417=2,"College",G1417=3,"Bachelor",G1417=4,"Master",G1417=5,"Doctor")</f>
        <v>College</v>
      </c>
      <c r="AF1417" t="str" cm="1">
        <f t="array" ref="AF1417">_xlfn.IFS(J1417=1,"Low",J1417=2,"Medium",J1417=3,"High",J1417=4,"Very High")</f>
        <v>Medium</v>
      </c>
      <c r="AG1417" t="str" cm="1">
        <f t="array" ref="AG1417">_xlfn.IFS(L1417=1,"Low",L1417=2,"Medium",L1417=3,"High",L1417=4,"Very High")</f>
        <v>Medium</v>
      </c>
      <c r="AH1417" t="str" cm="1">
        <f t="array" ref="AH1417">_xlfn.IFS(M1417=1,"Junior employee",M1417=2,"Mid-level",M1417=3,"Senior",M1417=4,"Manager",M1417=5,"Executive")</f>
        <v>Junior employee</v>
      </c>
      <c r="AI1417" t="str" cm="1">
        <f t="array" ref="AI1417">_xlfn.IFS(O1417=1,"Low",O1417=2,"Medium",O1417=3,"High",O1417=4,"Very High")</f>
        <v>High</v>
      </c>
      <c r="AJ1417" t="str" cm="1">
        <f t="array" ref="AJ1417">_xlfn.IFS(U1417=1,"Low",U1417=2,"Good",U1417=3,"Excellent",U1417=4,"Outstanding")</f>
        <v>Excellent</v>
      </c>
      <c r="AK1417" t="str" cm="1">
        <f t="array" ref="AK1417">_xlfn.IFS(V1417=1,"Low",V1417=2,"Medium",V1417=3,"High",V1417=4,"Very High")</f>
        <v>High</v>
      </c>
      <c r="AL1417" t="str" cm="1">
        <f t="array" ref="AL1417">_xlfn.IFS(Z1417=1,"Bad",Z1417=2,"Good",Z1417=3,"Better",Z1417=4,"Best")</f>
        <v>Good</v>
      </c>
      <c r="AM1417" t="str" cm="1">
        <f t="array" ref="AM1417">_xlfn.IFS(W1417=0,"No_stock",W1417=1,"Low",W1417=2,"Medium",W1417=3,"High")</f>
        <v>High</v>
      </c>
      <c r="AN1417" t="str">
        <f t="shared" si="22"/>
        <v>Near</v>
      </c>
    </row>
    <row r="1418" spans="1:40" x14ac:dyDescent="0.45">
      <c r="A1418">
        <v>38</v>
      </c>
      <c r="B1418" t="s">
        <v>37</v>
      </c>
      <c r="C1418" t="s">
        <v>31</v>
      </c>
      <c r="D1418">
        <v>1321</v>
      </c>
      <c r="E1418" t="s">
        <v>32</v>
      </c>
      <c r="F1418">
        <v>1</v>
      </c>
      <c r="G1418">
        <v>4</v>
      </c>
      <c r="H1418" t="s">
        <v>33</v>
      </c>
      <c r="I1418">
        <v>1995</v>
      </c>
      <c r="J1418">
        <v>4</v>
      </c>
      <c r="K1418" t="s">
        <v>40</v>
      </c>
      <c r="L1418">
        <v>3</v>
      </c>
      <c r="M1418">
        <v>2</v>
      </c>
      <c r="N1418" t="s">
        <v>35</v>
      </c>
      <c r="O1418">
        <v>2</v>
      </c>
      <c r="P1418" t="s">
        <v>42</v>
      </c>
      <c r="Q1418">
        <v>4440</v>
      </c>
      <c r="R1418">
        <v>0</v>
      </c>
      <c r="S1418" t="s">
        <v>37</v>
      </c>
      <c r="T1418">
        <v>15</v>
      </c>
      <c r="U1418">
        <v>3</v>
      </c>
      <c r="V1418">
        <v>1</v>
      </c>
      <c r="W1418">
        <v>2</v>
      </c>
      <c r="X1418">
        <v>16</v>
      </c>
      <c r="Y1418">
        <v>3</v>
      </c>
      <c r="Z1418">
        <v>3</v>
      </c>
      <c r="AA1418">
        <v>15</v>
      </c>
      <c r="AB1418">
        <v>13</v>
      </c>
      <c r="AC1418">
        <v>5</v>
      </c>
      <c r="AD1418">
        <v>8</v>
      </c>
      <c r="AE1418" t="str" cm="1">
        <f t="array" ref="AE1418">_xlfn.IFS(G1418=1,"Before College",G1418=2,"College",G1418=3,"Bachelor",G1418=4,"Master",G1418=5,"Doctor")</f>
        <v>Master</v>
      </c>
      <c r="AF1418" t="str" cm="1">
        <f t="array" ref="AF1418">_xlfn.IFS(J1418=1,"Low",J1418=2,"Medium",J1418=3,"High",J1418=4,"Very High")</f>
        <v>Very High</v>
      </c>
      <c r="AG1418" t="str" cm="1">
        <f t="array" ref="AG1418">_xlfn.IFS(L1418=1,"Low",L1418=2,"Medium",L1418=3,"High",L1418=4,"Very High")</f>
        <v>High</v>
      </c>
      <c r="AH1418" t="str" cm="1">
        <f t="array" ref="AH1418">_xlfn.IFS(M1418=1,"Junior employee",M1418=2,"Mid-level",M1418=3,"Senior",M1418=4,"Manager",M1418=5,"Executive")</f>
        <v>Mid-level</v>
      </c>
      <c r="AI1418" t="str" cm="1">
        <f t="array" ref="AI1418">_xlfn.IFS(O1418=1,"Low",O1418=2,"Medium",O1418=3,"High",O1418=4,"Very High")</f>
        <v>Medium</v>
      </c>
      <c r="AJ1418" t="str" cm="1">
        <f t="array" ref="AJ1418">_xlfn.IFS(U1418=1,"Low",U1418=2,"Good",U1418=3,"Excellent",U1418=4,"Outstanding")</f>
        <v>Excellent</v>
      </c>
      <c r="AK1418" t="str" cm="1">
        <f t="array" ref="AK1418">_xlfn.IFS(V1418=1,"Low",V1418=2,"Medium",V1418=3,"High",V1418=4,"Very High")</f>
        <v>Low</v>
      </c>
      <c r="AL1418" t="str" cm="1">
        <f t="array" ref="AL1418">_xlfn.IFS(Z1418=1,"Bad",Z1418=2,"Good",Z1418=3,"Better",Z1418=4,"Best")</f>
        <v>Better</v>
      </c>
      <c r="AM1418" t="str" cm="1">
        <f t="array" ref="AM1418">_xlfn.IFS(W1418=0,"No_stock",W1418=1,"Low",W1418=2,"Medium",W1418=3,"High")</f>
        <v>Medium</v>
      </c>
      <c r="AN1418" t="str">
        <f t="shared" si="22"/>
        <v>Near</v>
      </c>
    </row>
    <row r="1419" spans="1:40" x14ac:dyDescent="0.45">
      <c r="A1419">
        <v>31</v>
      </c>
      <c r="B1419" t="s">
        <v>37</v>
      </c>
      <c r="C1419" t="s">
        <v>31</v>
      </c>
      <c r="D1419">
        <v>1154</v>
      </c>
      <c r="E1419" t="s">
        <v>32</v>
      </c>
      <c r="F1419">
        <v>2</v>
      </c>
      <c r="G1419">
        <v>2</v>
      </c>
      <c r="H1419" t="s">
        <v>33</v>
      </c>
      <c r="I1419">
        <v>1996</v>
      </c>
      <c r="J1419">
        <v>1</v>
      </c>
      <c r="K1419" t="s">
        <v>40</v>
      </c>
      <c r="L1419">
        <v>3</v>
      </c>
      <c r="M1419">
        <v>1</v>
      </c>
      <c r="N1419" t="s">
        <v>51</v>
      </c>
      <c r="O1419">
        <v>3</v>
      </c>
      <c r="P1419" t="s">
        <v>42</v>
      </c>
      <c r="Q1419">
        <v>3067</v>
      </c>
      <c r="R1419">
        <v>0</v>
      </c>
      <c r="S1419" t="s">
        <v>37</v>
      </c>
      <c r="T1419">
        <v>19</v>
      </c>
      <c r="U1419">
        <v>3</v>
      </c>
      <c r="V1419">
        <v>3</v>
      </c>
      <c r="W1419">
        <v>1</v>
      </c>
      <c r="X1419">
        <v>3</v>
      </c>
      <c r="Y1419">
        <v>1</v>
      </c>
      <c r="Z1419">
        <v>3</v>
      </c>
      <c r="AA1419">
        <v>2</v>
      </c>
      <c r="AB1419">
        <v>2</v>
      </c>
      <c r="AC1419">
        <v>1</v>
      </c>
      <c r="AD1419">
        <v>2</v>
      </c>
      <c r="AE1419" t="str" cm="1">
        <f t="array" ref="AE1419">_xlfn.IFS(G1419=1,"Before College",G1419=2,"College",G1419=3,"Bachelor",G1419=4,"Master",G1419=5,"Doctor")</f>
        <v>College</v>
      </c>
      <c r="AF1419" t="str" cm="1">
        <f t="array" ref="AF1419">_xlfn.IFS(J1419=1,"Low",J1419=2,"Medium",J1419=3,"High",J1419=4,"Very High")</f>
        <v>Low</v>
      </c>
      <c r="AG1419" t="str" cm="1">
        <f t="array" ref="AG1419">_xlfn.IFS(L1419=1,"Low",L1419=2,"Medium",L1419=3,"High",L1419=4,"Very High")</f>
        <v>High</v>
      </c>
      <c r="AH1419" t="str" cm="1">
        <f t="array" ref="AH1419">_xlfn.IFS(M1419=1,"Junior employee",M1419=2,"Mid-level",M1419=3,"Senior",M1419=4,"Manager",M1419=5,"Executive")</f>
        <v>Junior employee</v>
      </c>
      <c r="AI1419" t="str" cm="1">
        <f t="array" ref="AI1419">_xlfn.IFS(O1419=1,"Low",O1419=2,"Medium",O1419=3,"High",O1419=4,"Very High")</f>
        <v>High</v>
      </c>
      <c r="AJ1419" t="str" cm="1">
        <f t="array" ref="AJ1419">_xlfn.IFS(U1419=1,"Low",U1419=2,"Good",U1419=3,"Excellent",U1419=4,"Outstanding")</f>
        <v>Excellent</v>
      </c>
      <c r="AK1419" t="str" cm="1">
        <f t="array" ref="AK1419">_xlfn.IFS(V1419=1,"Low",V1419=2,"Medium",V1419=3,"High",V1419=4,"Very High")</f>
        <v>High</v>
      </c>
      <c r="AL1419" t="str" cm="1">
        <f t="array" ref="AL1419">_xlfn.IFS(Z1419=1,"Bad",Z1419=2,"Good",Z1419=3,"Better",Z1419=4,"Best")</f>
        <v>Better</v>
      </c>
      <c r="AM1419" t="str" cm="1">
        <f t="array" ref="AM1419">_xlfn.IFS(W1419=0,"No_stock",W1419=1,"Low",W1419=2,"Medium",W1419=3,"High")</f>
        <v>Low</v>
      </c>
      <c r="AN1419" t="str">
        <f t="shared" si="22"/>
        <v>Near</v>
      </c>
    </row>
    <row r="1420" spans="1:40" x14ac:dyDescent="0.45">
      <c r="A1420">
        <v>38</v>
      </c>
      <c r="B1420" t="s">
        <v>37</v>
      </c>
      <c r="C1420" t="s">
        <v>38</v>
      </c>
      <c r="D1420">
        <v>508</v>
      </c>
      <c r="E1420" t="s">
        <v>39</v>
      </c>
      <c r="F1420">
        <v>6</v>
      </c>
      <c r="G1420">
        <v>4</v>
      </c>
      <c r="H1420" t="s">
        <v>33</v>
      </c>
      <c r="I1420">
        <v>1997</v>
      </c>
      <c r="J1420">
        <v>1</v>
      </c>
      <c r="K1420" t="s">
        <v>40</v>
      </c>
      <c r="L1420">
        <v>2</v>
      </c>
      <c r="M1420">
        <v>2</v>
      </c>
      <c r="N1420" t="s">
        <v>47</v>
      </c>
      <c r="O1420">
        <v>3</v>
      </c>
      <c r="P1420" t="s">
        <v>42</v>
      </c>
      <c r="Q1420">
        <v>5321</v>
      </c>
      <c r="R1420">
        <v>2</v>
      </c>
      <c r="S1420" t="s">
        <v>37</v>
      </c>
      <c r="T1420">
        <v>11</v>
      </c>
      <c r="U1420">
        <v>3</v>
      </c>
      <c r="V1420">
        <v>4</v>
      </c>
      <c r="W1420">
        <v>1</v>
      </c>
      <c r="X1420">
        <v>10</v>
      </c>
      <c r="Y1420">
        <v>1</v>
      </c>
      <c r="Z1420">
        <v>3</v>
      </c>
      <c r="AA1420">
        <v>8</v>
      </c>
      <c r="AB1420">
        <v>3</v>
      </c>
      <c r="AC1420">
        <v>7</v>
      </c>
      <c r="AD1420">
        <v>7</v>
      </c>
      <c r="AE1420" t="str" cm="1">
        <f t="array" ref="AE1420">_xlfn.IFS(G1420=1,"Before College",G1420=2,"College",G1420=3,"Bachelor",G1420=4,"Master",G1420=5,"Doctor")</f>
        <v>Master</v>
      </c>
      <c r="AF1420" t="str" cm="1">
        <f t="array" ref="AF1420">_xlfn.IFS(J1420=1,"Low",J1420=2,"Medium",J1420=3,"High",J1420=4,"Very High")</f>
        <v>Low</v>
      </c>
      <c r="AG1420" t="str" cm="1">
        <f t="array" ref="AG1420">_xlfn.IFS(L1420=1,"Low",L1420=2,"Medium",L1420=3,"High",L1420=4,"Very High")</f>
        <v>Medium</v>
      </c>
      <c r="AH1420" t="str" cm="1">
        <f t="array" ref="AH1420">_xlfn.IFS(M1420=1,"Junior employee",M1420=2,"Mid-level",M1420=3,"Senior",M1420=4,"Manager",M1420=5,"Executive")</f>
        <v>Mid-level</v>
      </c>
      <c r="AI1420" t="str" cm="1">
        <f t="array" ref="AI1420">_xlfn.IFS(O1420=1,"Low",O1420=2,"Medium",O1420=3,"High",O1420=4,"Very High")</f>
        <v>High</v>
      </c>
      <c r="AJ1420" t="str" cm="1">
        <f t="array" ref="AJ1420">_xlfn.IFS(U1420=1,"Low",U1420=2,"Good",U1420=3,"Excellent",U1420=4,"Outstanding")</f>
        <v>Excellent</v>
      </c>
      <c r="AK1420" t="str" cm="1">
        <f t="array" ref="AK1420">_xlfn.IFS(V1420=1,"Low",V1420=2,"Medium",V1420=3,"High",V1420=4,"Very High")</f>
        <v>Very High</v>
      </c>
      <c r="AL1420" t="str" cm="1">
        <f t="array" ref="AL1420">_xlfn.IFS(Z1420=1,"Bad",Z1420=2,"Good",Z1420=3,"Better",Z1420=4,"Best")</f>
        <v>Better</v>
      </c>
      <c r="AM1420" t="str" cm="1">
        <f t="array" ref="AM1420">_xlfn.IFS(W1420=0,"No_stock",W1420=1,"Low",W1420=2,"Medium",W1420=3,"High")</f>
        <v>Low</v>
      </c>
      <c r="AN1420" t="str">
        <f t="shared" si="22"/>
        <v>Medium</v>
      </c>
    </row>
    <row r="1421" spans="1:40" x14ac:dyDescent="0.45">
      <c r="A1421">
        <v>42</v>
      </c>
      <c r="B1421" t="s">
        <v>37</v>
      </c>
      <c r="C1421" t="s">
        <v>31</v>
      </c>
      <c r="D1421">
        <v>557</v>
      </c>
      <c r="E1421" t="s">
        <v>39</v>
      </c>
      <c r="F1421">
        <v>18</v>
      </c>
      <c r="G1421">
        <v>4</v>
      </c>
      <c r="H1421" t="s">
        <v>33</v>
      </c>
      <c r="I1421">
        <v>1998</v>
      </c>
      <c r="J1421">
        <v>4</v>
      </c>
      <c r="K1421" t="s">
        <v>40</v>
      </c>
      <c r="L1421">
        <v>3</v>
      </c>
      <c r="M1421">
        <v>2</v>
      </c>
      <c r="N1421" t="s">
        <v>41</v>
      </c>
      <c r="O1421">
        <v>1</v>
      </c>
      <c r="P1421" t="s">
        <v>46</v>
      </c>
      <c r="Q1421">
        <v>5410</v>
      </c>
      <c r="R1421">
        <v>6</v>
      </c>
      <c r="S1421" t="s">
        <v>30</v>
      </c>
      <c r="T1421">
        <v>17</v>
      </c>
      <c r="U1421">
        <v>3</v>
      </c>
      <c r="V1421">
        <v>3</v>
      </c>
      <c r="W1421">
        <v>1</v>
      </c>
      <c r="X1421">
        <v>9</v>
      </c>
      <c r="Y1421">
        <v>3</v>
      </c>
      <c r="Z1421">
        <v>2</v>
      </c>
      <c r="AA1421">
        <v>4</v>
      </c>
      <c r="AB1421">
        <v>3</v>
      </c>
      <c r="AC1421">
        <v>1</v>
      </c>
      <c r="AD1421">
        <v>2</v>
      </c>
      <c r="AE1421" t="str" cm="1">
        <f t="array" ref="AE1421">_xlfn.IFS(G1421=1,"Before College",G1421=2,"College",G1421=3,"Bachelor",G1421=4,"Master",G1421=5,"Doctor")</f>
        <v>Master</v>
      </c>
      <c r="AF1421" t="str" cm="1">
        <f t="array" ref="AF1421">_xlfn.IFS(J1421=1,"Low",J1421=2,"Medium",J1421=3,"High",J1421=4,"Very High")</f>
        <v>Very High</v>
      </c>
      <c r="AG1421" t="str" cm="1">
        <f t="array" ref="AG1421">_xlfn.IFS(L1421=1,"Low",L1421=2,"Medium",L1421=3,"High",L1421=4,"Very High")</f>
        <v>High</v>
      </c>
      <c r="AH1421" t="str" cm="1">
        <f t="array" ref="AH1421">_xlfn.IFS(M1421=1,"Junior employee",M1421=2,"Mid-level",M1421=3,"Senior",M1421=4,"Manager",M1421=5,"Executive")</f>
        <v>Mid-level</v>
      </c>
      <c r="AI1421" t="str" cm="1">
        <f t="array" ref="AI1421">_xlfn.IFS(O1421=1,"Low",O1421=2,"Medium",O1421=3,"High",O1421=4,"Very High")</f>
        <v>Low</v>
      </c>
      <c r="AJ1421" t="str" cm="1">
        <f t="array" ref="AJ1421">_xlfn.IFS(U1421=1,"Low",U1421=2,"Good",U1421=3,"Excellent",U1421=4,"Outstanding")</f>
        <v>Excellent</v>
      </c>
      <c r="AK1421" t="str" cm="1">
        <f t="array" ref="AK1421">_xlfn.IFS(V1421=1,"Low",V1421=2,"Medium",V1421=3,"High",V1421=4,"Very High")</f>
        <v>High</v>
      </c>
      <c r="AL1421" t="str" cm="1">
        <f t="array" ref="AL1421">_xlfn.IFS(Z1421=1,"Bad",Z1421=2,"Good",Z1421=3,"Better",Z1421=4,"Best")</f>
        <v>Good</v>
      </c>
      <c r="AM1421" t="str" cm="1">
        <f t="array" ref="AM1421">_xlfn.IFS(W1421=0,"No_stock",W1421=1,"Low",W1421=2,"Medium",W1421=3,"High")</f>
        <v>Low</v>
      </c>
      <c r="AN1421" t="str">
        <f t="shared" si="22"/>
        <v>Far</v>
      </c>
    </row>
    <row r="1422" spans="1:40" x14ac:dyDescent="0.45">
      <c r="A1422">
        <v>41</v>
      </c>
      <c r="B1422" t="s">
        <v>37</v>
      </c>
      <c r="C1422" t="s">
        <v>31</v>
      </c>
      <c r="D1422">
        <v>642</v>
      </c>
      <c r="E1422" t="s">
        <v>39</v>
      </c>
      <c r="F1422">
        <v>1</v>
      </c>
      <c r="G1422">
        <v>3</v>
      </c>
      <c r="H1422" t="s">
        <v>33</v>
      </c>
      <c r="I1422">
        <v>1999</v>
      </c>
      <c r="J1422">
        <v>4</v>
      </c>
      <c r="K1422" t="s">
        <v>40</v>
      </c>
      <c r="L1422">
        <v>3</v>
      </c>
      <c r="M1422">
        <v>1</v>
      </c>
      <c r="N1422" t="s">
        <v>41</v>
      </c>
      <c r="O1422">
        <v>4</v>
      </c>
      <c r="P1422" t="s">
        <v>42</v>
      </c>
      <c r="Q1422">
        <v>2782</v>
      </c>
      <c r="R1422">
        <v>3</v>
      </c>
      <c r="S1422" t="s">
        <v>37</v>
      </c>
      <c r="T1422">
        <v>22</v>
      </c>
      <c r="U1422">
        <v>4</v>
      </c>
      <c r="V1422">
        <v>1</v>
      </c>
      <c r="W1422">
        <v>1</v>
      </c>
      <c r="X1422">
        <v>12</v>
      </c>
      <c r="Y1422">
        <v>3</v>
      </c>
      <c r="Z1422">
        <v>3</v>
      </c>
      <c r="AA1422">
        <v>5</v>
      </c>
      <c r="AB1422">
        <v>3</v>
      </c>
      <c r="AC1422">
        <v>1</v>
      </c>
      <c r="AD1422">
        <v>0</v>
      </c>
      <c r="AE1422" t="str" cm="1">
        <f t="array" ref="AE1422">_xlfn.IFS(G1422=1,"Before College",G1422=2,"College",G1422=3,"Bachelor",G1422=4,"Master",G1422=5,"Doctor")</f>
        <v>Bachelor</v>
      </c>
      <c r="AF1422" t="str" cm="1">
        <f t="array" ref="AF1422">_xlfn.IFS(J1422=1,"Low",J1422=2,"Medium",J1422=3,"High",J1422=4,"Very High")</f>
        <v>Very High</v>
      </c>
      <c r="AG1422" t="str" cm="1">
        <f t="array" ref="AG1422">_xlfn.IFS(L1422=1,"Low",L1422=2,"Medium",L1422=3,"High",L1422=4,"Very High")</f>
        <v>High</v>
      </c>
      <c r="AH1422" t="str" cm="1">
        <f t="array" ref="AH1422">_xlfn.IFS(M1422=1,"Junior employee",M1422=2,"Mid-level",M1422=3,"Senior",M1422=4,"Manager",M1422=5,"Executive")</f>
        <v>Junior employee</v>
      </c>
      <c r="AI1422" t="str" cm="1">
        <f t="array" ref="AI1422">_xlfn.IFS(O1422=1,"Low",O1422=2,"Medium",O1422=3,"High",O1422=4,"Very High")</f>
        <v>Very High</v>
      </c>
      <c r="AJ1422" t="str" cm="1">
        <f t="array" ref="AJ1422">_xlfn.IFS(U1422=1,"Low",U1422=2,"Good",U1422=3,"Excellent",U1422=4,"Outstanding")</f>
        <v>Outstanding</v>
      </c>
      <c r="AK1422" t="str" cm="1">
        <f t="array" ref="AK1422">_xlfn.IFS(V1422=1,"Low",V1422=2,"Medium",V1422=3,"High",V1422=4,"Very High")</f>
        <v>Low</v>
      </c>
      <c r="AL1422" t="str" cm="1">
        <f t="array" ref="AL1422">_xlfn.IFS(Z1422=1,"Bad",Z1422=2,"Good",Z1422=3,"Better",Z1422=4,"Best")</f>
        <v>Better</v>
      </c>
      <c r="AM1422" t="str" cm="1">
        <f t="array" ref="AM1422">_xlfn.IFS(W1422=0,"No_stock",W1422=1,"Low",W1422=2,"Medium",W1422=3,"High")</f>
        <v>Low</v>
      </c>
      <c r="AN1422" t="str">
        <f t="shared" si="22"/>
        <v>Near</v>
      </c>
    </row>
    <row r="1423" spans="1:40" x14ac:dyDescent="0.45">
      <c r="A1423">
        <v>47</v>
      </c>
      <c r="B1423" t="s">
        <v>37</v>
      </c>
      <c r="C1423" t="s">
        <v>49</v>
      </c>
      <c r="D1423">
        <v>1162</v>
      </c>
      <c r="E1423" t="s">
        <v>39</v>
      </c>
      <c r="F1423">
        <v>1</v>
      </c>
      <c r="G1423">
        <v>1</v>
      </c>
      <c r="H1423" t="s">
        <v>45</v>
      </c>
      <c r="I1423">
        <v>2000</v>
      </c>
      <c r="J1423">
        <v>3</v>
      </c>
      <c r="K1423" t="s">
        <v>34</v>
      </c>
      <c r="L1423">
        <v>3</v>
      </c>
      <c r="M1423">
        <v>3</v>
      </c>
      <c r="N1423" t="s">
        <v>52</v>
      </c>
      <c r="O1423">
        <v>2</v>
      </c>
      <c r="P1423" t="s">
        <v>42</v>
      </c>
      <c r="Q1423">
        <v>11957</v>
      </c>
      <c r="R1423">
        <v>0</v>
      </c>
      <c r="S1423" t="s">
        <v>37</v>
      </c>
      <c r="T1423">
        <v>18</v>
      </c>
      <c r="U1423">
        <v>3</v>
      </c>
      <c r="V1423">
        <v>1</v>
      </c>
      <c r="W1423">
        <v>2</v>
      </c>
      <c r="X1423">
        <v>14</v>
      </c>
      <c r="Y1423">
        <v>3</v>
      </c>
      <c r="Z1423">
        <v>1</v>
      </c>
      <c r="AA1423">
        <v>13</v>
      </c>
      <c r="AB1423">
        <v>8</v>
      </c>
      <c r="AC1423">
        <v>5</v>
      </c>
      <c r="AD1423">
        <v>12</v>
      </c>
      <c r="AE1423" t="str" cm="1">
        <f t="array" ref="AE1423">_xlfn.IFS(G1423=1,"Before College",G1423=2,"College",G1423=3,"Bachelor",G1423=4,"Master",G1423=5,"Doctor")</f>
        <v>Before College</v>
      </c>
      <c r="AF1423" t="str" cm="1">
        <f t="array" ref="AF1423">_xlfn.IFS(J1423=1,"Low",J1423=2,"Medium",J1423=3,"High",J1423=4,"Very High")</f>
        <v>High</v>
      </c>
      <c r="AG1423" t="str" cm="1">
        <f t="array" ref="AG1423">_xlfn.IFS(L1423=1,"Low",L1423=2,"Medium",L1423=3,"High",L1423=4,"Very High")</f>
        <v>High</v>
      </c>
      <c r="AH1423" t="str" cm="1">
        <f t="array" ref="AH1423">_xlfn.IFS(M1423=1,"Junior employee",M1423=2,"Mid-level",M1423=3,"Senior",M1423=4,"Manager",M1423=5,"Executive")</f>
        <v>Senior</v>
      </c>
      <c r="AI1423" t="str" cm="1">
        <f t="array" ref="AI1423">_xlfn.IFS(O1423=1,"Low",O1423=2,"Medium",O1423=3,"High",O1423=4,"Very High")</f>
        <v>Medium</v>
      </c>
      <c r="AJ1423" t="str" cm="1">
        <f t="array" ref="AJ1423">_xlfn.IFS(U1423=1,"Low",U1423=2,"Good",U1423=3,"Excellent",U1423=4,"Outstanding")</f>
        <v>Excellent</v>
      </c>
      <c r="AK1423" t="str" cm="1">
        <f t="array" ref="AK1423">_xlfn.IFS(V1423=1,"Low",V1423=2,"Medium",V1423=3,"High",V1423=4,"Very High")</f>
        <v>Low</v>
      </c>
      <c r="AL1423" t="str" cm="1">
        <f t="array" ref="AL1423">_xlfn.IFS(Z1423=1,"Bad",Z1423=2,"Good",Z1423=3,"Better",Z1423=4,"Best")</f>
        <v>Bad</v>
      </c>
      <c r="AM1423" t="str" cm="1">
        <f t="array" ref="AM1423">_xlfn.IFS(W1423=0,"No_stock",W1423=1,"Low",W1423=2,"Medium",W1423=3,"High")</f>
        <v>Medium</v>
      </c>
      <c r="AN1423" t="str">
        <f t="shared" si="22"/>
        <v>Near</v>
      </c>
    </row>
    <row r="1424" spans="1:40" x14ac:dyDescent="0.45">
      <c r="A1424">
        <v>35</v>
      </c>
      <c r="B1424" t="s">
        <v>37</v>
      </c>
      <c r="C1424" t="s">
        <v>31</v>
      </c>
      <c r="D1424">
        <v>1490</v>
      </c>
      <c r="E1424" t="s">
        <v>39</v>
      </c>
      <c r="F1424">
        <v>11</v>
      </c>
      <c r="G1424">
        <v>4</v>
      </c>
      <c r="H1424" t="s">
        <v>45</v>
      </c>
      <c r="I1424">
        <v>2003</v>
      </c>
      <c r="J1424">
        <v>4</v>
      </c>
      <c r="K1424" t="s">
        <v>40</v>
      </c>
      <c r="L1424">
        <v>3</v>
      </c>
      <c r="M1424">
        <v>1</v>
      </c>
      <c r="N1424" t="s">
        <v>44</v>
      </c>
      <c r="O1424">
        <v>3</v>
      </c>
      <c r="P1424" t="s">
        <v>42</v>
      </c>
      <c r="Q1424">
        <v>2660</v>
      </c>
      <c r="R1424">
        <v>7</v>
      </c>
      <c r="S1424" t="s">
        <v>30</v>
      </c>
      <c r="T1424">
        <v>11</v>
      </c>
      <c r="U1424">
        <v>3</v>
      </c>
      <c r="V1424">
        <v>3</v>
      </c>
      <c r="W1424">
        <v>1</v>
      </c>
      <c r="X1424">
        <v>5</v>
      </c>
      <c r="Y1424">
        <v>3</v>
      </c>
      <c r="Z1424">
        <v>3</v>
      </c>
      <c r="AA1424">
        <v>2</v>
      </c>
      <c r="AB1424">
        <v>2</v>
      </c>
      <c r="AC1424">
        <v>2</v>
      </c>
      <c r="AD1424">
        <v>2</v>
      </c>
      <c r="AE1424" t="str" cm="1">
        <f t="array" ref="AE1424">_xlfn.IFS(G1424=1,"Before College",G1424=2,"College",G1424=3,"Bachelor",G1424=4,"Master",G1424=5,"Doctor")</f>
        <v>Master</v>
      </c>
      <c r="AF1424" t="str" cm="1">
        <f t="array" ref="AF1424">_xlfn.IFS(J1424=1,"Low",J1424=2,"Medium",J1424=3,"High",J1424=4,"Very High")</f>
        <v>Very High</v>
      </c>
      <c r="AG1424" t="str" cm="1">
        <f t="array" ref="AG1424">_xlfn.IFS(L1424=1,"Low",L1424=2,"Medium",L1424=3,"High",L1424=4,"Very High")</f>
        <v>High</v>
      </c>
      <c r="AH1424" t="str" cm="1">
        <f t="array" ref="AH1424">_xlfn.IFS(M1424=1,"Junior employee",M1424=2,"Mid-level",M1424=3,"Senior",M1424=4,"Manager",M1424=5,"Executive")</f>
        <v>Junior employee</v>
      </c>
      <c r="AI1424" t="str" cm="1">
        <f t="array" ref="AI1424">_xlfn.IFS(O1424=1,"Low",O1424=2,"Medium",O1424=3,"High",O1424=4,"Very High")</f>
        <v>High</v>
      </c>
      <c r="AJ1424" t="str" cm="1">
        <f t="array" ref="AJ1424">_xlfn.IFS(U1424=1,"Low",U1424=2,"Good",U1424=3,"Excellent",U1424=4,"Outstanding")</f>
        <v>Excellent</v>
      </c>
      <c r="AK1424" t="str" cm="1">
        <f t="array" ref="AK1424">_xlfn.IFS(V1424=1,"Low",V1424=2,"Medium",V1424=3,"High",V1424=4,"Very High")</f>
        <v>High</v>
      </c>
      <c r="AL1424" t="str" cm="1">
        <f t="array" ref="AL1424">_xlfn.IFS(Z1424=1,"Bad",Z1424=2,"Good",Z1424=3,"Better",Z1424=4,"Best")</f>
        <v>Better</v>
      </c>
      <c r="AM1424" t="str" cm="1">
        <f t="array" ref="AM1424">_xlfn.IFS(W1424=0,"No_stock",W1424=1,"Low",W1424=2,"Medium",W1424=3,"High")</f>
        <v>Low</v>
      </c>
      <c r="AN1424" t="str">
        <f t="shared" si="22"/>
        <v>Medium</v>
      </c>
    </row>
    <row r="1425" spans="1:40" x14ac:dyDescent="0.45">
      <c r="A1425">
        <v>22</v>
      </c>
      <c r="B1425" t="s">
        <v>37</v>
      </c>
      <c r="C1425" t="s">
        <v>31</v>
      </c>
      <c r="D1425">
        <v>581</v>
      </c>
      <c r="E1425" t="s">
        <v>39</v>
      </c>
      <c r="F1425">
        <v>1</v>
      </c>
      <c r="G1425">
        <v>2</v>
      </c>
      <c r="H1425" t="s">
        <v>33</v>
      </c>
      <c r="I1425">
        <v>2007</v>
      </c>
      <c r="J1425">
        <v>4</v>
      </c>
      <c r="K1425" t="s">
        <v>40</v>
      </c>
      <c r="L1425">
        <v>3</v>
      </c>
      <c r="M1425">
        <v>1</v>
      </c>
      <c r="N1425" t="s">
        <v>41</v>
      </c>
      <c r="O1425">
        <v>3</v>
      </c>
      <c r="P1425" t="s">
        <v>36</v>
      </c>
      <c r="Q1425">
        <v>3375</v>
      </c>
      <c r="R1425">
        <v>0</v>
      </c>
      <c r="S1425" t="s">
        <v>37</v>
      </c>
      <c r="T1425">
        <v>12</v>
      </c>
      <c r="U1425">
        <v>3</v>
      </c>
      <c r="V1425">
        <v>4</v>
      </c>
      <c r="W1425">
        <v>0</v>
      </c>
      <c r="X1425">
        <v>4</v>
      </c>
      <c r="Y1425">
        <v>2</v>
      </c>
      <c r="Z1425">
        <v>4</v>
      </c>
      <c r="AA1425">
        <v>3</v>
      </c>
      <c r="AB1425">
        <v>2</v>
      </c>
      <c r="AC1425">
        <v>1</v>
      </c>
      <c r="AD1425">
        <v>2</v>
      </c>
      <c r="AE1425" t="str" cm="1">
        <f t="array" ref="AE1425">_xlfn.IFS(G1425=1,"Before College",G1425=2,"College",G1425=3,"Bachelor",G1425=4,"Master",G1425=5,"Doctor")</f>
        <v>College</v>
      </c>
      <c r="AF1425" t="str" cm="1">
        <f t="array" ref="AF1425">_xlfn.IFS(J1425=1,"Low",J1425=2,"Medium",J1425=3,"High",J1425=4,"Very High")</f>
        <v>Very High</v>
      </c>
      <c r="AG1425" t="str" cm="1">
        <f t="array" ref="AG1425">_xlfn.IFS(L1425=1,"Low",L1425=2,"Medium",L1425=3,"High",L1425=4,"Very High")</f>
        <v>High</v>
      </c>
      <c r="AH1425" t="str" cm="1">
        <f t="array" ref="AH1425">_xlfn.IFS(M1425=1,"Junior employee",M1425=2,"Mid-level",M1425=3,"Senior",M1425=4,"Manager",M1425=5,"Executive")</f>
        <v>Junior employee</v>
      </c>
      <c r="AI1425" t="str" cm="1">
        <f t="array" ref="AI1425">_xlfn.IFS(O1425=1,"Low",O1425=2,"Medium",O1425=3,"High",O1425=4,"Very High")</f>
        <v>High</v>
      </c>
      <c r="AJ1425" t="str" cm="1">
        <f t="array" ref="AJ1425">_xlfn.IFS(U1425=1,"Low",U1425=2,"Good",U1425=3,"Excellent",U1425=4,"Outstanding")</f>
        <v>Excellent</v>
      </c>
      <c r="AK1425" t="str" cm="1">
        <f t="array" ref="AK1425">_xlfn.IFS(V1425=1,"Low",V1425=2,"Medium",V1425=3,"High",V1425=4,"Very High")</f>
        <v>Very High</v>
      </c>
      <c r="AL1425" t="str" cm="1">
        <f t="array" ref="AL1425">_xlfn.IFS(Z1425=1,"Bad",Z1425=2,"Good",Z1425=3,"Better",Z1425=4,"Best")</f>
        <v>Best</v>
      </c>
      <c r="AM1425" t="str" cm="1">
        <f t="array" ref="AM1425">_xlfn.IFS(W1425=0,"No_stock",W1425=1,"Low",W1425=2,"Medium",W1425=3,"High")</f>
        <v>No_stock</v>
      </c>
      <c r="AN1425" t="str">
        <f t="shared" si="22"/>
        <v>Near</v>
      </c>
    </row>
    <row r="1426" spans="1:40" x14ac:dyDescent="0.45">
      <c r="A1426">
        <v>35</v>
      </c>
      <c r="B1426" t="s">
        <v>37</v>
      </c>
      <c r="C1426" t="s">
        <v>31</v>
      </c>
      <c r="D1426">
        <v>1395</v>
      </c>
      <c r="E1426" t="s">
        <v>39</v>
      </c>
      <c r="F1426">
        <v>9</v>
      </c>
      <c r="G1426">
        <v>4</v>
      </c>
      <c r="H1426" t="s">
        <v>45</v>
      </c>
      <c r="I1426">
        <v>2008</v>
      </c>
      <c r="J1426">
        <v>2</v>
      </c>
      <c r="K1426" t="s">
        <v>40</v>
      </c>
      <c r="L1426">
        <v>3</v>
      </c>
      <c r="M1426">
        <v>2</v>
      </c>
      <c r="N1426" t="s">
        <v>41</v>
      </c>
      <c r="O1426">
        <v>3</v>
      </c>
      <c r="P1426" t="s">
        <v>36</v>
      </c>
      <c r="Q1426">
        <v>5098</v>
      </c>
      <c r="R1426">
        <v>1</v>
      </c>
      <c r="S1426" t="s">
        <v>37</v>
      </c>
      <c r="T1426">
        <v>19</v>
      </c>
      <c r="U1426">
        <v>3</v>
      </c>
      <c r="V1426">
        <v>2</v>
      </c>
      <c r="W1426">
        <v>0</v>
      </c>
      <c r="X1426">
        <v>10</v>
      </c>
      <c r="Y1426">
        <v>5</v>
      </c>
      <c r="Z1426">
        <v>3</v>
      </c>
      <c r="AA1426">
        <v>10</v>
      </c>
      <c r="AB1426">
        <v>7</v>
      </c>
      <c r="AC1426">
        <v>0</v>
      </c>
      <c r="AD1426">
        <v>8</v>
      </c>
      <c r="AE1426" t="str" cm="1">
        <f t="array" ref="AE1426">_xlfn.IFS(G1426=1,"Before College",G1426=2,"College",G1426=3,"Bachelor",G1426=4,"Master",G1426=5,"Doctor")</f>
        <v>Master</v>
      </c>
      <c r="AF1426" t="str" cm="1">
        <f t="array" ref="AF1426">_xlfn.IFS(J1426=1,"Low",J1426=2,"Medium",J1426=3,"High",J1426=4,"Very High")</f>
        <v>Medium</v>
      </c>
      <c r="AG1426" t="str" cm="1">
        <f t="array" ref="AG1426">_xlfn.IFS(L1426=1,"Low",L1426=2,"Medium",L1426=3,"High",L1426=4,"Very High")</f>
        <v>High</v>
      </c>
      <c r="AH1426" t="str" cm="1">
        <f t="array" ref="AH1426">_xlfn.IFS(M1426=1,"Junior employee",M1426=2,"Mid-level",M1426=3,"Senior",M1426=4,"Manager",M1426=5,"Executive")</f>
        <v>Mid-level</v>
      </c>
      <c r="AI1426" t="str" cm="1">
        <f t="array" ref="AI1426">_xlfn.IFS(O1426=1,"Low",O1426=2,"Medium",O1426=3,"High",O1426=4,"Very High")</f>
        <v>High</v>
      </c>
      <c r="AJ1426" t="str" cm="1">
        <f t="array" ref="AJ1426">_xlfn.IFS(U1426=1,"Low",U1426=2,"Good",U1426=3,"Excellent",U1426=4,"Outstanding")</f>
        <v>Excellent</v>
      </c>
      <c r="AK1426" t="str" cm="1">
        <f t="array" ref="AK1426">_xlfn.IFS(V1426=1,"Low",V1426=2,"Medium",V1426=3,"High",V1426=4,"Very High")</f>
        <v>Medium</v>
      </c>
      <c r="AL1426" t="str" cm="1">
        <f t="array" ref="AL1426">_xlfn.IFS(Z1426=1,"Bad",Z1426=2,"Good",Z1426=3,"Better",Z1426=4,"Best")</f>
        <v>Better</v>
      </c>
      <c r="AM1426" t="str" cm="1">
        <f t="array" ref="AM1426">_xlfn.IFS(W1426=0,"No_stock",W1426=1,"Low",W1426=2,"Medium",W1426=3,"High")</f>
        <v>No_stock</v>
      </c>
      <c r="AN1426" t="str">
        <f t="shared" si="22"/>
        <v>Medium</v>
      </c>
    </row>
    <row r="1427" spans="1:40" x14ac:dyDescent="0.45">
      <c r="A1427">
        <v>33</v>
      </c>
      <c r="B1427" t="s">
        <v>37</v>
      </c>
      <c r="C1427" t="s">
        <v>31</v>
      </c>
      <c r="D1427">
        <v>501</v>
      </c>
      <c r="E1427" t="s">
        <v>39</v>
      </c>
      <c r="F1427">
        <v>15</v>
      </c>
      <c r="G1427">
        <v>2</v>
      </c>
      <c r="H1427" t="s">
        <v>45</v>
      </c>
      <c r="I1427">
        <v>2009</v>
      </c>
      <c r="J1427">
        <v>2</v>
      </c>
      <c r="K1427" t="s">
        <v>34</v>
      </c>
      <c r="L1427">
        <v>3</v>
      </c>
      <c r="M1427">
        <v>2</v>
      </c>
      <c r="N1427" t="s">
        <v>48</v>
      </c>
      <c r="O1427">
        <v>4</v>
      </c>
      <c r="P1427" t="s">
        <v>42</v>
      </c>
      <c r="Q1427">
        <v>4878</v>
      </c>
      <c r="R1427">
        <v>0</v>
      </c>
      <c r="S1427" t="s">
        <v>30</v>
      </c>
      <c r="T1427">
        <v>13</v>
      </c>
      <c r="U1427">
        <v>3</v>
      </c>
      <c r="V1427">
        <v>1</v>
      </c>
      <c r="W1427">
        <v>1</v>
      </c>
      <c r="X1427">
        <v>10</v>
      </c>
      <c r="Y1427">
        <v>6</v>
      </c>
      <c r="Z1427">
        <v>3</v>
      </c>
      <c r="AA1427">
        <v>9</v>
      </c>
      <c r="AB1427">
        <v>7</v>
      </c>
      <c r="AC1427">
        <v>8</v>
      </c>
      <c r="AD1427">
        <v>1</v>
      </c>
      <c r="AE1427" t="str" cm="1">
        <f t="array" ref="AE1427">_xlfn.IFS(G1427=1,"Before College",G1427=2,"College",G1427=3,"Bachelor",G1427=4,"Master",G1427=5,"Doctor")</f>
        <v>College</v>
      </c>
      <c r="AF1427" t="str" cm="1">
        <f t="array" ref="AF1427">_xlfn.IFS(J1427=1,"Low",J1427=2,"Medium",J1427=3,"High",J1427=4,"Very High")</f>
        <v>Medium</v>
      </c>
      <c r="AG1427" t="str" cm="1">
        <f t="array" ref="AG1427">_xlfn.IFS(L1427=1,"Low",L1427=2,"Medium",L1427=3,"High",L1427=4,"Very High")</f>
        <v>High</v>
      </c>
      <c r="AH1427" t="str" cm="1">
        <f t="array" ref="AH1427">_xlfn.IFS(M1427=1,"Junior employee",M1427=2,"Mid-level",M1427=3,"Senior",M1427=4,"Manager",M1427=5,"Executive")</f>
        <v>Mid-level</v>
      </c>
      <c r="AI1427" t="str" cm="1">
        <f t="array" ref="AI1427">_xlfn.IFS(O1427=1,"Low",O1427=2,"Medium",O1427=3,"High",O1427=4,"Very High")</f>
        <v>Very High</v>
      </c>
      <c r="AJ1427" t="str" cm="1">
        <f t="array" ref="AJ1427">_xlfn.IFS(U1427=1,"Low",U1427=2,"Good",U1427=3,"Excellent",U1427=4,"Outstanding")</f>
        <v>Excellent</v>
      </c>
      <c r="AK1427" t="str" cm="1">
        <f t="array" ref="AK1427">_xlfn.IFS(V1427=1,"Low",V1427=2,"Medium",V1427=3,"High",V1427=4,"Very High")</f>
        <v>Low</v>
      </c>
      <c r="AL1427" t="str" cm="1">
        <f t="array" ref="AL1427">_xlfn.IFS(Z1427=1,"Bad",Z1427=2,"Good",Z1427=3,"Better",Z1427=4,"Best")</f>
        <v>Better</v>
      </c>
      <c r="AM1427" t="str" cm="1">
        <f t="array" ref="AM1427">_xlfn.IFS(W1427=0,"No_stock",W1427=1,"Low",W1427=2,"Medium",W1427=3,"High")</f>
        <v>Low</v>
      </c>
      <c r="AN1427" t="str">
        <f t="shared" si="22"/>
        <v>Medium</v>
      </c>
    </row>
    <row r="1428" spans="1:40" x14ac:dyDescent="0.45">
      <c r="A1428">
        <v>32</v>
      </c>
      <c r="B1428" t="s">
        <v>37</v>
      </c>
      <c r="C1428" t="s">
        <v>31</v>
      </c>
      <c r="D1428">
        <v>267</v>
      </c>
      <c r="E1428" t="s">
        <v>39</v>
      </c>
      <c r="F1428">
        <v>29</v>
      </c>
      <c r="G1428">
        <v>4</v>
      </c>
      <c r="H1428" t="s">
        <v>33</v>
      </c>
      <c r="I1428">
        <v>2010</v>
      </c>
      <c r="J1428">
        <v>3</v>
      </c>
      <c r="K1428" t="s">
        <v>34</v>
      </c>
      <c r="L1428">
        <v>2</v>
      </c>
      <c r="M1428">
        <v>1</v>
      </c>
      <c r="N1428" t="s">
        <v>44</v>
      </c>
      <c r="O1428">
        <v>2</v>
      </c>
      <c r="P1428" t="s">
        <v>36</v>
      </c>
      <c r="Q1428">
        <v>2837</v>
      </c>
      <c r="R1428">
        <v>1</v>
      </c>
      <c r="S1428" t="s">
        <v>37</v>
      </c>
      <c r="T1428">
        <v>13</v>
      </c>
      <c r="U1428">
        <v>3</v>
      </c>
      <c r="V1428">
        <v>3</v>
      </c>
      <c r="W1428">
        <v>0</v>
      </c>
      <c r="X1428">
        <v>6</v>
      </c>
      <c r="Y1428">
        <v>3</v>
      </c>
      <c r="Z1428">
        <v>3</v>
      </c>
      <c r="AA1428">
        <v>6</v>
      </c>
      <c r="AB1428">
        <v>2</v>
      </c>
      <c r="AC1428">
        <v>4</v>
      </c>
      <c r="AD1428">
        <v>1</v>
      </c>
      <c r="AE1428" t="str" cm="1">
        <f t="array" ref="AE1428">_xlfn.IFS(G1428=1,"Before College",G1428=2,"College",G1428=3,"Bachelor",G1428=4,"Master",G1428=5,"Doctor")</f>
        <v>Master</v>
      </c>
      <c r="AF1428" t="str" cm="1">
        <f t="array" ref="AF1428">_xlfn.IFS(J1428=1,"Low",J1428=2,"Medium",J1428=3,"High",J1428=4,"Very High")</f>
        <v>High</v>
      </c>
      <c r="AG1428" t="str" cm="1">
        <f t="array" ref="AG1428">_xlfn.IFS(L1428=1,"Low",L1428=2,"Medium",L1428=3,"High",L1428=4,"Very High")</f>
        <v>Medium</v>
      </c>
      <c r="AH1428" t="str" cm="1">
        <f t="array" ref="AH1428">_xlfn.IFS(M1428=1,"Junior employee",M1428=2,"Mid-level",M1428=3,"Senior",M1428=4,"Manager",M1428=5,"Executive")</f>
        <v>Junior employee</v>
      </c>
      <c r="AI1428" t="str" cm="1">
        <f t="array" ref="AI1428">_xlfn.IFS(O1428=1,"Low",O1428=2,"Medium",O1428=3,"High",O1428=4,"Very High")</f>
        <v>Medium</v>
      </c>
      <c r="AJ1428" t="str" cm="1">
        <f t="array" ref="AJ1428">_xlfn.IFS(U1428=1,"Low",U1428=2,"Good",U1428=3,"Excellent",U1428=4,"Outstanding")</f>
        <v>Excellent</v>
      </c>
      <c r="AK1428" t="str" cm="1">
        <f t="array" ref="AK1428">_xlfn.IFS(V1428=1,"Low",V1428=2,"Medium",V1428=3,"High",V1428=4,"Very High")</f>
        <v>High</v>
      </c>
      <c r="AL1428" t="str" cm="1">
        <f t="array" ref="AL1428">_xlfn.IFS(Z1428=1,"Bad",Z1428=2,"Good",Z1428=3,"Better",Z1428=4,"Best")</f>
        <v>Better</v>
      </c>
      <c r="AM1428" t="str" cm="1">
        <f t="array" ref="AM1428">_xlfn.IFS(W1428=0,"No_stock",W1428=1,"Low",W1428=2,"Medium",W1428=3,"High")</f>
        <v>No_stock</v>
      </c>
      <c r="AN1428" t="str">
        <f t="shared" si="22"/>
        <v>Far</v>
      </c>
    </row>
    <row r="1429" spans="1:40" x14ac:dyDescent="0.45">
      <c r="A1429">
        <v>40</v>
      </c>
      <c r="B1429" t="s">
        <v>37</v>
      </c>
      <c r="C1429" t="s">
        <v>31</v>
      </c>
      <c r="D1429">
        <v>543</v>
      </c>
      <c r="E1429" t="s">
        <v>39</v>
      </c>
      <c r="F1429">
        <v>1</v>
      </c>
      <c r="G1429">
        <v>4</v>
      </c>
      <c r="H1429" t="s">
        <v>33</v>
      </c>
      <c r="I1429">
        <v>2012</v>
      </c>
      <c r="J1429">
        <v>1</v>
      </c>
      <c r="K1429" t="s">
        <v>40</v>
      </c>
      <c r="L1429">
        <v>3</v>
      </c>
      <c r="M1429">
        <v>1</v>
      </c>
      <c r="N1429" t="s">
        <v>44</v>
      </c>
      <c r="O1429">
        <v>4</v>
      </c>
      <c r="P1429" t="s">
        <v>42</v>
      </c>
      <c r="Q1429">
        <v>2406</v>
      </c>
      <c r="R1429">
        <v>8</v>
      </c>
      <c r="S1429" t="s">
        <v>37</v>
      </c>
      <c r="T1429">
        <v>19</v>
      </c>
      <c r="U1429">
        <v>3</v>
      </c>
      <c r="V1429">
        <v>3</v>
      </c>
      <c r="W1429">
        <v>2</v>
      </c>
      <c r="X1429">
        <v>8</v>
      </c>
      <c r="Y1429">
        <v>3</v>
      </c>
      <c r="Z1429">
        <v>2</v>
      </c>
      <c r="AA1429">
        <v>1</v>
      </c>
      <c r="AB1429">
        <v>0</v>
      </c>
      <c r="AC1429">
        <v>0</v>
      </c>
      <c r="AD1429">
        <v>0</v>
      </c>
      <c r="AE1429" t="str" cm="1">
        <f t="array" ref="AE1429">_xlfn.IFS(G1429=1,"Before College",G1429=2,"College",G1429=3,"Bachelor",G1429=4,"Master",G1429=5,"Doctor")</f>
        <v>Master</v>
      </c>
      <c r="AF1429" t="str" cm="1">
        <f t="array" ref="AF1429">_xlfn.IFS(J1429=1,"Low",J1429=2,"Medium",J1429=3,"High",J1429=4,"Very High")</f>
        <v>Low</v>
      </c>
      <c r="AG1429" t="str" cm="1">
        <f t="array" ref="AG1429">_xlfn.IFS(L1429=1,"Low",L1429=2,"Medium",L1429=3,"High",L1429=4,"Very High")</f>
        <v>High</v>
      </c>
      <c r="AH1429" t="str" cm="1">
        <f t="array" ref="AH1429">_xlfn.IFS(M1429=1,"Junior employee",M1429=2,"Mid-level",M1429=3,"Senior",M1429=4,"Manager",M1429=5,"Executive")</f>
        <v>Junior employee</v>
      </c>
      <c r="AI1429" t="str" cm="1">
        <f t="array" ref="AI1429">_xlfn.IFS(O1429=1,"Low",O1429=2,"Medium",O1429=3,"High",O1429=4,"Very High")</f>
        <v>Very High</v>
      </c>
      <c r="AJ1429" t="str" cm="1">
        <f t="array" ref="AJ1429">_xlfn.IFS(U1429=1,"Low",U1429=2,"Good",U1429=3,"Excellent",U1429=4,"Outstanding")</f>
        <v>Excellent</v>
      </c>
      <c r="AK1429" t="str" cm="1">
        <f t="array" ref="AK1429">_xlfn.IFS(V1429=1,"Low",V1429=2,"Medium",V1429=3,"High",V1429=4,"Very High")</f>
        <v>High</v>
      </c>
      <c r="AL1429" t="str" cm="1">
        <f t="array" ref="AL1429">_xlfn.IFS(Z1429=1,"Bad",Z1429=2,"Good",Z1429=3,"Better",Z1429=4,"Best")</f>
        <v>Good</v>
      </c>
      <c r="AM1429" t="str" cm="1">
        <f t="array" ref="AM1429">_xlfn.IFS(W1429=0,"No_stock",W1429=1,"Low",W1429=2,"Medium",W1429=3,"High")</f>
        <v>Medium</v>
      </c>
      <c r="AN1429" t="str">
        <f t="shared" si="22"/>
        <v>Near</v>
      </c>
    </row>
    <row r="1430" spans="1:40" x14ac:dyDescent="0.45">
      <c r="A1430">
        <v>32</v>
      </c>
      <c r="B1430" t="s">
        <v>37</v>
      </c>
      <c r="C1430" t="s">
        <v>31</v>
      </c>
      <c r="D1430">
        <v>234</v>
      </c>
      <c r="E1430" t="s">
        <v>32</v>
      </c>
      <c r="F1430">
        <v>1</v>
      </c>
      <c r="G1430">
        <v>4</v>
      </c>
      <c r="H1430" t="s">
        <v>45</v>
      </c>
      <c r="I1430">
        <v>2013</v>
      </c>
      <c r="J1430">
        <v>2</v>
      </c>
      <c r="K1430" t="s">
        <v>40</v>
      </c>
      <c r="L1430">
        <v>2</v>
      </c>
      <c r="M1430">
        <v>1</v>
      </c>
      <c r="N1430" t="s">
        <v>51</v>
      </c>
      <c r="O1430">
        <v>2</v>
      </c>
      <c r="P1430" t="s">
        <v>42</v>
      </c>
      <c r="Q1430">
        <v>2269</v>
      </c>
      <c r="R1430">
        <v>0</v>
      </c>
      <c r="S1430" t="s">
        <v>37</v>
      </c>
      <c r="T1430">
        <v>14</v>
      </c>
      <c r="U1430">
        <v>3</v>
      </c>
      <c r="V1430">
        <v>2</v>
      </c>
      <c r="W1430">
        <v>1</v>
      </c>
      <c r="X1430">
        <v>3</v>
      </c>
      <c r="Y1430">
        <v>2</v>
      </c>
      <c r="Z1430">
        <v>3</v>
      </c>
      <c r="AA1430">
        <v>2</v>
      </c>
      <c r="AB1430">
        <v>2</v>
      </c>
      <c r="AC1430">
        <v>2</v>
      </c>
      <c r="AD1430">
        <v>2</v>
      </c>
      <c r="AE1430" t="str" cm="1">
        <f t="array" ref="AE1430">_xlfn.IFS(G1430=1,"Before College",G1430=2,"College",G1430=3,"Bachelor",G1430=4,"Master",G1430=5,"Doctor")</f>
        <v>Master</v>
      </c>
      <c r="AF1430" t="str" cm="1">
        <f t="array" ref="AF1430">_xlfn.IFS(J1430=1,"Low",J1430=2,"Medium",J1430=3,"High",J1430=4,"Very High")</f>
        <v>Medium</v>
      </c>
      <c r="AG1430" t="str" cm="1">
        <f t="array" ref="AG1430">_xlfn.IFS(L1430=1,"Low",L1430=2,"Medium",L1430=3,"High",L1430=4,"Very High")</f>
        <v>Medium</v>
      </c>
      <c r="AH1430" t="str" cm="1">
        <f t="array" ref="AH1430">_xlfn.IFS(M1430=1,"Junior employee",M1430=2,"Mid-level",M1430=3,"Senior",M1430=4,"Manager",M1430=5,"Executive")</f>
        <v>Junior employee</v>
      </c>
      <c r="AI1430" t="str" cm="1">
        <f t="array" ref="AI1430">_xlfn.IFS(O1430=1,"Low",O1430=2,"Medium",O1430=3,"High",O1430=4,"Very High")</f>
        <v>Medium</v>
      </c>
      <c r="AJ1430" t="str" cm="1">
        <f t="array" ref="AJ1430">_xlfn.IFS(U1430=1,"Low",U1430=2,"Good",U1430=3,"Excellent",U1430=4,"Outstanding")</f>
        <v>Excellent</v>
      </c>
      <c r="AK1430" t="str" cm="1">
        <f t="array" ref="AK1430">_xlfn.IFS(V1430=1,"Low",V1430=2,"Medium",V1430=3,"High",V1430=4,"Very High")</f>
        <v>Medium</v>
      </c>
      <c r="AL1430" t="str" cm="1">
        <f t="array" ref="AL1430">_xlfn.IFS(Z1430=1,"Bad",Z1430=2,"Good",Z1430=3,"Better",Z1430=4,"Best")</f>
        <v>Better</v>
      </c>
      <c r="AM1430" t="str" cm="1">
        <f t="array" ref="AM1430">_xlfn.IFS(W1430=0,"No_stock",W1430=1,"Low",W1430=2,"Medium",W1430=3,"High")</f>
        <v>Low</v>
      </c>
      <c r="AN1430" t="str">
        <f t="shared" si="22"/>
        <v>Near</v>
      </c>
    </row>
    <row r="1431" spans="1:40" x14ac:dyDescent="0.45">
      <c r="A1431">
        <v>39</v>
      </c>
      <c r="B1431" t="s">
        <v>37</v>
      </c>
      <c r="C1431" t="s">
        <v>31</v>
      </c>
      <c r="D1431">
        <v>116</v>
      </c>
      <c r="E1431" t="s">
        <v>39</v>
      </c>
      <c r="F1431">
        <v>24</v>
      </c>
      <c r="G1431">
        <v>1</v>
      </c>
      <c r="H1431" t="s">
        <v>33</v>
      </c>
      <c r="I1431">
        <v>2014</v>
      </c>
      <c r="J1431">
        <v>1</v>
      </c>
      <c r="K1431" t="s">
        <v>40</v>
      </c>
      <c r="L1431">
        <v>3</v>
      </c>
      <c r="M1431">
        <v>2</v>
      </c>
      <c r="N1431" t="s">
        <v>41</v>
      </c>
      <c r="O1431">
        <v>4</v>
      </c>
      <c r="P1431" t="s">
        <v>36</v>
      </c>
      <c r="Q1431">
        <v>4108</v>
      </c>
      <c r="R1431">
        <v>7</v>
      </c>
      <c r="S1431" t="s">
        <v>37</v>
      </c>
      <c r="T1431">
        <v>13</v>
      </c>
      <c r="U1431">
        <v>3</v>
      </c>
      <c r="V1431">
        <v>1</v>
      </c>
      <c r="W1431">
        <v>0</v>
      </c>
      <c r="X1431">
        <v>18</v>
      </c>
      <c r="Y1431">
        <v>2</v>
      </c>
      <c r="Z1431">
        <v>3</v>
      </c>
      <c r="AA1431">
        <v>7</v>
      </c>
      <c r="AB1431">
        <v>7</v>
      </c>
      <c r="AC1431">
        <v>1</v>
      </c>
      <c r="AD1431">
        <v>7</v>
      </c>
      <c r="AE1431" t="str" cm="1">
        <f t="array" ref="AE1431">_xlfn.IFS(G1431=1,"Before College",G1431=2,"College",G1431=3,"Bachelor",G1431=4,"Master",G1431=5,"Doctor")</f>
        <v>Before College</v>
      </c>
      <c r="AF1431" t="str" cm="1">
        <f t="array" ref="AF1431">_xlfn.IFS(J1431=1,"Low",J1431=2,"Medium",J1431=3,"High",J1431=4,"Very High")</f>
        <v>Low</v>
      </c>
      <c r="AG1431" t="str" cm="1">
        <f t="array" ref="AG1431">_xlfn.IFS(L1431=1,"Low",L1431=2,"Medium",L1431=3,"High",L1431=4,"Very High")</f>
        <v>High</v>
      </c>
      <c r="AH1431" t="str" cm="1">
        <f t="array" ref="AH1431">_xlfn.IFS(M1431=1,"Junior employee",M1431=2,"Mid-level",M1431=3,"Senior",M1431=4,"Manager",M1431=5,"Executive")</f>
        <v>Mid-level</v>
      </c>
      <c r="AI1431" t="str" cm="1">
        <f t="array" ref="AI1431">_xlfn.IFS(O1431=1,"Low",O1431=2,"Medium",O1431=3,"High",O1431=4,"Very High")</f>
        <v>Very High</v>
      </c>
      <c r="AJ1431" t="str" cm="1">
        <f t="array" ref="AJ1431">_xlfn.IFS(U1431=1,"Low",U1431=2,"Good",U1431=3,"Excellent",U1431=4,"Outstanding")</f>
        <v>Excellent</v>
      </c>
      <c r="AK1431" t="str" cm="1">
        <f t="array" ref="AK1431">_xlfn.IFS(V1431=1,"Low",V1431=2,"Medium",V1431=3,"High",V1431=4,"Very High")</f>
        <v>Low</v>
      </c>
      <c r="AL1431" t="str" cm="1">
        <f t="array" ref="AL1431">_xlfn.IFS(Z1431=1,"Bad",Z1431=2,"Good",Z1431=3,"Better",Z1431=4,"Best")</f>
        <v>Better</v>
      </c>
      <c r="AM1431" t="str" cm="1">
        <f t="array" ref="AM1431">_xlfn.IFS(W1431=0,"No_stock",W1431=1,"Low",W1431=2,"Medium",W1431=3,"High")</f>
        <v>No_stock</v>
      </c>
      <c r="AN1431" t="str">
        <f t="shared" si="22"/>
        <v>Far</v>
      </c>
    </row>
    <row r="1432" spans="1:40" x14ac:dyDescent="0.45">
      <c r="A1432">
        <v>38</v>
      </c>
      <c r="B1432" t="s">
        <v>37</v>
      </c>
      <c r="C1432" t="s">
        <v>31</v>
      </c>
      <c r="D1432">
        <v>201</v>
      </c>
      <c r="E1432" t="s">
        <v>39</v>
      </c>
      <c r="F1432">
        <v>10</v>
      </c>
      <c r="G1432">
        <v>3</v>
      </c>
      <c r="H1432" t="s">
        <v>45</v>
      </c>
      <c r="I1432">
        <v>2015</v>
      </c>
      <c r="J1432">
        <v>2</v>
      </c>
      <c r="K1432" t="s">
        <v>34</v>
      </c>
      <c r="L1432">
        <v>1</v>
      </c>
      <c r="M1432">
        <v>3</v>
      </c>
      <c r="N1432" t="s">
        <v>52</v>
      </c>
      <c r="O1432">
        <v>3</v>
      </c>
      <c r="P1432" t="s">
        <v>42</v>
      </c>
      <c r="Q1432">
        <v>13206</v>
      </c>
      <c r="R1432">
        <v>3</v>
      </c>
      <c r="S1432" t="s">
        <v>37</v>
      </c>
      <c r="T1432">
        <v>12</v>
      </c>
      <c r="U1432">
        <v>3</v>
      </c>
      <c r="V1432">
        <v>1</v>
      </c>
      <c r="W1432">
        <v>1</v>
      </c>
      <c r="X1432">
        <v>20</v>
      </c>
      <c r="Y1432">
        <v>3</v>
      </c>
      <c r="Z1432">
        <v>3</v>
      </c>
      <c r="AA1432">
        <v>18</v>
      </c>
      <c r="AB1432">
        <v>16</v>
      </c>
      <c r="AC1432">
        <v>1</v>
      </c>
      <c r="AD1432">
        <v>11</v>
      </c>
      <c r="AE1432" t="str" cm="1">
        <f t="array" ref="AE1432">_xlfn.IFS(G1432=1,"Before College",G1432=2,"College",G1432=3,"Bachelor",G1432=4,"Master",G1432=5,"Doctor")</f>
        <v>Bachelor</v>
      </c>
      <c r="AF1432" t="str" cm="1">
        <f t="array" ref="AF1432">_xlfn.IFS(J1432=1,"Low",J1432=2,"Medium",J1432=3,"High",J1432=4,"Very High")</f>
        <v>Medium</v>
      </c>
      <c r="AG1432" t="str" cm="1">
        <f t="array" ref="AG1432">_xlfn.IFS(L1432=1,"Low",L1432=2,"Medium",L1432=3,"High",L1432=4,"Very High")</f>
        <v>Low</v>
      </c>
      <c r="AH1432" t="str" cm="1">
        <f t="array" ref="AH1432">_xlfn.IFS(M1432=1,"Junior employee",M1432=2,"Mid-level",M1432=3,"Senior",M1432=4,"Manager",M1432=5,"Executive")</f>
        <v>Senior</v>
      </c>
      <c r="AI1432" t="str" cm="1">
        <f t="array" ref="AI1432">_xlfn.IFS(O1432=1,"Low",O1432=2,"Medium",O1432=3,"High",O1432=4,"Very High")</f>
        <v>High</v>
      </c>
      <c r="AJ1432" t="str" cm="1">
        <f t="array" ref="AJ1432">_xlfn.IFS(U1432=1,"Low",U1432=2,"Good",U1432=3,"Excellent",U1432=4,"Outstanding")</f>
        <v>Excellent</v>
      </c>
      <c r="AK1432" t="str" cm="1">
        <f t="array" ref="AK1432">_xlfn.IFS(V1432=1,"Low",V1432=2,"Medium",V1432=3,"High",V1432=4,"Very High")</f>
        <v>Low</v>
      </c>
      <c r="AL1432" t="str" cm="1">
        <f t="array" ref="AL1432">_xlfn.IFS(Z1432=1,"Bad",Z1432=2,"Good",Z1432=3,"Better",Z1432=4,"Best")</f>
        <v>Better</v>
      </c>
      <c r="AM1432" t="str" cm="1">
        <f t="array" ref="AM1432">_xlfn.IFS(W1432=0,"No_stock",W1432=1,"Low",W1432=2,"Medium",W1432=3,"High")</f>
        <v>Low</v>
      </c>
      <c r="AN1432" t="str">
        <f t="shared" si="22"/>
        <v>Medium</v>
      </c>
    </row>
    <row r="1433" spans="1:40" x14ac:dyDescent="0.45">
      <c r="A1433">
        <v>32</v>
      </c>
      <c r="B1433" t="s">
        <v>37</v>
      </c>
      <c r="C1433" t="s">
        <v>31</v>
      </c>
      <c r="D1433">
        <v>801</v>
      </c>
      <c r="E1433" t="s">
        <v>32</v>
      </c>
      <c r="F1433">
        <v>1</v>
      </c>
      <c r="G1433">
        <v>4</v>
      </c>
      <c r="H1433" t="s">
        <v>53</v>
      </c>
      <c r="I1433">
        <v>2016</v>
      </c>
      <c r="J1433">
        <v>3</v>
      </c>
      <c r="K1433" t="s">
        <v>34</v>
      </c>
      <c r="L1433">
        <v>3</v>
      </c>
      <c r="M1433">
        <v>3</v>
      </c>
      <c r="N1433" t="s">
        <v>35</v>
      </c>
      <c r="O1433">
        <v>4</v>
      </c>
      <c r="P1433" t="s">
        <v>42</v>
      </c>
      <c r="Q1433">
        <v>10422</v>
      </c>
      <c r="R1433">
        <v>1</v>
      </c>
      <c r="S1433" t="s">
        <v>37</v>
      </c>
      <c r="T1433">
        <v>19</v>
      </c>
      <c r="U1433">
        <v>3</v>
      </c>
      <c r="V1433">
        <v>3</v>
      </c>
      <c r="W1433">
        <v>2</v>
      </c>
      <c r="X1433">
        <v>14</v>
      </c>
      <c r="Y1433">
        <v>3</v>
      </c>
      <c r="Z1433">
        <v>3</v>
      </c>
      <c r="AA1433">
        <v>14</v>
      </c>
      <c r="AB1433">
        <v>10</v>
      </c>
      <c r="AC1433">
        <v>5</v>
      </c>
      <c r="AD1433">
        <v>7</v>
      </c>
      <c r="AE1433" t="str" cm="1">
        <f t="array" ref="AE1433">_xlfn.IFS(G1433=1,"Before College",G1433=2,"College",G1433=3,"Bachelor",G1433=4,"Master",G1433=5,"Doctor")</f>
        <v>Master</v>
      </c>
      <c r="AF1433" t="str" cm="1">
        <f t="array" ref="AF1433">_xlfn.IFS(J1433=1,"Low",J1433=2,"Medium",J1433=3,"High",J1433=4,"Very High")</f>
        <v>High</v>
      </c>
      <c r="AG1433" t="str" cm="1">
        <f t="array" ref="AG1433">_xlfn.IFS(L1433=1,"Low",L1433=2,"Medium",L1433=3,"High",L1433=4,"Very High")</f>
        <v>High</v>
      </c>
      <c r="AH1433" t="str" cm="1">
        <f t="array" ref="AH1433">_xlfn.IFS(M1433=1,"Junior employee",M1433=2,"Mid-level",M1433=3,"Senior",M1433=4,"Manager",M1433=5,"Executive")</f>
        <v>Senior</v>
      </c>
      <c r="AI1433" t="str" cm="1">
        <f t="array" ref="AI1433">_xlfn.IFS(O1433=1,"Low",O1433=2,"Medium",O1433=3,"High",O1433=4,"Very High")</f>
        <v>Very High</v>
      </c>
      <c r="AJ1433" t="str" cm="1">
        <f t="array" ref="AJ1433">_xlfn.IFS(U1433=1,"Low",U1433=2,"Good",U1433=3,"Excellent",U1433=4,"Outstanding")</f>
        <v>Excellent</v>
      </c>
      <c r="AK1433" t="str" cm="1">
        <f t="array" ref="AK1433">_xlfn.IFS(V1433=1,"Low",V1433=2,"Medium",V1433=3,"High",V1433=4,"Very High")</f>
        <v>High</v>
      </c>
      <c r="AL1433" t="str" cm="1">
        <f t="array" ref="AL1433">_xlfn.IFS(Z1433=1,"Bad",Z1433=2,"Good",Z1433=3,"Better",Z1433=4,"Best")</f>
        <v>Better</v>
      </c>
      <c r="AM1433" t="str" cm="1">
        <f t="array" ref="AM1433">_xlfn.IFS(W1433=0,"No_stock",W1433=1,"Low",W1433=2,"Medium",W1433=3,"High")</f>
        <v>Medium</v>
      </c>
      <c r="AN1433" t="str">
        <f t="shared" si="22"/>
        <v>Near</v>
      </c>
    </row>
    <row r="1434" spans="1:40" x14ac:dyDescent="0.45">
      <c r="A1434">
        <v>37</v>
      </c>
      <c r="B1434" t="s">
        <v>37</v>
      </c>
      <c r="C1434" t="s">
        <v>31</v>
      </c>
      <c r="D1434">
        <v>161</v>
      </c>
      <c r="E1434" t="s">
        <v>39</v>
      </c>
      <c r="F1434">
        <v>10</v>
      </c>
      <c r="G1434">
        <v>3</v>
      </c>
      <c r="H1434" t="s">
        <v>33</v>
      </c>
      <c r="I1434">
        <v>2017</v>
      </c>
      <c r="J1434">
        <v>3</v>
      </c>
      <c r="K1434" t="s">
        <v>34</v>
      </c>
      <c r="L1434">
        <v>4</v>
      </c>
      <c r="M1434">
        <v>3</v>
      </c>
      <c r="N1434" t="s">
        <v>52</v>
      </c>
      <c r="O1434">
        <v>4</v>
      </c>
      <c r="P1434" t="s">
        <v>42</v>
      </c>
      <c r="Q1434">
        <v>13744</v>
      </c>
      <c r="R1434">
        <v>1</v>
      </c>
      <c r="S1434" t="s">
        <v>30</v>
      </c>
      <c r="T1434">
        <v>25</v>
      </c>
      <c r="U1434">
        <v>4</v>
      </c>
      <c r="V1434">
        <v>1</v>
      </c>
      <c r="W1434">
        <v>1</v>
      </c>
      <c r="X1434">
        <v>16</v>
      </c>
      <c r="Y1434">
        <v>2</v>
      </c>
      <c r="Z1434">
        <v>3</v>
      </c>
      <c r="AA1434">
        <v>16</v>
      </c>
      <c r="AB1434">
        <v>11</v>
      </c>
      <c r="AC1434">
        <v>6</v>
      </c>
      <c r="AD1434">
        <v>8</v>
      </c>
      <c r="AE1434" t="str" cm="1">
        <f t="array" ref="AE1434">_xlfn.IFS(G1434=1,"Before College",G1434=2,"College",G1434=3,"Bachelor",G1434=4,"Master",G1434=5,"Doctor")</f>
        <v>Bachelor</v>
      </c>
      <c r="AF1434" t="str" cm="1">
        <f t="array" ref="AF1434">_xlfn.IFS(J1434=1,"Low",J1434=2,"Medium",J1434=3,"High",J1434=4,"Very High")</f>
        <v>High</v>
      </c>
      <c r="AG1434" t="str" cm="1">
        <f t="array" ref="AG1434">_xlfn.IFS(L1434=1,"Low",L1434=2,"Medium",L1434=3,"High",L1434=4,"Very High")</f>
        <v>Very High</v>
      </c>
      <c r="AH1434" t="str" cm="1">
        <f t="array" ref="AH1434">_xlfn.IFS(M1434=1,"Junior employee",M1434=2,"Mid-level",M1434=3,"Senior",M1434=4,"Manager",M1434=5,"Executive")</f>
        <v>Senior</v>
      </c>
      <c r="AI1434" t="str" cm="1">
        <f t="array" ref="AI1434">_xlfn.IFS(O1434=1,"Low",O1434=2,"Medium",O1434=3,"High",O1434=4,"Very High")</f>
        <v>Very High</v>
      </c>
      <c r="AJ1434" t="str" cm="1">
        <f t="array" ref="AJ1434">_xlfn.IFS(U1434=1,"Low",U1434=2,"Good",U1434=3,"Excellent",U1434=4,"Outstanding")</f>
        <v>Outstanding</v>
      </c>
      <c r="AK1434" t="str" cm="1">
        <f t="array" ref="AK1434">_xlfn.IFS(V1434=1,"Low",V1434=2,"Medium",V1434=3,"High",V1434=4,"Very High")</f>
        <v>Low</v>
      </c>
      <c r="AL1434" t="str" cm="1">
        <f t="array" ref="AL1434">_xlfn.IFS(Z1434=1,"Bad",Z1434=2,"Good",Z1434=3,"Better",Z1434=4,"Best")</f>
        <v>Better</v>
      </c>
      <c r="AM1434" t="str" cm="1">
        <f t="array" ref="AM1434">_xlfn.IFS(W1434=0,"No_stock",W1434=1,"Low",W1434=2,"Medium",W1434=3,"High")</f>
        <v>Low</v>
      </c>
      <c r="AN1434" t="str">
        <f t="shared" si="22"/>
        <v>Medium</v>
      </c>
    </row>
    <row r="1435" spans="1:40" x14ac:dyDescent="0.45">
      <c r="A1435">
        <v>25</v>
      </c>
      <c r="B1435" t="s">
        <v>37</v>
      </c>
      <c r="C1435" t="s">
        <v>31</v>
      </c>
      <c r="D1435">
        <v>1382</v>
      </c>
      <c r="E1435" t="s">
        <v>32</v>
      </c>
      <c r="F1435">
        <v>8</v>
      </c>
      <c r="G1435">
        <v>2</v>
      </c>
      <c r="H1435" t="s">
        <v>43</v>
      </c>
      <c r="I1435">
        <v>2018</v>
      </c>
      <c r="J1435">
        <v>1</v>
      </c>
      <c r="K1435" t="s">
        <v>34</v>
      </c>
      <c r="L1435">
        <v>3</v>
      </c>
      <c r="M1435">
        <v>2</v>
      </c>
      <c r="N1435" t="s">
        <v>35</v>
      </c>
      <c r="O1435">
        <v>3</v>
      </c>
      <c r="P1435" t="s">
        <v>46</v>
      </c>
      <c r="Q1435">
        <v>4907</v>
      </c>
      <c r="R1435">
        <v>0</v>
      </c>
      <c r="S1435" t="s">
        <v>30</v>
      </c>
      <c r="T1435">
        <v>22</v>
      </c>
      <c r="U1435">
        <v>4</v>
      </c>
      <c r="V1435">
        <v>2</v>
      </c>
      <c r="W1435">
        <v>1</v>
      </c>
      <c r="X1435">
        <v>6</v>
      </c>
      <c r="Y1435">
        <v>3</v>
      </c>
      <c r="Z1435">
        <v>2</v>
      </c>
      <c r="AA1435">
        <v>5</v>
      </c>
      <c r="AB1435">
        <v>3</v>
      </c>
      <c r="AC1435">
        <v>0</v>
      </c>
      <c r="AD1435">
        <v>4</v>
      </c>
      <c r="AE1435" t="str" cm="1">
        <f t="array" ref="AE1435">_xlfn.IFS(G1435=1,"Before College",G1435=2,"College",G1435=3,"Bachelor",G1435=4,"Master",G1435=5,"Doctor")</f>
        <v>College</v>
      </c>
      <c r="AF1435" t="str" cm="1">
        <f t="array" ref="AF1435">_xlfn.IFS(J1435=1,"Low",J1435=2,"Medium",J1435=3,"High",J1435=4,"Very High")</f>
        <v>Low</v>
      </c>
      <c r="AG1435" t="str" cm="1">
        <f t="array" ref="AG1435">_xlfn.IFS(L1435=1,"Low",L1435=2,"Medium",L1435=3,"High",L1435=4,"Very High")</f>
        <v>High</v>
      </c>
      <c r="AH1435" t="str" cm="1">
        <f t="array" ref="AH1435">_xlfn.IFS(M1435=1,"Junior employee",M1435=2,"Mid-level",M1435=3,"Senior",M1435=4,"Manager",M1435=5,"Executive")</f>
        <v>Mid-level</v>
      </c>
      <c r="AI1435" t="str" cm="1">
        <f t="array" ref="AI1435">_xlfn.IFS(O1435=1,"Low",O1435=2,"Medium",O1435=3,"High",O1435=4,"Very High")</f>
        <v>High</v>
      </c>
      <c r="AJ1435" t="str" cm="1">
        <f t="array" ref="AJ1435">_xlfn.IFS(U1435=1,"Low",U1435=2,"Good",U1435=3,"Excellent",U1435=4,"Outstanding")</f>
        <v>Outstanding</v>
      </c>
      <c r="AK1435" t="str" cm="1">
        <f t="array" ref="AK1435">_xlfn.IFS(V1435=1,"Low",V1435=2,"Medium",V1435=3,"High",V1435=4,"Very High")</f>
        <v>Medium</v>
      </c>
      <c r="AL1435" t="str" cm="1">
        <f t="array" ref="AL1435">_xlfn.IFS(Z1435=1,"Bad",Z1435=2,"Good",Z1435=3,"Better",Z1435=4,"Best")</f>
        <v>Good</v>
      </c>
      <c r="AM1435" t="str" cm="1">
        <f t="array" ref="AM1435">_xlfn.IFS(W1435=0,"No_stock",W1435=1,"Low",W1435=2,"Medium",W1435=3,"High")</f>
        <v>Low</v>
      </c>
      <c r="AN1435" t="str">
        <f t="shared" si="22"/>
        <v>Medium</v>
      </c>
    </row>
    <row r="1436" spans="1:40" x14ac:dyDescent="0.45">
      <c r="A1436">
        <v>52</v>
      </c>
      <c r="B1436" t="s">
        <v>37</v>
      </c>
      <c r="C1436" t="s">
        <v>49</v>
      </c>
      <c r="D1436">
        <v>585</v>
      </c>
      <c r="E1436" t="s">
        <v>32</v>
      </c>
      <c r="F1436">
        <v>29</v>
      </c>
      <c r="G1436">
        <v>4</v>
      </c>
      <c r="H1436" t="s">
        <v>33</v>
      </c>
      <c r="I1436">
        <v>2019</v>
      </c>
      <c r="J1436">
        <v>1</v>
      </c>
      <c r="K1436" t="s">
        <v>40</v>
      </c>
      <c r="L1436">
        <v>3</v>
      </c>
      <c r="M1436">
        <v>1</v>
      </c>
      <c r="N1436" t="s">
        <v>51</v>
      </c>
      <c r="O1436">
        <v>4</v>
      </c>
      <c r="P1436" t="s">
        <v>46</v>
      </c>
      <c r="Q1436">
        <v>3482</v>
      </c>
      <c r="R1436">
        <v>2</v>
      </c>
      <c r="S1436" t="s">
        <v>37</v>
      </c>
      <c r="T1436">
        <v>15</v>
      </c>
      <c r="U1436">
        <v>3</v>
      </c>
      <c r="V1436">
        <v>2</v>
      </c>
      <c r="W1436">
        <v>2</v>
      </c>
      <c r="X1436">
        <v>16</v>
      </c>
      <c r="Y1436">
        <v>3</v>
      </c>
      <c r="Z1436">
        <v>2</v>
      </c>
      <c r="AA1436">
        <v>9</v>
      </c>
      <c r="AB1436">
        <v>8</v>
      </c>
      <c r="AC1436">
        <v>0</v>
      </c>
      <c r="AD1436">
        <v>0</v>
      </c>
      <c r="AE1436" t="str" cm="1">
        <f t="array" ref="AE1436">_xlfn.IFS(G1436=1,"Before College",G1436=2,"College",G1436=3,"Bachelor",G1436=4,"Master",G1436=5,"Doctor")</f>
        <v>Master</v>
      </c>
      <c r="AF1436" t="str" cm="1">
        <f t="array" ref="AF1436">_xlfn.IFS(J1436=1,"Low",J1436=2,"Medium",J1436=3,"High",J1436=4,"Very High")</f>
        <v>Low</v>
      </c>
      <c r="AG1436" t="str" cm="1">
        <f t="array" ref="AG1436">_xlfn.IFS(L1436=1,"Low",L1436=2,"Medium",L1436=3,"High",L1436=4,"Very High")</f>
        <v>High</v>
      </c>
      <c r="AH1436" t="str" cm="1">
        <f t="array" ref="AH1436">_xlfn.IFS(M1436=1,"Junior employee",M1436=2,"Mid-level",M1436=3,"Senior",M1436=4,"Manager",M1436=5,"Executive")</f>
        <v>Junior employee</v>
      </c>
      <c r="AI1436" t="str" cm="1">
        <f t="array" ref="AI1436">_xlfn.IFS(O1436=1,"Low",O1436=2,"Medium",O1436=3,"High",O1436=4,"Very High")</f>
        <v>Very High</v>
      </c>
      <c r="AJ1436" t="str" cm="1">
        <f t="array" ref="AJ1436">_xlfn.IFS(U1436=1,"Low",U1436=2,"Good",U1436=3,"Excellent",U1436=4,"Outstanding")</f>
        <v>Excellent</v>
      </c>
      <c r="AK1436" t="str" cm="1">
        <f t="array" ref="AK1436">_xlfn.IFS(V1436=1,"Low",V1436=2,"Medium",V1436=3,"High",V1436=4,"Very High")</f>
        <v>Medium</v>
      </c>
      <c r="AL1436" t="str" cm="1">
        <f t="array" ref="AL1436">_xlfn.IFS(Z1436=1,"Bad",Z1436=2,"Good",Z1436=3,"Better",Z1436=4,"Best")</f>
        <v>Good</v>
      </c>
      <c r="AM1436" t="str" cm="1">
        <f t="array" ref="AM1436">_xlfn.IFS(W1436=0,"No_stock",W1436=1,"Low",W1436=2,"Medium",W1436=3,"High")</f>
        <v>Medium</v>
      </c>
      <c r="AN1436" t="str">
        <f t="shared" si="22"/>
        <v>Far</v>
      </c>
    </row>
    <row r="1437" spans="1:40" x14ac:dyDescent="0.45">
      <c r="A1437">
        <v>44</v>
      </c>
      <c r="B1437" t="s">
        <v>37</v>
      </c>
      <c r="C1437" t="s">
        <v>31</v>
      </c>
      <c r="D1437">
        <v>1037</v>
      </c>
      <c r="E1437" t="s">
        <v>39</v>
      </c>
      <c r="F1437">
        <v>1</v>
      </c>
      <c r="G1437">
        <v>3</v>
      </c>
      <c r="H1437" t="s">
        <v>45</v>
      </c>
      <c r="I1437">
        <v>2020</v>
      </c>
      <c r="J1437">
        <v>2</v>
      </c>
      <c r="K1437" t="s">
        <v>40</v>
      </c>
      <c r="L1437">
        <v>3</v>
      </c>
      <c r="M1437">
        <v>1</v>
      </c>
      <c r="N1437" t="s">
        <v>41</v>
      </c>
      <c r="O1437">
        <v>4</v>
      </c>
      <c r="P1437" t="s">
        <v>36</v>
      </c>
      <c r="Q1437">
        <v>2436</v>
      </c>
      <c r="R1437">
        <v>6</v>
      </c>
      <c r="S1437" t="s">
        <v>30</v>
      </c>
      <c r="T1437">
        <v>12</v>
      </c>
      <c r="U1437">
        <v>3</v>
      </c>
      <c r="V1437">
        <v>3</v>
      </c>
      <c r="W1437">
        <v>0</v>
      </c>
      <c r="X1437">
        <v>6</v>
      </c>
      <c r="Y1437">
        <v>2</v>
      </c>
      <c r="Z1437">
        <v>3</v>
      </c>
      <c r="AA1437">
        <v>4</v>
      </c>
      <c r="AB1437">
        <v>3</v>
      </c>
      <c r="AC1437">
        <v>1</v>
      </c>
      <c r="AD1437">
        <v>2</v>
      </c>
      <c r="AE1437" t="str" cm="1">
        <f t="array" ref="AE1437">_xlfn.IFS(G1437=1,"Before College",G1437=2,"College",G1437=3,"Bachelor",G1437=4,"Master",G1437=5,"Doctor")</f>
        <v>Bachelor</v>
      </c>
      <c r="AF1437" t="str" cm="1">
        <f t="array" ref="AF1437">_xlfn.IFS(J1437=1,"Low",J1437=2,"Medium",J1437=3,"High",J1437=4,"Very High")</f>
        <v>Medium</v>
      </c>
      <c r="AG1437" t="str" cm="1">
        <f t="array" ref="AG1437">_xlfn.IFS(L1437=1,"Low",L1437=2,"Medium",L1437=3,"High",L1437=4,"Very High")</f>
        <v>High</v>
      </c>
      <c r="AH1437" t="str" cm="1">
        <f t="array" ref="AH1437">_xlfn.IFS(M1437=1,"Junior employee",M1437=2,"Mid-level",M1437=3,"Senior",M1437=4,"Manager",M1437=5,"Executive")</f>
        <v>Junior employee</v>
      </c>
      <c r="AI1437" t="str" cm="1">
        <f t="array" ref="AI1437">_xlfn.IFS(O1437=1,"Low",O1437=2,"Medium",O1437=3,"High",O1437=4,"Very High")</f>
        <v>Very High</v>
      </c>
      <c r="AJ1437" t="str" cm="1">
        <f t="array" ref="AJ1437">_xlfn.IFS(U1437=1,"Low",U1437=2,"Good",U1437=3,"Excellent",U1437=4,"Outstanding")</f>
        <v>Excellent</v>
      </c>
      <c r="AK1437" t="str" cm="1">
        <f t="array" ref="AK1437">_xlfn.IFS(V1437=1,"Low",V1437=2,"Medium",V1437=3,"High",V1437=4,"Very High")</f>
        <v>High</v>
      </c>
      <c r="AL1437" t="str" cm="1">
        <f t="array" ref="AL1437">_xlfn.IFS(Z1437=1,"Bad",Z1437=2,"Good",Z1437=3,"Better",Z1437=4,"Best")</f>
        <v>Better</v>
      </c>
      <c r="AM1437" t="str" cm="1">
        <f t="array" ref="AM1437">_xlfn.IFS(W1437=0,"No_stock",W1437=1,"Low",W1437=2,"Medium",W1437=3,"High")</f>
        <v>No_stock</v>
      </c>
      <c r="AN1437" t="str">
        <f t="shared" si="22"/>
        <v>Near</v>
      </c>
    </row>
    <row r="1438" spans="1:40" x14ac:dyDescent="0.45">
      <c r="A1438">
        <v>21</v>
      </c>
      <c r="B1438" t="s">
        <v>37</v>
      </c>
      <c r="C1438" t="s">
        <v>31</v>
      </c>
      <c r="D1438">
        <v>501</v>
      </c>
      <c r="E1438" t="s">
        <v>32</v>
      </c>
      <c r="F1438">
        <v>5</v>
      </c>
      <c r="G1438">
        <v>1</v>
      </c>
      <c r="H1438" t="s">
        <v>45</v>
      </c>
      <c r="I1438">
        <v>2021</v>
      </c>
      <c r="J1438">
        <v>3</v>
      </c>
      <c r="K1438" t="s">
        <v>40</v>
      </c>
      <c r="L1438">
        <v>3</v>
      </c>
      <c r="M1438">
        <v>1</v>
      </c>
      <c r="N1438" t="s">
        <v>51</v>
      </c>
      <c r="O1438">
        <v>1</v>
      </c>
      <c r="P1438" t="s">
        <v>36</v>
      </c>
      <c r="Q1438">
        <v>2380</v>
      </c>
      <c r="R1438">
        <v>1</v>
      </c>
      <c r="S1438" t="s">
        <v>30</v>
      </c>
      <c r="T1438">
        <v>11</v>
      </c>
      <c r="U1438">
        <v>3</v>
      </c>
      <c r="V1438">
        <v>4</v>
      </c>
      <c r="W1438">
        <v>0</v>
      </c>
      <c r="X1438">
        <v>2</v>
      </c>
      <c r="Y1438">
        <v>6</v>
      </c>
      <c r="Z1438">
        <v>3</v>
      </c>
      <c r="AA1438">
        <v>2</v>
      </c>
      <c r="AB1438">
        <v>2</v>
      </c>
      <c r="AC1438">
        <v>1</v>
      </c>
      <c r="AD1438">
        <v>2</v>
      </c>
      <c r="AE1438" t="str" cm="1">
        <f t="array" ref="AE1438">_xlfn.IFS(G1438=1,"Before College",G1438=2,"College",G1438=3,"Bachelor",G1438=4,"Master",G1438=5,"Doctor")</f>
        <v>Before College</v>
      </c>
      <c r="AF1438" t="str" cm="1">
        <f t="array" ref="AF1438">_xlfn.IFS(J1438=1,"Low",J1438=2,"Medium",J1438=3,"High",J1438=4,"Very High")</f>
        <v>High</v>
      </c>
      <c r="AG1438" t="str" cm="1">
        <f t="array" ref="AG1438">_xlfn.IFS(L1438=1,"Low",L1438=2,"Medium",L1438=3,"High",L1438=4,"Very High")</f>
        <v>High</v>
      </c>
      <c r="AH1438" t="str" cm="1">
        <f t="array" ref="AH1438">_xlfn.IFS(M1438=1,"Junior employee",M1438=2,"Mid-level",M1438=3,"Senior",M1438=4,"Manager",M1438=5,"Executive")</f>
        <v>Junior employee</v>
      </c>
      <c r="AI1438" t="str" cm="1">
        <f t="array" ref="AI1438">_xlfn.IFS(O1438=1,"Low",O1438=2,"Medium",O1438=3,"High",O1438=4,"Very High")</f>
        <v>Low</v>
      </c>
      <c r="AJ1438" t="str" cm="1">
        <f t="array" ref="AJ1438">_xlfn.IFS(U1438=1,"Low",U1438=2,"Good",U1438=3,"Excellent",U1438=4,"Outstanding")</f>
        <v>Excellent</v>
      </c>
      <c r="AK1438" t="str" cm="1">
        <f t="array" ref="AK1438">_xlfn.IFS(V1438=1,"Low",V1438=2,"Medium",V1438=3,"High",V1438=4,"Very High")</f>
        <v>Very High</v>
      </c>
      <c r="AL1438" t="str" cm="1">
        <f t="array" ref="AL1438">_xlfn.IFS(Z1438=1,"Bad",Z1438=2,"Good",Z1438=3,"Better",Z1438=4,"Best")</f>
        <v>Better</v>
      </c>
      <c r="AM1438" t="str" cm="1">
        <f t="array" ref="AM1438">_xlfn.IFS(W1438=0,"No_stock",W1438=1,"Low",W1438=2,"Medium",W1438=3,"High")</f>
        <v>No_stock</v>
      </c>
      <c r="AN1438" t="str">
        <f t="shared" si="22"/>
        <v>Near</v>
      </c>
    </row>
    <row r="1439" spans="1:40" x14ac:dyDescent="0.45">
      <c r="A1439">
        <v>39</v>
      </c>
      <c r="B1439" t="s">
        <v>37</v>
      </c>
      <c r="C1439" t="s">
        <v>49</v>
      </c>
      <c r="D1439">
        <v>105</v>
      </c>
      <c r="E1439" t="s">
        <v>39</v>
      </c>
      <c r="F1439">
        <v>9</v>
      </c>
      <c r="G1439">
        <v>3</v>
      </c>
      <c r="H1439" t="s">
        <v>33</v>
      </c>
      <c r="I1439">
        <v>2022</v>
      </c>
      <c r="J1439">
        <v>4</v>
      </c>
      <c r="K1439" t="s">
        <v>40</v>
      </c>
      <c r="L1439">
        <v>3</v>
      </c>
      <c r="M1439">
        <v>5</v>
      </c>
      <c r="N1439" t="s">
        <v>50</v>
      </c>
      <c r="O1439">
        <v>4</v>
      </c>
      <c r="P1439" t="s">
        <v>36</v>
      </c>
      <c r="Q1439">
        <v>19431</v>
      </c>
      <c r="R1439">
        <v>2</v>
      </c>
      <c r="S1439" t="s">
        <v>37</v>
      </c>
      <c r="T1439">
        <v>13</v>
      </c>
      <c r="U1439">
        <v>3</v>
      </c>
      <c r="V1439">
        <v>3</v>
      </c>
      <c r="W1439">
        <v>0</v>
      </c>
      <c r="X1439">
        <v>21</v>
      </c>
      <c r="Y1439">
        <v>3</v>
      </c>
      <c r="Z1439">
        <v>2</v>
      </c>
      <c r="AA1439">
        <v>6</v>
      </c>
      <c r="AB1439">
        <v>0</v>
      </c>
      <c r="AC1439">
        <v>1</v>
      </c>
      <c r="AD1439">
        <v>3</v>
      </c>
      <c r="AE1439" t="str" cm="1">
        <f t="array" ref="AE1439">_xlfn.IFS(G1439=1,"Before College",G1439=2,"College",G1439=3,"Bachelor",G1439=4,"Master",G1439=5,"Doctor")</f>
        <v>Bachelor</v>
      </c>
      <c r="AF1439" t="str" cm="1">
        <f t="array" ref="AF1439">_xlfn.IFS(J1439=1,"Low",J1439=2,"Medium",J1439=3,"High",J1439=4,"Very High")</f>
        <v>Very High</v>
      </c>
      <c r="AG1439" t="str" cm="1">
        <f t="array" ref="AG1439">_xlfn.IFS(L1439=1,"Low",L1439=2,"Medium",L1439=3,"High",L1439=4,"Very High")</f>
        <v>High</v>
      </c>
      <c r="AH1439" t="str" cm="1">
        <f t="array" ref="AH1439">_xlfn.IFS(M1439=1,"Junior employee",M1439=2,"Mid-level",M1439=3,"Senior",M1439=4,"Manager",M1439=5,"Executive")</f>
        <v>Executive</v>
      </c>
      <c r="AI1439" t="str" cm="1">
        <f t="array" ref="AI1439">_xlfn.IFS(O1439=1,"Low",O1439=2,"Medium",O1439=3,"High",O1439=4,"Very High")</f>
        <v>Very High</v>
      </c>
      <c r="AJ1439" t="str" cm="1">
        <f t="array" ref="AJ1439">_xlfn.IFS(U1439=1,"Low",U1439=2,"Good",U1439=3,"Excellent",U1439=4,"Outstanding")</f>
        <v>Excellent</v>
      </c>
      <c r="AK1439" t="str" cm="1">
        <f t="array" ref="AK1439">_xlfn.IFS(V1439=1,"Low",V1439=2,"Medium",V1439=3,"High",V1439=4,"Very High")</f>
        <v>High</v>
      </c>
      <c r="AL1439" t="str" cm="1">
        <f t="array" ref="AL1439">_xlfn.IFS(Z1439=1,"Bad",Z1439=2,"Good",Z1439=3,"Better",Z1439=4,"Best")</f>
        <v>Good</v>
      </c>
      <c r="AM1439" t="str" cm="1">
        <f t="array" ref="AM1439">_xlfn.IFS(W1439=0,"No_stock",W1439=1,"Low",W1439=2,"Medium",W1439=3,"High")</f>
        <v>No_stock</v>
      </c>
      <c r="AN1439" t="str">
        <f t="shared" si="22"/>
        <v>Medium</v>
      </c>
    </row>
    <row r="1440" spans="1:40" x14ac:dyDescent="0.45">
      <c r="A1440">
        <v>23</v>
      </c>
      <c r="B1440" t="s">
        <v>30</v>
      </c>
      <c r="C1440" t="s">
        <v>38</v>
      </c>
      <c r="D1440">
        <v>638</v>
      </c>
      <c r="E1440" t="s">
        <v>32</v>
      </c>
      <c r="F1440">
        <v>9</v>
      </c>
      <c r="G1440">
        <v>3</v>
      </c>
      <c r="H1440" t="s">
        <v>53</v>
      </c>
      <c r="I1440">
        <v>2023</v>
      </c>
      <c r="J1440">
        <v>4</v>
      </c>
      <c r="K1440" t="s">
        <v>40</v>
      </c>
      <c r="L1440">
        <v>3</v>
      </c>
      <c r="M1440">
        <v>1</v>
      </c>
      <c r="N1440" t="s">
        <v>51</v>
      </c>
      <c r="O1440">
        <v>1</v>
      </c>
      <c r="P1440" t="s">
        <v>42</v>
      </c>
      <c r="Q1440">
        <v>1790</v>
      </c>
      <c r="R1440">
        <v>1</v>
      </c>
      <c r="S1440" t="s">
        <v>37</v>
      </c>
      <c r="T1440">
        <v>19</v>
      </c>
      <c r="U1440">
        <v>3</v>
      </c>
      <c r="V1440">
        <v>1</v>
      </c>
      <c r="W1440">
        <v>1</v>
      </c>
      <c r="X1440">
        <v>1</v>
      </c>
      <c r="Y1440">
        <v>3</v>
      </c>
      <c r="Z1440">
        <v>2</v>
      </c>
      <c r="AA1440">
        <v>1</v>
      </c>
      <c r="AB1440">
        <v>0</v>
      </c>
      <c r="AC1440">
        <v>1</v>
      </c>
      <c r="AD1440">
        <v>0</v>
      </c>
      <c r="AE1440" t="str" cm="1">
        <f t="array" ref="AE1440">_xlfn.IFS(G1440=1,"Before College",G1440=2,"College",G1440=3,"Bachelor",G1440=4,"Master",G1440=5,"Doctor")</f>
        <v>Bachelor</v>
      </c>
      <c r="AF1440" t="str" cm="1">
        <f t="array" ref="AF1440">_xlfn.IFS(J1440=1,"Low",J1440=2,"Medium",J1440=3,"High",J1440=4,"Very High")</f>
        <v>Very High</v>
      </c>
      <c r="AG1440" t="str" cm="1">
        <f t="array" ref="AG1440">_xlfn.IFS(L1440=1,"Low",L1440=2,"Medium",L1440=3,"High",L1440=4,"Very High")</f>
        <v>High</v>
      </c>
      <c r="AH1440" t="str" cm="1">
        <f t="array" ref="AH1440">_xlfn.IFS(M1440=1,"Junior employee",M1440=2,"Mid-level",M1440=3,"Senior",M1440=4,"Manager",M1440=5,"Executive")</f>
        <v>Junior employee</v>
      </c>
      <c r="AI1440" t="str" cm="1">
        <f t="array" ref="AI1440">_xlfn.IFS(O1440=1,"Low",O1440=2,"Medium",O1440=3,"High",O1440=4,"Very High")</f>
        <v>Low</v>
      </c>
      <c r="AJ1440" t="str" cm="1">
        <f t="array" ref="AJ1440">_xlfn.IFS(U1440=1,"Low",U1440=2,"Good",U1440=3,"Excellent",U1440=4,"Outstanding")</f>
        <v>Excellent</v>
      </c>
      <c r="AK1440" t="str" cm="1">
        <f t="array" ref="AK1440">_xlfn.IFS(V1440=1,"Low",V1440=2,"Medium",V1440=3,"High",V1440=4,"Very High")</f>
        <v>Low</v>
      </c>
      <c r="AL1440" t="str" cm="1">
        <f t="array" ref="AL1440">_xlfn.IFS(Z1440=1,"Bad",Z1440=2,"Good",Z1440=3,"Better",Z1440=4,"Best")</f>
        <v>Good</v>
      </c>
      <c r="AM1440" t="str" cm="1">
        <f t="array" ref="AM1440">_xlfn.IFS(W1440=0,"No_stock",W1440=1,"Low",W1440=2,"Medium",W1440=3,"High")</f>
        <v>Low</v>
      </c>
      <c r="AN1440" t="str">
        <f t="shared" si="22"/>
        <v>Medium</v>
      </c>
    </row>
    <row r="1441" spans="1:40" x14ac:dyDescent="0.45">
      <c r="A1441">
        <v>36</v>
      </c>
      <c r="B1441" t="s">
        <v>37</v>
      </c>
      <c r="C1441" t="s">
        <v>31</v>
      </c>
      <c r="D1441">
        <v>557</v>
      </c>
      <c r="E1441" t="s">
        <v>32</v>
      </c>
      <c r="F1441">
        <v>3</v>
      </c>
      <c r="G1441">
        <v>3</v>
      </c>
      <c r="H1441" t="s">
        <v>45</v>
      </c>
      <c r="I1441">
        <v>2024</v>
      </c>
      <c r="J1441">
        <v>1</v>
      </c>
      <c r="K1441" t="s">
        <v>34</v>
      </c>
      <c r="L1441">
        <v>2</v>
      </c>
      <c r="M1441">
        <v>3</v>
      </c>
      <c r="N1441" t="s">
        <v>35</v>
      </c>
      <c r="O1441">
        <v>4</v>
      </c>
      <c r="P1441" t="s">
        <v>42</v>
      </c>
      <c r="Q1441">
        <v>7644</v>
      </c>
      <c r="R1441">
        <v>0</v>
      </c>
      <c r="S1441" t="s">
        <v>37</v>
      </c>
      <c r="T1441">
        <v>19</v>
      </c>
      <c r="U1441">
        <v>3</v>
      </c>
      <c r="V1441">
        <v>3</v>
      </c>
      <c r="W1441">
        <v>2</v>
      </c>
      <c r="X1441">
        <v>10</v>
      </c>
      <c r="Y1441">
        <v>2</v>
      </c>
      <c r="Z1441">
        <v>3</v>
      </c>
      <c r="AA1441">
        <v>9</v>
      </c>
      <c r="AB1441">
        <v>7</v>
      </c>
      <c r="AC1441">
        <v>3</v>
      </c>
      <c r="AD1441">
        <v>4</v>
      </c>
      <c r="AE1441" t="str" cm="1">
        <f t="array" ref="AE1441">_xlfn.IFS(G1441=1,"Before College",G1441=2,"College",G1441=3,"Bachelor",G1441=4,"Master",G1441=5,"Doctor")</f>
        <v>Bachelor</v>
      </c>
      <c r="AF1441" t="str" cm="1">
        <f t="array" ref="AF1441">_xlfn.IFS(J1441=1,"Low",J1441=2,"Medium",J1441=3,"High",J1441=4,"Very High")</f>
        <v>Low</v>
      </c>
      <c r="AG1441" t="str" cm="1">
        <f t="array" ref="AG1441">_xlfn.IFS(L1441=1,"Low",L1441=2,"Medium",L1441=3,"High",L1441=4,"Very High")</f>
        <v>Medium</v>
      </c>
      <c r="AH1441" t="str" cm="1">
        <f t="array" ref="AH1441">_xlfn.IFS(M1441=1,"Junior employee",M1441=2,"Mid-level",M1441=3,"Senior",M1441=4,"Manager",M1441=5,"Executive")</f>
        <v>Senior</v>
      </c>
      <c r="AI1441" t="str" cm="1">
        <f t="array" ref="AI1441">_xlfn.IFS(O1441=1,"Low",O1441=2,"Medium",O1441=3,"High",O1441=4,"Very High")</f>
        <v>Very High</v>
      </c>
      <c r="AJ1441" t="str" cm="1">
        <f t="array" ref="AJ1441">_xlfn.IFS(U1441=1,"Low",U1441=2,"Good",U1441=3,"Excellent",U1441=4,"Outstanding")</f>
        <v>Excellent</v>
      </c>
      <c r="AK1441" t="str" cm="1">
        <f t="array" ref="AK1441">_xlfn.IFS(V1441=1,"Low",V1441=2,"Medium",V1441=3,"High",V1441=4,"Very High")</f>
        <v>High</v>
      </c>
      <c r="AL1441" t="str" cm="1">
        <f t="array" ref="AL1441">_xlfn.IFS(Z1441=1,"Bad",Z1441=2,"Good",Z1441=3,"Better",Z1441=4,"Best")</f>
        <v>Better</v>
      </c>
      <c r="AM1441" t="str" cm="1">
        <f t="array" ref="AM1441">_xlfn.IFS(W1441=0,"No_stock",W1441=1,"Low",W1441=2,"Medium",W1441=3,"High")</f>
        <v>Medium</v>
      </c>
      <c r="AN1441" t="str">
        <f t="shared" si="22"/>
        <v>Near</v>
      </c>
    </row>
    <row r="1442" spans="1:40" x14ac:dyDescent="0.45">
      <c r="A1442">
        <v>36</v>
      </c>
      <c r="B1442" t="s">
        <v>37</v>
      </c>
      <c r="C1442" t="s">
        <v>38</v>
      </c>
      <c r="D1442">
        <v>688</v>
      </c>
      <c r="E1442" t="s">
        <v>39</v>
      </c>
      <c r="F1442">
        <v>4</v>
      </c>
      <c r="G1442">
        <v>2</v>
      </c>
      <c r="H1442" t="s">
        <v>33</v>
      </c>
      <c r="I1442">
        <v>2025</v>
      </c>
      <c r="J1442">
        <v>4</v>
      </c>
      <c r="K1442" t="s">
        <v>34</v>
      </c>
      <c r="L1442">
        <v>3</v>
      </c>
      <c r="M1442">
        <v>2</v>
      </c>
      <c r="N1442" t="s">
        <v>47</v>
      </c>
      <c r="O1442">
        <v>2</v>
      </c>
      <c r="P1442" t="s">
        <v>46</v>
      </c>
      <c r="Q1442">
        <v>5131</v>
      </c>
      <c r="R1442">
        <v>7</v>
      </c>
      <c r="S1442" t="s">
        <v>37</v>
      </c>
      <c r="T1442">
        <v>13</v>
      </c>
      <c r="U1442">
        <v>3</v>
      </c>
      <c r="V1442">
        <v>2</v>
      </c>
      <c r="W1442">
        <v>3</v>
      </c>
      <c r="X1442">
        <v>18</v>
      </c>
      <c r="Y1442">
        <v>3</v>
      </c>
      <c r="Z1442">
        <v>3</v>
      </c>
      <c r="AA1442">
        <v>4</v>
      </c>
      <c r="AB1442">
        <v>2</v>
      </c>
      <c r="AC1442">
        <v>0</v>
      </c>
      <c r="AD1442">
        <v>2</v>
      </c>
      <c r="AE1442" t="str" cm="1">
        <f t="array" ref="AE1442">_xlfn.IFS(G1442=1,"Before College",G1442=2,"College",G1442=3,"Bachelor",G1442=4,"Master",G1442=5,"Doctor")</f>
        <v>College</v>
      </c>
      <c r="AF1442" t="str" cm="1">
        <f t="array" ref="AF1442">_xlfn.IFS(J1442=1,"Low",J1442=2,"Medium",J1442=3,"High",J1442=4,"Very High")</f>
        <v>Very High</v>
      </c>
      <c r="AG1442" t="str" cm="1">
        <f t="array" ref="AG1442">_xlfn.IFS(L1442=1,"Low",L1442=2,"Medium",L1442=3,"High",L1442=4,"Very High")</f>
        <v>High</v>
      </c>
      <c r="AH1442" t="str" cm="1">
        <f t="array" ref="AH1442">_xlfn.IFS(M1442=1,"Junior employee",M1442=2,"Mid-level",M1442=3,"Senior",M1442=4,"Manager",M1442=5,"Executive")</f>
        <v>Mid-level</v>
      </c>
      <c r="AI1442" t="str" cm="1">
        <f t="array" ref="AI1442">_xlfn.IFS(O1442=1,"Low",O1442=2,"Medium",O1442=3,"High",O1442=4,"Very High")</f>
        <v>Medium</v>
      </c>
      <c r="AJ1442" t="str" cm="1">
        <f t="array" ref="AJ1442">_xlfn.IFS(U1442=1,"Low",U1442=2,"Good",U1442=3,"Excellent",U1442=4,"Outstanding")</f>
        <v>Excellent</v>
      </c>
      <c r="AK1442" t="str" cm="1">
        <f t="array" ref="AK1442">_xlfn.IFS(V1442=1,"Low",V1442=2,"Medium",V1442=3,"High",V1442=4,"Very High")</f>
        <v>Medium</v>
      </c>
      <c r="AL1442" t="str" cm="1">
        <f t="array" ref="AL1442">_xlfn.IFS(Z1442=1,"Bad",Z1442=2,"Good",Z1442=3,"Better",Z1442=4,"Best")</f>
        <v>Better</v>
      </c>
      <c r="AM1442" t="str" cm="1">
        <f t="array" ref="AM1442">_xlfn.IFS(W1442=0,"No_stock",W1442=1,"Low",W1442=2,"Medium",W1442=3,"High")</f>
        <v>High</v>
      </c>
      <c r="AN1442" t="str">
        <f t="shared" si="22"/>
        <v>Near</v>
      </c>
    </row>
    <row r="1443" spans="1:40" x14ac:dyDescent="0.45">
      <c r="A1443">
        <v>56</v>
      </c>
      <c r="B1443" t="s">
        <v>37</v>
      </c>
      <c r="C1443" t="s">
        <v>49</v>
      </c>
      <c r="D1443">
        <v>667</v>
      </c>
      <c r="E1443" t="s">
        <v>39</v>
      </c>
      <c r="F1443">
        <v>1</v>
      </c>
      <c r="G1443">
        <v>4</v>
      </c>
      <c r="H1443" t="s">
        <v>33</v>
      </c>
      <c r="I1443">
        <v>2026</v>
      </c>
      <c r="J1443">
        <v>3</v>
      </c>
      <c r="K1443" t="s">
        <v>40</v>
      </c>
      <c r="L1443">
        <v>3</v>
      </c>
      <c r="M1443">
        <v>2</v>
      </c>
      <c r="N1443" t="s">
        <v>48</v>
      </c>
      <c r="O1443">
        <v>3</v>
      </c>
      <c r="P1443" t="s">
        <v>46</v>
      </c>
      <c r="Q1443">
        <v>6306</v>
      </c>
      <c r="R1443">
        <v>1</v>
      </c>
      <c r="S1443" t="s">
        <v>37</v>
      </c>
      <c r="T1443">
        <v>21</v>
      </c>
      <c r="U1443">
        <v>4</v>
      </c>
      <c r="V1443">
        <v>1</v>
      </c>
      <c r="W1443">
        <v>1</v>
      </c>
      <c r="X1443">
        <v>13</v>
      </c>
      <c r="Y1443">
        <v>2</v>
      </c>
      <c r="Z1443">
        <v>2</v>
      </c>
      <c r="AA1443">
        <v>13</v>
      </c>
      <c r="AB1443">
        <v>12</v>
      </c>
      <c r="AC1443">
        <v>1</v>
      </c>
      <c r="AD1443">
        <v>9</v>
      </c>
      <c r="AE1443" t="str" cm="1">
        <f t="array" ref="AE1443">_xlfn.IFS(G1443=1,"Before College",G1443=2,"College",G1443=3,"Bachelor",G1443=4,"Master",G1443=5,"Doctor")</f>
        <v>Master</v>
      </c>
      <c r="AF1443" t="str" cm="1">
        <f t="array" ref="AF1443">_xlfn.IFS(J1443=1,"Low",J1443=2,"Medium",J1443=3,"High",J1443=4,"Very High")</f>
        <v>High</v>
      </c>
      <c r="AG1443" t="str" cm="1">
        <f t="array" ref="AG1443">_xlfn.IFS(L1443=1,"Low",L1443=2,"Medium",L1443=3,"High",L1443=4,"Very High")</f>
        <v>High</v>
      </c>
      <c r="AH1443" t="str" cm="1">
        <f t="array" ref="AH1443">_xlfn.IFS(M1443=1,"Junior employee",M1443=2,"Mid-level",M1443=3,"Senior",M1443=4,"Manager",M1443=5,"Executive")</f>
        <v>Mid-level</v>
      </c>
      <c r="AI1443" t="str" cm="1">
        <f t="array" ref="AI1443">_xlfn.IFS(O1443=1,"Low",O1443=2,"Medium",O1443=3,"High",O1443=4,"Very High")</f>
        <v>High</v>
      </c>
      <c r="AJ1443" t="str" cm="1">
        <f t="array" ref="AJ1443">_xlfn.IFS(U1443=1,"Low",U1443=2,"Good",U1443=3,"Excellent",U1443=4,"Outstanding")</f>
        <v>Outstanding</v>
      </c>
      <c r="AK1443" t="str" cm="1">
        <f t="array" ref="AK1443">_xlfn.IFS(V1443=1,"Low",V1443=2,"Medium",V1443=3,"High",V1443=4,"Very High")</f>
        <v>Low</v>
      </c>
      <c r="AL1443" t="str" cm="1">
        <f t="array" ref="AL1443">_xlfn.IFS(Z1443=1,"Bad",Z1443=2,"Good",Z1443=3,"Better",Z1443=4,"Best")</f>
        <v>Good</v>
      </c>
      <c r="AM1443" t="str" cm="1">
        <f t="array" ref="AM1443">_xlfn.IFS(W1443=0,"No_stock",W1443=1,"Low",W1443=2,"Medium",W1443=3,"High")</f>
        <v>Low</v>
      </c>
      <c r="AN1443" t="str">
        <f t="shared" si="22"/>
        <v>Near</v>
      </c>
    </row>
    <row r="1444" spans="1:40" x14ac:dyDescent="0.45">
      <c r="A1444">
        <v>29</v>
      </c>
      <c r="B1444" t="s">
        <v>30</v>
      </c>
      <c r="C1444" t="s">
        <v>31</v>
      </c>
      <c r="D1444">
        <v>1092</v>
      </c>
      <c r="E1444" t="s">
        <v>39</v>
      </c>
      <c r="F1444">
        <v>1</v>
      </c>
      <c r="G1444">
        <v>4</v>
      </c>
      <c r="H1444" t="s">
        <v>45</v>
      </c>
      <c r="I1444">
        <v>2027</v>
      </c>
      <c r="J1444">
        <v>1</v>
      </c>
      <c r="K1444" t="s">
        <v>40</v>
      </c>
      <c r="L1444">
        <v>3</v>
      </c>
      <c r="M1444">
        <v>1</v>
      </c>
      <c r="N1444" t="s">
        <v>41</v>
      </c>
      <c r="O1444">
        <v>4</v>
      </c>
      <c r="P1444" t="s">
        <v>42</v>
      </c>
      <c r="Q1444">
        <v>4787</v>
      </c>
      <c r="R1444">
        <v>9</v>
      </c>
      <c r="S1444" t="s">
        <v>30</v>
      </c>
      <c r="T1444">
        <v>14</v>
      </c>
      <c r="U1444">
        <v>3</v>
      </c>
      <c r="V1444">
        <v>2</v>
      </c>
      <c r="W1444">
        <v>3</v>
      </c>
      <c r="X1444">
        <v>4</v>
      </c>
      <c r="Y1444">
        <v>3</v>
      </c>
      <c r="Z1444">
        <v>4</v>
      </c>
      <c r="AA1444">
        <v>2</v>
      </c>
      <c r="AB1444">
        <v>2</v>
      </c>
      <c r="AC1444">
        <v>2</v>
      </c>
      <c r="AD1444">
        <v>2</v>
      </c>
      <c r="AE1444" t="str" cm="1">
        <f t="array" ref="AE1444">_xlfn.IFS(G1444=1,"Before College",G1444=2,"College",G1444=3,"Bachelor",G1444=4,"Master",G1444=5,"Doctor")</f>
        <v>Master</v>
      </c>
      <c r="AF1444" t="str" cm="1">
        <f t="array" ref="AF1444">_xlfn.IFS(J1444=1,"Low",J1444=2,"Medium",J1444=3,"High",J1444=4,"Very High")</f>
        <v>Low</v>
      </c>
      <c r="AG1444" t="str" cm="1">
        <f t="array" ref="AG1444">_xlfn.IFS(L1444=1,"Low",L1444=2,"Medium",L1444=3,"High",L1444=4,"Very High")</f>
        <v>High</v>
      </c>
      <c r="AH1444" t="str" cm="1">
        <f t="array" ref="AH1444">_xlfn.IFS(M1444=1,"Junior employee",M1444=2,"Mid-level",M1444=3,"Senior",M1444=4,"Manager",M1444=5,"Executive")</f>
        <v>Junior employee</v>
      </c>
      <c r="AI1444" t="str" cm="1">
        <f t="array" ref="AI1444">_xlfn.IFS(O1444=1,"Low",O1444=2,"Medium",O1444=3,"High",O1444=4,"Very High")</f>
        <v>Very High</v>
      </c>
      <c r="AJ1444" t="str" cm="1">
        <f t="array" ref="AJ1444">_xlfn.IFS(U1444=1,"Low",U1444=2,"Good",U1444=3,"Excellent",U1444=4,"Outstanding")</f>
        <v>Excellent</v>
      </c>
      <c r="AK1444" t="str" cm="1">
        <f t="array" ref="AK1444">_xlfn.IFS(V1444=1,"Low",V1444=2,"Medium",V1444=3,"High",V1444=4,"Very High")</f>
        <v>Medium</v>
      </c>
      <c r="AL1444" t="str" cm="1">
        <f t="array" ref="AL1444">_xlfn.IFS(Z1444=1,"Bad",Z1444=2,"Good",Z1444=3,"Better",Z1444=4,"Best")</f>
        <v>Best</v>
      </c>
      <c r="AM1444" t="str" cm="1">
        <f t="array" ref="AM1444">_xlfn.IFS(W1444=0,"No_stock",W1444=1,"Low",W1444=2,"Medium",W1444=3,"High")</f>
        <v>High</v>
      </c>
      <c r="AN1444" t="str">
        <f t="shared" si="22"/>
        <v>Near</v>
      </c>
    </row>
    <row r="1445" spans="1:40" x14ac:dyDescent="0.45">
      <c r="A1445">
        <v>42</v>
      </c>
      <c r="B1445" t="s">
        <v>37</v>
      </c>
      <c r="C1445" t="s">
        <v>31</v>
      </c>
      <c r="D1445">
        <v>300</v>
      </c>
      <c r="E1445" t="s">
        <v>39</v>
      </c>
      <c r="F1445">
        <v>2</v>
      </c>
      <c r="G1445">
        <v>3</v>
      </c>
      <c r="H1445" t="s">
        <v>33</v>
      </c>
      <c r="I1445">
        <v>2031</v>
      </c>
      <c r="J1445">
        <v>1</v>
      </c>
      <c r="K1445" t="s">
        <v>40</v>
      </c>
      <c r="L1445">
        <v>3</v>
      </c>
      <c r="M1445">
        <v>5</v>
      </c>
      <c r="N1445" t="s">
        <v>50</v>
      </c>
      <c r="O1445">
        <v>3</v>
      </c>
      <c r="P1445" t="s">
        <v>42</v>
      </c>
      <c r="Q1445">
        <v>18880</v>
      </c>
      <c r="R1445">
        <v>5</v>
      </c>
      <c r="S1445" t="s">
        <v>37</v>
      </c>
      <c r="T1445">
        <v>11</v>
      </c>
      <c r="U1445">
        <v>3</v>
      </c>
      <c r="V1445">
        <v>1</v>
      </c>
      <c r="W1445">
        <v>0</v>
      </c>
      <c r="X1445">
        <v>24</v>
      </c>
      <c r="Y1445">
        <v>2</v>
      </c>
      <c r="Z1445">
        <v>2</v>
      </c>
      <c r="AA1445">
        <v>22</v>
      </c>
      <c r="AB1445">
        <v>6</v>
      </c>
      <c r="AC1445">
        <v>4</v>
      </c>
      <c r="AD1445">
        <v>14</v>
      </c>
      <c r="AE1445" t="str" cm="1">
        <f t="array" ref="AE1445">_xlfn.IFS(G1445=1,"Before College",G1445=2,"College",G1445=3,"Bachelor",G1445=4,"Master",G1445=5,"Doctor")</f>
        <v>Bachelor</v>
      </c>
      <c r="AF1445" t="str" cm="1">
        <f t="array" ref="AF1445">_xlfn.IFS(J1445=1,"Low",J1445=2,"Medium",J1445=3,"High",J1445=4,"Very High")</f>
        <v>Low</v>
      </c>
      <c r="AG1445" t="str" cm="1">
        <f t="array" ref="AG1445">_xlfn.IFS(L1445=1,"Low",L1445=2,"Medium",L1445=3,"High",L1445=4,"Very High")</f>
        <v>High</v>
      </c>
      <c r="AH1445" t="str" cm="1">
        <f t="array" ref="AH1445">_xlfn.IFS(M1445=1,"Junior employee",M1445=2,"Mid-level",M1445=3,"Senior",M1445=4,"Manager",M1445=5,"Executive")</f>
        <v>Executive</v>
      </c>
      <c r="AI1445" t="str" cm="1">
        <f t="array" ref="AI1445">_xlfn.IFS(O1445=1,"Low",O1445=2,"Medium",O1445=3,"High",O1445=4,"Very High")</f>
        <v>High</v>
      </c>
      <c r="AJ1445" t="str" cm="1">
        <f t="array" ref="AJ1445">_xlfn.IFS(U1445=1,"Low",U1445=2,"Good",U1445=3,"Excellent",U1445=4,"Outstanding")</f>
        <v>Excellent</v>
      </c>
      <c r="AK1445" t="str" cm="1">
        <f t="array" ref="AK1445">_xlfn.IFS(V1445=1,"Low",V1445=2,"Medium",V1445=3,"High",V1445=4,"Very High")</f>
        <v>Low</v>
      </c>
      <c r="AL1445" t="str" cm="1">
        <f t="array" ref="AL1445">_xlfn.IFS(Z1445=1,"Bad",Z1445=2,"Good",Z1445=3,"Better",Z1445=4,"Best")</f>
        <v>Good</v>
      </c>
      <c r="AM1445" t="str" cm="1">
        <f t="array" ref="AM1445">_xlfn.IFS(W1445=0,"No_stock",W1445=1,"Low",W1445=2,"Medium",W1445=3,"High")</f>
        <v>No_stock</v>
      </c>
      <c r="AN1445" t="str">
        <f t="shared" si="22"/>
        <v>Near</v>
      </c>
    </row>
    <row r="1446" spans="1:40" x14ac:dyDescent="0.45">
      <c r="A1446">
        <v>56</v>
      </c>
      <c r="B1446" t="s">
        <v>30</v>
      </c>
      <c r="C1446" t="s">
        <v>31</v>
      </c>
      <c r="D1446">
        <v>310</v>
      </c>
      <c r="E1446" t="s">
        <v>39</v>
      </c>
      <c r="F1446">
        <v>7</v>
      </c>
      <c r="G1446">
        <v>2</v>
      </c>
      <c r="H1446" t="s">
        <v>54</v>
      </c>
      <c r="I1446">
        <v>2032</v>
      </c>
      <c r="J1446">
        <v>4</v>
      </c>
      <c r="K1446" t="s">
        <v>40</v>
      </c>
      <c r="L1446">
        <v>3</v>
      </c>
      <c r="M1446">
        <v>1</v>
      </c>
      <c r="N1446" t="s">
        <v>44</v>
      </c>
      <c r="O1446">
        <v>3</v>
      </c>
      <c r="P1446" t="s">
        <v>42</v>
      </c>
      <c r="Q1446">
        <v>2339</v>
      </c>
      <c r="R1446">
        <v>8</v>
      </c>
      <c r="S1446" t="s">
        <v>37</v>
      </c>
      <c r="T1446">
        <v>11</v>
      </c>
      <c r="U1446">
        <v>3</v>
      </c>
      <c r="V1446">
        <v>4</v>
      </c>
      <c r="W1446">
        <v>1</v>
      </c>
      <c r="X1446">
        <v>14</v>
      </c>
      <c r="Y1446">
        <v>4</v>
      </c>
      <c r="Z1446">
        <v>1</v>
      </c>
      <c r="AA1446">
        <v>10</v>
      </c>
      <c r="AB1446">
        <v>9</v>
      </c>
      <c r="AC1446">
        <v>9</v>
      </c>
      <c r="AD1446">
        <v>8</v>
      </c>
      <c r="AE1446" t="str" cm="1">
        <f t="array" ref="AE1446">_xlfn.IFS(G1446=1,"Before College",G1446=2,"College",G1446=3,"Bachelor",G1446=4,"Master",G1446=5,"Doctor")</f>
        <v>College</v>
      </c>
      <c r="AF1446" t="str" cm="1">
        <f t="array" ref="AF1446">_xlfn.IFS(J1446=1,"Low",J1446=2,"Medium",J1446=3,"High",J1446=4,"Very High")</f>
        <v>Very High</v>
      </c>
      <c r="AG1446" t="str" cm="1">
        <f t="array" ref="AG1446">_xlfn.IFS(L1446=1,"Low",L1446=2,"Medium",L1446=3,"High",L1446=4,"Very High")</f>
        <v>High</v>
      </c>
      <c r="AH1446" t="str" cm="1">
        <f t="array" ref="AH1446">_xlfn.IFS(M1446=1,"Junior employee",M1446=2,"Mid-level",M1446=3,"Senior",M1446=4,"Manager",M1446=5,"Executive")</f>
        <v>Junior employee</v>
      </c>
      <c r="AI1446" t="str" cm="1">
        <f t="array" ref="AI1446">_xlfn.IFS(O1446=1,"Low",O1446=2,"Medium",O1446=3,"High",O1446=4,"Very High")</f>
        <v>High</v>
      </c>
      <c r="AJ1446" t="str" cm="1">
        <f t="array" ref="AJ1446">_xlfn.IFS(U1446=1,"Low",U1446=2,"Good",U1446=3,"Excellent",U1446=4,"Outstanding")</f>
        <v>Excellent</v>
      </c>
      <c r="AK1446" t="str" cm="1">
        <f t="array" ref="AK1446">_xlfn.IFS(V1446=1,"Low",V1446=2,"Medium",V1446=3,"High",V1446=4,"Very High")</f>
        <v>Very High</v>
      </c>
      <c r="AL1446" t="str" cm="1">
        <f t="array" ref="AL1446">_xlfn.IFS(Z1446=1,"Bad",Z1446=2,"Good",Z1446=3,"Better",Z1446=4,"Best")</f>
        <v>Bad</v>
      </c>
      <c r="AM1446" t="str" cm="1">
        <f t="array" ref="AM1446">_xlfn.IFS(W1446=0,"No_stock",W1446=1,"Low",W1446=2,"Medium",W1446=3,"High")</f>
        <v>Low</v>
      </c>
      <c r="AN1446" t="str">
        <f t="shared" si="22"/>
        <v>Medium</v>
      </c>
    </row>
    <row r="1447" spans="1:40" x14ac:dyDescent="0.45">
      <c r="A1447">
        <v>41</v>
      </c>
      <c r="B1447" t="s">
        <v>37</v>
      </c>
      <c r="C1447" t="s">
        <v>31</v>
      </c>
      <c r="D1447">
        <v>582</v>
      </c>
      <c r="E1447" t="s">
        <v>39</v>
      </c>
      <c r="F1447">
        <v>28</v>
      </c>
      <c r="G1447">
        <v>4</v>
      </c>
      <c r="H1447" t="s">
        <v>33</v>
      </c>
      <c r="I1447">
        <v>2034</v>
      </c>
      <c r="J1447">
        <v>1</v>
      </c>
      <c r="K1447" t="s">
        <v>34</v>
      </c>
      <c r="L1447">
        <v>2</v>
      </c>
      <c r="M1447">
        <v>4</v>
      </c>
      <c r="N1447" t="s">
        <v>47</v>
      </c>
      <c r="O1447">
        <v>2</v>
      </c>
      <c r="P1447" t="s">
        <v>42</v>
      </c>
      <c r="Q1447">
        <v>13570</v>
      </c>
      <c r="R1447">
        <v>0</v>
      </c>
      <c r="S1447" t="s">
        <v>37</v>
      </c>
      <c r="T1447">
        <v>23</v>
      </c>
      <c r="U1447">
        <v>4</v>
      </c>
      <c r="V1447">
        <v>3</v>
      </c>
      <c r="W1447">
        <v>1</v>
      </c>
      <c r="X1447">
        <v>21</v>
      </c>
      <c r="Y1447">
        <v>3</v>
      </c>
      <c r="Z1447">
        <v>3</v>
      </c>
      <c r="AA1447">
        <v>20</v>
      </c>
      <c r="AB1447">
        <v>7</v>
      </c>
      <c r="AC1447">
        <v>0</v>
      </c>
      <c r="AD1447">
        <v>10</v>
      </c>
      <c r="AE1447" t="str" cm="1">
        <f t="array" ref="AE1447">_xlfn.IFS(G1447=1,"Before College",G1447=2,"College",G1447=3,"Bachelor",G1447=4,"Master",G1447=5,"Doctor")</f>
        <v>Master</v>
      </c>
      <c r="AF1447" t="str" cm="1">
        <f t="array" ref="AF1447">_xlfn.IFS(J1447=1,"Low",J1447=2,"Medium",J1447=3,"High",J1447=4,"Very High")</f>
        <v>Low</v>
      </c>
      <c r="AG1447" t="str" cm="1">
        <f t="array" ref="AG1447">_xlfn.IFS(L1447=1,"Low",L1447=2,"Medium",L1447=3,"High",L1447=4,"Very High")</f>
        <v>Medium</v>
      </c>
      <c r="AH1447" t="str" cm="1">
        <f t="array" ref="AH1447">_xlfn.IFS(M1447=1,"Junior employee",M1447=2,"Mid-level",M1447=3,"Senior",M1447=4,"Manager",M1447=5,"Executive")</f>
        <v>Manager</v>
      </c>
      <c r="AI1447" t="str" cm="1">
        <f t="array" ref="AI1447">_xlfn.IFS(O1447=1,"Low",O1447=2,"Medium",O1447=3,"High",O1447=4,"Very High")</f>
        <v>Medium</v>
      </c>
      <c r="AJ1447" t="str" cm="1">
        <f t="array" ref="AJ1447">_xlfn.IFS(U1447=1,"Low",U1447=2,"Good",U1447=3,"Excellent",U1447=4,"Outstanding")</f>
        <v>Outstanding</v>
      </c>
      <c r="AK1447" t="str" cm="1">
        <f t="array" ref="AK1447">_xlfn.IFS(V1447=1,"Low",V1447=2,"Medium",V1447=3,"High",V1447=4,"Very High")</f>
        <v>High</v>
      </c>
      <c r="AL1447" t="str" cm="1">
        <f t="array" ref="AL1447">_xlfn.IFS(Z1447=1,"Bad",Z1447=2,"Good",Z1447=3,"Better",Z1447=4,"Best")</f>
        <v>Better</v>
      </c>
      <c r="AM1447" t="str" cm="1">
        <f t="array" ref="AM1447">_xlfn.IFS(W1447=0,"No_stock",W1447=1,"Low",W1447=2,"Medium",W1447=3,"High")</f>
        <v>Low</v>
      </c>
      <c r="AN1447" t="str">
        <f t="shared" si="22"/>
        <v>Far</v>
      </c>
    </row>
    <row r="1448" spans="1:40" x14ac:dyDescent="0.45">
      <c r="A1448">
        <v>34</v>
      </c>
      <c r="B1448" t="s">
        <v>37</v>
      </c>
      <c r="C1448" t="s">
        <v>31</v>
      </c>
      <c r="D1448">
        <v>704</v>
      </c>
      <c r="E1448" t="s">
        <v>32</v>
      </c>
      <c r="F1448">
        <v>28</v>
      </c>
      <c r="G1448">
        <v>3</v>
      </c>
      <c r="H1448" t="s">
        <v>53</v>
      </c>
      <c r="I1448">
        <v>2035</v>
      </c>
      <c r="J1448">
        <v>4</v>
      </c>
      <c r="K1448" t="s">
        <v>34</v>
      </c>
      <c r="L1448">
        <v>2</v>
      </c>
      <c r="M1448">
        <v>2</v>
      </c>
      <c r="N1448" t="s">
        <v>35</v>
      </c>
      <c r="O1448">
        <v>3</v>
      </c>
      <c r="P1448" t="s">
        <v>42</v>
      </c>
      <c r="Q1448">
        <v>6712</v>
      </c>
      <c r="R1448">
        <v>1</v>
      </c>
      <c r="S1448" t="s">
        <v>37</v>
      </c>
      <c r="T1448">
        <v>21</v>
      </c>
      <c r="U1448">
        <v>4</v>
      </c>
      <c r="V1448">
        <v>4</v>
      </c>
      <c r="W1448">
        <v>2</v>
      </c>
      <c r="X1448">
        <v>8</v>
      </c>
      <c r="Y1448">
        <v>2</v>
      </c>
      <c r="Z1448">
        <v>3</v>
      </c>
      <c r="AA1448">
        <v>8</v>
      </c>
      <c r="AB1448">
        <v>7</v>
      </c>
      <c r="AC1448">
        <v>1</v>
      </c>
      <c r="AD1448">
        <v>7</v>
      </c>
      <c r="AE1448" t="str" cm="1">
        <f t="array" ref="AE1448">_xlfn.IFS(G1448=1,"Before College",G1448=2,"College",G1448=3,"Bachelor",G1448=4,"Master",G1448=5,"Doctor")</f>
        <v>Bachelor</v>
      </c>
      <c r="AF1448" t="str" cm="1">
        <f t="array" ref="AF1448">_xlfn.IFS(J1448=1,"Low",J1448=2,"Medium",J1448=3,"High",J1448=4,"Very High")</f>
        <v>Very High</v>
      </c>
      <c r="AG1448" t="str" cm="1">
        <f t="array" ref="AG1448">_xlfn.IFS(L1448=1,"Low",L1448=2,"Medium",L1448=3,"High",L1448=4,"Very High")</f>
        <v>Medium</v>
      </c>
      <c r="AH1448" t="str" cm="1">
        <f t="array" ref="AH1448">_xlfn.IFS(M1448=1,"Junior employee",M1448=2,"Mid-level",M1448=3,"Senior",M1448=4,"Manager",M1448=5,"Executive")</f>
        <v>Mid-level</v>
      </c>
      <c r="AI1448" t="str" cm="1">
        <f t="array" ref="AI1448">_xlfn.IFS(O1448=1,"Low",O1448=2,"Medium",O1448=3,"High",O1448=4,"Very High")</f>
        <v>High</v>
      </c>
      <c r="AJ1448" t="str" cm="1">
        <f t="array" ref="AJ1448">_xlfn.IFS(U1448=1,"Low",U1448=2,"Good",U1448=3,"Excellent",U1448=4,"Outstanding")</f>
        <v>Outstanding</v>
      </c>
      <c r="AK1448" t="str" cm="1">
        <f t="array" ref="AK1448">_xlfn.IFS(V1448=1,"Low",V1448=2,"Medium",V1448=3,"High",V1448=4,"Very High")</f>
        <v>Very High</v>
      </c>
      <c r="AL1448" t="str" cm="1">
        <f t="array" ref="AL1448">_xlfn.IFS(Z1448=1,"Bad",Z1448=2,"Good",Z1448=3,"Better",Z1448=4,"Best")</f>
        <v>Better</v>
      </c>
      <c r="AM1448" t="str" cm="1">
        <f t="array" ref="AM1448">_xlfn.IFS(W1448=0,"No_stock",W1448=1,"Low",W1448=2,"Medium",W1448=3,"High")</f>
        <v>Medium</v>
      </c>
      <c r="AN1448" t="str">
        <f t="shared" si="22"/>
        <v>Far</v>
      </c>
    </row>
    <row r="1449" spans="1:40" x14ac:dyDescent="0.45">
      <c r="A1449">
        <v>36</v>
      </c>
      <c r="B1449" t="s">
        <v>37</v>
      </c>
      <c r="C1449" t="s">
        <v>49</v>
      </c>
      <c r="D1449">
        <v>301</v>
      </c>
      <c r="E1449" t="s">
        <v>32</v>
      </c>
      <c r="F1449">
        <v>15</v>
      </c>
      <c r="G1449">
        <v>4</v>
      </c>
      <c r="H1449" t="s">
        <v>53</v>
      </c>
      <c r="I1449">
        <v>2036</v>
      </c>
      <c r="J1449">
        <v>4</v>
      </c>
      <c r="K1449" t="s">
        <v>40</v>
      </c>
      <c r="L1449">
        <v>1</v>
      </c>
      <c r="M1449">
        <v>2</v>
      </c>
      <c r="N1449" t="s">
        <v>35</v>
      </c>
      <c r="O1449">
        <v>4</v>
      </c>
      <c r="P1449" t="s">
        <v>46</v>
      </c>
      <c r="Q1449">
        <v>5406</v>
      </c>
      <c r="R1449">
        <v>1</v>
      </c>
      <c r="S1449" t="s">
        <v>37</v>
      </c>
      <c r="T1449">
        <v>24</v>
      </c>
      <c r="U1449">
        <v>4</v>
      </c>
      <c r="V1449">
        <v>1</v>
      </c>
      <c r="W1449">
        <v>1</v>
      </c>
      <c r="X1449">
        <v>15</v>
      </c>
      <c r="Y1449">
        <v>4</v>
      </c>
      <c r="Z1449">
        <v>2</v>
      </c>
      <c r="AA1449">
        <v>15</v>
      </c>
      <c r="AB1449">
        <v>12</v>
      </c>
      <c r="AC1449">
        <v>11</v>
      </c>
      <c r="AD1449">
        <v>11</v>
      </c>
      <c r="AE1449" t="str" cm="1">
        <f t="array" ref="AE1449">_xlfn.IFS(G1449=1,"Before College",G1449=2,"College",G1449=3,"Bachelor",G1449=4,"Master",G1449=5,"Doctor")</f>
        <v>Master</v>
      </c>
      <c r="AF1449" t="str" cm="1">
        <f t="array" ref="AF1449">_xlfn.IFS(J1449=1,"Low",J1449=2,"Medium",J1449=3,"High",J1449=4,"Very High")</f>
        <v>Very High</v>
      </c>
      <c r="AG1449" t="str" cm="1">
        <f t="array" ref="AG1449">_xlfn.IFS(L1449=1,"Low",L1449=2,"Medium",L1449=3,"High",L1449=4,"Very High")</f>
        <v>Low</v>
      </c>
      <c r="AH1449" t="str" cm="1">
        <f t="array" ref="AH1449">_xlfn.IFS(M1449=1,"Junior employee",M1449=2,"Mid-level",M1449=3,"Senior",M1449=4,"Manager",M1449=5,"Executive")</f>
        <v>Mid-level</v>
      </c>
      <c r="AI1449" t="str" cm="1">
        <f t="array" ref="AI1449">_xlfn.IFS(O1449=1,"Low",O1449=2,"Medium",O1449=3,"High",O1449=4,"Very High")</f>
        <v>Very High</v>
      </c>
      <c r="AJ1449" t="str" cm="1">
        <f t="array" ref="AJ1449">_xlfn.IFS(U1449=1,"Low",U1449=2,"Good",U1449=3,"Excellent",U1449=4,"Outstanding")</f>
        <v>Outstanding</v>
      </c>
      <c r="AK1449" t="str" cm="1">
        <f t="array" ref="AK1449">_xlfn.IFS(V1449=1,"Low",V1449=2,"Medium",V1449=3,"High",V1449=4,"Very High")</f>
        <v>Low</v>
      </c>
      <c r="AL1449" t="str" cm="1">
        <f t="array" ref="AL1449">_xlfn.IFS(Z1449=1,"Bad",Z1449=2,"Good",Z1449=3,"Better",Z1449=4,"Best")</f>
        <v>Good</v>
      </c>
      <c r="AM1449" t="str" cm="1">
        <f t="array" ref="AM1449">_xlfn.IFS(W1449=0,"No_stock",W1449=1,"Low",W1449=2,"Medium",W1449=3,"High")</f>
        <v>Low</v>
      </c>
      <c r="AN1449" t="str">
        <f t="shared" si="22"/>
        <v>Medium</v>
      </c>
    </row>
    <row r="1450" spans="1:40" x14ac:dyDescent="0.45">
      <c r="A1450">
        <v>41</v>
      </c>
      <c r="B1450" t="s">
        <v>37</v>
      </c>
      <c r="C1450" t="s">
        <v>31</v>
      </c>
      <c r="D1450">
        <v>930</v>
      </c>
      <c r="E1450" t="s">
        <v>32</v>
      </c>
      <c r="F1450">
        <v>3</v>
      </c>
      <c r="G1450">
        <v>3</v>
      </c>
      <c r="H1450" t="s">
        <v>33</v>
      </c>
      <c r="I1450">
        <v>2037</v>
      </c>
      <c r="J1450">
        <v>3</v>
      </c>
      <c r="K1450" t="s">
        <v>40</v>
      </c>
      <c r="L1450">
        <v>2</v>
      </c>
      <c r="M1450">
        <v>2</v>
      </c>
      <c r="N1450" t="s">
        <v>35</v>
      </c>
      <c r="O1450">
        <v>2</v>
      </c>
      <c r="P1450" t="s">
        <v>46</v>
      </c>
      <c r="Q1450">
        <v>8938</v>
      </c>
      <c r="R1450">
        <v>2</v>
      </c>
      <c r="S1450" t="s">
        <v>37</v>
      </c>
      <c r="T1450">
        <v>11</v>
      </c>
      <c r="U1450">
        <v>3</v>
      </c>
      <c r="V1450">
        <v>3</v>
      </c>
      <c r="W1450">
        <v>1</v>
      </c>
      <c r="X1450">
        <v>14</v>
      </c>
      <c r="Y1450">
        <v>5</v>
      </c>
      <c r="Z1450">
        <v>3</v>
      </c>
      <c r="AA1450">
        <v>5</v>
      </c>
      <c r="AB1450">
        <v>4</v>
      </c>
      <c r="AC1450">
        <v>0</v>
      </c>
      <c r="AD1450">
        <v>4</v>
      </c>
      <c r="AE1450" t="str" cm="1">
        <f t="array" ref="AE1450">_xlfn.IFS(G1450=1,"Before College",G1450=2,"College",G1450=3,"Bachelor",G1450=4,"Master",G1450=5,"Doctor")</f>
        <v>Bachelor</v>
      </c>
      <c r="AF1450" t="str" cm="1">
        <f t="array" ref="AF1450">_xlfn.IFS(J1450=1,"Low",J1450=2,"Medium",J1450=3,"High",J1450=4,"Very High")</f>
        <v>High</v>
      </c>
      <c r="AG1450" t="str" cm="1">
        <f t="array" ref="AG1450">_xlfn.IFS(L1450=1,"Low",L1450=2,"Medium",L1450=3,"High",L1450=4,"Very High")</f>
        <v>Medium</v>
      </c>
      <c r="AH1450" t="str" cm="1">
        <f t="array" ref="AH1450">_xlfn.IFS(M1450=1,"Junior employee",M1450=2,"Mid-level",M1450=3,"Senior",M1450=4,"Manager",M1450=5,"Executive")</f>
        <v>Mid-level</v>
      </c>
      <c r="AI1450" t="str" cm="1">
        <f t="array" ref="AI1450">_xlfn.IFS(O1450=1,"Low",O1450=2,"Medium",O1450=3,"High",O1450=4,"Very High")</f>
        <v>Medium</v>
      </c>
      <c r="AJ1450" t="str" cm="1">
        <f t="array" ref="AJ1450">_xlfn.IFS(U1450=1,"Low",U1450=2,"Good",U1450=3,"Excellent",U1450=4,"Outstanding")</f>
        <v>Excellent</v>
      </c>
      <c r="AK1450" t="str" cm="1">
        <f t="array" ref="AK1450">_xlfn.IFS(V1450=1,"Low",V1450=2,"Medium",V1450=3,"High",V1450=4,"Very High")</f>
        <v>High</v>
      </c>
      <c r="AL1450" t="str" cm="1">
        <f t="array" ref="AL1450">_xlfn.IFS(Z1450=1,"Bad",Z1450=2,"Good",Z1450=3,"Better",Z1450=4,"Best")</f>
        <v>Better</v>
      </c>
      <c r="AM1450" t="str" cm="1">
        <f t="array" ref="AM1450">_xlfn.IFS(W1450=0,"No_stock",W1450=1,"Low",W1450=2,"Medium",W1450=3,"High")</f>
        <v>Low</v>
      </c>
      <c r="AN1450" t="str">
        <f t="shared" si="22"/>
        <v>Near</v>
      </c>
    </row>
    <row r="1451" spans="1:40" x14ac:dyDescent="0.45">
      <c r="A1451">
        <v>32</v>
      </c>
      <c r="B1451" t="s">
        <v>37</v>
      </c>
      <c r="C1451" t="s">
        <v>31</v>
      </c>
      <c r="D1451">
        <v>529</v>
      </c>
      <c r="E1451" t="s">
        <v>39</v>
      </c>
      <c r="F1451">
        <v>2</v>
      </c>
      <c r="G1451">
        <v>3</v>
      </c>
      <c r="H1451" t="s">
        <v>54</v>
      </c>
      <c r="I1451">
        <v>2038</v>
      </c>
      <c r="J1451">
        <v>4</v>
      </c>
      <c r="K1451" t="s">
        <v>40</v>
      </c>
      <c r="L1451">
        <v>3</v>
      </c>
      <c r="M1451">
        <v>1</v>
      </c>
      <c r="N1451" t="s">
        <v>41</v>
      </c>
      <c r="O1451">
        <v>1</v>
      </c>
      <c r="P1451" t="s">
        <v>36</v>
      </c>
      <c r="Q1451">
        <v>2439</v>
      </c>
      <c r="R1451">
        <v>1</v>
      </c>
      <c r="S1451" t="s">
        <v>37</v>
      </c>
      <c r="T1451">
        <v>14</v>
      </c>
      <c r="U1451">
        <v>3</v>
      </c>
      <c r="V1451">
        <v>4</v>
      </c>
      <c r="W1451">
        <v>0</v>
      </c>
      <c r="X1451">
        <v>4</v>
      </c>
      <c r="Y1451">
        <v>4</v>
      </c>
      <c r="Z1451">
        <v>3</v>
      </c>
      <c r="AA1451">
        <v>4</v>
      </c>
      <c r="AB1451">
        <v>2</v>
      </c>
      <c r="AC1451">
        <v>1</v>
      </c>
      <c r="AD1451">
        <v>2</v>
      </c>
      <c r="AE1451" t="str" cm="1">
        <f t="array" ref="AE1451">_xlfn.IFS(G1451=1,"Before College",G1451=2,"College",G1451=3,"Bachelor",G1451=4,"Master",G1451=5,"Doctor")</f>
        <v>Bachelor</v>
      </c>
      <c r="AF1451" t="str" cm="1">
        <f t="array" ref="AF1451">_xlfn.IFS(J1451=1,"Low",J1451=2,"Medium",J1451=3,"High",J1451=4,"Very High")</f>
        <v>Very High</v>
      </c>
      <c r="AG1451" t="str" cm="1">
        <f t="array" ref="AG1451">_xlfn.IFS(L1451=1,"Low",L1451=2,"Medium",L1451=3,"High",L1451=4,"Very High")</f>
        <v>High</v>
      </c>
      <c r="AH1451" t="str" cm="1">
        <f t="array" ref="AH1451">_xlfn.IFS(M1451=1,"Junior employee",M1451=2,"Mid-level",M1451=3,"Senior",M1451=4,"Manager",M1451=5,"Executive")</f>
        <v>Junior employee</v>
      </c>
      <c r="AI1451" t="str" cm="1">
        <f t="array" ref="AI1451">_xlfn.IFS(O1451=1,"Low",O1451=2,"Medium",O1451=3,"High",O1451=4,"Very High")</f>
        <v>Low</v>
      </c>
      <c r="AJ1451" t="str" cm="1">
        <f t="array" ref="AJ1451">_xlfn.IFS(U1451=1,"Low",U1451=2,"Good",U1451=3,"Excellent",U1451=4,"Outstanding")</f>
        <v>Excellent</v>
      </c>
      <c r="AK1451" t="str" cm="1">
        <f t="array" ref="AK1451">_xlfn.IFS(V1451=1,"Low",V1451=2,"Medium",V1451=3,"High",V1451=4,"Very High")</f>
        <v>Very High</v>
      </c>
      <c r="AL1451" t="str" cm="1">
        <f t="array" ref="AL1451">_xlfn.IFS(Z1451=1,"Bad",Z1451=2,"Good",Z1451=3,"Better",Z1451=4,"Best")</f>
        <v>Better</v>
      </c>
      <c r="AM1451" t="str" cm="1">
        <f t="array" ref="AM1451">_xlfn.IFS(W1451=0,"No_stock",W1451=1,"Low",W1451=2,"Medium",W1451=3,"High")</f>
        <v>No_stock</v>
      </c>
      <c r="AN1451" t="str">
        <f t="shared" si="22"/>
        <v>Near</v>
      </c>
    </row>
    <row r="1452" spans="1:40" x14ac:dyDescent="0.45">
      <c r="A1452">
        <v>35</v>
      </c>
      <c r="B1452" t="s">
        <v>37</v>
      </c>
      <c r="C1452" t="s">
        <v>31</v>
      </c>
      <c r="D1452">
        <v>1146</v>
      </c>
      <c r="E1452" t="s">
        <v>55</v>
      </c>
      <c r="F1452">
        <v>26</v>
      </c>
      <c r="G1452">
        <v>4</v>
      </c>
      <c r="H1452" t="s">
        <v>33</v>
      </c>
      <c r="I1452">
        <v>2040</v>
      </c>
      <c r="J1452">
        <v>3</v>
      </c>
      <c r="K1452" t="s">
        <v>34</v>
      </c>
      <c r="L1452">
        <v>3</v>
      </c>
      <c r="M1452">
        <v>3</v>
      </c>
      <c r="N1452" t="s">
        <v>55</v>
      </c>
      <c r="O1452">
        <v>4</v>
      </c>
      <c r="P1452" t="s">
        <v>36</v>
      </c>
      <c r="Q1452">
        <v>8837</v>
      </c>
      <c r="R1452">
        <v>1</v>
      </c>
      <c r="S1452" t="s">
        <v>30</v>
      </c>
      <c r="T1452">
        <v>16</v>
      </c>
      <c r="U1452">
        <v>3</v>
      </c>
      <c r="V1452">
        <v>3</v>
      </c>
      <c r="W1452">
        <v>0</v>
      </c>
      <c r="X1452">
        <v>9</v>
      </c>
      <c r="Y1452">
        <v>2</v>
      </c>
      <c r="Z1452">
        <v>3</v>
      </c>
      <c r="AA1452">
        <v>9</v>
      </c>
      <c r="AB1452">
        <v>0</v>
      </c>
      <c r="AC1452">
        <v>1</v>
      </c>
      <c r="AD1452">
        <v>7</v>
      </c>
      <c r="AE1452" t="str" cm="1">
        <f t="array" ref="AE1452">_xlfn.IFS(G1452=1,"Before College",G1452=2,"College",G1452=3,"Bachelor",G1452=4,"Master",G1452=5,"Doctor")</f>
        <v>Master</v>
      </c>
      <c r="AF1452" t="str" cm="1">
        <f t="array" ref="AF1452">_xlfn.IFS(J1452=1,"Low",J1452=2,"Medium",J1452=3,"High",J1452=4,"Very High")</f>
        <v>High</v>
      </c>
      <c r="AG1452" t="str" cm="1">
        <f t="array" ref="AG1452">_xlfn.IFS(L1452=1,"Low",L1452=2,"Medium",L1452=3,"High",L1452=4,"Very High")</f>
        <v>High</v>
      </c>
      <c r="AH1452" t="str" cm="1">
        <f t="array" ref="AH1452">_xlfn.IFS(M1452=1,"Junior employee",M1452=2,"Mid-level",M1452=3,"Senior",M1452=4,"Manager",M1452=5,"Executive")</f>
        <v>Senior</v>
      </c>
      <c r="AI1452" t="str" cm="1">
        <f t="array" ref="AI1452">_xlfn.IFS(O1452=1,"Low",O1452=2,"Medium",O1452=3,"High",O1452=4,"Very High")</f>
        <v>Very High</v>
      </c>
      <c r="AJ1452" t="str" cm="1">
        <f t="array" ref="AJ1452">_xlfn.IFS(U1452=1,"Low",U1452=2,"Good",U1452=3,"Excellent",U1452=4,"Outstanding")</f>
        <v>Excellent</v>
      </c>
      <c r="AK1452" t="str" cm="1">
        <f t="array" ref="AK1452">_xlfn.IFS(V1452=1,"Low",V1452=2,"Medium",V1452=3,"High",V1452=4,"Very High")</f>
        <v>High</v>
      </c>
      <c r="AL1452" t="str" cm="1">
        <f t="array" ref="AL1452">_xlfn.IFS(Z1452=1,"Bad",Z1452=2,"Good",Z1452=3,"Better",Z1452=4,"Best")</f>
        <v>Better</v>
      </c>
      <c r="AM1452" t="str" cm="1">
        <f t="array" ref="AM1452">_xlfn.IFS(W1452=0,"No_stock",W1452=1,"Low",W1452=2,"Medium",W1452=3,"High")</f>
        <v>No_stock</v>
      </c>
      <c r="AN1452" t="str">
        <f t="shared" si="22"/>
        <v>Far</v>
      </c>
    </row>
    <row r="1453" spans="1:40" x14ac:dyDescent="0.45">
      <c r="A1453">
        <v>38</v>
      </c>
      <c r="B1453" t="s">
        <v>37</v>
      </c>
      <c r="C1453" t="s">
        <v>31</v>
      </c>
      <c r="D1453">
        <v>345</v>
      </c>
      <c r="E1453" t="s">
        <v>32</v>
      </c>
      <c r="F1453">
        <v>10</v>
      </c>
      <c r="G1453">
        <v>2</v>
      </c>
      <c r="H1453" t="s">
        <v>33</v>
      </c>
      <c r="I1453">
        <v>2041</v>
      </c>
      <c r="J1453">
        <v>1</v>
      </c>
      <c r="K1453" t="s">
        <v>34</v>
      </c>
      <c r="L1453">
        <v>3</v>
      </c>
      <c r="M1453">
        <v>2</v>
      </c>
      <c r="N1453" t="s">
        <v>35</v>
      </c>
      <c r="O1453">
        <v>4</v>
      </c>
      <c r="P1453" t="s">
        <v>42</v>
      </c>
      <c r="Q1453">
        <v>5343</v>
      </c>
      <c r="R1453">
        <v>1</v>
      </c>
      <c r="S1453" t="s">
        <v>37</v>
      </c>
      <c r="T1453">
        <v>11</v>
      </c>
      <c r="U1453">
        <v>3</v>
      </c>
      <c r="V1453">
        <v>3</v>
      </c>
      <c r="W1453">
        <v>1</v>
      </c>
      <c r="X1453">
        <v>10</v>
      </c>
      <c r="Y1453">
        <v>1</v>
      </c>
      <c r="Z1453">
        <v>3</v>
      </c>
      <c r="AA1453">
        <v>10</v>
      </c>
      <c r="AB1453">
        <v>7</v>
      </c>
      <c r="AC1453">
        <v>1</v>
      </c>
      <c r="AD1453">
        <v>9</v>
      </c>
      <c r="AE1453" t="str" cm="1">
        <f t="array" ref="AE1453">_xlfn.IFS(G1453=1,"Before College",G1453=2,"College",G1453=3,"Bachelor",G1453=4,"Master",G1453=5,"Doctor")</f>
        <v>College</v>
      </c>
      <c r="AF1453" t="str" cm="1">
        <f t="array" ref="AF1453">_xlfn.IFS(J1453=1,"Low",J1453=2,"Medium",J1453=3,"High",J1453=4,"Very High")</f>
        <v>Low</v>
      </c>
      <c r="AG1453" t="str" cm="1">
        <f t="array" ref="AG1453">_xlfn.IFS(L1453=1,"Low",L1453=2,"Medium",L1453=3,"High",L1453=4,"Very High")</f>
        <v>High</v>
      </c>
      <c r="AH1453" t="str" cm="1">
        <f t="array" ref="AH1453">_xlfn.IFS(M1453=1,"Junior employee",M1453=2,"Mid-level",M1453=3,"Senior",M1453=4,"Manager",M1453=5,"Executive")</f>
        <v>Mid-level</v>
      </c>
      <c r="AI1453" t="str" cm="1">
        <f t="array" ref="AI1453">_xlfn.IFS(O1453=1,"Low",O1453=2,"Medium",O1453=3,"High",O1453=4,"Very High")</f>
        <v>Very High</v>
      </c>
      <c r="AJ1453" t="str" cm="1">
        <f t="array" ref="AJ1453">_xlfn.IFS(U1453=1,"Low",U1453=2,"Good",U1453=3,"Excellent",U1453=4,"Outstanding")</f>
        <v>Excellent</v>
      </c>
      <c r="AK1453" t="str" cm="1">
        <f t="array" ref="AK1453">_xlfn.IFS(V1453=1,"Low",V1453=2,"Medium",V1453=3,"High",V1453=4,"Very High")</f>
        <v>High</v>
      </c>
      <c r="AL1453" t="str" cm="1">
        <f t="array" ref="AL1453">_xlfn.IFS(Z1453=1,"Bad",Z1453=2,"Good",Z1453=3,"Better",Z1453=4,"Best")</f>
        <v>Better</v>
      </c>
      <c r="AM1453" t="str" cm="1">
        <f t="array" ref="AM1453">_xlfn.IFS(W1453=0,"No_stock",W1453=1,"Low",W1453=2,"Medium",W1453=3,"High")</f>
        <v>Low</v>
      </c>
      <c r="AN1453" t="str">
        <f t="shared" si="22"/>
        <v>Medium</v>
      </c>
    </row>
    <row r="1454" spans="1:40" x14ac:dyDescent="0.45">
      <c r="A1454">
        <v>50</v>
      </c>
      <c r="B1454" t="s">
        <v>30</v>
      </c>
      <c r="C1454" t="s">
        <v>38</v>
      </c>
      <c r="D1454">
        <v>878</v>
      </c>
      <c r="E1454" t="s">
        <v>32</v>
      </c>
      <c r="F1454">
        <v>1</v>
      </c>
      <c r="G1454">
        <v>4</v>
      </c>
      <c r="H1454" t="s">
        <v>33</v>
      </c>
      <c r="I1454">
        <v>2044</v>
      </c>
      <c r="J1454">
        <v>2</v>
      </c>
      <c r="K1454" t="s">
        <v>40</v>
      </c>
      <c r="L1454">
        <v>3</v>
      </c>
      <c r="M1454">
        <v>2</v>
      </c>
      <c r="N1454" t="s">
        <v>35</v>
      </c>
      <c r="O1454">
        <v>3</v>
      </c>
      <c r="P1454" t="s">
        <v>46</v>
      </c>
      <c r="Q1454">
        <v>6728</v>
      </c>
      <c r="R1454">
        <v>7</v>
      </c>
      <c r="S1454" t="s">
        <v>37</v>
      </c>
      <c r="T1454">
        <v>12</v>
      </c>
      <c r="U1454">
        <v>3</v>
      </c>
      <c r="V1454">
        <v>4</v>
      </c>
      <c r="W1454">
        <v>2</v>
      </c>
      <c r="X1454">
        <v>12</v>
      </c>
      <c r="Y1454">
        <v>3</v>
      </c>
      <c r="Z1454">
        <v>3</v>
      </c>
      <c r="AA1454">
        <v>6</v>
      </c>
      <c r="AB1454">
        <v>3</v>
      </c>
      <c r="AC1454">
        <v>0</v>
      </c>
      <c r="AD1454">
        <v>1</v>
      </c>
      <c r="AE1454" t="str" cm="1">
        <f t="array" ref="AE1454">_xlfn.IFS(G1454=1,"Before College",G1454=2,"College",G1454=3,"Bachelor",G1454=4,"Master",G1454=5,"Doctor")</f>
        <v>Master</v>
      </c>
      <c r="AF1454" t="str" cm="1">
        <f t="array" ref="AF1454">_xlfn.IFS(J1454=1,"Low",J1454=2,"Medium",J1454=3,"High",J1454=4,"Very High")</f>
        <v>Medium</v>
      </c>
      <c r="AG1454" t="str" cm="1">
        <f t="array" ref="AG1454">_xlfn.IFS(L1454=1,"Low",L1454=2,"Medium",L1454=3,"High",L1454=4,"Very High")</f>
        <v>High</v>
      </c>
      <c r="AH1454" t="str" cm="1">
        <f t="array" ref="AH1454">_xlfn.IFS(M1454=1,"Junior employee",M1454=2,"Mid-level",M1454=3,"Senior",M1454=4,"Manager",M1454=5,"Executive")</f>
        <v>Mid-level</v>
      </c>
      <c r="AI1454" t="str" cm="1">
        <f t="array" ref="AI1454">_xlfn.IFS(O1454=1,"Low",O1454=2,"Medium",O1454=3,"High",O1454=4,"Very High")</f>
        <v>High</v>
      </c>
      <c r="AJ1454" t="str" cm="1">
        <f t="array" ref="AJ1454">_xlfn.IFS(U1454=1,"Low",U1454=2,"Good",U1454=3,"Excellent",U1454=4,"Outstanding")</f>
        <v>Excellent</v>
      </c>
      <c r="AK1454" t="str" cm="1">
        <f t="array" ref="AK1454">_xlfn.IFS(V1454=1,"Low",V1454=2,"Medium",V1454=3,"High",V1454=4,"Very High")</f>
        <v>Very High</v>
      </c>
      <c r="AL1454" t="str" cm="1">
        <f t="array" ref="AL1454">_xlfn.IFS(Z1454=1,"Bad",Z1454=2,"Good",Z1454=3,"Better",Z1454=4,"Best")</f>
        <v>Better</v>
      </c>
      <c r="AM1454" t="str" cm="1">
        <f t="array" ref="AM1454">_xlfn.IFS(W1454=0,"No_stock",W1454=1,"Low",W1454=2,"Medium",W1454=3,"High")</f>
        <v>Medium</v>
      </c>
      <c r="AN1454" t="str">
        <f t="shared" si="22"/>
        <v>Near</v>
      </c>
    </row>
    <row r="1455" spans="1:40" x14ac:dyDescent="0.45">
      <c r="A1455">
        <v>36</v>
      </c>
      <c r="B1455" t="s">
        <v>37</v>
      </c>
      <c r="C1455" t="s">
        <v>31</v>
      </c>
      <c r="D1455">
        <v>1120</v>
      </c>
      <c r="E1455" t="s">
        <v>32</v>
      </c>
      <c r="F1455">
        <v>11</v>
      </c>
      <c r="G1455">
        <v>4</v>
      </c>
      <c r="H1455" t="s">
        <v>53</v>
      </c>
      <c r="I1455">
        <v>2045</v>
      </c>
      <c r="J1455">
        <v>2</v>
      </c>
      <c r="K1455" t="s">
        <v>34</v>
      </c>
      <c r="L1455">
        <v>2</v>
      </c>
      <c r="M1455">
        <v>2</v>
      </c>
      <c r="N1455" t="s">
        <v>35</v>
      </c>
      <c r="O1455">
        <v>4</v>
      </c>
      <c r="P1455" t="s">
        <v>42</v>
      </c>
      <c r="Q1455">
        <v>6652</v>
      </c>
      <c r="R1455">
        <v>4</v>
      </c>
      <c r="S1455" t="s">
        <v>37</v>
      </c>
      <c r="T1455">
        <v>13</v>
      </c>
      <c r="U1455">
        <v>3</v>
      </c>
      <c r="V1455">
        <v>1</v>
      </c>
      <c r="W1455">
        <v>1</v>
      </c>
      <c r="X1455">
        <v>8</v>
      </c>
      <c r="Y1455">
        <v>2</v>
      </c>
      <c r="Z1455">
        <v>2</v>
      </c>
      <c r="AA1455">
        <v>6</v>
      </c>
      <c r="AB1455">
        <v>3</v>
      </c>
      <c r="AC1455">
        <v>0</v>
      </c>
      <c r="AD1455">
        <v>0</v>
      </c>
      <c r="AE1455" t="str" cm="1">
        <f t="array" ref="AE1455">_xlfn.IFS(G1455=1,"Before College",G1455=2,"College",G1455=3,"Bachelor",G1455=4,"Master",G1455=5,"Doctor")</f>
        <v>Master</v>
      </c>
      <c r="AF1455" t="str" cm="1">
        <f t="array" ref="AF1455">_xlfn.IFS(J1455=1,"Low",J1455=2,"Medium",J1455=3,"High",J1455=4,"Very High")</f>
        <v>Medium</v>
      </c>
      <c r="AG1455" t="str" cm="1">
        <f t="array" ref="AG1455">_xlfn.IFS(L1455=1,"Low",L1455=2,"Medium",L1455=3,"High",L1455=4,"Very High")</f>
        <v>Medium</v>
      </c>
      <c r="AH1455" t="str" cm="1">
        <f t="array" ref="AH1455">_xlfn.IFS(M1455=1,"Junior employee",M1455=2,"Mid-level",M1455=3,"Senior",M1455=4,"Manager",M1455=5,"Executive")</f>
        <v>Mid-level</v>
      </c>
      <c r="AI1455" t="str" cm="1">
        <f t="array" ref="AI1455">_xlfn.IFS(O1455=1,"Low",O1455=2,"Medium",O1455=3,"High",O1455=4,"Very High")</f>
        <v>Very High</v>
      </c>
      <c r="AJ1455" t="str" cm="1">
        <f t="array" ref="AJ1455">_xlfn.IFS(U1455=1,"Low",U1455=2,"Good",U1455=3,"Excellent",U1455=4,"Outstanding")</f>
        <v>Excellent</v>
      </c>
      <c r="AK1455" t="str" cm="1">
        <f t="array" ref="AK1455">_xlfn.IFS(V1455=1,"Low",V1455=2,"Medium",V1455=3,"High",V1455=4,"Very High")</f>
        <v>Low</v>
      </c>
      <c r="AL1455" t="str" cm="1">
        <f t="array" ref="AL1455">_xlfn.IFS(Z1455=1,"Bad",Z1455=2,"Good",Z1455=3,"Better",Z1455=4,"Best")</f>
        <v>Good</v>
      </c>
      <c r="AM1455" t="str" cm="1">
        <f t="array" ref="AM1455">_xlfn.IFS(W1455=0,"No_stock",W1455=1,"Low",W1455=2,"Medium",W1455=3,"High")</f>
        <v>Low</v>
      </c>
      <c r="AN1455" t="str">
        <f t="shared" si="22"/>
        <v>Medium</v>
      </c>
    </row>
    <row r="1456" spans="1:40" x14ac:dyDescent="0.45">
      <c r="A1456">
        <v>45</v>
      </c>
      <c r="B1456" t="s">
        <v>37</v>
      </c>
      <c r="C1456" t="s">
        <v>31</v>
      </c>
      <c r="D1456">
        <v>374</v>
      </c>
      <c r="E1456" t="s">
        <v>32</v>
      </c>
      <c r="F1456">
        <v>20</v>
      </c>
      <c r="G1456">
        <v>3</v>
      </c>
      <c r="H1456" t="s">
        <v>33</v>
      </c>
      <c r="I1456">
        <v>2046</v>
      </c>
      <c r="J1456">
        <v>4</v>
      </c>
      <c r="K1456" t="s">
        <v>34</v>
      </c>
      <c r="L1456">
        <v>3</v>
      </c>
      <c r="M1456">
        <v>2</v>
      </c>
      <c r="N1456" t="s">
        <v>35</v>
      </c>
      <c r="O1456">
        <v>3</v>
      </c>
      <c r="P1456" t="s">
        <v>36</v>
      </c>
      <c r="Q1456">
        <v>4850</v>
      </c>
      <c r="R1456">
        <v>8</v>
      </c>
      <c r="S1456" t="s">
        <v>37</v>
      </c>
      <c r="T1456">
        <v>15</v>
      </c>
      <c r="U1456">
        <v>3</v>
      </c>
      <c r="V1456">
        <v>3</v>
      </c>
      <c r="W1456">
        <v>0</v>
      </c>
      <c r="X1456">
        <v>8</v>
      </c>
      <c r="Y1456">
        <v>3</v>
      </c>
      <c r="Z1456">
        <v>3</v>
      </c>
      <c r="AA1456">
        <v>5</v>
      </c>
      <c r="AB1456">
        <v>3</v>
      </c>
      <c r="AC1456">
        <v>0</v>
      </c>
      <c r="AD1456">
        <v>1</v>
      </c>
      <c r="AE1456" t="str" cm="1">
        <f t="array" ref="AE1456">_xlfn.IFS(G1456=1,"Before College",G1456=2,"College",G1456=3,"Bachelor",G1456=4,"Master",G1456=5,"Doctor")</f>
        <v>Bachelor</v>
      </c>
      <c r="AF1456" t="str" cm="1">
        <f t="array" ref="AF1456">_xlfn.IFS(J1456=1,"Low",J1456=2,"Medium",J1456=3,"High",J1456=4,"Very High")</f>
        <v>Very High</v>
      </c>
      <c r="AG1456" t="str" cm="1">
        <f t="array" ref="AG1456">_xlfn.IFS(L1456=1,"Low",L1456=2,"Medium",L1456=3,"High",L1456=4,"Very High")</f>
        <v>High</v>
      </c>
      <c r="AH1456" t="str" cm="1">
        <f t="array" ref="AH1456">_xlfn.IFS(M1456=1,"Junior employee",M1456=2,"Mid-level",M1456=3,"Senior",M1456=4,"Manager",M1456=5,"Executive")</f>
        <v>Mid-level</v>
      </c>
      <c r="AI1456" t="str" cm="1">
        <f t="array" ref="AI1456">_xlfn.IFS(O1456=1,"Low",O1456=2,"Medium",O1456=3,"High",O1456=4,"Very High")</f>
        <v>High</v>
      </c>
      <c r="AJ1456" t="str" cm="1">
        <f t="array" ref="AJ1456">_xlfn.IFS(U1456=1,"Low",U1456=2,"Good",U1456=3,"Excellent",U1456=4,"Outstanding")</f>
        <v>Excellent</v>
      </c>
      <c r="AK1456" t="str" cm="1">
        <f t="array" ref="AK1456">_xlfn.IFS(V1456=1,"Low",V1456=2,"Medium",V1456=3,"High",V1456=4,"Very High")</f>
        <v>High</v>
      </c>
      <c r="AL1456" t="str" cm="1">
        <f t="array" ref="AL1456">_xlfn.IFS(Z1456=1,"Bad",Z1456=2,"Good",Z1456=3,"Better",Z1456=4,"Best")</f>
        <v>Better</v>
      </c>
      <c r="AM1456" t="str" cm="1">
        <f t="array" ref="AM1456">_xlfn.IFS(W1456=0,"No_stock",W1456=1,"Low",W1456=2,"Medium",W1456=3,"High")</f>
        <v>No_stock</v>
      </c>
      <c r="AN1456" t="str">
        <f t="shared" si="22"/>
        <v>Far</v>
      </c>
    </row>
    <row r="1457" spans="1:40" x14ac:dyDescent="0.45">
      <c r="A1457">
        <v>40</v>
      </c>
      <c r="B1457" t="s">
        <v>37</v>
      </c>
      <c r="C1457" t="s">
        <v>31</v>
      </c>
      <c r="D1457">
        <v>1322</v>
      </c>
      <c r="E1457" t="s">
        <v>39</v>
      </c>
      <c r="F1457">
        <v>2</v>
      </c>
      <c r="G1457">
        <v>4</v>
      </c>
      <c r="H1457" t="s">
        <v>33</v>
      </c>
      <c r="I1457">
        <v>2048</v>
      </c>
      <c r="J1457">
        <v>3</v>
      </c>
      <c r="K1457" t="s">
        <v>40</v>
      </c>
      <c r="L1457">
        <v>2</v>
      </c>
      <c r="M1457">
        <v>1</v>
      </c>
      <c r="N1457" t="s">
        <v>41</v>
      </c>
      <c r="O1457">
        <v>3</v>
      </c>
      <c r="P1457" t="s">
        <v>36</v>
      </c>
      <c r="Q1457">
        <v>2809</v>
      </c>
      <c r="R1457">
        <v>2</v>
      </c>
      <c r="S1457" t="s">
        <v>37</v>
      </c>
      <c r="T1457">
        <v>14</v>
      </c>
      <c r="U1457">
        <v>3</v>
      </c>
      <c r="V1457">
        <v>4</v>
      </c>
      <c r="W1457">
        <v>0</v>
      </c>
      <c r="X1457">
        <v>8</v>
      </c>
      <c r="Y1457">
        <v>2</v>
      </c>
      <c r="Z1457">
        <v>3</v>
      </c>
      <c r="AA1457">
        <v>2</v>
      </c>
      <c r="AB1457">
        <v>2</v>
      </c>
      <c r="AC1457">
        <v>2</v>
      </c>
      <c r="AD1457">
        <v>2</v>
      </c>
      <c r="AE1457" t="str" cm="1">
        <f t="array" ref="AE1457">_xlfn.IFS(G1457=1,"Before College",G1457=2,"College",G1457=3,"Bachelor",G1457=4,"Master",G1457=5,"Doctor")</f>
        <v>Master</v>
      </c>
      <c r="AF1457" t="str" cm="1">
        <f t="array" ref="AF1457">_xlfn.IFS(J1457=1,"Low",J1457=2,"Medium",J1457=3,"High",J1457=4,"Very High")</f>
        <v>High</v>
      </c>
      <c r="AG1457" t="str" cm="1">
        <f t="array" ref="AG1457">_xlfn.IFS(L1457=1,"Low",L1457=2,"Medium",L1457=3,"High",L1457=4,"Very High")</f>
        <v>Medium</v>
      </c>
      <c r="AH1457" t="str" cm="1">
        <f t="array" ref="AH1457">_xlfn.IFS(M1457=1,"Junior employee",M1457=2,"Mid-level",M1457=3,"Senior",M1457=4,"Manager",M1457=5,"Executive")</f>
        <v>Junior employee</v>
      </c>
      <c r="AI1457" t="str" cm="1">
        <f t="array" ref="AI1457">_xlfn.IFS(O1457=1,"Low",O1457=2,"Medium",O1457=3,"High",O1457=4,"Very High")</f>
        <v>High</v>
      </c>
      <c r="AJ1457" t="str" cm="1">
        <f t="array" ref="AJ1457">_xlfn.IFS(U1457=1,"Low",U1457=2,"Good",U1457=3,"Excellent",U1457=4,"Outstanding")</f>
        <v>Excellent</v>
      </c>
      <c r="AK1457" t="str" cm="1">
        <f t="array" ref="AK1457">_xlfn.IFS(V1457=1,"Low",V1457=2,"Medium",V1457=3,"High",V1457=4,"Very High")</f>
        <v>Very High</v>
      </c>
      <c r="AL1457" t="str" cm="1">
        <f t="array" ref="AL1457">_xlfn.IFS(Z1457=1,"Bad",Z1457=2,"Good",Z1457=3,"Better",Z1457=4,"Best")</f>
        <v>Better</v>
      </c>
      <c r="AM1457" t="str" cm="1">
        <f t="array" ref="AM1457">_xlfn.IFS(W1457=0,"No_stock",W1457=1,"Low",W1457=2,"Medium",W1457=3,"High")</f>
        <v>No_stock</v>
      </c>
      <c r="AN1457" t="str">
        <f t="shared" si="22"/>
        <v>Near</v>
      </c>
    </row>
    <row r="1458" spans="1:40" x14ac:dyDescent="0.45">
      <c r="A1458">
        <v>35</v>
      </c>
      <c r="B1458" t="s">
        <v>37</v>
      </c>
      <c r="C1458" t="s">
        <v>38</v>
      </c>
      <c r="D1458">
        <v>1199</v>
      </c>
      <c r="E1458" t="s">
        <v>39</v>
      </c>
      <c r="F1458">
        <v>18</v>
      </c>
      <c r="G1458">
        <v>4</v>
      </c>
      <c r="H1458" t="s">
        <v>33</v>
      </c>
      <c r="I1458">
        <v>2049</v>
      </c>
      <c r="J1458">
        <v>3</v>
      </c>
      <c r="K1458" t="s">
        <v>40</v>
      </c>
      <c r="L1458">
        <v>3</v>
      </c>
      <c r="M1458">
        <v>2</v>
      </c>
      <c r="N1458" t="s">
        <v>48</v>
      </c>
      <c r="O1458">
        <v>3</v>
      </c>
      <c r="P1458" t="s">
        <v>42</v>
      </c>
      <c r="Q1458">
        <v>5689</v>
      </c>
      <c r="R1458">
        <v>1</v>
      </c>
      <c r="S1458" t="s">
        <v>30</v>
      </c>
      <c r="T1458">
        <v>14</v>
      </c>
      <c r="U1458">
        <v>3</v>
      </c>
      <c r="V1458">
        <v>4</v>
      </c>
      <c r="W1458">
        <v>2</v>
      </c>
      <c r="X1458">
        <v>10</v>
      </c>
      <c r="Y1458">
        <v>2</v>
      </c>
      <c r="Z1458">
        <v>4</v>
      </c>
      <c r="AA1458">
        <v>10</v>
      </c>
      <c r="AB1458">
        <v>2</v>
      </c>
      <c r="AC1458">
        <v>0</v>
      </c>
      <c r="AD1458">
        <v>2</v>
      </c>
      <c r="AE1458" t="str" cm="1">
        <f t="array" ref="AE1458">_xlfn.IFS(G1458=1,"Before College",G1458=2,"College",G1458=3,"Bachelor",G1458=4,"Master",G1458=5,"Doctor")</f>
        <v>Master</v>
      </c>
      <c r="AF1458" t="str" cm="1">
        <f t="array" ref="AF1458">_xlfn.IFS(J1458=1,"Low",J1458=2,"Medium",J1458=3,"High",J1458=4,"Very High")</f>
        <v>High</v>
      </c>
      <c r="AG1458" t="str" cm="1">
        <f t="array" ref="AG1458">_xlfn.IFS(L1458=1,"Low",L1458=2,"Medium",L1458=3,"High",L1458=4,"Very High")</f>
        <v>High</v>
      </c>
      <c r="AH1458" t="str" cm="1">
        <f t="array" ref="AH1458">_xlfn.IFS(M1458=1,"Junior employee",M1458=2,"Mid-level",M1458=3,"Senior",M1458=4,"Manager",M1458=5,"Executive")</f>
        <v>Mid-level</v>
      </c>
      <c r="AI1458" t="str" cm="1">
        <f t="array" ref="AI1458">_xlfn.IFS(O1458=1,"Low",O1458=2,"Medium",O1458=3,"High",O1458=4,"Very High")</f>
        <v>High</v>
      </c>
      <c r="AJ1458" t="str" cm="1">
        <f t="array" ref="AJ1458">_xlfn.IFS(U1458=1,"Low",U1458=2,"Good",U1458=3,"Excellent",U1458=4,"Outstanding")</f>
        <v>Excellent</v>
      </c>
      <c r="AK1458" t="str" cm="1">
        <f t="array" ref="AK1458">_xlfn.IFS(V1458=1,"Low",V1458=2,"Medium",V1458=3,"High",V1458=4,"Very High")</f>
        <v>Very High</v>
      </c>
      <c r="AL1458" t="str" cm="1">
        <f t="array" ref="AL1458">_xlfn.IFS(Z1458=1,"Bad",Z1458=2,"Good",Z1458=3,"Better",Z1458=4,"Best")</f>
        <v>Best</v>
      </c>
      <c r="AM1458" t="str" cm="1">
        <f t="array" ref="AM1458">_xlfn.IFS(W1458=0,"No_stock",W1458=1,"Low",W1458=2,"Medium",W1458=3,"High")</f>
        <v>Medium</v>
      </c>
      <c r="AN1458" t="str">
        <f t="shared" si="22"/>
        <v>Far</v>
      </c>
    </row>
    <row r="1459" spans="1:40" x14ac:dyDescent="0.45">
      <c r="A1459">
        <v>40</v>
      </c>
      <c r="B1459" t="s">
        <v>37</v>
      </c>
      <c r="C1459" t="s">
        <v>31</v>
      </c>
      <c r="D1459">
        <v>1194</v>
      </c>
      <c r="E1459" t="s">
        <v>39</v>
      </c>
      <c r="F1459">
        <v>2</v>
      </c>
      <c r="G1459">
        <v>4</v>
      </c>
      <c r="H1459" t="s">
        <v>45</v>
      </c>
      <c r="I1459">
        <v>2051</v>
      </c>
      <c r="J1459">
        <v>3</v>
      </c>
      <c r="K1459" t="s">
        <v>34</v>
      </c>
      <c r="L1459">
        <v>3</v>
      </c>
      <c r="M1459">
        <v>1</v>
      </c>
      <c r="N1459" t="s">
        <v>41</v>
      </c>
      <c r="O1459">
        <v>3</v>
      </c>
      <c r="P1459" t="s">
        <v>42</v>
      </c>
      <c r="Q1459">
        <v>2001</v>
      </c>
      <c r="R1459">
        <v>2</v>
      </c>
      <c r="S1459" t="s">
        <v>37</v>
      </c>
      <c r="T1459">
        <v>14</v>
      </c>
      <c r="U1459">
        <v>3</v>
      </c>
      <c r="V1459">
        <v>2</v>
      </c>
      <c r="W1459">
        <v>3</v>
      </c>
      <c r="X1459">
        <v>20</v>
      </c>
      <c r="Y1459">
        <v>2</v>
      </c>
      <c r="Z1459">
        <v>3</v>
      </c>
      <c r="AA1459">
        <v>5</v>
      </c>
      <c r="AB1459">
        <v>3</v>
      </c>
      <c r="AC1459">
        <v>0</v>
      </c>
      <c r="AD1459">
        <v>2</v>
      </c>
      <c r="AE1459" t="str" cm="1">
        <f t="array" ref="AE1459">_xlfn.IFS(G1459=1,"Before College",G1459=2,"College",G1459=3,"Bachelor",G1459=4,"Master",G1459=5,"Doctor")</f>
        <v>Master</v>
      </c>
      <c r="AF1459" t="str" cm="1">
        <f t="array" ref="AF1459">_xlfn.IFS(J1459=1,"Low",J1459=2,"Medium",J1459=3,"High",J1459=4,"Very High")</f>
        <v>High</v>
      </c>
      <c r="AG1459" t="str" cm="1">
        <f t="array" ref="AG1459">_xlfn.IFS(L1459=1,"Low",L1459=2,"Medium",L1459=3,"High",L1459=4,"Very High")</f>
        <v>High</v>
      </c>
      <c r="AH1459" t="str" cm="1">
        <f t="array" ref="AH1459">_xlfn.IFS(M1459=1,"Junior employee",M1459=2,"Mid-level",M1459=3,"Senior",M1459=4,"Manager",M1459=5,"Executive")</f>
        <v>Junior employee</v>
      </c>
      <c r="AI1459" t="str" cm="1">
        <f t="array" ref="AI1459">_xlfn.IFS(O1459=1,"Low",O1459=2,"Medium",O1459=3,"High",O1459=4,"Very High")</f>
        <v>High</v>
      </c>
      <c r="AJ1459" t="str" cm="1">
        <f t="array" ref="AJ1459">_xlfn.IFS(U1459=1,"Low",U1459=2,"Good",U1459=3,"Excellent",U1459=4,"Outstanding")</f>
        <v>Excellent</v>
      </c>
      <c r="AK1459" t="str" cm="1">
        <f t="array" ref="AK1459">_xlfn.IFS(V1459=1,"Low",V1459=2,"Medium",V1459=3,"High",V1459=4,"Very High")</f>
        <v>Medium</v>
      </c>
      <c r="AL1459" t="str" cm="1">
        <f t="array" ref="AL1459">_xlfn.IFS(Z1459=1,"Bad",Z1459=2,"Good",Z1459=3,"Better",Z1459=4,"Best")</f>
        <v>Better</v>
      </c>
      <c r="AM1459" t="str" cm="1">
        <f t="array" ref="AM1459">_xlfn.IFS(W1459=0,"No_stock",W1459=1,"Low",W1459=2,"Medium",W1459=3,"High")</f>
        <v>High</v>
      </c>
      <c r="AN1459" t="str">
        <f t="shared" si="22"/>
        <v>Near</v>
      </c>
    </row>
    <row r="1460" spans="1:40" x14ac:dyDescent="0.45">
      <c r="A1460">
        <v>35</v>
      </c>
      <c r="B1460" t="s">
        <v>37</v>
      </c>
      <c r="C1460" t="s">
        <v>31</v>
      </c>
      <c r="D1460">
        <v>287</v>
      </c>
      <c r="E1460" t="s">
        <v>39</v>
      </c>
      <c r="F1460">
        <v>1</v>
      </c>
      <c r="G1460">
        <v>4</v>
      </c>
      <c r="H1460" t="s">
        <v>33</v>
      </c>
      <c r="I1460">
        <v>2052</v>
      </c>
      <c r="J1460">
        <v>3</v>
      </c>
      <c r="K1460" t="s">
        <v>34</v>
      </c>
      <c r="L1460">
        <v>1</v>
      </c>
      <c r="M1460">
        <v>1</v>
      </c>
      <c r="N1460" t="s">
        <v>41</v>
      </c>
      <c r="O1460">
        <v>4</v>
      </c>
      <c r="P1460" t="s">
        <v>42</v>
      </c>
      <c r="Q1460">
        <v>2977</v>
      </c>
      <c r="R1460">
        <v>1</v>
      </c>
      <c r="S1460" t="s">
        <v>37</v>
      </c>
      <c r="T1460">
        <v>12</v>
      </c>
      <c r="U1460">
        <v>3</v>
      </c>
      <c r="V1460">
        <v>4</v>
      </c>
      <c r="W1460">
        <v>1</v>
      </c>
      <c r="X1460">
        <v>4</v>
      </c>
      <c r="Y1460">
        <v>5</v>
      </c>
      <c r="Z1460">
        <v>3</v>
      </c>
      <c r="AA1460">
        <v>4</v>
      </c>
      <c r="AB1460">
        <v>3</v>
      </c>
      <c r="AC1460">
        <v>1</v>
      </c>
      <c r="AD1460">
        <v>1</v>
      </c>
      <c r="AE1460" t="str" cm="1">
        <f t="array" ref="AE1460">_xlfn.IFS(G1460=1,"Before College",G1460=2,"College",G1460=3,"Bachelor",G1460=4,"Master",G1460=5,"Doctor")</f>
        <v>Master</v>
      </c>
      <c r="AF1460" t="str" cm="1">
        <f t="array" ref="AF1460">_xlfn.IFS(J1460=1,"Low",J1460=2,"Medium",J1460=3,"High",J1460=4,"Very High")</f>
        <v>High</v>
      </c>
      <c r="AG1460" t="str" cm="1">
        <f t="array" ref="AG1460">_xlfn.IFS(L1460=1,"Low",L1460=2,"Medium",L1460=3,"High",L1460=4,"Very High")</f>
        <v>Low</v>
      </c>
      <c r="AH1460" t="str" cm="1">
        <f t="array" ref="AH1460">_xlfn.IFS(M1460=1,"Junior employee",M1460=2,"Mid-level",M1460=3,"Senior",M1460=4,"Manager",M1460=5,"Executive")</f>
        <v>Junior employee</v>
      </c>
      <c r="AI1460" t="str" cm="1">
        <f t="array" ref="AI1460">_xlfn.IFS(O1460=1,"Low",O1460=2,"Medium",O1460=3,"High",O1460=4,"Very High")</f>
        <v>Very High</v>
      </c>
      <c r="AJ1460" t="str" cm="1">
        <f t="array" ref="AJ1460">_xlfn.IFS(U1460=1,"Low",U1460=2,"Good",U1460=3,"Excellent",U1460=4,"Outstanding")</f>
        <v>Excellent</v>
      </c>
      <c r="AK1460" t="str" cm="1">
        <f t="array" ref="AK1460">_xlfn.IFS(V1460=1,"Low",V1460=2,"Medium",V1460=3,"High",V1460=4,"Very High")</f>
        <v>Very High</v>
      </c>
      <c r="AL1460" t="str" cm="1">
        <f t="array" ref="AL1460">_xlfn.IFS(Z1460=1,"Bad",Z1460=2,"Good",Z1460=3,"Better",Z1460=4,"Best")</f>
        <v>Better</v>
      </c>
      <c r="AM1460" t="str" cm="1">
        <f t="array" ref="AM1460">_xlfn.IFS(W1460=0,"No_stock",W1460=1,"Low",W1460=2,"Medium",W1460=3,"High")</f>
        <v>Low</v>
      </c>
      <c r="AN1460" t="str">
        <f t="shared" si="22"/>
        <v>Near</v>
      </c>
    </row>
    <row r="1461" spans="1:40" x14ac:dyDescent="0.45">
      <c r="A1461">
        <v>29</v>
      </c>
      <c r="B1461" t="s">
        <v>37</v>
      </c>
      <c r="C1461" t="s">
        <v>31</v>
      </c>
      <c r="D1461">
        <v>1378</v>
      </c>
      <c r="E1461" t="s">
        <v>39</v>
      </c>
      <c r="F1461">
        <v>13</v>
      </c>
      <c r="G1461">
        <v>2</v>
      </c>
      <c r="H1461" t="s">
        <v>43</v>
      </c>
      <c r="I1461">
        <v>2053</v>
      </c>
      <c r="J1461">
        <v>4</v>
      </c>
      <c r="K1461" t="s">
        <v>40</v>
      </c>
      <c r="L1461">
        <v>2</v>
      </c>
      <c r="M1461">
        <v>2</v>
      </c>
      <c r="N1461" t="s">
        <v>44</v>
      </c>
      <c r="O1461">
        <v>2</v>
      </c>
      <c r="P1461" t="s">
        <v>42</v>
      </c>
      <c r="Q1461">
        <v>4025</v>
      </c>
      <c r="R1461">
        <v>4</v>
      </c>
      <c r="S1461" t="s">
        <v>30</v>
      </c>
      <c r="T1461">
        <v>13</v>
      </c>
      <c r="U1461">
        <v>3</v>
      </c>
      <c r="V1461">
        <v>1</v>
      </c>
      <c r="W1461">
        <v>1</v>
      </c>
      <c r="X1461">
        <v>10</v>
      </c>
      <c r="Y1461">
        <v>2</v>
      </c>
      <c r="Z1461">
        <v>3</v>
      </c>
      <c r="AA1461">
        <v>4</v>
      </c>
      <c r="AB1461">
        <v>3</v>
      </c>
      <c r="AC1461">
        <v>0</v>
      </c>
      <c r="AD1461">
        <v>3</v>
      </c>
      <c r="AE1461" t="str" cm="1">
        <f t="array" ref="AE1461">_xlfn.IFS(G1461=1,"Before College",G1461=2,"College",G1461=3,"Bachelor",G1461=4,"Master",G1461=5,"Doctor")</f>
        <v>College</v>
      </c>
      <c r="AF1461" t="str" cm="1">
        <f t="array" ref="AF1461">_xlfn.IFS(J1461=1,"Low",J1461=2,"Medium",J1461=3,"High",J1461=4,"Very High")</f>
        <v>Very High</v>
      </c>
      <c r="AG1461" t="str" cm="1">
        <f t="array" ref="AG1461">_xlfn.IFS(L1461=1,"Low",L1461=2,"Medium",L1461=3,"High",L1461=4,"Very High")</f>
        <v>Medium</v>
      </c>
      <c r="AH1461" t="str" cm="1">
        <f t="array" ref="AH1461">_xlfn.IFS(M1461=1,"Junior employee",M1461=2,"Mid-level",M1461=3,"Senior",M1461=4,"Manager",M1461=5,"Executive")</f>
        <v>Mid-level</v>
      </c>
      <c r="AI1461" t="str" cm="1">
        <f t="array" ref="AI1461">_xlfn.IFS(O1461=1,"Low",O1461=2,"Medium",O1461=3,"High",O1461=4,"Very High")</f>
        <v>Medium</v>
      </c>
      <c r="AJ1461" t="str" cm="1">
        <f t="array" ref="AJ1461">_xlfn.IFS(U1461=1,"Low",U1461=2,"Good",U1461=3,"Excellent",U1461=4,"Outstanding")</f>
        <v>Excellent</v>
      </c>
      <c r="AK1461" t="str" cm="1">
        <f t="array" ref="AK1461">_xlfn.IFS(V1461=1,"Low",V1461=2,"Medium",V1461=3,"High",V1461=4,"Very High")</f>
        <v>Low</v>
      </c>
      <c r="AL1461" t="str" cm="1">
        <f t="array" ref="AL1461">_xlfn.IFS(Z1461=1,"Bad",Z1461=2,"Good",Z1461=3,"Better",Z1461=4,"Best")</f>
        <v>Better</v>
      </c>
      <c r="AM1461" t="str" cm="1">
        <f t="array" ref="AM1461">_xlfn.IFS(W1461=0,"No_stock",W1461=1,"Low",W1461=2,"Medium",W1461=3,"High")</f>
        <v>Low</v>
      </c>
      <c r="AN1461" t="str">
        <f t="shared" si="22"/>
        <v>Medium</v>
      </c>
    </row>
    <row r="1462" spans="1:40" x14ac:dyDescent="0.45">
      <c r="A1462">
        <v>29</v>
      </c>
      <c r="B1462" t="s">
        <v>37</v>
      </c>
      <c r="C1462" t="s">
        <v>31</v>
      </c>
      <c r="D1462">
        <v>468</v>
      </c>
      <c r="E1462" t="s">
        <v>39</v>
      </c>
      <c r="F1462">
        <v>28</v>
      </c>
      <c r="G1462">
        <v>4</v>
      </c>
      <c r="H1462" t="s">
        <v>45</v>
      </c>
      <c r="I1462">
        <v>2054</v>
      </c>
      <c r="J1462">
        <v>4</v>
      </c>
      <c r="K1462" t="s">
        <v>34</v>
      </c>
      <c r="L1462">
        <v>2</v>
      </c>
      <c r="M1462">
        <v>1</v>
      </c>
      <c r="N1462" t="s">
        <v>41</v>
      </c>
      <c r="O1462">
        <v>1</v>
      </c>
      <c r="P1462" t="s">
        <v>36</v>
      </c>
      <c r="Q1462">
        <v>3785</v>
      </c>
      <c r="R1462">
        <v>1</v>
      </c>
      <c r="S1462" t="s">
        <v>37</v>
      </c>
      <c r="T1462">
        <v>14</v>
      </c>
      <c r="U1462">
        <v>3</v>
      </c>
      <c r="V1462">
        <v>2</v>
      </c>
      <c r="W1462">
        <v>0</v>
      </c>
      <c r="X1462">
        <v>5</v>
      </c>
      <c r="Y1462">
        <v>3</v>
      </c>
      <c r="Z1462">
        <v>1</v>
      </c>
      <c r="AA1462">
        <v>5</v>
      </c>
      <c r="AB1462">
        <v>4</v>
      </c>
      <c r="AC1462">
        <v>0</v>
      </c>
      <c r="AD1462">
        <v>4</v>
      </c>
      <c r="AE1462" t="str" cm="1">
        <f t="array" ref="AE1462">_xlfn.IFS(G1462=1,"Before College",G1462=2,"College",G1462=3,"Bachelor",G1462=4,"Master",G1462=5,"Doctor")</f>
        <v>Master</v>
      </c>
      <c r="AF1462" t="str" cm="1">
        <f t="array" ref="AF1462">_xlfn.IFS(J1462=1,"Low",J1462=2,"Medium",J1462=3,"High",J1462=4,"Very High")</f>
        <v>Very High</v>
      </c>
      <c r="AG1462" t="str" cm="1">
        <f t="array" ref="AG1462">_xlfn.IFS(L1462=1,"Low",L1462=2,"Medium",L1462=3,"High",L1462=4,"Very High")</f>
        <v>Medium</v>
      </c>
      <c r="AH1462" t="str" cm="1">
        <f t="array" ref="AH1462">_xlfn.IFS(M1462=1,"Junior employee",M1462=2,"Mid-level",M1462=3,"Senior",M1462=4,"Manager",M1462=5,"Executive")</f>
        <v>Junior employee</v>
      </c>
      <c r="AI1462" t="str" cm="1">
        <f t="array" ref="AI1462">_xlfn.IFS(O1462=1,"Low",O1462=2,"Medium",O1462=3,"High",O1462=4,"Very High")</f>
        <v>Low</v>
      </c>
      <c r="AJ1462" t="str" cm="1">
        <f t="array" ref="AJ1462">_xlfn.IFS(U1462=1,"Low",U1462=2,"Good",U1462=3,"Excellent",U1462=4,"Outstanding")</f>
        <v>Excellent</v>
      </c>
      <c r="AK1462" t="str" cm="1">
        <f t="array" ref="AK1462">_xlfn.IFS(V1462=1,"Low",V1462=2,"Medium",V1462=3,"High",V1462=4,"Very High")</f>
        <v>Medium</v>
      </c>
      <c r="AL1462" t="str" cm="1">
        <f t="array" ref="AL1462">_xlfn.IFS(Z1462=1,"Bad",Z1462=2,"Good",Z1462=3,"Better",Z1462=4,"Best")</f>
        <v>Bad</v>
      </c>
      <c r="AM1462" t="str" cm="1">
        <f t="array" ref="AM1462">_xlfn.IFS(W1462=0,"No_stock",W1462=1,"Low",W1462=2,"Medium",W1462=3,"High")</f>
        <v>No_stock</v>
      </c>
      <c r="AN1462" t="str">
        <f t="shared" si="22"/>
        <v>Far</v>
      </c>
    </row>
    <row r="1463" spans="1:40" x14ac:dyDescent="0.45">
      <c r="A1463">
        <v>50</v>
      </c>
      <c r="B1463" t="s">
        <v>30</v>
      </c>
      <c r="C1463" t="s">
        <v>31</v>
      </c>
      <c r="D1463">
        <v>410</v>
      </c>
      <c r="E1463" t="s">
        <v>32</v>
      </c>
      <c r="F1463">
        <v>28</v>
      </c>
      <c r="G1463">
        <v>3</v>
      </c>
      <c r="H1463" t="s">
        <v>53</v>
      </c>
      <c r="I1463">
        <v>2055</v>
      </c>
      <c r="J1463">
        <v>4</v>
      </c>
      <c r="K1463" t="s">
        <v>40</v>
      </c>
      <c r="L1463">
        <v>2</v>
      </c>
      <c r="M1463">
        <v>3</v>
      </c>
      <c r="N1463" t="s">
        <v>35</v>
      </c>
      <c r="O1463">
        <v>1</v>
      </c>
      <c r="P1463" t="s">
        <v>46</v>
      </c>
      <c r="Q1463">
        <v>10854</v>
      </c>
      <c r="R1463">
        <v>4</v>
      </c>
      <c r="S1463" t="s">
        <v>30</v>
      </c>
      <c r="T1463">
        <v>13</v>
      </c>
      <c r="U1463">
        <v>3</v>
      </c>
      <c r="V1463">
        <v>2</v>
      </c>
      <c r="W1463">
        <v>1</v>
      </c>
      <c r="X1463">
        <v>20</v>
      </c>
      <c r="Y1463">
        <v>3</v>
      </c>
      <c r="Z1463">
        <v>3</v>
      </c>
      <c r="AA1463">
        <v>3</v>
      </c>
      <c r="AB1463">
        <v>2</v>
      </c>
      <c r="AC1463">
        <v>2</v>
      </c>
      <c r="AD1463">
        <v>0</v>
      </c>
      <c r="AE1463" t="str" cm="1">
        <f t="array" ref="AE1463">_xlfn.IFS(G1463=1,"Before College",G1463=2,"College",G1463=3,"Bachelor",G1463=4,"Master",G1463=5,"Doctor")</f>
        <v>Bachelor</v>
      </c>
      <c r="AF1463" t="str" cm="1">
        <f t="array" ref="AF1463">_xlfn.IFS(J1463=1,"Low",J1463=2,"Medium",J1463=3,"High",J1463=4,"Very High")</f>
        <v>Very High</v>
      </c>
      <c r="AG1463" t="str" cm="1">
        <f t="array" ref="AG1463">_xlfn.IFS(L1463=1,"Low",L1463=2,"Medium",L1463=3,"High",L1463=4,"Very High")</f>
        <v>Medium</v>
      </c>
      <c r="AH1463" t="str" cm="1">
        <f t="array" ref="AH1463">_xlfn.IFS(M1463=1,"Junior employee",M1463=2,"Mid-level",M1463=3,"Senior",M1463=4,"Manager",M1463=5,"Executive")</f>
        <v>Senior</v>
      </c>
      <c r="AI1463" t="str" cm="1">
        <f t="array" ref="AI1463">_xlfn.IFS(O1463=1,"Low",O1463=2,"Medium",O1463=3,"High",O1463=4,"Very High")</f>
        <v>Low</v>
      </c>
      <c r="AJ1463" t="str" cm="1">
        <f t="array" ref="AJ1463">_xlfn.IFS(U1463=1,"Low",U1463=2,"Good",U1463=3,"Excellent",U1463=4,"Outstanding")</f>
        <v>Excellent</v>
      </c>
      <c r="AK1463" t="str" cm="1">
        <f t="array" ref="AK1463">_xlfn.IFS(V1463=1,"Low",V1463=2,"Medium",V1463=3,"High",V1463=4,"Very High")</f>
        <v>Medium</v>
      </c>
      <c r="AL1463" t="str" cm="1">
        <f t="array" ref="AL1463">_xlfn.IFS(Z1463=1,"Bad",Z1463=2,"Good",Z1463=3,"Better",Z1463=4,"Best")</f>
        <v>Better</v>
      </c>
      <c r="AM1463" t="str" cm="1">
        <f t="array" ref="AM1463">_xlfn.IFS(W1463=0,"No_stock",W1463=1,"Low",W1463=2,"Medium",W1463=3,"High")</f>
        <v>Low</v>
      </c>
      <c r="AN1463" t="str">
        <f t="shared" si="22"/>
        <v>Far</v>
      </c>
    </row>
    <row r="1464" spans="1:40" x14ac:dyDescent="0.45">
      <c r="A1464">
        <v>39</v>
      </c>
      <c r="B1464" t="s">
        <v>37</v>
      </c>
      <c r="C1464" t="s">
        <v>31</v>
      </c>
      <c r="D1464">
        <v>722</v>
      </c>
      <c r="E1464" t="s">
        <v>32</v>
      </c>
      <c r="F1464">
        <v>24</v>
      </c>
      <c r="G1464">
        <v>1</v>
      </c>
      <c r="H1464" t="s">
        <v>53</v>
      </c>
      <c r="I1464">
        <v>2056</v>
      </c>
      <c r="J1464">
        <v>2</v>
      </c>
      <c r="K1464" t="s">
        <v>34</v>
      </c>
      <c r="L1464">
        <v>2</v>
      </c>
      <c r="M1464">
        <v>4</v>
      </c>
      <c r="N1464" t="s">
        <v>35</v>
      </c>
      <c r="O1464">
        <v>4</v>
      </c>
      <c r="P1464" t="s">
        <v>42</v>
      </c>
      <c r="Q1464">
        <v>12031</v>
      </c>
      <c r="R1464">
        <v>0</v>
      </c>
      <c r="S1464" t="s">
        <v>37</v>
      </c>
      <c r="T1464">
        <v>11</v>
      </c>
      <c r="U1464">
        <v>3</v>
      </c>
      <c r="V1464">
        <v>1</v>
      </c>
      <c r="W1464">
        <v>1</v>
      </c>
      <c r="X1464">
        <v>21</v>
      </c>
      <c r="Y1464">
        <v>2</v>
      </c>
      <c r="Z1464">
        <v>2</v>
      </c>
      <c r="AA1464">
        <v>20</v>
      </c>
      <c r="AB1464">
        <v>9</v>
      </c>
      <c r="AC1464">
        <v>9</v>
      </c>
      <c r="AD1464">
        <v>6</v>
      </c>
      <c r="AE1464" t="str" cm="1">
        <f t="array" ref="AE1464">_xlfn.IFS(G1464=1,"Before College",G1464=2,"College",G1464=3,"Bachelor",G1464=4,"Master",G1464=5,"Doctor")</f>
        <v>Before College</v>
      </c>
      <c r="AF1464" t="str" cm="1">
        <f t="array" ref="AF1464">_xlfn.IFS(J1464=1,"Low",J1464=2,"Medium",J1464=3,"High",J1464=4,"Very High")</f>
        <v>Medium</v>
      </c>
      <c r="AG1464" t="str" cm="1">
        <f t="array" ref="AG1464">_xlfn.IFS(L1464=1,"Low",L1464=2,"Medium",L1464=3,"High",L1464=4,"Very High")</f>
        <v>Medium</v>
      </c>
      <c r="AH1464" t="str" cm="1">
        <f t="array" ref="AH1464">_xlfn.IFS(M1464=1,"Junior employee",M1464=2,"Mid-level",M1464=3,"Senior",M1464=4,"Manager",M1464=5,"Executive")</f>
        <v>Manager</v>
      </c>
      <c r="AI1464" t="str" cm="1">
        <f t="array" ref="AI1464">_xlfn.IFS(O1464=1,"Low",O1464=2,"Medium",O1464=3,"High",O1464=4,"Very High")</f>
        <v>Very High</v>
      </c>
      <c r="AJ1464" t="str" cm="1">
        <f t="array" ref="AJ1464">_xlfn.IFS(U1464=1,"Low",U1464=2,"Good",U1464=3,"Excellent",U1464=4,"Outstanding")</f>
        <v>Excellent</v>
      </c>
      <c r="AK1464" t="str" cm="1">
        <f t="array" ref="AK1464">_xlfn.IFS(V1464=1,"Low",V1464=2,"Medium",V1464=3,"High",V1464=4,"Very High")</f>
        <v>Low</v>
      </c>
      <c r="AL1464" t="str" cm="1">
        <f t="array" ref="AL1464">_xlfn.IFS(Z1464=1,"Bad",Z1464=2,"Good",Z1464=3,"Better",Z1464=4,"Best")</f>
        <v>Good</v>
      </c>
      <c r="AM1464" t="str" cm="1">
        <f t="array" ref="AM1464">_xlfn.IFS(W1464=0,"No_stock",W1464=1,"Low",W1464=2,"Medium",W1464=3,"High")</f>
        <v>Low</v>
      </c>
      <c r="AN1464" t="str">
        <f t="shared" si="22"/>
        <v>Far</v>
      </c>
    </row>
    <row r="1465" spans="1:40" x14ac:dyDescent="0.45">
      <c r="A1465">
        <v>31</v>
      </c>
      <c r="B1465" t="s">
        <v>37</v>
      </c>
      <c r="C1465" t="s">
        <v>49</v>
      </c>
      <c r="D1465">
        <v>325</v>
      </c>
      <c r="E1465" t="s">
        <v>39</v>
      </c>
      <c r="F1465">
        <v>5</v>
      </c>
      <c r="G1465">
        <v>3</v>
      </c>
      <c r="H1465" t="s">
        <v>45</v>
      </c>
      <c r="I1465">
        <v>2057</v>
      </c>
      <c r="J1465">
        <v>2</v>
      </c>
      <c r="K1465" t="s">
        <v>40</v>
      </c>
      <c r="L1465">
        <v>3</v>
      </c>
      <c r="M1465">
        <v>2</v>
      </c>
      <c r="N1465" t="s">
        <v>47</v>
      </c>
      <c r="O1465">
        <v>1</v>
      </c>
      <c r="P1465" t="s">
        <v>36</v>
      </c>
      <c r="Q1465">
        <v>9936</v>
      </c>
      <c r="R1465">
        <v>0</v>
      </c>
      <c r="S1465" t="s">
        <v>37</v>
      </c>
      <c r="T1465">
        <v>19</v>
      </c>
      <c r="U1465">
        <v>3</v>
      </c>
      <c r="V1465">
        <v>2</v>
      </c>
      <c r="W1465">
        <v>0</v>
      </c>
      <c r="X1465">
        <v>10</v>
      </c>
      <c r="Y1465">
        <v>2</v>
      </c>
      <c r="Z1465">
        <v>3</v>
      </c>
      <c r="AA1465">
        <v>9</v>
      </c>
      <c r="AB1465">
        <v>4</v>
      </c>
      <c r="AC1465">
        <v>1</v>
      </c>
      <c r="AD1465">
        <v>7</v>
      </c>
      <c r="AE1465" t="str" cm="1">
        <f t="array" ref="AE1465">_xlfn.IFS(G1465=1,"Before College",G1465=2,"College",G1465=3,"Bachelor",G1465=4,"Master",G1465=5,"Doctor")</f>
        <v>Bachelor</v>
      </c>
      <c r="AF1465" t="str" cm="1">
        <f t="array" ref="AF1465">_xlfn.IFS(J1465=1,"Low",J1465=2,"Medium",J1465=3,"High",J1465=4,"Very High")</f>
        <v>Medium</v>
      </c>
      <c r="AG1465" t="str" cm="1">
        <f t="array" ref="AG1465">_xlfn.IFS(L1465=1,"Low",L1465=2,"Medium",L1465=3,"High",L1465=4,"Very High")</f>
        <v>High</v>
      </c>
      <c r="AH1465" t="str" cm="1">
        <f t="array" ref="AH1465">_xlfn.IFS(M1465=1,"Junior employee",M1465=2,"Mid-level",M1465=3,"Senior",M1465=4,"Manager",M1465=5,"Executive")</f>
        <v>Mid-level</v>
      </c>
      <c r="AI1465" t="str" cm="1">
        <f t="array" ref="AI1465">_xlfn.IFS(O1465=1,"Low",O1465=2,"Medium",O1465=3,"High",O1465=4,"Very High")</f>
        <v>Low</v>
      </c>
      <c r="AJ1465" t="str" cm="1">
        <f t="array" ref="AJ1465">_xlfn.IFS(U1465=1,"Low",U1465=2,"Good",U1465=3,"Excellent",U1465=4,"Outstanding")</f>
        <v>Excellent</v>
      </c>
      <c r="AK1465" t="str" cm="1">
        <f t="array" ref="AK1465">_xlfn.IFS(V1465=1,"Low",V1465=2,"Medium",V1465=3,"High",V1465=4,"Very High")</f>
        <v>Medium</v>
      </c>
      <c r="AL1465" t="str" cm="1">
        <f t="array" ref="AL1465">_xlfn.IFS(Z1465=1,"Bad",Z1465=2,"Good",Z1465=3,"Better",Z1465=4,"Best")</f>
        <v>Better</v>
      </c>
      <c r="AM1465" t="str" cm="1">
        <f t="array" ref="AM1465">_xlfn.IFS(W1465=0,"No_stock",W1465=1,"Low",W1465=2,"Medium",W1465=3,"High")</f>
        <v>No_stock</v>
      </c>
      <c r="AN1465" t="str">
        <f t="shared" si="22"/>
        <v>Near</v>
      </c>
    </row>
    <row r="1466" spans="1:40" x14ac:dyDescent="0.45">
      <c r="A1466">
        <v>26</v>
      </c>
      <c r="B1466" t="s">
        <v>37</v>
      </c>
      <c r="C1466" t="s">
        <v>31</v>
      </c>
      <c r="D1466">
        <v>1167</v>
      </c>
      <c r="E1466" t="s">
        <v>32</v>
      </c>
      <c r="F1466">
        <v>5</v>
      </c>
      <c r="G1466">
        <v>3</v>
      </c>
      <c r="H1466" t="s">
        <v>43</v>
      </c>
      <c r="I1466">
        <v>2060</v>
      </c>
      <c r="J1466">
        <v>4</v>
      </c>
      <c r="K1466" t="s">
        <v>34</v>
      </c>
      <c r="L1466">
        <v>2</v>
      </c>
      <c r="M1466">
        <v>1</v>
      </c>
      <c r="N1466" t="s">
        <v>51</v>
      </c>
      <c r="O1466">
        <v>3</v>
      </c>
      <c r="P1466" t="s">
        <v>36</v>
      </c>
      <c r="Q1466">
        <v>2966</v>
      </c>
      <c r="R1466">
        <v>0</v>
      </c>
      <c r="S1466" t="s">
        <v>37</v>
      </c>
      <c r="T1466">
        <v>18</v>
      </c>
      <c r="U1466">
        <v>3</v>
      </c>
      <c r="V1466">
        <v>4</v>
      </c>
      <c r="W1466">
        <v>0</v>
      </c>
      <c r="X1466">
        <v>5</v>
      </c>
      <c r="Y1466">
        <v>2</v>
      </c>
      <c r="Z1466">
        <v>3</v>
      </c>
      <c r="AA1466">
        <v>4</v>
      </c>
      <c r="AB1466">
        <v>2</v>
      </c>
      <c r="AC1466">
        <v>0</v>
      </c>
      <c r="AD1466">
        <v>0</v>
      </c>
      <c r="AE1466" t="str" cm="1">
        <f t="array" ref="AE1466">_xlfn.IFS(G1466=1,"Before College",G1466=2,"College",G1466=3,"Bachelor",G1466=4,"Master",G1466=5,"Doctor")</f>
        <v>Bachelor</v>
      </c>
      <c r="AF1466" t="str" cm="1">
        <f t="array" ref="AF1466">_xlfn.IFS(J1466=1,"Low",J1466=2,"Medium",J1466=3,"High",J1466=4,"Very High")</f>
        <v>Very High</v>
      </c>
      <c r="AG1466" t="str" cm="1">
        <f t="array" ref="AG1466">_xlfn.IFS(L1466=1,"Low",L1466=2,"Medium",L1466=3,"High",L1466=4,"Very High")</f>
        <v>Medium</v>
      </c>
      <c r="AH1466" t="str" cm="1">
        <f t="array" ref="AH1466">_xlfn.IFS(M1466=1,"Junior employee",M1466=2,"Mid-level",M1466=3,"Senior",M1466=4,"Manager",M1466=5,"Executive")</f>
        <v>Junior employee</v>
      </c>
      <c r="AI1466" t="str" cm="1">
        <f t="array" ref="AI1466">_xlfn.IFS(O1466=1,"Low",O1466=2,"Medium",O1466=3,"High",O1466=4,"Very High")</f>
        <v>High</v>
      </c>
      <c r="AJ1466" t="str" cm="1">
        <f t="array" ref="AJ1466">_xlfn.IFS(U1466=1,"Low",U1466=2,"Good",U1466=3,"Excellent",U1466=4,"Outstanding")</f>
        <v>Excellent</v>
      </c>
      <c r="AK1466" t="str" cm="1">
        <f t="array" ref="AK1466">_xlfn.IFS(V1466=1,"Low",V1466=2,"Medium",V1466=3,"High",V1466=4,"Very High")</f>
        <v>Very High</v>
      </c>
      <c r="AL1466" t="str" cm="1">
        <f t="array" ref="AL1466">_xlfn.IFS(Z1466=1,"Bad",Z1466=2,"Good",Z1466=3,"Better",Z1466=4,"Best")</f>
        <v>Better</v>
      </c>
      <c r="AM1466" t="str" cm="1">
        <f t="array" ref="AM1466">_xlfn.IFS(W1466=0,"No_stock",W1466=1,"Low",W1466=2,"Medium",W1466=3,"High")</f>
        <v>No_stock</v>
      </c>
      <c r="AN1466" t="str">
        <f t="shared" si="22"/>
        <v>Near</v>
      </c>
    </row>
    <row r="1467" spans="1:40" x14ac:dyDescent="0.45">
      <c r="A1467">
        <v>36</v>
      </c>
      <c r="B1467" t="s">
        <v>37</v>
      </c>
      <c r="C1467" t="s">
        <v>38</v>
      </c>
      <c r="D1467">
        <v>884</v>
      </c>
      <c r="E1467" t="s">
        <v>39</v>
      </c>
      <c r="F1467">
        <v>23</v>
      </c>
      <c r="G1467">
        <v>2</v>
      </c>
      <c r="H1467" t="s">
        <v>45</v>
      </c>
      <c r="I1467">
        <v>2061</v>
      </c>
      <c r="J1467">
        <v>3</v>
      </c>
      <c r="K1467" t="s">
        <v>40</v>
      </c>
      <c r="L1467">
        <v>4</v>
      </c>
      <c r="M1467">
        <v>2</v>
      </c>
      <c r="N1467" t="s">
        <v>44</v>
      </c>
      <c r="O1467">
        <v>4</v>
      </c>
      <c r="P1467" t="s">
        <v>42</v>
      </c>
      <c r="Q1467">
        <v>2571</v>
      </c>
      <c r="R1467">
        <v>4</v>
      </c>
      <c r="S1467" t="s">
        <v>37</v>
      </c>
      <c r="T1467">
        <v>17</v>
      </c>
      <c r="U1467">
        <v>3</v>
      </c>
      <c r="V1467">
        <v>3</v>
      </c>
      <c r="W1467">
        <v>1</v>
      </c>
      <c r="X1467">
        <v>17</v>
      </c>
      <c r="Y1467">
        <v>3</v>
      </c>
      <c r="Z1467">
        <v>3</v>
      </c>
      <c r="AA1467">
        <v>5</v>
      </c>
      <c r="AB1467">
        <v>2</v>
      </c>
      <c r="AC1467">
        <v>0</v>
      </c>
      <c r="AD1467">
        <v>3</v>
      </c>
      <c r="AE1467" t="str" cm="1">
        <f t="array" ref="AE1467">_xlfn.IFS(G1467=1,"Before College",G1467=2,"College",G1467=3,"Bachelor",G1467=4,"Master",G1467=5,"Doctor")</f>
        <v>College</v>
      </c>
      <c r="AF1467" t="str" cm="1">
        <f t="array" ref="AF1467">_xlfn.IFS(J1467=1,"Low",J1467=2,"Medium",J1467=3,"High",J1467=4,"Very High")</f>
        <v>High</v>
      </c>
      <c r="AG1467" t="str" cm="1">
        <f t="array" ref="AG1467">_xlfn.IFS(L1467=1,"Low",L1467=2,"Medium",L1467=3,"High",L1467=4,"Very High")</f>
        <v>Very High</v>
      </c>
      <c r="AH1467" t="str" cm="1">
        <f t="array" ref="AH1467">_xlfn.IFS(M1467=1,"Junior employee",M1467=2,"Mid-level",M1467=3,"Senior",M1467=4,"Manager",M1467=5,"Executive")</f>
        <v>Mid-level</v>
      </c>
      <c r="AI1467" t="str" cm="1">
        <f t="array" ref="AI1467">_xlfn.IFS(O1467=1,"Low",O1467=2,"Medium",O1467=3,"High",O1467=4,"Very High")</f>
        <v>Very High</v>
      </c>
      <c r="AJ1467" t="str" cm="1">
        <f t="array" ref="AJ1467">_xlfn.IFS(U1467=1,"Low",U1467=2,"Good",U1467=3,"Excellent",U1467=4,"Outstanding")</f>
        <v>Excellent</v>
      </c>
      <c r="AK1467" t="str" cm="1">
        <f t="array" ref="AK1467">_xlfn.IFS(V1467=1,"Low",V1467=2,"Medium",V1467=3,"High",V1467=4,"Very High")</f>
        <v>High</v>
      </c>
      <c r="AL1467" t="str" cm="1">
        <f t="array" ref="AL1467">_xlfn.IFS(Z1467=1,"Bad",Z1467=2,"Good",Z1467=3,"Better",Z1467=4,"Best")</f>
        <v>Better</v>
      </c>
      <c r="AM1467" t="str" cm="1">
        <f t="array" ref="AM1467">_xlfn.IFS(W1467=0,"No_stock",W1467=1,"Low",W1467=2,"Medium",W1467=3,"High")</f>
        <v>Low</v>
      </c>
      <c r="AN1467" t="str">
        <f t="shared" si="22"/>
        <v>Far</v>
      </c>
    </row>
    <row r="1468" spans="1:40" x14ac:dyDescent="0.45">
      <c r="A1468">
        <v>39</v>
      </c>
      <c r="B1468" t="s">
        <v>37</v>
      </c>
      <c r="C1468" t="s">
        <v>31</v>
      </c>
      <c r="D1468">
        <v>613</v>
      </c>
      <c r="E1468" t="s">
        <v>39</v>
      </c>
      <c r="F1468">
        <v>6</v>
      </c>
      <c r="G1468">
        <v>1</v>
      </c>
      <c r="H1468" t="s">
        <v>45</v>
      </c>
      <c r="I1468">
        <v>2062</v>
      </c>
      <c r="J1468">
        <v>4</v>
      </c>
      <c r="K1468" t="s">
        <v>40</v>
      </c>
      <c r="L1468">
        <v>2</v>
      </c>
      <c r="M1468">
        <v>3</v>
      </c>
      <c r="N1468" t="s">
        <v>48</v>
      </c>
      <c r="O1468">
        <v>1</v>
      </c>
      <c r="P1468" t="s">
        <v>42</v>
      </c>
      <c r="Q1468">
        <v>9991</v>
      </c>
      <c r="R1468">
        <v>4</v>
      </c>
      <c r="S1468" t="s">
        <v>37</v>
      </c>
      <c r="T1468">
        <v>15</v>
      </c>
      <c r="U1468">
        <v>3</v>
      </c>
      <c r="V1468">
        <v>1</v>
      </c>
      <c r="W1468">
        <v>1</v>
      </c>
      <c r="X1468">
        <v>9</v>
      </c>
      <c r="Y1468">
        <v>5</v>
      </c>
      <c r="Z1468">
        <v>3</v>
      </c>
      <c r="AA1468">
        <v>7</v>
      </c>
      <c r="AB1468">
        <v>7</v>
      </c>
      <c r="AC1468">
        <v>1</v>
      </c>
      <c r="AD1468">
        <v>7</v>
      </c>
      <c r="AE1468" t="str" cm="1">
        <f t="array" ref="AE1468">_xlfn.IFS(G1468=1,"Before College",G1468=2,"College",G1468=3,"Bachelor",G1468=4,"Master",G1468=5,"Doctor")</f>
        <v>Before College</v>
      </c>
      <c r="AF1468" t="str" cm="1">
        <f t="array" ref="AF1468">_xlfn.IFS(J1468=1,"Low",J1468=2,"Medium",J1468=3,"High",J1468=4,"Very High")</f>
        <v>Very High</v>
      </c>
      <c r="AG1468" t="str" cm="1">
        <f t="array" ref="AG1468">_xlfn.IFS(L1468=1,"Low",L1468=2,"Medium",L1468=3,"High",L1468=4,"Very High")</f>
        <v>Medium</v>
      </c>
      <c r="AH1468" t="str" cm="1">
        <f t="array" ref="AH1468">_xlfn.IFS(M1468=1,"Junior employee",M1468=2,"Mid-level",M1468=3,"Senior",M1468=4,"Manager",M1468=5,"Executive")</f>
        <v>Senior</v>
      </c>
      <c r="AI1468" t="str" cm="1">
        <f t="array" ref="AI1468">_xlfn.IFS(O1468=1,"Low",O1468=2,"Medium",O1468=3,"High",O1468=4,"Very High")</f>
        <v>Low</v>
      </c>
      <c r="AJ1468" t="str" cm="1">
        <f t="array" ref="AJ1468">_xlfn.IFS(U1468=1,"Low",U1468=2,"Good",U1468=3,"Excellent",U1468=4,"Outstanding")</f>
        <v>Excellent</v>
      </c>
      <c r="AK1468" t="str" cm="1">
        <f t="array" ref="AK1468">_xlfn.IFS(V1468=1,"Low",V1468=2,"Medium",V1468=3,"High",V1468=4,"Very High")</f>
        <v>Low</v>
      </c>
      <c r="AL1468" t="str" cm="1">
        <f t="array" ref="AL1468">_xlfn.IFS(Z1468=1,"Bad",Z1468=2,"Good",Z1468=3,"Better",Z1468=4,"Best")</f>
        <v>Better</v>
      </c>
      <c r="AM1468" t="str" cm="1">
        <f t="array" ref="AM1468">_xlfn.IFS(W1468=0,"No_stock",W1468=1,"Low",W1468=2,"Medium",W1468=3,"High")</f>
        <v>Low</v>
      </c>
      <c r="AN1468" t="str">
        <f t="shared" si="22"/>
        <v>Medium</v>
      </c>
    </row>
    <row r="1469" spans="1:40" x14ac:dyDescent="0.45">
      <c r="A1469">
        <v>27</v>
      </c>
      <c r="B1469" t="s">
        <v>37</v>
      </c>
      <c r="C1469" t="s">
        <v>31</v>
      </c>
      <c r="D1469">
        <v>155</v>
      </c>
      <c r="E1469" t="s">
        <v>39</v>
      </c>
      <c r="F1469">
        <v>4</v>
      </c>
      <c r="G1469">
        <v>3</v>
      </c>
      <c r="H1469" t="s">
        <v>33</v>
      </c>
      <c r="I1469">
        <v>2064</v>
      </c>
      <c r="J1469">
        <v>2</v>
      </c>
      <c r="K1469" t="s">
        <v>40</v>
      </c>
      <c r="L1469">
        <v>4</v>
      </c>
      <c r="M1469">
        <v>2</v>
      </c>
      <c r="N1469" t="s">
        <v>47</v>
      </c>
      <c r="O1469">
        <v>2</v>
      </c>
      <c r="P1469" t="s">
        <v>42</v>
      </c>
      <c r="Q1469">
        <v>6142</v>
      </c>
      <c r="R1469">
        <v>1</v>
      </c>
      <c r="S1469" t="s">
        <v>30</v>
      </c>
      <c r="T1469">
        <v>20</v>
      </c>
      <c r="U1469">
        <v>4</v>
      </c>
      <c r="V1469">
        <v>2</v>
      </c>
      <c r="W1469">
        <v>1</v>
      </c>
      <c r="X1469">
        <v>6</v>
      </c>
      <c r="Y1469">
        <v>0</v>
      </c>
      <c r="Z1469">
        <v>3</v>
      </c>
      <c r="AA1469">
        <v>6</v>
      </c>
      <c r="AB1469">
        <v>2</v>
      </c>
      <c r="AC1469">
        <v>0</v>
      </c>
      <c r="AD1469">
        <v>3</v>
      </c>
      <c r="AE1469" t="str" cm="1">
        <f t="array" ref="AE1469">_xlfn.IFS(G1469=1,"Before College",G1469=2,"College",G1469=3,"Bachelor",G1469=4,"Master",G1469=5,"Doctor")</f>
        <v>Bachelor</v>
      </c>
      <c r="AF1469" t="str" cm="1">
        <f t="array" ref="AF1469">_xlfn.IFS(J1469=1,"Low",J1469=2,"Medium",J1469=3,"High",J1469=4,"Very High")</f>
        <v>Medium</v>
      </c>
      <c r="AG1469" t="str" cm="1">
        <f t="array" ref="AG1469">_xlfn.IFS(L1469=1,"Low",L1469=2,"Medium",L1469=3,"High",L1469=4,"Very High")</f>
        <v>Very High</v>
      </c>
      <c r="AH1469" t="str" cm="1">
        <f t="array" ref="AH1469">_xlfn.IFS(M1469=1,"Junior employee",M1469=2,"Mid-level",M1469=3,"Senior",M1469=4,"Manager",M1469=5,"Executive")</f>
        <v>Mid-level</v>
      </c>
      <c r="AI1469" t="str" cm="1">
        <f t="array" ref="AI1469">_xlfn.IFS(O1469=1,"Low",O1469=2,"Medium",O1469=3,"High",O1469=4,"Very High")</f>
        <v>Medium</v>
      </c>
      <c r="AJ1469" t="str" cm="1">
        <f t="array" ref="AJ1469">_xlfn.IFS(U1469=1,"Low",U1469=2,"Good",U1469=3,"Excellent",U1469=4,"Outstanding")</f>
        <v>Outstanding</v>
      </c>
      <c r="AK1469" t="str" cm="1">
        <f t="array" ref="AK1469">_xlfn.IFS(V1469=1,"Low",V1469=2,"Medium",V1469=3,"High",V1469=4,"Very High")</f>
        <v>Medium</v>
      </c>
      <c r="AL1469" t="str" cm="1">
        <f t="array" ref="AL1469">_xlfn.IFS(Z1469=1,"Bad",Z1469=2,"Good",Z1469=3,"Better",Z1469=4,"Best")</f>
        <v>Better</v>
      </c>
      <c r="AM1469" t="str" cm="1">
        <f t="array" ref="AM1469">_xlfn.IFS(W1469=0,"No_stock",W1469=1,"Low",W1469=2,"Medium",W1469=3,"High")</f>
        <v>Low</v>
      </c>
      <c r="AN1469" t="str">
        <f t="shared" si="22"/>
        <v>Near</v>
      </c>
    </row>
    <row r="1470" spans="1:40" x14ac:dyDescent="0.45">
      <c r="A1470">
        <v>49</v>
      </c>
      <c r="B1470" t="s">
        <v>37</v>
      </c>
      <c r="C1470" t="s">
        <v>38</v>
      </c>
      <c r="D1470">
        <v>1023</v>
      </c>
      <c r="E1470" t="s">
        <v>32</v>
      </c>
      <c r="F1470">
        <v>2</v>
      </c>
      <c r="G1470">
        <v>3</v>
      </c>
      <c r="H1470" t="s">
        <v>45</v>
      </c>
      <c r="I1470">
        <v>2065</v>
      </c>
      <c r="J1470">
        <v>4</v>
      </c>
      <c r="K1470" t="s">
        <v>40</v>
      </c>
      <c r="L1470">
        <v>2</v>
      </c>
      <c r="M1470">
        <v>2</v>
      </c>
      <c r="N1470" t="s">
        <v>35</v>
      </c>
      <c r="O1470">
        <v>2</v>
      </c>
      <c r="P1470" t="s">
        <v>42</v>
      </c>
      <c r="Q1470">
        <v>5390</v>
      </c>
      <c r="R1470">
        <v>2</v>
      </c>
      <c r="S1470" t="s">
        <v>37</v>
      </c>
      <c r="T1470">
        <v>14</v>
      </c>
      <c r="U1470">
        <v>3</v>
      </c>
      <c r="V1470">
        <v>4</v>
      </c>
      <c r="W1470">
        <v>0</v>
      </c>
      <c r="X1470">
        <v>17</v>
      </c>
      <c r="Y1470">
        <v>3</v>
      </c>
      <c r="Z1470">
        <v>2</v>
      </c>
      <c r="AA1470">
        <v>9</v>
      </c>
      <c r="AB1470">
        <v>6</v>
      </c>
      <c r="AC1470">
        <v>0</v>
      </c>
      <c r="AD1470">
        <v>8</v>
      </c>
      <c r="AE1470" t="str" cm="1">
        <f t="array" ref="AE1470">_xlfn.IFS(G1470=1,"Before College",G1470=2,"College",G1470=3,"Bachelor",G1470=4,"Master",G1470=5,"Doctor")</f>
        <v>Bachelor</v>
      </c>
      <c r="AF1470" t="str" cm="1">
        <f t="array" ref="AF1470">_xlfn.IFS(J1470=1,"Low",J1470=2,"Medium",J1470=3,"High",J1470=4,"Very High")</f>
        <v>Very High</v>
      </c>
      <c r="AG1470" t="str" cm="1">
        <f t="array" ref="AG1470">_xlfn.IFS(L1470=1,"Low",L1470=2,"Medium",L1470=3,"High",L1470=4,"Very High")</f>
        <v>Medium</v>
      </c>
      <c r="AH1470" t="str" cm="1">
        <f t="array" ref="AH1470">_xlfn.IFS(M1470=1,"Junior employee",M1470=2,"Mid-level",M1470=3,"Senior",M1470=4,"Manager",M1470=5,"Executive")</f>
        <v>Mid-level</v>
      </c>
      <c r="AI1470" t="str" cm="1">
        <f t="array" ref="AI1470">_xlfn.IFS(O1470=1,"Low",O1470=2,"Medium",O1470=3,"High",O1470=4,"Very High")</f>
        <v>Medium</v>
      </c>
      <c r="AJ1470" t="str" cm="1">
        <f t="array" ref="AJ1470">_xlfn.IFS(U1470=1,"Low",U1470=2,"Good",U1470=3,"Excellent",U1470=4,"Outstanding")</f>
        <v>Excellent</v>
      </c>
      <c r="AK1470" t="str" cm="1">
        <f t="array" ref="AK1470">_xlfn.IFS(V1470=1,"Low",V1470=2,"Medium",V1470=3,"High",V1470=4,"Very High")</f>
        <v>Very High</v>
      </c>
      <c r="AL1470" t="str" cm="1">
        <f t="array" ref="AL1470">_xlfn.IFS(Z1470=1,"Bad",Z1470=2,"Good",Z1470=3,"Better",Z1470=4,"Best")</f>
        <v>Good</v>
      </c>
      <c r="AM1470" t="str" cm="1">
        <f t="array" ref="AM1470">_xlfn.IFS(W1470=0,"No_stock",W1470=1,"Low",W1470=2,"Medium",W1470=3,"High")</f>
        <v>No_stock</v>
      </c>
      <c r="AN1470" t="str">
        <f t="shared" si="22"/>
        <v>Near</v>
      </c>
    </row>
    <row r="1471" spans="1:40" x14ac:dyDescent="0.45">
      <c r="A1471">
        <v>34</v>
      </c>
      <c r="B1471" t="s">
        <v>37</v>
      </c>
      <c r="C1471" t="s">
        <v>31</v>
      </c>
      <c r="D1471">
        <v>628</v>
      </c>
      <c r="E1471" t="s">
        <v>39</v>
      </c>
      <c r="F1471">
        <v>8</v>
      </c>
      <c r="G1471">
        <v>3</v>
      </c>
      <c r="H1471" t="s">
        <v>45</v>
      </c>
      <c r="I1471">
        <v>2068</v>
      </c>
      <c r="J1471">
        <v>2</v>
      </c>
      <c r="K1471" t="s">
        <v>40</v>
      </c>
      <c r="L1471">
        <v>4</v>
      </c>
      <c r="M1471">
        <v>2</v>
      </c>
      <c r="N1471" t="s">
        <v>44</v>
      </c>
      <c r="O1471">
        <v>3</v>
      </c>
      <c r="P1471" t="s">
        <v>42</v>
      </c>
      <c r="Q1471">
        <v>4404</v>
      </c>
      <c r="R1471">
        <v>2</v>
      </c>
      <c r="S1471" t="s">
        <v>37</v>
      </c>
      <c r="T1471">
        <v>12</v>
      </c>
      <c r="U1471">
        <v>3</v>
      </c>
      <c r="V1471">
        <v>1</v>
      </c>
      <c r="W1471">
        <v>0</v>
      </c>
      <c r="X1471">
        <v>6</v>
      </c>
      <c r="Y1471">
        <v>3</v>
      </c>
      <c r="Z1471">
        <v>4</v>
      </c>
      <c r="AA1471">
        <v>4</v>
      </c>
      <c r="AB1471">
        <v>3</v>
      </c>
      <c r="AC1471">
        <v>1</v>
      </c>
      <c r="AD1471">
        <v>2</v>
      </c>
      <c r="AE1471" t="str" cm="1">
        <f t="array" ref="AE1471">_xlfn.IFS(G1471=1,"Before College",G1471=2,"College",G1471=3,"Bachelor",G1471=4,"Master",G1471=5,"Doctor")</f>
        <v>Bachelor</v>
      </c>
      <c r="AF1471" t="str" cm="1">
        <f t="array" ref="AF1471">_xlfn.IFS(J1471=1,"Low",J1471=2,"Medium",J1471=3,"High",J1471=4,"Very High")</f>
        <v>Medium</v>
      </c>
      <c r="AG1471" t="str" cm="1">
        <f t="array" ref="AG1471">_xlfn.IFS(L1471=1,"Low",L1471=2,"Medium",L1471=3,"High",L1471=4,"Very High")</f>
        <v>Very High</v>
      </c>
      <c r="AH1471" t="str" cm="1">
        <f t="array" ref="AH1471">_xlfn.IFS(M1471=1,"Junior employee",M1471=2,"Mid-level",M1471=3,"Senior",M1471=4,"Manager",M1471=5,"Executive")</f>
        <v>Mid-level</v>
      </c>
      <c r="AI1471" t="str" cm="1">
        <f t="array" ref="AI1471">_xlfn.IFS(O1471=1,"Low",O1471=2,"Medium",O1471=3,"High",O1471=4,"Very High")</f>
        <v>High</v>
      </c>
      <c r="AJ1471" t="str" cm="1">
        <f t="array" ref="AJ1471">_xlfn.IFS(U1471=1,"Low",U1471=2,"Good",U1471=3,"Excellent",U1471=4,"Outstanding")</f>
        <v>Excellent</v>
      </c>
      <c r="AK1471" t="str" cm="1">
        <f t="array" ref="AK1471">_xlfn.IFS(V1471=1,"Low",V1471=2,"Medium",V1471=3,"High",V1471=4,"Very High")</f>
        <v>Low</v>
      </c>
      <c r="AL1471" t="str" cm="1">
        <f t="array" ref="AL1471">_xlfn.IFS(Z1471=1,"Bad",Z1471=2,"Good",Z1471=3,"Better",Z1471=4,"Best")</f>
        <v>Best</v>
      </c>
      <c r="AM1471" t="str" cm="1">
        <f t="array" ref="AM1471">_xlfn.IFS(W1471=0,"No_stock",W1471=1,"Low",W1471=2,"Medium",W1471=3,"High")</f>
        <v>No_stock</v>
      </c>
      <c r="AN1471" t="str">
        <f t="shared" si="22"/>
        <v>Medium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54EC5-36CE-4A11-9F32-00D6E15E0947}">
  <dimension ref="B4:I23"/>
  <sheetViews>
    <sheetView topLeftCell="B1" workbookViewId="0">
      <selection activeCell="H11" sqref="H11"/>
    </sheetView>
  </sheetViews>
  <sheetFormatPr defaultRowHeight="14.25" x14ac:dyDescent="0.45"/>
  <cols>
    <col min="2" max="2" width="21.796875" customWidth="1"/>
    <col min="3" max="3" width="22.59765625" customWidth="1"/>
    <col min="4" max="4" width="16.796875" customWidth="1"/>
    <col min="5" max="5" width="15.73046875" customWidth="1"/>
    <col min="6" max="6" width="21.33203125" customWidth="1"/>
    <col min="7" max="7" width="25.73046875" customWidth="1"/>
    <col min="8" max="8" width="22.06640625" customWidth="1"/>
    <col min="9" max="9" width="19.19921875" customWidth="1"/>
    <col min="11" max="11" width="24.3984375" customWidth="1"/>
    <col min="12" max="12" width="17.265625" customWidth="1"/>
    <col min="13" max="13" width="9.06640625" customWidth="1"/>
  </cols>
  <sheetData>
    <row r="4" spans="2:9" ht="15" x14ac:dyDescent="0.45">
      <c r="B4" s="2" t="s">
        <v>6</v>
      </c>
      <c r="C4" s="1" t="s">
        <v>9</v>
      </c>
      <c r="D4" s="2" t="s">
        <v>11</v>
      </c>
      <c r="E4" s="2" t="s">
        <v>14</v>
      </c>
      <c r="F4" s="2" t="s">
        <v>20</v>
      </c>
      <c r="G4" s="2" t="s">
        <v>21</v>
      </c>
      <c r="H4" s="2" t="s">
        <v>25</v>
      </c>
      <c r="I4" s="2" t="s">
        <v>77</v>
      </c>
    </row>
    <row r="5" spans="2:9" ht="15.75" x14ac:dyDescent="0.5">
      <c r="B5" s="2" t="s">
        <v>56</v>
      </c>
      <c r="C5" s="1" t="s">
        <v>61</v>
      </c>
      <c r="D5" s="2" t="s">
        <v>61</v>
      </c>
      <c r="E5" s="2" t="s">
        <v>61</v>
      </c>
      <c r="F5" s="2" t="s">
        <v>61</v>
      </c>
      <c r="G5" s="2" t="s">
        <v>61</v>
      </c>
      <c r="H5" s="2" t="s">
        <v>68</v>
      </c>
      <c r="I5" s="3" t="s">
        <v>82</v>
      </c>
    </row>
    <row r="6" spans="2:9" ht="15.75" x14ac:dyDescent="0.5">
      <c r="B6" s="2" t="s">
        <v>57</v>
      </c>
      <c r="C6" s="1" t="s">
        <v>62</v>
      </c>
      <c r="D6" s="2" t="s">
        <v>62</v>
      </c>
      <c r="E6" s="2" t="s">
        <v>62</v>
      </c>
      <c r="F6" s="2" t="s">
        <v>65</v>
      </c>
      <c r="G6" s="2" t="s">
        <v>62</v>
      </c>
      <c r="H6" s="2" t="s">
        <v>65</v>
      </c>
      <c r="I6" s="3" t="s">
        <v>83</v>
      </c>
    </row>
    <row r="7" spans="2:9" ht="15.75" x14ac:dyDescent="0.5">
      <c r="B7" s="2" t="s">
        <v>58</v>
      </c>
      <c r="C7" s="1" t="s">
        <v>63</v>
      </c>
      <c r="D7" s="2" t="s">
        <v>63</v>
      </c>
      <c r="E7" s="2" t="s">
        <v>63</v>
      </c>
      <c r="F7" s="2" t="s">
        <v>66</v>
      </c>
      <c r="G7" s="2" t="s">
        <v>63</v>
      </c>
      <c r="H7" s="2" t="s">
        <v>69</v>
      </c>
      <c r="I7" s="3" t="s">
        <v>84</v>
      </c>
    </row>
    <row r="8" spans="2:9" ht="15.75" x14ac:dyDescent="0.5">
      <c r="B8" s="2" t="s">
        <v>59</v>
      </c>
      <c r="C8" s="1" t="s">
        <v>64</v>
      </c>
      <c r="D8" s="2" t="s">
        <v>64</v>
      </c>
      <c r="E8" s="2" t="s">
        <v>64</v>
      </c>
      <c r="F8" s="2" t="s">
        <v>67</v>
      </c>
      <c r="G8" s="2" t="s">
        <v>64</v>
      </c>
      <c r="H8" s="2" t="s">
        <v>70</v>
      </c>
      <c r="I8" s="3" t="s">
        <v>85</v>
      </c>
    </row>
    <row r="9" spans="2:9" ht="15" x14ac:dyDescent="0.45">
      <c r="B9" s="2" t="s">
        <v>60</v>
      </c>
    </row>
    <row r="16" spans="2:9" x14ac:dyDescent="0.45">
      <c r="B16" t="s">
        <v>71</v>
      </c>
    </row>
    <row r="17" spans="2:3" x14ac:dyDescent="0.45">
      <c r="B17" t="s">
        <v>72</v>
      </c>
      <c r="C17" t="s">
        <v>79</v>
      </c>
    </row>
    <row r="18" spans="2:3" x14ac:dyDescent="0.45">
      <c r="B18" t="s">
        <v>73</v>
      </c>
      <c r="C18" t="s">
        <v>79</v>
      </c>
    </row>
    <row r="19" spans="2:3" x14ac:dyDescent="0.45">
      <c r="B19" t="s">
        <v>74</v>
      </c>
      <c r="C19" t="s">
        <v>79</v>
      </c>
    </row>
    <row r="20" spans="2:3" x14ac:dyDescent="0.45">
      <c r="B20" t="s">
        <v>75</v>
      </c>
      <c r="C20" t="s">
        <v>80</v>
      </c>
    </row>
    <row r="21" spans="2:3" x14ac:dyDescent="0.45">
      <c r="B21" t="s">
        <v>76</v>
      </c>
      <c r="C21" t="s">
        <v>79</v>
      </c>
    </row>
    <row r="23" spans="2:3" x14ac:dyDescent="0.45">
      <c r="B23" t="s">
        <v>78</v>
      </c>
      <c r="C23"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E59F-98C4-41DD-8032-8DEB43D4C294}">
  <dimension ref="A1"/>
  <sheetViews>
    <sheetView showGridLines="0" tabSelected="1" zoomScale="69" zoomScaleNormal="69" workbookViewId="0">
      <selection activeCell="AD11" sqref="AD11"/>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WA_Fn-UseC_-HR-Employee-Attriti</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Lakshya Arora</cp:lastModifiedBy>
  <dcterms:created xsi:type="dcterms:W3CDTF">2026-05-15T01:41:27Z</dcterms:created>
  <dcterms:modified xsi:type="dcterms:W3CDTF">2026-05-15T16:26:24Z</dcterms:modified>
</cp:coreProperties>
</file>